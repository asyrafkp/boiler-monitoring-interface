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a282daf4e2a35f/Desktop/Production latest/2026/01 JANUARY 2026/"/>
    </mc:Choice>
  </mc:AlternateContent>
  <xr:revisionPtr revIDLastSave="7698" documentId="13_ncr:1_{91E64C90-477E-4439-B0D3-CEFFD144C02D}" xr6:coauthVersionLast="47" xr6:coauthVersionMax="47" xr10:uidLastSave="{548376B6-D7FB-45D4-AF25-2E8AB0228557}"/>
  <bookViews>
    <workbookView xWindow="-120" yWindow="-120" windowWidth="29040" windowHeight="15840" tabRatio="743" firstSheet="1" activeTab="7" xr2:uid="{00000000-000D-0000-FFFF-FFFF00000000}"/>
  </bookViews>
  <sheets>
    <sheet name="DATA B1" sheetId="5" r:id="rId1"/>
    <sheet name="DATA B2" sheetId="6" r:id="rId2"/>
    <sheet name="DATA B3" sheetId="17" r:id="rId3"/>
    <sheet name="NGSTEAM RATIO" sheetId="15" r:id="rId4"/>
    <sheet name="WATER_STEAM RATIO" sheetId="16" r:id="rId5"/>
    <sheet name="REPORT B1" sheetId="4" r:id="rId6"/>
    <sheet name="REPORT B2" sheetId="7" r:id="rId7"/>
    <sheet name="REPORT B3" sheetId="18" r:id="rId8"/>
    <sheet name="TOTAL" sheetId="26" r:id="rId9"/>
    <sheet name="SBoiler1" sheetId="21" r:id="rId10"/>
    <sheet name="SBoiler2" sheetId="22" r:id="rId11"/>
    <sheet name="SBoiler3" sheetId="23" r:id="rId12"/>
    <sheet name="TProductivity" sheetId="20" r:id="rId13"/>
    <sheet name="Weekly Report Production" sheetId="27" r:id="rId14"/>
  </sheets>
  <definedNames>
    <definedName name="_xlnm.Print_Area" localSheetId="0">'DATA B1'!$A$1:$U$817</definedName>
    <definedName name="_xlnm.Print_Area" localSheetId="1">'DATA B2'!$B$1:$U$817</definedName>
    <definedName name="_xlnm.Print_Area" localSheetId="3">'NGSTEAM RATIO'!$B$2:$P$816</definedName>
    <definedName name="_xlnm.Print_Area" localSheetId="5">'REPORT B1'!$B$1:$L$40</definedName>
    <definedName name="_xlnm.Print_Area" localSheetId="6">'REPORT B2'!$B$1:$L$40</definedName>
    <definedName name="_xlnm.Print_Area" localSheetId="9">SBoiler1!$B$3:$N$36</definedName>
    <definedName name="_xlnm.Print_Area" localSheetId="10">SBoiler2!$B$1:$N$36</definedName>
    <definedName name="_xlnm.Print_Area" localSheetId="11">SBoiler3!$B$1:$N$36</definedName>
    <definedName name="_xlnm.Print_Area" localSheetId="8">TOTAL!$B$2:$H$39</definedName>
    <definedName name="_xlnm.Print_Area" localSheetId="12">TProductivity!$A$7:$K$43</definedName>
    <definedName name="_xlnm.Print_Area" localSheetId="4">'WATER_STEAM RATIO'!$B$1:$U$816</definedName>
    <definedName name="_xlnm.Print_Titles" localSheetId="0">'DATA B1'!$1:$11</definedName>
    <definedName name="_xlnm.Print_Titles" localSheetId="1">'DATA B2'!$1:$11</definedName>
    <definedName name="_xlnm.Print_Titles" localSheetId="2">'DATA B3'!$1:$11</definedName>
    <definedName name="_xlnm.Print_Titles" localSheetId="3">'NGSTEAM RATIO'!$2:$10</definedName>
    <definedName name="_xlnm.Print_Titles" localSheetId="4">'WATER_STEAM RATIO'!$5:$9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8" l="1"/>
  <c r="H817" i="17" a="1"/>
  <c r="H817" i="17" s="1"/>
  <c r="H791" i="17" a="1"/>
  <c r="H791" i="17" s="1"/>
  <c r="H765" i="17" a="1"/>
  <c r="H765" i="17" s="1"/>
  <c r="H739" i="17" a="1"/>
  <c r="H739" i="17" s="1"/>
  <c r="H713" i="17" a="1"/>
  <c r="H713" i="17" s="1"/>
  <c r="H687" i="17" a="1"/>
  <c r="H687" i="17" s="1"/>
  <c r="H661" i="17" a="1"/>
  <c r="H661" i="17" s="1"/>
  <c r="H635" i="17" a="1"/>
  <c r="H635" i="17" s="1"/>
  <c r="H609" i="17" a="1"/>
  <c r="H609" i="17" s="1"/>
  <c r="H583" i="17" a="1"/>
  <c r="H583" i="17" s="1"/>
  <c r="H557" i="17" a="1"/>
  <c r="H557" i="17" s="1"/>
  <c r="H531" i="17" a="1"/>
  <c r="H531" i="17" s="1"/>
  <c r="H505" i="17" a="1"/>
  <c r="H505" i="17" s="1"/>
  <c r="H479" i="17" a="1"/>
  <c r="H479" i="17" s="1"/>
  <c r="H453" i="17" a="1"/>
  <c r="H453" i="17" s="1"/>
  <c r="H427" i="17" a="1"/>
  <c r="H427" i="17" s="1"/>
  <c r="H401" i="17" a="1"/>
  <c r="H401" i="17" s="1"/>
  <c r="H375" i="17" a="1"/>
  <c r="H375" i="17" s="1"/>
  <c r="H349" i="17" a="1"/>
  <c r="H349" i="17" s="1"/>
  <c r="H323" i="17" a="1"/>
  <c r="H323" i="17" s="1"/>
  <c r="H297" i="17" a="1"/>
  <c r="H297" i="17" s="1"/>
  <c r="H271" i="17" a="1"/>
  <c r="H271" i="17" s="1"/>
  <c r="H245" i="17" a="1"/>
  <c r="H245" i="17" s="1"/>
  <c r="H219" i="17" a="1"/>
  <c r="H219" i="17" s="1"/>
  <c r="H193" i="17" a="1"/>
  <c r="H193" i="17" s="1"/>
  <c r="H167" i="17" a="1"/>
  <c r="H167" i="17" s="1"/>
  <c r="H141" i="17" a="1"/>
  <c r="H141" i="17" s="1"/>
  <c r="H115" i="17" a="1"/>
  <c r="H115" i="17" s="1"/>
  <c r="H89" i="17" a="1"/>
  <c r="H89" i="17" s="1"/>
  <c r="H63" i="17" a="1"/>
  <c r="H63" i="17" s="1"/>
  <c r="H37" i="17" a="1"/>
  <c r="H37" i="17" s="1"/>
  <c r="P489" i="16"/>
  <c r="P490" i="16"/>
  <c r="O453" i="6"/>
  <c r="M11" i="16"/>
  <c r="M37" i="16"/>
  <c r="S11" i="16"/>
  <c r="E11" i="16"/>
  <c r="E37" i="16"/>
  <c r="G11" i="16"/>
  <c r="G37" i="16"/>
  <c r="Q11" i="16"/>
  <c r="K11" i="16"/>
  <c r="K37" i="16"/>
  <c r="L10" i="27" l="1"/>
  <c r="H10" i="27"/>
  <c r="B7" i="27"/>
  <c r="B8" i="27"/>
  <c r="B9" i="27"/>
  <c r="B10" i="27"/>
  <c r="B6" i="27"/>
  <c r="D10" i="27"/>
  <c r="H816" i="15"/>
  <c r="F816" i="15"/>
  <c r="G816" i="15" s="1"/>
  <c r="E816" i="15"/>
  <c r="H790" i="15"/>
  <c r="F790" i="15"/>
  <c r="G790" i="15" s="1"/>
  <c r="E790" i="15"/>
  <c r="H764" i="15"/>
  <c r="F764" i="15"/>
  <c r="G764" i="15" s="1"/>
  <c r="E764" i="15"/>
  <c r="H738" i="15"/>
  <c r="F738" i="15"/>
  <c r="G738" i="15" s="1"/>
  <c r="E738" i="15"/>
  <c r="H712" i="15"/>
  <c r="F712" i="15"/>
  <c r="G712" i="15" s="1"/>
  <c r="E712" i="15"/>
  <c r="H686" i="15"/>
  <c r="F686" i="15"/>
  <c r="G686" i="15" s="1"/>
  <c r="E686" i="15"/>
  <c r="H660" i="15"/>
  <c r="F660" i="15"/>
  <c r="E660" i="15"/>
  <c r="G660" i="15" s="1"/>
  <c r="H634" i="15"/>
  <c r="F634" i="15"/>
  <c r="G634" i="15" s="1"/>
  <c r="E634" i="15"/>
  <c r="H608" i="15"/>
  <c r="F608" i="15"/>
  <c r="G608" i="15" s="1"/>
  <c r="E608" i="15"/>
  <c r="H582" i="15"/>
  <c r="F582" i="15"/>
  <c r="G582" i="15" s="1"/>
  <c r="E582" i="15"/>
  <c r="D31" i="16"/>
  <c r="D32" i="16"/>
  <c r="E32" i="16"/>
  <c r="D33" i="16"/>
  <c r="E33" i="16" s="1"/>
  <c r="D34" i="16"/>
  <c r="E34" i="16" s="1"/>
  <c r="D35" i="16"/>
  <c r="E35" i="16" s="1"/>
  <c r="D22" i="16"/>
  <c r="D23" i="16"/>
  <c r="E23" i="16" s="1"/>
  <c r="D24" i="16"/>
  <c r="D25" i="16"/>
  <c r="E25" i="16"/>
  <c r="D26" i="16"/>
  <c r="D27" i="16"/>
  <c r="E27" i="16"/>
  <c r="D28" i="16"/>
  <c r="E28" i="16" s="1"/>
  <c r="D29" i="16"/>
  <c r="E29" i="16" s="1"/>
  <c r="D30" i="16"/>
  <c r="E30" i="16" s="1"/>
  <c r="G816" i="16"/>
  <c r="F816" i="16"/>
  <c r="F816" i="16" a="1"/>
  <c r="E816" i="16"/>
  <c r="I816" i="16" s="1"/>
  <c r="D816" i="16" a="1"/>
  <c r="D816" i="16" s="1"/>
  <c r="I790" i="16"/>
  <c r="G790" i="16"/>
  <c r="H790" i="16" s="1"/>
  <c r="F790" i="16"/>
  <c r="F790" i="16" a="1"/>
  <c r="E790" i="16"/>
  <c r="D790" i="16" a="1"/>
  <c r="D790" i="16" s="1"/>
  <c r="I764" i="16"/>
  <c r="G764" i="16"/>
  <c r="F764" i="16"/>
  <c r="F764" i="16" a="1"/>
  <c r="E764" i="16"/>
  <c r="H764" i="16" s="1"/>
  <c r="D764" i="16" a="1"/>
  <c r="D764" i="16" s="1"/>
  <c r="I738" i="16"/>
  <c r="G738" i="16"/>
  <c r="F738" i="16"/>
  <c r="F738" i="16" a="1"/>
  <c r="E738" i="16"/>
  <c r="H738" i="16" s="1"/>
  <c r="D738" i="16" a="1"/>
  <c r="D738" i="16" s="1"/>
  <c r="I712" i="16"/>
  <c r="G712" i="16"/>
  <c r="H712" i="16" s="1"/>
  <c r="F712" i="16"/>
  <c r="F712" i="16" a="1"/>
  <c r="E712" i="16"/>
  <c r="D712" i="16" a="1"/>
  <c r="D712" i="16" s="1"/>
  <c r="I686" i="16"/>
  <c r="G686" i="16"/>
  <c r="H686" i="16" s="1"/>
  <c r="F686" i="16"/>
  <c r="F686" i="16" a="1"/>
  <c r="E686" i="16"/>
  <c r="D686" i="16" a="1"/>
  <c r="D686" i="16" s="1"/>
  <c r="I660" i="16"/>
  <c r="G660" i="16"/>
  <c r="H660" i="16" s="1"/>
  <c r="F660" i="16"/>
  <c r="F660" i="16" a="1"/>
  <c r="E660" i="16"/>
  <c r="D660" i="16" a="1"/>
  <c r="D660" i="16" s="1"/>
  <c r="I634" i="16"/>
  <c r="G634" i="16"/>
  <c r="H634" i="16" s="1"/>
  <c r="F634" i="16"/>
  <c r="F634" i="16" a="1"/>
  <c r="E634" i="16"/>
  <c r="D634" i="16" a="1"/>
  <c r="D634" i="16" s="1"/>
  <c r="I608" i="16"/>
  <c r="G608" i="16"/>
  <c r="H608" i="16" s="1"/>
  <c r="F608" i="16"/>
  <c r="F608" i="16" a="1"/>
  <c r="E608" i="16"/>
  <c r="D608" i="16" a="1"/>
  <c r="D608" i="16" s="1"/>
  <c r="G582" i="16"/>
  <c r="F582" i="16"/>
  <c r="F582" i="16" a="1"/>
  <c r="E582" i="16"/>
  <c r="I582" i="16" s="1"/>
  <c r="D582" i="16" a="1"/>
  <c r="D582" i="16" s="1"/>
  <c r="D37" i="16"/>
  <c r="F37" i="16"/>
  <c r="G38" i="16" s="1"/>
  <c r="J37" i="16"/>
  <c r="L37" i="16"/>
  <c r="P37" i="16"/>
  <c r="R37" i="16"/>
  <c r="D38" i="16"/>
  <c r="F38" i="16"/>
  <c r="J38" i="16"/>
  <c r="L38" i="16"/>
  <c r="P38" i="16"/>
  <c r="Q38" i="16" s="1"/>
  <c r="U38" i="16" s="1"/>
  <c r="R38" i="16"/>
  <c r="D39" i="16"/>
  <c r="E39" i="16"/>
  <c r="F39" i="16"/>
  <c r="G39" i="16" s="1"/>
  <c r="J39" i="16"/>
  <c r="L39" i="16"/>
  <c r="M39" i="16" s="1"/>
  <c r="P39" i="16"/>
  <c r="R39" i="16"/>
  <c r="S39" i="16" s="1"/>
  <c r="D40" i="16"/>
  <c r="F40" i="16"/>
  <c r="G40" i="16"/>
  <c r="J40" i="16"/>
  <c r="K40" i="16" s="1"/>
  <c r="O40" i="16" s="1"/>
  <c r="L40" i="16"/>
  <c r="P40" i="16"/>
  <c r="R40" i="16"/>
  <c r="S40" i="16" s="1"/>
  <c r="D41" i="16"/>
  <c r="E41" i="16"/>
  <c r="F41" i="16"/>
  <c r="J41" i="16"/>
  <c r="K41" i="16" s="1"/>
  <c r="O41" i="16" s="1"/>
  <c r="L41" i="16"/>
  <c r="P41" i="16"/>
  <c r="R41" i="16"/>
  <c r="D42" i="16"/>
  <c r="E43" i="16" s="1"/>
  <c r="F42" i="16"/>
  <c r="G42" i="16"/>
  <c r="J42" i="16"/>
  <c r="L42" i="16"/>
  <c r="M43" i="16" s="1"/>
  <c r="P42" i="16"/>
  <c r="Q42" i="16" s="1"/>
  <c r="U42" i="16" s="1"/>
  <c r="R42" i="16"/>
  <c r="S42" i="16" s="1"/>
  <c r="D43" i="16"/>
  <c r="F43" i="16"/>
  <c r="G43" i="16" s="1"/>
  <c r="J43" i="16"/>
  <c r="K43" i="16" s="1"/>
  <c r="O43" i="16" s="1"/>
  <c r="L43" i="16"/>
  <c r="P43" i="16"/>
  <c r="R43" i="16"/>
  <c r="S43" i="16" s="1"/>
  <c r="D44" i="16"/>
  <c r="F44" i="16"/>
  <c r="G44" i="16"/>
  <c r="J44" i="16"/>
  <c r="L44" i="16"/>
  <c r="P44" i="16"/>
  <c r="Q44" i="16" s="1"/>
  <c r="U44" i="16" s="1"/>
  <c r="R44" i="16"/>
  <c r="D45" i="16"/>
  <c r="E45" i="16"/>
  <c r="F45" i="16"/>
  <c r="J45" i="16"/>
  <c r="L45" i="16"/>
  <c r="P45" i="16"/>
  <c r="Q45" i="16" s="1"/>
  <c r="U45" i="16" s="1"/>
  <c r="R45" i="16"/>
  <c r="S45" i="16" s="1"/>
  <c r="D46" i="16"/>
  <c r="E47" i="16" s="1"/>
  <c r="F46" i="16"/>
  <c r="G46" i="16"/>
  <c r="J46" i="16"/>
  <c r="K46" i="16" s="1"/>
  <c r="O46" i="16" s="1"/>
  <c r="L46" i="16"/>
  <c r="M46" i="16" s="1"/>
  <c r="P46" i="16"/>
  <c r="Q46" i="16" s="1"/>
  <c r="U46" i="16" s="1"/>
  <c r="R46" i="16"/>
  <c r="S46" i="16" s="1"/>
  <c r="D47" i="16"/>
  <c r="F47" i="16"/>
  <c r="G47" i="16" s="1"/>
  <c r="J47" i="16"/>
  <c r="K47" i="16" s="1"/>
  <c r="O47" i="16" s="1"/>
  <c r="L47" i="16"/>
  <c r="P47" i="16"/>
  <c r="R47" i="16"/>
  <c r="S47" i="16" s="1"/>
  <c r="D48" i="16"/>
  <c r="F48" i="16"/>
  <c r="G48" i="16"/>
  <c r="J48" i="16"/>
  <c r="L48" i="16"/>
  <c r="P48" i="16"/>
  <c r="Q48" i="16" s="1"/>
  <c r="U48" i="16" s="1"/>
  <c r="R48" i="16"/>
  <c r="D49" i="16"/>
  <c r="E49" i="16"/>
  <c r="F49" i="16"/>
  <c r="J49" i="16"/>
  <c r="L49" i="16"/>
  <c r="P49" i="16"/>
  <c r="R49" i="16"/>
  <c r="D50" i="16"/>
  <c r="F50" i="16"/>
  <c r="G50" i="16" s="1"/>
  <c r="J50" i="16"/>
  <c r="K50" i="16" s="1"/>
  <c r="O50" i="16" s="1"/>
  <c r="L50" i="16"/>
  <c r="P50" i="16"/>
  <c r="R50" i="16"/>
  <c r="D51" i="16"/>
  <c r="E51" i="16"/>
  <c r="F51" i="16"/>
  <c r="J51" i="16"/>
  <c r="L51" i="16"/>
  <c r="P51" i="16"/>
  <c r="Q51" i="16" s="1"/>
  <c r="U51" i="16" s="1"/>
  <c r="R51" i="16"/>
  <c r="S51" i="16" s="1"/>
  <c r="D52" i="16"/>
  <c r="F52" i="16"/>
  <c r="G52" i="16"/>
  <c r="J52" i="16"/>
  <c r="L52" i="16"/>
  <c r="M52" i="16" s="1"/>
  <c r="P52" i="16"/>
  <c r="Q52" i="16" s="1"/>
  <c r="U52" i="16" s="1"/>
  <c r="R52" i="16"/>
  <c r="D53" i="16"/>
  <c r="E53" i="16"/>
  <c r="F53" i="16"/>
  <c r="J53" i="16"/>
  <c r="L53" i="16"/>
  <c r="M53" i="16" s="1"/>
  <c r="P53" i="16"/>
  <c r="R53" i="16"/>
  <c r="D54" i="16"/>
  <c r="E55" i="16" s="1"/>
  <c r="F54" i="16"/>
  <c r="G54" i="16"/>
  <c r="J54" i="16"/>
  <c r="K54" i="16" s="1"/>
  <c r="O54" i="16" s="1"/>
  <c r="L54" i="16"/>
  <c r="P54" i="16"/>
  <c r="Q54" i="16" s="1"/>
  <c r="U54" i="16" s="1"/>
  <c r="R54" i="16"/>
  <c r="D55" i="16"/>
  <c r="F55" i="16"/>
  <c r="G55" i="16" s="1"/>
  <c r="J55" i="16"/>
  <c r="L55" i="16"/>
  <c r="P55" i="16"/>
  <c r="R55" i="16"/>
  <c r="D56" i="16"/>
  <c r="F56" i="16"/>
  <c r="G56" i="16"/>
  <c r="J56" i="16"/>
  <c r="L56" i="16"/>
  <c r="P56" i="16"/>
  <c r="R56" i="16"/>
  <c r="S56" i="16" s="1"/>
  <c r="D57" i="16"/>
  <c r="E57" i="16" s="1"/>
  <c r="F57" i="16"/>
  <c r="G57" i="16" s="1"/>
  <c r="J57" i="16"/>
  <c r="L57" i="16"/>
  <c r="M57" i="16" s="1"/>
  <c r="P57" i="16"/>
  <c r="R57" i="16"/>
  <c r="D58" i="16"/>
  <c r="E58" i="16"/>
  <c r="F58" i="16"/>
  <c r="J58" i="16"/>
  <c r="L58" i="16"/>
  <c r="M58" i="16" s="1"/>
  <c r="P58" i="16"/>
  <c r="R58" i="16"/>
  <c r="D59" i="16"/>
  <c r="E59" i="16"/>
  <c r="F59" i="16"/>
  <c r="G59" i="16"/>
  <c r="I59" i="16"/>
  <c r="J59" i="16"/>
  <c r="L59" i="16"/>
  <c r="P59" i="16"/>
  <c r="R59" i="16"/>
  <c r="D60" i="16"/>
  <c r="E60" i="16" s="1"/>
  <c r="H60" i="16" s="1"/>
  <c r="F60" i="16"/>
  <c r="G60" i="16" s="1"/>
  <c r="I60" i="16"/>
  <c r="J60" i="16"/>
  <c r="L60" i="16"/>
  <c r="P60" i="16"/>
  <c r="R60" i="16"/>
  <c r="D61" i="16"/>
  <c r="E61" i="16" s="1"/>
  <c r="F61" i="16"/>
  <c r="G61" i="16"/>
  <c r="J61" i="16"/>
  <c r="L61" i="16"/>
  <c r="P61" i="16"/>
  <c r="Q61" i="16" s="1"/>
  <c r="R61" i="16"/>
  <c r="S61" i="16"/>
  <c r="B89" i="16"/>
  <c r="D89" i="16"/>
  <c r="F89" i="16"/>
  <c r="J89" i="16"/>
  <c r="L89" i="16"/>
  <c r="P89" i="16"/>
  <c r="R89" i="16"/>
  <c r="D90" i="16"/>
  <c r="F90" i="16"/>
  <c r="G91" i="16" s="1"/>
  <c r="H91" i="16" s="1"/>
  <c r="J90" i="16"/>
  <c r="L90" i="16"/>
  <c r="P90" i="16"/>
  <c r="R90" i="16"/>
  <c r="D91" i="16"/>
  <c r="E91" i="16"/>
  <c r="F91" i="16"/>
  <c r="I91" i="16"/>
  <c r="J91" i="16"/>
  <c r="L91" i="16"/>
  <c r="P91" i="16"/>
  <c r="Q91" i="16" s="1"/>
  <c r="R91" i="16"/>
  <c r="D92" i="16"/>
  <c r="F92" i="16"/>
  <c r="G93" i="16" s="1"/>
  <c r="H93" i="16" s="1"/>
  <c r="J92" i="16"/>
  <c r="L92" i="16"/>
  <c r="P92" i="16"/>
  <c r="R92" i="16"/>
  <c r="D93" i="16"/>
  <c r="E93" i="16"/>
  <c r="F93" i="16"/>
  <c r="I93" i="16"/>
  <c r="J93" i="16"/>
  <c r="L93" i="16"/>
  <c r="P93" i="16"/>
  <c r="U93" i="16" s="1"/>
  <c r="R93" i="16"/>
  <c r="D94" i="16"/>
  <c r="F94" i="16"/>
  <c r="G95" i="16" s="1"/>
  <c r="H95" i="16" s="1"/>
  <c r="J94" i="16"/>
  <c r="L94" i="16"/>
  <c r="P94" i="16"/>
  <c r="R94" i="16"/>
  <c r="D95" i="16"/>
  <c r="E95" i="16"/>
  <c r="F95" i="16"/>
  <c r="I95" i="16"/>
  <c r="J95" i="16"/>
  <c r="L95" i="16"/>
  <c r="P95" i="16"/>
  <c r="U95" i="16" s="1"/>
  <c r="R95" i="16"/>
  <c r="D96" i="16"/>
  <c r="F96" i="16"/>
  <c r="G97" i="16" s="1"/>
  <c r="H97" i="16" s="1"/>
  <c r="J96" i="16"/>
  <c r="L96" i="16"/>
  <c r="P96" i="16"/>
  <c r="R96" i="16"/>
  <c r="D97" i="16"/>
  <c r="E97" i="16"/>
  <c r="F97" i="16"/>
  <c r="I97" i="16"/>
  <c r="J97" i="16"/>
  <c r="L97" i="16"/>
  <c r="P97" i="16"/>
  <c r="R97" i="16"/>
  <c r="D98" i="16"/>
  <c r="F98" i="16"/>
  <c r="G99" i="16" s="1"/>
  <c r="H99" i="16" s="1"/>
  <c r="J98" i="16"/>
  <c r="L98" i="16"/>
  <c r="P98" i="16"/>
  <c r="R98" i="16"/>
  <c r="D99" i="16"/>
  <c r="E99" i="16"/>
  <c r="F99" i="16"/>
  <c r="I99" i="16"/>
  <c r="J99" i="16"/>
  <c r="L99" i="16"/>
  <c r="P99" i="16"/>
  <c r="U99" i="16" s="1"/>
  <c r="R99" i="16"/>
  <c r="D100" i="16"/>
  <c r="F100" i="16"/>
  <c r="J100" i="16"/>
  <c r="L100" i="16"/>
  <c r="P100" i="16"/>
  <c r="R100" i="16"/>
  <c r="S101" i="16" s="1"/>
  <c r="D101" i="16"/>
  <c r="I101" i="16" s="1"/>
  <c r="F101" i="16"/>
  <c r="J101" i="16"/>
  <c r="L101" i="16"/>
  <c r="P101" i="16"/>
  <c r="R101" i="16"/>
  <c r="U101" i="16"/>
  <c r="D102" i="16"/>
  <c r="F102" i="16"/>
  <c r="G103" i="16" s="1"/>
  <c r="J102" i="16"/>
  <c r="L102" i="16"/>
  <c r="P102" i="16"/>
  <c r="R102" i="16"/>
  <c r="S103" i="16" s="1"/>
  <c r="D103" i="16"/>
  <c r="E103" i="16"/>
  <c r="F103" i="16"/>
  <c r="I103" i="16"/>
  <c r="J103" i="16"/>
  <c r="L103" i="16"/>
  <c r="P103" i="16"/>
  <c r="Q103" i="16"/>
  <c r="R103" i="16"/>
  <c r="D104" i="16"/>
  <c r="F104" i="16"/>
  <c r="G105" i="16" s="1"/>
  <c r="J104" i="16"/>
  <c r="K104" i="16" s="1"/>
  <c r="O104" i="16" s="1"/>
  <c r="L104" i="16"/>
  <c r="P104" i="16"/>
  <c r="R104" i="16"/>
  <c r="D105" i="16"/>
  <c r="E105" i="16"/>
  <c r="F105" i="16"/>
  <c r="I105" i="16"/>
  <c r="J105" i="16"/>
  <c r="K106" i="16" s="1"/>
  <c r="O106" i="16" s="1"/>
  <c r="L105" i="16"/>
  <c r="P105" i="16"/>
  <c r="Q105" i="16" s="1"/>
  <c r="R105" i="16"/>
  <c r="D106" i="16"/>
  <c r="F106" i="16"/>
  <c r="J106" i="16"/>
  <c r="L106" i="16"/>
  <c r="P106" i="16"/>
  <c r="R106" i="16"/>
  <c r="D107" i="16"/>
  <c r="E107" i="16" s="1"/>
  <c r="F107" i="16"/>
  <c r="J107" i="16"/>
  <c r="L107" i="16"/>
  <c r="P107" i="16"/>
  <c r="Q107" i="16"/>
  <c r="R107" i="16"/>
  <c r="U107" i="16"/>
  <c r="D108" i="16"/>
  <c r="F108" i="16"/>
  <c r="J108" i="16"/>
  <c r="K108" i="16" s="1"/>
  <c r="O108" i="16" s="1"/>
  <c r="L108" i="16"/>
  <c r="P108" i="16"/>
  <c r="R108" i="16"/>
  <c r="S108" i="16" s="1"/>
  <c r="D109" i="16"/>
  <c r="E109" i="16" s="1"/>
  <c r="F109" i="16"/>
  <c r="J109" i="16"/>
  <c r="L109" i="16"/>
  <c r="M109" i="16" s="1"/>
  <c r="P109" i="16"/>
  <c r="Q109" i="16" s="1"/>
  <c r="R109" i="16"/>
  <c r="S110" i="16" s="1"/>
  <c r="D110" i="16"/>
  <c r="E110" i="16" s="1"/>
  <c r="F110" i="16"/>
  <c r="G110" i="16" s="1"/>
  <c r="J110" i="16"/>
  <c r="L110" i="16"/>
  <c r="P110" i="16"/>
  <c r="R110" i="16"/>
  <c r="D111" i="16"/>
  <c r="F111" i="16"/>
  <c r="I111" i="16"/>
  <c r="J111" i="16"/>
  <c r="L111" i="16"/>
  <c r="P111" i="16"/>
  <c r="Q111" i="16" s="1"/>
  <c r="R111" i="16"/>
  <c r="D112" i="16"/>
  <c r="E112" i="16" s="1"/>
  <c r="F112" i="16"/>
  <c r="G112" i="16" s="1"/>
  <c r="I112" i="16"/>
  <c r="J112" i="16"/>
  <c r="L112" i="16"/>
  <c r="P112" i="16"/>
  <c r="R112" i="16"/>
  <c r="S112" i="16" s="1"/>
  <c r="D113" i="16"/>
  <c r="E113" i="16"/>
  <c r="E115" i="16" s="1"/>
  <c r="F113" i="16"/>
  <c r="G113" i="16"/>
  <c r="G115" i="16" s="1"/>
  <c r="J113" i="16"/>
  <c r="L113" i="16"/>
  <c r="P113" i="16"/>
  <c r="R113" i="16"/>
  <c r="B115" i="16"/>
  <c r="D115" i="16"/>
  <c r="E116" i="16" s="1"/>
  <c r="F115" i="16"/>
  <c r="J115" i="16"/>
  <c r="L115" i="16"/>
  <c r="P115" i="16"/>
  <c r="R115" i="16"/>
  <c r="D116" i="16"/>
  <c r="F116" i="16"/>
  <c r="G116" i="16" s="1"/>
  <c r="I116" i="16"/>
  <c r="J116" i="16"/>
  <c r="L116" i="16"/>
  <c r="P116" i="16"/>
  <c r="R116" i="16"/>
  <c r="S116" i="16" s="1"/>
  <c r="D117" i="16"/>
  <c r="E117" i="16" s="1"/>
  <c r="F117" i="16"/>
  <c r="G117" i="16" s="1"/>
  <c r="H117" i="16" s="1"/>
  <c r="I117" i="16"/>
  <c r="J117" i="16"/>
  <c r="K117" i="16" s="1"/>
  <c r="O117" i="16" s="1"/>
  <c r="L117" i="16"/>
  <c r="P117" i="16"/>
  <c r="Q117" i="16" s="1"/>
  <c r="R117" i="16"/>
  <c r="D118" i="16"/>
  <c r="E118" i="16" s="1"/>
  <c r="F118" i="16"/>
  <c r="G118" i="16" s="1"/>
  <c r="I118" i="16"/>
  <c r="J118" i="16"/>
  <c r="K118" i="16" s="1"/>
  <c r="O118" i="16" s="1"/>
  <c r="L118" i="16"/>
  <c r="P118" i="16"/>
  <c r="U118" i="16" s="1"/>
  <c r="R118" i="16"/>
  <c r="D119" i="16"/>
  <c r="E119" i="16" s="1"/>
  <c r="F119" i="16"/>
  <c r="G119" i="16" s="1"/>
  <c r="H119" i="16" s="1"/>
  <c r="I119" i="16"/>
  <c r="J119" i="16"/>
  <c r="L119" i="16"/>
  <c r="P119" i="16"/>
  <c r="U119" i="16" s="1"/>
  <c r="R119" i="16"/>
  <c r="S119" i="16" s="1"/>
  <c r="D120" i="16"/>
  <c r="E120" i="16" s="1"/>
  <c r="F120" i="16"/>
  <c r="G120" i="16" s="1"/>
  <c r="I120" i="16"/>
  <c r="J120" i="16"/>
  <c r="K120" i="16" s="1"/>
  <c r="O120" i="16" s="1"/>
  <c r="L120" i="16"/>
  <c r="P120" i="16"/>
  <c r="U121" i="16" s="1"/>
  <c r="R120" i="16"/>
  <c r="S120" i="16" s="1"/>
  <c r="D121" i="16"/>
  <c r="E121" i="16" s="1"/>
  <c r="F121" i="16"/>
  <c r="G121" i="16" s="1"/>
  <c r="H121" i="16" s="1"/>
  <c r="I121" i="16"/>
  <c r="J121" i="16"/>
  <c r="K121" i="16" s="1"/>
  <c r="O121" i="16" s="1"/>
  <c r="L121" i="16"/>
  <c r="P121" i="16"/>
  <c r="R121" i="16"/>
  <c r="S121" i="16" s="1"/>
  <c r="D122" i="16"/>
  <c r="E122" i="16" s="1"/>
  <c r="F122" i="16"/>
  <c r="G122" i="16" s="1"/>
  <c r="I122" i="16"/>
  <c r="J122" i="16"/>
  <c r="L122" i="16"/>
  <c r="P122" i="16"/>
  <c r="Q122" i="16" s="1"/>
  <c r="R122" i="16"/>
  <c r="D123" i="16"/>
  <c r="E123" i="16" s="1"/>
  <c r="F123" i="16"/>
  <c r="G123" i="16" s="1"/>
  <c r="H123" i="16" s="1"/>
  <c r="I123" i="16"/>
  <c r="J123" i="16"/>
  <c r="L123" i="16"/>
  <c r="P123" i="16"/>
  <c r="R123" i="16"/>
  <c r="D124" i="16"/>
  <c r="E124" i="16" s="1"/>
  <c r="F124" i="16"/>
  <c r="G124" i="16" s="1"/>
  <c r="I124" i="16"/>
  <c r="J124" i="16"/>
  <c r="L124" i="16"/>
  <c r="P124" i="16"/>
  <c r="Q124" i="16" s="1"/>
  <c r="R124" i="16"/>
  <c r="U124" i="16"/>
  <c r="D125" i="16"/>
  <c r="E125" i="16" s="1"/>
  <c r="F125" i="16"/>
  <c r="G125" i="16" s="1"/>
  <c r="H125" i="16" s="1"/>
  <c r="I125" i="16"/>
  <c r="J125" i="16"/>
  <c r="L125" i="16"/>
  <c r="P125" i="16"/>
  <c r="Q125" i="16" s="1"/>
  <c r="R125" i="16"/>
  <c r="S125" i="16" s="1"/>
  <c r="U125" i="16"/>
  <c r="D126" i="16"/>
  <c r="E126" i="16" s="1"/>
  <c r="F126" i="16"/>
  <c r="G126" i="16" s="1"/>
  <c r="I126" i="16"/>
  <c r="J126" i="16"/>
  <c r="K126" i="16" s="1"/>
  <c r="O126" i="16" s="1"/>
  <c r="L126" i="16"/>
  <c r="M126" i="16" s="1"/>
  <c r="P126" i="16"/>
  <c r="Q127" i="16" s="1"/>
  <c r="R126" i="16"/>
  <c r="D127" i="16"/>
  <c r="E127" i="16" s="1"/>
  <c r="F127" i="16"/>
  <c r="F140" i="16" s="1" a="1"/>
  <c r="F140" i="16" s="1"/>
  <c r="I127" i="16"/>
  <c r="J127" i="16"/>
  <c r="L127" i="16"/>
  <c r="P127" i="16"/>
  <c r="R127" i="16"/>
  <c r="S127" i="16" s="1"/>
  <c r="D128" i="16"/>
  <c r="F128" i="16"/>
  <c r="I128" i="16"/>
  <c r="J128" i="16"/>
  <c r="K128" i="16" s="1"/>
  <c r="O128" i="16" s="1"/>
  <c r="L128" i="16"/>
  <c r="M128" i="16" s="1"/>
  <c r="P128" i="16"/>
  <c r="Q128" i="16" s="1"/>
  <c r="R128" i="16"/>
  <c r="S128" i="16" s="1"/>
  <c r="D129" i="16"/>
  <c r="E129" i="16"/>
  <c r="F129" i="16"/>
  <c r="G129" i="16" s="1"/>
  <c r="H129" i="16" s="1"/>
  <c r="I129" i="16"/>
  <c r="J129" i="16"/>
  <c r="L129" i="16"/>
  <c r="P129" i="16"/>
  <c r="R129" i="16"/>
  <c r="S129" i="16" s="1"/>
  <c r="D130" i="16"/>
  <c r="E130" i="16" s="1"/>
  <c r="F130" i="16"/>
  <c r="G130" i="16" s="1"/>
  <c r="I130" i="16"/>
  <c r="J130" i="16"/>
  <c r="K130" i="16" s="1"/>
  <c r="O130" i="16" s="1"/>
  <c r="L130" i="16"/>
  <c r="M130" i="16" s="1"/>
  <c r="P130" i="16"/>
  <c r="U131" i="16" s="1"/>
  <c r="Q130" i="16"/>
  <c r="R130" i="16"/>
  <c r="U130" i="16"/>
  <c r="D131" i="16"/>
  <c r="E131" i="16" s="1"/>
  <c r="F131" i="16"/>
  <c r="G131" i="16" s="1"/>
  <c r="I131" i="16"/>
  <c r="J131" i="16"/>
  <c r="L131" i="16"/>
  <c r="P131" i="16"/>
  <c r="Q131" i="16"/>
  <c r="R131" i="16"/>
  <c r="S131" i="16"/>
  <c r="T131" i="16" s="1"/>
  <c r="D132" i="16"/>
  <c r="E132" i="16" s="1"/>
  <c r="F132" i="16"/>
  <c r="G132" i="16" s="1"/>
  <c r="I132" i="16"/>
  <c r="J132" i="16"/>
  <c r="K132" i="16" s="1"/>
  <c r="O132" i="16" s="1"/>
  <c r="L132" i="16"/>
  <c r="P132" i="16"/>
  <c r="Q132" i="16" s="1"/>
  <c r="R132" i="16"/>
  <c r="U132" i="16"/>
  <c r="D133" i="16"/>
  <c r="E133" i="16" s="1"/>
  <c r="F133" i="16"/>
  <c r="G133" i="16" s="1"/>
  <c r="I133" i="16"/>
  <c r="J133" i="16"/>
  <c r="L133" i="16"/>
  <c r="P133" i="16"/>
  <c r="U134" i="16" s="1"/>
  <c r="R133" i="16"/>
  <c r="S133" i="16" s="1"/>
  <c r="D134" i="16"/>
  <c r="E134" i="16" s="1"/>
  <c r="F134" i="16"/>
  <c r="G134" i="16" s="1"/>
  <c r="I134" i="16"/>
  <c r="J134" i="16"/>
  <c r="K134" i="16" s="1"/>
  <c r="O134" i="16" s="1"/>
  <c r="L134" i="16"/>
  <c r="M134" i="16" s="1"/>
  <c r="P134" i="16"/>
  <c r="R134" i="16"/>
  <c r="S134" i="16" s="1"/>
  <c r="D135" i="16"/>
  <c r="E135" i="16" s="1"/>
  <c r="F135" i="16"/>
  <c r="G135" i="16" s="1"/>
  <c r="J135" i="16"/>
  <c r="L135" i="16"/>
  <c r="P135" i="16"/>
  <c r="Q135" i="16" s="1"/>
  <c r="R135" i="16"/>
  <c r="D136" i="16"/>
  <c r="E136" i="16" s="1"/>
  <c r="F136" i="16"/>
  <c r="G136" i="16" s="1"/>
  <c r="I136" i="16"/>
  <c r="J136" i="16"/>
  <c r="L136" i="16"/>
  <c r="M136" i="16" s="1"/>
  <c r="P136" i="16"/>
  <c r="R136" i="16"/>
  <c r="S137" i="16" s="1"/>
  <c r="D137" i="16"/>
  <c r="E137" i="16" s="1"/>
  <c r="F137" i="16"/>
  <c r="G137" i="16" s="1"/>
  <c r="H137" i="16" s="1"/>
  <c r="J137" i="16"/>
  <c r="L137" i="16"/>
  <c r="P137" i="16"/>
  <c r="R137" i="16"/>
  <c r="D138" i="16"/>
  <c r="E138" i="16" s="1"/>
  <c r="F138" i="16"/>
  <c r="G138" i="16" s="1"/>
  <c r="I138" i="16"/>
  <c r="J138" i="16"/>
  <c r="K138" i="16" s="1"/>
  <c r="O138" i="16" s="1"/>
  <c r="L138" i="16"/>
  <c r="M138" i="16" s="1"/>
  <c r="P138" i="16"/>
  <c r="Q138" i="16" s="1"/>
  <c r="R138" i="16"/>
  <c r="D139" i="16"/>
  <c r="E139" i="16" s="1"/>
  <c r="F139" i="16"/>
  <c r="G139" i="16" s="1"/>
  <c r="J139" i="16"/>
  <c r="L139" i="16"/>
  <c r="P139" i="16"/>
  <c r="Q139" i="16" s="1"/>
  <c r="R139" i="16"/>
  <c r="S139" i="16" s="1"/>
  <c r="P817" i="17"/>
  <c r="O817" i="17"/>
  <c r="N817" i="17"/>
  <c r="M817" i="17"/>
  <c r="L817" i="17"/>
  <c r="K817" i="17"/>
  <c r="J817" i="17"/>
  <c r="I817" i="17"/>
  <c r="I817" i="17" a="1"/>
  <c r="F817" i="17"/>
  <c r="I39" i="18" s="1"/>
  <c r="F817" i="17" a="1"/>
  <c r="E817" i="17" a="1"/>
  <c r="E817" i="17" s="1"/>
  <c r="D817" i="17"/>
  <c r="D817" i="17" a="1"/>
  <c r="C817" i="17" a="1"/>
  <c r="C817" i="17" s="1"/>
  <c r="P791" i="17"/>
  <c r="O791" i="17"/>
  <c r="N791" i="17"/>
  <c r="M791" i="17"/>
  <c r="L791" i="17"/>
  <c r="K791" i="17"/>
  <c r="J791" i="17"/>
  <c r="I791" i="17"/>
  <c r="I791" i="17" a="1"/>
  <c r="F791" i="17"/>
  <c r="I38" i="18" s="1"/>
  <c r="F791" i="17" a="1"/>
  <c r="E791" i="17" a="1"/>
  <c r="E791" i="17" s="1"/>
  <c r="D791" i="17"/>
  <c r="D791" i="17" a="1"/>
  <c r="C791" i="17" a="1"/>
  <c r="C791" i="17" s="1"/>
  <c r="P765" i="17"/>
  <c r="O765" i="17"/>
  <c r="N765" i="17"/>
  <c r="M765" i="17"/>
  <c r="L765" i="17"/>
  <c r="K765" i="17"/>
  <c r="J765" i="17"/>
  <c r="I765" i="17"/>
  <c r="I765" i="17" a="1"/>
  <c r="F765" i="17"/>
  <c r="I37" i="18" s="1"/>
  <c r="F765" i="17" a="1"/>
  <c r="E765" i="17" a="1"/>
  <c r="E765" i="17" s="1"/>
  <c r="D765" i="17"/>
  <c r="D765" i="17" a="1"/>
  <c r="C765" i="17" a="1"/>
  <c r="C765" i="17" s="1"/>
  <c r="P739" i="17"/>
  <c r="O739" i="17"/>
  <c r="N739" i="17"/>
  <c r="M739" i="17"/>
  <c r="L739" i="17"/>
  <c r="K739" i="17"/>
  <c r="J739" i="17"/>
  <c r="I739" i="17"/>
  <c r="I739" i="17" a="1"/>
  <c r="F739" i="17"/>
  <c r="F739" i="17" a="1"/>
  <c r="E739" i="17" a="1"/>
  <c r="E739" i="17" s="1"/>
  <c r="G739" i="17" s="1"/>
  <c r="D739" i="17"/>
  <c r="D739" i="17" a="1"/>
  <c r="C739" i="17" a="1"/>
  <c r="C739" i="17" s="1"/>
  <c r="P713" i="17"/>
  <c r="O713" i="17"/>
  <c r="N713" i="17"/>
  <c r="M713" i="17"/>
  <c r="L713" i="17"/>
  <c r="K713" i="17"/>
  <c r="J713" i="17"/>
  <c r="I713" i="17"/>
  <c r="I713" i="17" a="1"/>
  <c r="F713" i="17"/>
  <c r="F713" i="17" a="1"/>
  <c r="E713" i="17" a="1"/>
  <c r="E713" i="17" s="1"/>
  <c r="G713" i="17" s="1"/>
  <c r="D713" i="17"/>
  <c r="D713" i="17" a="1"/>
  <c r="C713" i="17" a="1"/>
  <c r="C713" i="17" s="1"/>
  <c r="P687" i="17"/>
  <c r="O687" i="17"/>
  <c r="N687" i="17"/>
  <c r="M687" i="17"/>
  <c r="L687" i="17"/>
  <c r="K687" i="17"/>
  <c r="J687" i="17"/>
  <c r="I687" i="17"/>
  <c r="I687" i="17" a="1"/>
  <c r="F687" i="17"/>
  <c r="F687" i="17" a="1"/>
  <c r="E687" i="17" a="1"/>
  <c r="E687" i="17" s="1"/>
  <c r="G687" i="17" s="1"/>
  <c r="D687" i="17"/>
  <c r="D687" i="17" a="1"/>
  <c r="C687" i="17" a="1"/>
  <c r="C687" i="17" s="1"/>
  <c r="P661" i="17"/>
  <c r="O661" i="17"/>
  <c r="N661" i="17"/>
  <c r="M661" i="17"/>
  <c r="L661" i="17"/>
  <c r="K661" i="17"/>
  <c r="J661" i="17"/>
  <c r="I661" i="17"/>
  <c r="I661" i="17" a="1"/>
  <c r="F661" i="17"/>
  <c r="F661" i="17" a="1"/>
  <c r="E661" i="17" a="1"/>
  <c r="E661" i="17" s="1"/>
  <c r="G661" i="17" s="1"/>
  <c r="D661" i="17"/>
  <c r="D661" i="17" a="1"/>
  <c r="C661" i="17" a="1"/>
  <c r="C661" i="17" s="1"/>
  <c r="P635" i="17"/>
  <c r="O635" i="17"/>
  <c r="N635" i="17"/>
  <c r="M635" i="17"/>
  <c r="L635" i="17"/>
  <c r="K635" i="17"/>
  <c r="J635" i="17"/>
  <c r="I635" i="17"/>
  <c r="I635" i="17" a="1"/>
  <c r="F635" i="17"/>
  <c r="F635" i="17" a="1"/>
  <c r="E635" i="17" a="1"/>
  <c r="E635" i="17" s="1"/>
  <c r="G635" i="17" s="1"/>
  <c r="D635" i="17"/>
  <c r="D635" i="17" a="1"/>
  <c r="C635" i="17" a="1"/>
  <c r="C635" i="17" s="1"/>
  <c r="P609" i="17"/>
  <c r="O609" i="17"/>
  <c r="N609" i="17"/>
  <c r="M609" i="17"/>
  <c r="L609" i="17"/>
  <c r="K609" i="17"/>
  <c r="J609" i="17"/>
  <c r="I609" i="17"/>
  <c r="I609" i="17" a="1"/>
  <c r="F609" i="17"/>
  <c r="F609" i="17" a="1"/>
  <c r="E609" i="17" a="1"/>
  <c r="E609" i="17" s="1"/>
  <c r="G609" i="17" s="1"/>
  <c r="D609" i="17"/>
  <c r="D609" i="17" a="1"/>
  <c r="C609" i="17" a="1"/>
  <c r="C609" i="17" s="1"/>
  <c r="P583" i="17"/>
  <c r="O583" i="17"/>
  <c r="N583" i="17"/>
  <c r="M583" i="17"/>
  <c r="L583" i="17"/>
  <c r="K583" i="17"/>
  <c r="J583" i="17"/>
  <c r="I583" i="17"/>
  <c r="I583" i="17" a="1"/>
  <c r="F583" i="17"/>
  <c r="F583" i="17" a="1"/>
  <c r="E583" i="17" a="1"/>
  <c r="E583" i="17" s="1"/>
  <c r="G583" i="17" s="1"/>
  <c r="D583" i="17"/>
  <c r="D583" i="17" a="1"/>
  <c r="C583" i="17" a="1"/>
  <c r="C583" i="17" s="1"/>
  <c r="P557" i="17"/>
  <c r="O557" i="17"/>
  <c r="N557" i="17"/>
  <c r="M557" i="17"/>
  <c r="L557" i="17"/>
  <c r="K557" i="17"/>
  <c r="J557" i="17"/>
  <c r="I557" i="17" a="1"/>
  <c r="I557" i="17" s="1"/>
  <c r="F557" i="17" a="1"/>
  <c r="F557" i="17" s="1"/>
  <c r="E557" i="17" a="1"/>
  <c r="E557" i="17" s="1"/>
  <c r="D557" i="17" a="1"/>
  <c r="D557" i="17" s="1"/>
  <c r="C557" i="17" a="1"/>
  <c r="C557" i="17" s="1"/>
  <c r="P531" i="17"/>
  <c r="O531" i="17"/>
  <c r="N531" i="17"/>
  <c r="M531" i="17"/>
  <c r="L531" i="17"/>
  <c r="K531" i="17"/>
  <c r="J531" i="17"/>
  <c r="I531" i="17" a="1"/>
  <c r="I531" i="17" s="1"/>
  <c r="F531" i="17" a="1"/>
  <c r="F531" i="17" s="1"/>
  <c r="E531" i="17" a="1"/>
  <c r="E531" i="17" s="1"/>
  <c r="D531" i="17" a="1"/>
  <c r="D531" i="17" s="1"/>
  <c r="C531" i="17" a="1"/>
  <c r="C531" i="17" s="1"/>
  <c r="P505" i="17"/>
  <c r="O505" i="17"/>
  <c r="N505" i="17"/>
  <c r="M505" i="17"/>
  <c r="L505" i="17"/>
  <c r="K505" i="17"/>
  <c r="J505" i="17"/>
  <c r="I505" i="17"/>
  <c r="I505" i="17" a="1"/>
  <c r="F505" i="17" a="1"/>
  <c r="F505" i="17" s="1"/>
  <c r="E505" i="17" a="1"/>
  <c r="E505" i="17" s="1"/>
  <c r="D505" i="17" a="1"/>
  <c r="D505" i="17" s="1"/>
  <c r="C505" i="17" a="1"/>
  <c r="C505" i="17" s="1"/>
  <c r="P479" i="17"/>
  <c r="O479" i="17"/>
  <c r="N479" i="17"/>
  <c r="M479" i="17"/>
  <c r="L479" i="17"/>
  <c r="K479" i="17"/>
  <c r="J479" i="17"/>
  <c r="I479" i="17"/>
  <c r="I479" i="17" a="1"/>
  <c r="F479" i="17" a="1"/>
  <c r="F479" i="17" s="1"/>
  <c r="E479" i="17" a="1"/>
  <c r="E479" i="17" s="1"/>
  <c r="D479" i="17" a="1"/>
  <c r="D479" i="17" s="1"/>
  <c r="C479" i="17" a="1"/>
  <c r="C479" i="17" s="1"/>
  <c r="P453" i="17"/>
  <c r="O453" i="17"/>
  <c r="N453" i="17"/>
  <c r="M453" i="17"/>
  <c r="L453" i="17"/>
  <c r="K453" i="17"/>
  <c r="J453" i="17"/>
  <c r="I453" i="17"/>
  <c r="I453" i="17" a="1"/>
  <c r="F453" i="17" a="1"/>
  <c r="F453" i="17" s="1"/>
  <c r="E453" i="17" a="1"/>
  <c r="E453" i="17" s="1"/>
  <c r="D453" i="17" a="1"/>
  <c r="D453" i="17" s="1"/>
  <c r="C453" i="17" a="1"/>
  <c r="C453" i="17" s="1"/>
  <c r="P427" i="17"/>
  <c r="O427" i="17"/>
  <c r="N427" i="17"/>
  <c r="M427" i="17"/>
  <c r="L427" i="17"/>
  <c r="K427" i="17"/>
  <c r="J427" i="17"/>
  <c r="I427" i="17"/>
  <c r="I427" i="17" a="1"/>
  <c r="F427" i="17" a="1"/>
  <c r="F427" i="17" s="1"/>
  <c r="E427" i="17" a="1"/>
  <c r="E427" i="17" s="1"/>
  <c r="D427" i="17" a="1"/>
  <c r="D427" i="17" s="1"/>
  <c r="C427" i="17" a="1"/>
  <c r="C427" i="17" s="1"/>
  <c r="P401" i="17"/>
  <c r="O401" i="17"/>
  <c r="N401" i="17"/>
  <c r="M401" i="17"/>
  <c r="L401" i="17"/>
  <c r="K401" i="17"/>
  <c r="J401" i="17"/>
  <c r="I401" i="17"/>
  <c r="I401" i="17" a="1"/>
  <c r="F401" i="17" a="1"/>
  <c r="F401" i="17" s="1"/>
  <c r="E401" i="17" a="1"/>
  <c r="E401" i="17" s="1"/>
  <c r="D401" i="17" a="1"/>
  <c r="D401" i="17" s="1"/>
  <c r="C401" i="17" a="1"/>
  <c r="C401" i="17" s="1"/>
  <c r="P375" i="17"/>
  <c r="O375" i="17"/>
  <c r="N375" i="17"/>
  <c r="M375" i="17"/>
  <c r="L375" i="17"/>
  <c r="K375" i="17"/>
  <c r="J375" i="17"/>
  <c r="I375" i="17"/>
  <c r="I375" i="17" a="1"/>
  <c r="F375" i="17" a="1"/>
  <c r="F375" i="17" s="1"/>
  <c r="E375" i="17" a="1"/>
  <c r="E375" i="17" s="1"/>
  <c r="D375" i="17" a="1"/>
  <c r="D375" i="17" s="1"/>
  <c r="C375" i="17" a="1"/>
  <c r="C375" i="17" s="1"/>
  <c r="P349" i="17"/>
  <c r="O349" i="17"/>
  <c r="N349" i="17"/>
  <c r="M349" i="17"/>
  <c r="L349" i="17"/>
  <c r="K349" i="17"/>
  <c r="J349" i="17"/>
  <c r="I349" i="17"/>
  <c r="I349" i="17" a="1"/>
  <c r="F349" i="17" a="1"/>
  <c r="F349" i="17" s="1"/>
  <c r="E349" i="17" a="1"/>
  <c r="E349" i="17" s="1"/>
  <c r="D349" i="17"/>
  <c r="D349" i="17" a="1"/>
  <c r="C349" i="17" a="1"/>
  <c r="C349" i="17" s="1"/>
  <c r="P323" i="17"/>
  <c r="O323" i="17"/>
  <c r="N323" i="17"/>
  <c r="M323" i="17"/>
  <c r="L323" i="17"/>
  <c r="K323" i="17"/>
  <c r="J323" i="17"/>
  <c r="I323" i="17"/>
  <c r="I323" i="17" a="1"/>
  <c r="F323" i="17" a="1"/>
  <c r="F323" i="17" s="1"/>
  <c r="E323" i="17" a="1"/>
  <c r="E323" i="17" s="1"/>
  <c r="D323" i="17" a="1"/>
  <c r="D323" i="17" s="1"/>
  <c r="C323" i="17" a="1"/>
  <c r="C323" i="17" s="1"/>
  <c r="P297" i="17"/>
  <c r="O297" i="17"/>
  <c r="N297" i="17"/>
  <c r="M297" i="17"/>
  <c r="L297" i="17"/>
  <c r="K297" i="17"/>
  <c r="J297" i="17"/>
  <c r="I297" i="17"/>
  <c r="I297" i="17" a="1"/>
  <c r="F297" i="17" a="1"/>
  <c r="F297" i="17" s="1"/>
  <c r="E297" i="17" a="1"/>
  <c r="E297" i="17" s="1"/>
  <c r="D297" i="17" a="1"/>
  <c r="D297" i="17" s="1"/>
  <c r="C297" i="17" a="1"/>
  <c r="C297" i="17" s="1"/>
  <c r="P271" i="17"/>
  <c r="O271" i="17"/>
  <c r="N271" i="17"/>
  <c r="M271" i="17"/>
  <c r="L271" i="17"/>
  <c r="K271" i="17"/>
  <c r="J271" i="17"/>
  <c r="I271" i="17"/>
  <c r="I271" i="17" a="1"/>
  <c r="F271" i="17" a="1"/>
  <c r="F271" i="17" s="1"/>
  <c r="E271" i="17" a="1"/>
  <c r="E271" i="17" s="1"/>
  <c r="D271" i="17" a="1"/>
  <c r="D271" i="17" s="1"/>
  <c r="C271" i="17" a="1"/>
  <c r="C271" i="17" s="1"/>
  <c r="P245" i="17"/>
  <c r="O245" i="17"/>
  <c r="N245" i="17"/>
  <c r="M245" i="17"/>
  <c r="L245" i="17"/>
  <c r="K245" i="17"/>
  <c r="J245" i="17"/>
  <c r="I245" i="17"/>
  <c r="I245" i="17" a="1"/>
  <c r="F245" i="17" a="1"/>
  <c r="F245" i="17" s="1"/>
  <c r="E245" i="17" a="1"/>
  <c r="E245" i="17" s="1"/>
  <c r="D245" i="17"/>
  <c r="D245" i="17" a="1"/>
  <c r="C245" i="17" a="1"/>
  <c r="C245" i="17" s="1"/>
  <c r="P219" i="17"/>
  <c r="O219" i="17"/>
  <c r="N219" i="17"/>
  <c r="M219" i="17"/>
  <c r="L219" i="17"/>
  <c r="K219" i="17"/>
  <c r="J219" i="17"/>
  <c r="I219" i="17"/>
  <c r="I219" i="17" a="1"/>
  <c r="F219" i="17" a="1"/>
  <c r="F219" i="17" s="1"/>
  <c r="E219" i="17" a="1"/>
  <c r="E219" i="17" s="1"/>
  <c r="D219" i="17" a="1"/>
  <c r="D219" i="17" s="1"/>
  <c r="C219" i="17" a="1"/>
  <c r="C219" i="17" s="1"/>
  <c r="P193" i="17"/>
  <c r="O193" i="17"/>
  <c r="N193" i="17"/>
  <c r="M193" i="17"/>
  <c r="L193" i="17"/>
  <c r="K193" i="17"/>
  <c r="J193" i="17"/>
  <c r="I193" i="17"/>
  <c r="I193" i="17" a="1"/>
  <c r="F193" i="17" a="1"/>
  <c r="F193" i="17" s="1"/>
  <c r="E193" i="17" a="1"/>
  <c r="E193" i="17" s="1"/>
  <c r="D193" i="17" a="1"/>
  <c r="D193" i="17" s="1"/>
  <c r="C193" i="17" a="1"/>
  <c r="C193" i="17" s="1"/>
  <c r="P167" i="17"/>
  <c r="O167" i="17"/>
  <c r="N167" i="17"/>
  <c r="M167" i="17"/>
  <c r="L167" i="17"/>
  <c r="K167" i="17"/>
  <c r="J167" i="17"/>
  <c r="I167" i="17"/>
  <c r="I167" i="17" a="1"/>
  <c r="F167" i="17" a="1"/>
  <c r="F167" i="17" s="1"/>
  <c r="E167" i="17" a="1"/>
  <c r="E167" i="17" s="1"/>
  <c r="D167" i="17" a="1"/>
  <c r="D167" i="17" s="1"/>
  <c r="C167" i="17" a="1"/>
  <c r="C167" i="17" s="1"/>
  <c r="P141" i="17"/>
  <c r="O141" i="17"/>
  <c r="N141" i="17"/>
  <c r="M141" i="17"/>
  <c r="L141" i="17"/>
  <c r="K141" i="17"/>
  <c r="J141" i="17"/>
  <c r="I141" i="17" a="1"/>
  <c r="I141" i="17" s="1"/>
  <c r="F141" i="17" a="1"/>
  <c r="F141" i="17" s="1"/>
  <c r="E141" i="17" a="1"/>
  <c r="E141" i="17" s="1"/>
  <c r="D141" i="17" a="1"/>
  <c r="D141" i="17" s="1"/>
  <c r="C141" i="17" a="1"/>
  <c r="C141" i="17" s="1"/>
  <c r="P115" i="17"/>
  <c r="O115" i="17"/>
  <c r="N115" i="17"/>
  <c r="M115" i="17"/>
  <c r="L115" i="17"/>
  <c r="K115" i="17"/>
  <c r="J115" i="17"/>
  <c r="I115" i="17" a="1"/>
  <c r="I115" i="17" s="1"/>
  <c r="F115" i="17" a="1"/>
  <c r="F115" i="17" s="1"/>
  <c r="E115" i="17" a="1"/>
  <c r="E115" i="17" s="1"/>
  <c r="D115" i="17" a="1"/>
  <c r="D115" i="17" s="1"/>
  <c r="C115" i="17" a="1"/>
  <c r="C115" i="17" s="1"/>
  <c r="P89" i="17"/>
  <c r="O89" i="17"/>
  <c r="N89" i="17"/>
  <c r="M89" i="17"/>
  <c r="L89" i="17"/>
  <c r="K89" i="17"/>
  <c r="J89" i="17"/>
  <c r="I89" i="17" a="1"/>
  <c r="I89" i="17" s="1"/>
  <c r="F89" i="17" a="1"/>
  <c r="F89" i="17" s="1"/>
  <c r="E89" i="17" a="1"/>
  <c r="E89" i="17" s="1"/>
  <c r="D89" i="17" a="1"/>
  <c r="D89" i="17" s="1"/>
  <c r="C89" i="17" a="1"/>
  <c r="C89" i="17" s="1"/>
  <c r="P63" i="17"/>
  <c r="O63" i="17"/>
  <c r="N63" i="17"/>
  <c r="M63" i="17"/>
  <c r="L63" i="17"/>
  <c r="K63" i="17"/>
  <c r="J63" i="17"/>
  <c r="I63" i="17" a="1"/>
  <c r="I63" i="17" s="1"/>
  <c r="F63" i="17" a="1"/>
  <c r="F63" i="17" s="1"/>
  <c r="E63" i="17" a="1"/>
  <c r="E63" i="17" s="1"/>
  <c r="D63" i="17" a="1"/>
  <c r="D63" i="17" s="1"/>
  <c r="C63" i="17" a="1"/>
  <c r="C63" i="17" s="1"/>
  <c r="I37" i="17" a="1"/>
  <c r="I37" i="17" s="1"/>
  <c r="F37" i="17" a="1"/>
  <c r="F37" i="17" s="1"/>
  <c r="E37" i="17" a="1"/>
  <c r="E37" i="17" s="1"/>
  <c r="D37" i="17" a="1"/>
  <c r="D37" i="17" s="1"/>
  <c r="C37" i="17" a="1"/>
  <c r="C37" i="17" s="1"/>
  <c r="U817" i="6"/>
  <c r="T817" i="6"/>
  <c r="S817" i="6"/>
  <c r="R817" i="6"/>
  <c r="Q817" i="6"/>
  <c r="P817" i="6"/>
  <c r="O817" i="6"/>
  <c r="M817" i="6" a="1"/>
  <c r="M817" i="6" s="1"/>
  <c r="L817" i="6" a="1"/>
  <c r="L817" i="6" s="1"/>
  <c r="J817" i="6" a="1"/>
  <c r="J817" i="6" s="1"/>
  <c r="I817" i="6" a="1"/>
  <c r="I817" i="6" s="1"/>
  <c r="G817" i="6" a="1"/>
  <c r="G817" i="6" s="1"/>
  <c r="F817" i="6" a="1"/>
  <c r="F817" i="6" s="1"/>
  <c r="H817" i="6" s="1"/>
  <c r="E817" i="6" a="1"/>
  <c r="E817" i="6" s="1"/>
  <c r="D817" i="6" a="1"/>
  <c r="D817" i="6" s="1"/>
  <c r="U791" i="6"/>
  <c r="T791" i="6"/>
  <c r="S791" i="6"/>
  <c r="R791" i="6"/>
  <c r="Q791" i="6"/>
  <c r="P791" i="6"/>
  <c r="O791" i="6"/>
  <c r="M791" i="6" a="1"/>
  <c r="M791" i="6" s="1"/>
  <c r="L791" i="6" a="1"/>
  <c r="L791" i="6" s="1"/>
  <c r="J791" i="6"/>
  <c r="J791" i="6" a="1"/>
  <c r="I791" i="6"/>
  <c r="K791" i="6" s="1"/>
  <c r="I791" i="6" a="1"/>
  <c r="G791" i="6" a="1"/>
  <c r="G791" i="6" s="1"/>
  <c r="F791" i="6" a="1"/>
  <c r="F791" i="6" s="1"/>
  <c r="E791" i="6" a="1"/>
  <c r="E791" i="6" s="1"/>
  <c r="D791" i="6" a="1"/>
  <c r="D791" i="6" s="1"/>
  <c r="U765" i="6"/>
  <c r="T765" i="6"/>
  <c r="S765" i="6"/>
  <c r="R765" i="6"/>
  <c r="Q765" i="6"/>
  <c r="P765" i="6"/>
  <c r="O765" i="6"/>
  <c r="M765" i="6" a="1"/>
  <c r="M765" i="6" s="1"/>
  <c r="L765" i="6" a="1"/>
  <c r="L765" i="6" s="1"/>
  <c r="J765" i="6" a="1"/>
  <c r="J765" i="6" s="1"/>
  <c r="I765" i="6"/>
  <c r="K765" i="6" s="1"/>
  <c r="I765" i="6" a="1"/>
  <c r="G765" i="6" a="1"/>
  <c r="G765" i="6" s="1"/>
  <c r="F765" i="6" a="1"/>
  <c r="F765" i="6" s="1"/>
  <c r="E765" i="6" a="1"/>
  <c r="E765" i="6" s="1"/>
  <c r="D765" i="6"/>
  <c r="D765" i="6" a="1"/>
  <c r="U739" i="6"/>
  <c r="T739" i="6"/>
  <c r="S739" i="6"/>
  <c r="R739" i="6"/>
  <c r="Q739" i="6"/>
  <c r="P739" i="6"/>
  <c r="O739" i="6"/>
  <c r="M739" i="6" a="1"/>
  <c r="M739" i="6" s="1"/>
  <c r="L739" i="6" a="1"/>
  <c r="L739" i="6" s="1"/>
  <c r="J739" i="6" a="1"/>
  <c r="J739" i="6" s="1"/>
  <c r="I739" i="6" a="1"/>
  <c r="I739" i="6" s="1"/>
  <c r="K739" i="6" s="1"/>
  <c r="G739" i="6" a="1"/>
  <c r="G739" i="6" s="1"/>
  <c r="F739" i="6"/>
  <c r="H739" i="6" s="1"/>
  <c r="F739" i="6" a="1"/>
  <c r="E739" i="6" a="1"/>
  <c r="E739" i="6" s="1"/>
  <c r="D739" i="6" a="1"/>
  <c r="D739" i="6" s="1"/>
  <c r="U713" i="6"/>
  <c r="T713" i="6"/>
  <c r="S713" i="6"/>
  <c r="R713" i="6"/>
  <c r="Q713" i="6"/>
  <c r="P713" i="6"/>
  <c r="O713" i="6"/>
  <c r="M713" i="6" a="1"/>
  <c r="M713" i="6" s="1"/>
  <c r="L713" i="6" a="1"/>
  <c r="L713" i="6" s="1"/>
  <c r="J713" i="6" a="1"/>
  <c r="J713" i="6" s="1"/>
  <c r="I713" i="6" a="1"/>
  <c r="I713" i="6" s="1"/>
  <c r="G713" i="6" a="1"/>
  <c r="G713" i="6" s="1"/>
  <c r="F713" i="6" a="1"/>
  <c r="F713" i="6" s="1"/>
  <c r="E713" i="6" a="1"/>
  <c r="E713" i="6" s="1"/>
  <c r="D713" i="6" a="1"/>
  <c r="D713" i="6" s="1"/>
  <c r="U687" i="6"/>
  <c r="T687" i="6"/>
  <c r="S687" i="6"/>
  <c r="R687" i="6"/>
  <c r="Q687" i="6"/>
  <c r="P687" i="6"/>
  <c r="O687" i="6"/>
  <c r="M687" i="6" a="1"/>
  <c r="M687" i="6" s="1"/>
  <c r="L687" i="6" a="1"/>
  <c r="L687" i="6" s="1"/>
  <c r="J687" i="6" a="1"/>
  <c r="J687" i="6" s="1"/>
  <c r="I687" i="6" a="1"/>
  <c r="I687" i="6" s="1"/>
  <c r="K687" i="6" s="1"/>
  <c r="G687" i="6" a="1"/>
  <c r="G687" i="6" s="1"/>
  <c r="F687" i="6" a="1"/>
  <c r="F687" i="6" s="1"/>
  <c r="E687" i="6" a="1"/>
  <c r="E687" i="6" s="1"/>
  <c r="D687" i="6" a="1"/>
  <c r="D687" i="6" s="1"/>
  <c r="U661" i="6"/>
  <c r="T661" i="6"/>
  <c r="S661" i="6"/>
  <c r="R661" i="6"/>
  <c r="Q661" i="6"/>
  <c r="P661" i="6"/>
  <c r="O661" i="6"/>
  <c r="M661" i="6" a="1"/>
  <c r="M661" i="6" s="1"/>
  <c r="L661" i="6" a="1"/>
  <c r="L661" i="6" s="1"/>
  <c r="J661" i="6" a="1"/>
  <c r="J661" i="6" s="1"/>
  <c r="I661" i="6" a="1"/>
  <c r="I661" i="6" s="1"/>
  <c r="K661" i="6" s="1"/>
  <c r="G661" i="6" a="1"/>
  <c r="G661" i="6" s="1"/>
  <c r="F661" i="6" a="1"/>
  <c r="F661" i="6" s="1"/>
  <c r="E661" i="6" a="1"/>
  <c r="E661" i="6" s="1"/>
  <c r="D661" i="6" a="1"/>
  <c r="D661" i="6" s="1"/>
  <c r="U635" i="6"/>
  <c r="T635" i="6"/>
  <c r="S635" i="6"/>
  <c r="R635" i="6"/>
  <c r="Q635" i="6"/>
  <c r="P635" i="6"/>
  <c r="O635" i="6"/>
  <c r="M635" i="6" a="1"/>
  <c r="M635" i="6" s="1"/>
  <c r="L635" i="6" a="1"/>
  <c r="L635" i="6" s="1"/>
  <c r="J635" i="6"/>
  <c r="J635" i="6" a="1"/>
  <c r="I635" i="6" a="1"/>
  <c r="I635" i="6" s="1"/>
  <c r="K635" i="6" s="1"/>
  <c r="G635" i="6" a="1"/>
  <c r="G635" i="6" s="1"/>
  <c r="F635" i="6" a="1"/>
  <c r="F635" i="6" s="1"/>
  <c r="E635" i="6" a="1"/>
  <c r="E635" i="6" s="1"/>
  <c r="D635" i="6" a="1"/>
  <c r="D635" i="6" s="1"/>
  <c r="U609" i="6"/>
  <c r="T609" i="6"/>
  <c r="S609" i="6"/>
  <c r="R609" i="6"/>
  <c r="Q609" i="6"/>
  <c r="P609" i="6"/>
  <c r="O609" i="6"/>
  <c r="M609" i="6" a="1"/>
  <c r="M609" i="6" s="1"/>
  <c r="L609" i="6" a="1"/>
  <c r="L609" i="6" s="1"/>
  <c r="J609" i="6" a="1"/>
  <c r="J609" i="6" s="1"/>
  <c r="I609" i="6"/>
  <c r="I609" i="6" a="1"/>
  <c r="G609" i="6" a="1"/>
  <c r="G609" i="6" s="1"/>
  <c r="F609" i="6" a="1"/>
  <c r="F609" i="6" s="1"/>
  <c r="E609" i="6" a="1"/>
  <c r="E609" i="6" s="1"/>
  <c r="D609" i="6" a="1"/>
  <c r="D609" i="6" s="1"/>
  <c r="U583" i="6"/>
  <c r="T583" i="6"/>
  <c r="S583" i="6"/>
  <c r="R583" i="6"/>
  <c r="Q583" i="6"/>
  <c r="P583" i="6"/>
  <c r="O583" i="6"/>
  <c r="M583" i="6" a="1"/>
  <c r="M583" i="6" s="1"/>
  <c r="L583" i="6" a="1"/>
  <c r="L583" i="6" s="1"/>
  <c r="J583" i="6" a="1"/>
  <c r="J583" i="6" s="1"/>
  <c r="I583" i="6"/>
  <c r="I583" i="6" a="1"/>
  <c r="G583" i="6" a="1"/>
  <c r="G583" i="6" s="1"/>
  <c r="F583" i="6" a="1"/>
  <c r="F583" i="6" s="1"/>
  <c r="H583" i="6" s="1"/>
  <c r="E583" i="6" a="1"/>
  <c r="E583" i="6" s="1"/>
  <c r="D583" i="6" a="1"/>
  <c r="D583" i="6" s="1"/>
  <c r="U557" i="6"/>
  <c r="T557" i="6"/>
  <c r="S557" i="6"/>
  <c r="R557" i="6"/>
  <c r="Q557" i="6"/>
  <c r="P557" i="6"/>
  <c r="O557" i="6"/>
  <c r="M557" i="6" a="1"/>
  <c r="M557" i="6" s="1"/>
  <c r="L557" i="6" a="1"/>
  <c r="L557" i="6" s="1"/>
  <c r="J557" i="6" a="1"/>
  <c r="J557" i="6" s="1"/>
  <c r="I557" i="6" a="1"/>
  <c r="I557" i="6" s="1"/>
  <c r="G557" i="6" a="1"/>
  <c r="G557" i="6" s="1"/>
  <c r="F557" i="6" a="1"/>
  <c r="F557" i="6" s="1"/>
  <c r="E557" i="6" a="1"/>
  <c r="E557" i="6" s="1"/>
  <c r="D557" i="6" a="1"/>
  <c r="D557" i="6" s="1"/>
  <c r="U531" i="6"/>
  <c r="T531" i="6"/>
  <c r="S531" i="6"/>
  <c r="R531" i="6"/>
  <c r="Q531" i="6"/>
  <c r="P531" i="6"/>
  <c r="O531" i="6"/>
  <c r="M531" i="6" a="1"/>
  <c r="M531" i="6" s="1"/>
  <c r="L531" i="6" a="1"/>
  <c r="L531" i="6" s="1"/>
  <c r="J531" i="6" a="1"/>
  <c r="J531" i="6" s="1"/>
  <c r="I531" i="6" a="1"/>
  <c r="I531" i="6" s="1"/>
  <c r="G531" i="6" a="1"/>
  <c r="G531" i="6" s="1"/>
  <c r="F531" i="6" a="1"/>
  <c r="F531" i="6" s="1"/>
  <c r="E531" i="6" a="1"/>
  <c r="E531" i="6" s="1"/>
  <c r="D531" i="6" a="1"/>
  <c r="D531" i="6" s="1"/>
  <c r="U505" i="6"/>
  <c r="T505" i="6"/>
  <c r="S505" i="6"/>
  <c r="R505" i="6"/>
  <c r="Q505" i="6"/>
  <c r="P505" i="6"/>
  <c r="O505" i="6"/>
  <c r="M505" i="6" a="1"/>
  <c r="M505" i="6" s="1"/>
  <c r="L505" i="6" a="1"/>
  <c r="L505" i="6" s="1"/>
  <c r="J505" i="6" a="1"/>
  <c r="J505" i="6" s="1"/>
  <c r="I505" i="6" a="1"/>
  <c r="I505" i="6" s="1"/>
  <c r="G505" i="6" a="1"/>
  <c r="G505" i="6" s="1"/>
  <c r="F505" i="6" a="1"/>
  <c r="F505" i="6" s="1"/>
  <c r="E505" i="6" a="1"/>
  <c r="E505" i="6" s="1"/>
  <c r="D505" i="6" a="1"/>
  <c r="D505" i="6" s="1"/>
  <c r="U479" i="6"/>
  <c r="T479" i="6"/>
  <c r="S479" i="6"/>
  <c r="R479" i="6"/>
  <c r="Q479" i="6"/>
  <c r="P479" i="6"/>
  <c r="O479" i="6"/>
  <c r="M479" i="6" a="1"/>
  <c r="M479" i="6" s="1"/>
  <c r="L479" i="6" a="1"/>
  <c r="L479" i="6" s="1"/>
  <c r="J479" i="6" a="1"/>
  <c r="J479" i="6" s="1"/>
  <c r="I479" i="6" a="1"/>
  <c r="I479" i="6" s="1"/>
  <c r="G479" i="6" a="1"/>
  <c r="G479" i="6" s="1"/>
  <c r="F479" i="6" a="1"/>
  <c r="F479" i="6" s="1"/>
  <c r="E479" i="6" a="1"/>
  <c r="E479" i="6" s="1"/>
  <c r="D479" i="6" a="1"/>
  <c r="D479" i="6" s="1"/>
  <c r="U453" i="6"/>
  <c r="T453" i="6"/>
  <c r="S453" i="6"/>
  <c r="R453" i="6"/>
  <c r="Q453" i="6"/>
  <c r="P453" i="6"/>
  <c r="M453" i="6" a="1"/>
  <c r="M453" i="6" s="1"/>
  <c r="L453" i="6" a="1"/>
  <c r="L453" i="6" s="1"/>
  <c r="J453" i="6" a="1"/>
  <c r="J453" i="6" s="1"/>
  <c r="I453" i="6" a="1"/>
  <c r="I453" i="6" s="1"/>
  <c r="G453" i="6" a="1"/>
  <c r="G453" i="6" s="1"/>
  <c r="F453" i="6" a="1"/>
  <c r="F453" i="6" s="1"/>
  <c r="E453" i="6" a="1"/>
  <c r="E453" i="6" s="1"/>
  <c r="D453" i="6" a="1"/>
  <c r="D453" i="6" s="1"/>
  <c r="U427" i="6"/>
  <c r="T427" i="6"/>
  <c r="S427" i="6"/>
  <c r="R427" i="6"/>
  <c r="Q427" i="6"/>
  <c r="P427" i="6"/>
  <c r="O427" i="6"/>
  <c r="M427" i="6" a="1"/>
  <c r="M427" i="6" s="1"/>
  <c r="L427" i="6" a="1"/>
  <c r="L427" i="6" s="1"/>
  <c r="J427" i="6" a="1"/>
  <c r="J427" i="6" s="1"/>
  <c r="I427" i="6" a="1"/>
  <c r="I427" i="6" s="1"/>
  <c r="G427" i="6" a="1"/>
  <c r="G427" i="6" s="1"/>
  <c r="F427" i="6" a="1"/>
  <c r="F427" i="6" s="1"/>
  <c r="E427" i="6" a="1"/>
  <c r="E427" i="6" s="1"/>
  <c r="D427" i="6" a="1"/>
  <c r="D427" i="6" s="1"/>
  <c r="U401" i="6"/>
  <c r="T401" i="6"/>
  <c r="S401" i="6"/>
  <c r="R401" i="6"/>
  <c r="Q401" i="6"/>
  <c r="P401" i="6"/>
  <c r="O401" i="6"/>
  <c r="M401" i="6" a="1"/>
  <c r="M401" i="6" s="1"/>
  <c r="L401" i="6" a="1"/>
  <c r="L401" i="6" s="1"/>
  <c r="J401" i="6" a="1"/>
  <c r="J401" i="6" s="1"/>
  <c r="I401" i="6" a="1"/>
  <c r="I401" i="6" s="1"/>
  <c r="G401" i="6" a="1"/>
  <c r="G401" i="6" s="1"/>
  <c r="F401" i="6" a="1"/>
  <c r="F401" i="6" s="1"/>
  <c r="E401" i="6" a="1"/>
  <c r="E401" i="6" s="1"/>
  <c r="D401" i="6" a="1"/>
  <c r="D401" i="6" s="1"/>
  <c r="U375" i="6"/>
  <c r="T375" i="6"/>
  <c r="S375" i="6"/>
  <c r="R375" i="6"/>
  <c r="Q375" i="6"/>
  <c r="P375" i="6"/>
  <c r="O375" i="6"/>
  <c r="M375" i="6" a="1"/>
  <c r="M375" i="6" s="1"/>
  <c r="L375" i="6" a="1"/>
  <c r="L375" i="6" s="1"/>
  <c r="J375" i="6" a="1"/>
  <c r="J375" i="6" s="1"/>
  <c r="I375" i="6" a="1"/>
  <c r="I375" i="6" s="1"/>
  <c r="G375" i="6" a="1"/>
  <c r="G375" i="6" s="1"/>
  <c r="F375" i="6" a="1"/>
  <c r="F375" i="6" s="1"/>
  <c r="E375" i="6" a="1"/>
  <c r="E375" i="6" s="1"/>
  <c r="D375" i="6" a="1"/>
  <c r="D375" i="6" s="1"/>
  <c r="U349" i="6"/>
  <c r="T349" i="6"/>
  <c r="S349" i="6"/>
  <c r="R349" i="6"/>
  <c r="Q349" i="6"/>
  <c r="P349" i="6"/>
  <c r="O349" i="6"/>
  <c r="M349" i="6" a="1"/>
  <c r="M349" i="6" s="1"/>
  <c r="L349" i="6" a="1"/>
  <c r="L349" i="6" s="1"/>
  <c r="J349" i="6" a="1"/>
  <c r="J349" i="6" s="1"/>
  <c r="I349" i="6" a="1"/>
  <c r="I349" i="6" s="1"/>
  <c r="G349" i="6" a="1"/>
  <c r="G349" i="6" s="1"/>
  <c r="F349" i="6" a="1"/>
  <c r="F349" i="6" s="1"/>
  <c r="E349" i="6" a="1"/>
  <c r="E349" i="6" s="1"/>
  <c r="D349" i="6" a="1"/>
  <c r="D349" i="6" s="1"/>
  <c r="U323" i="6"/>
  <c r="T323" i="6"/>
  <c r="S323" i="6"/>
  <c r="R323" i="6"/>
  <c r="Q323" i="6"/>
  <c r="P323" i="6"/>
  <c r="O323" i="6"/>
  <c r="M323" i="6" a="1"/>
  <c r="M323" i="6" s="1"/>
  <c r="L323" i="6" a="1"/>
  <c r="L323" i="6" s="1"/>
  <c r="J323" i="6" a="1"/>
  <c r="J323" i="6" s="1"/>
  <c r="I323" i="6" a="1"/>
  <c r="I323" i="6" s="1"/>
  <c r="G323" i="6" a="1"/>
  <c r="G323" i="6" s="1"/>
  <c r="F323" i="6" a="1"/>
  <c r="F323" i="6" s="1"/>
  <c r="E323" i="6" a="1"/>
  <c r="E323" i="6" s="1"/>
  <c r="D323" i="6" a="1"/>
  <c r="D323" i="6" s="1"/>
  <c r="U297" i="6"/>
  <c r="T297" i="6"/>
  <c r="S297" i="6"/>
  <c r="R297" i="6"/>
  <c r="Q297" i="6"/>
  <c r="P297" i="6"/>
  <c r="O297" i="6"/>
  <c r="M297" i="6" a="1"/>
  <c r="M297" i="6" s="1"/>
  <c r="L297" i="6" a="1"/>
  <c r="L297" i="6" s="1"/>
  <c r="J297" i="6" a="1"/>
  <c r="J297" i="6" s="1"/>
  <c r="I297" i="6" a="1"/>
  <c r="I297" i="6" s="1"/>
  <c r="G297" i="6" a="1"/>
  <c r="G297" i="6" s="1"/>
  <c r="F297" i="6" a="1"/>
  <c r="F297" i="6" s="1"/>
  <c r="E297" i="6" a="1"/>
  <c r="E297" i="6" s="1"/>
  <c r="D297" i="6" a="1"/>
  <c r="D297" i="6" s="1"/>
  <c r="U271" i="6"/>
  <c r="T271" i="6"/>
  <c r="S271" i="6"/>
  <c r="R271" i="6"/>
  <c r="Q271" i="6"/>
  <c r="P271" i="6"/>
  <c r="O271" i="6"/>
  <c r="M271" i="6" a="1"/>
  <c r="M271" i="6" s="1"/>
  <c r="L271" i="6" a="1"/>
  <c r="L271" i="6" s="1"/>
  <c r="J271" i="6" a="1"/>
  <c r="J271" i="6" s="1"/>
  <c r="I271" i="6" a="1"/>
  <c r="I271" i="6" s="1"/>
  <c r="G271" i="6" a="1"/>
  <c r="G271" i="6" s="1"/>
  <c r="F271" i="6" a="1"/>
  <c r="F271" i="6" s="1"/>
  <c r="E271" i="6" a="1"/>
  <c r="E271" i="6" s="1"/>
  <c r="D271" i="6" a="1"/>
  <c r="D271" i="6" s="1"/>
  <c r="U245" i="6"/>
  <c r="T245" i="6"/>
  <c r="S245" i="6"/>
  <c r="R245" i="6"/>
  <c r="Q245" i="6"/>
  <c r="P245" i="6"/>
  <c r="O245" i="6"/>
  <c r="M245" i="6" a="1"/>
  <c r="M245" i="6" s="1"/>
  <c r="L245" i="6" a="1"/>
  <c r="L245" i="6" s="1"/>
  <c r="J245" i="6" a="1"/>
  <c r="J245" i="6" s="1"/>
  <c r="I245" i="6" a="1"/>
  <c r="I245" i="6" s="1"/>
  <c r="G245" i="6" a="1"/>
  <c r="G245" i="6" s="1"/>
  <c r="F245" i="6" a="1"/>
  <c r="F245" i="6" s="1"/>
  <c r="E245" i="6" a="1"/>
  <c r="E245" i="6" s="1"/>
  <c r="D245" i="6" a="1"/>
  <c r="D245" i="6" s="1"/>
  <c r="U219" i="6"/>
  <c r="T219" i="6"/>
  <c r="S219" i="6"/>
  <c r="R219" i="6"/>
  <c r="Q219" i="6"/>
  <c r="P219" i="6"/>
  <c r="O219" i="6"/>
  <c r="M219" i="6" a="1"/>
  <c r="M219" i="6" s="1"/>
  <c r="L219" i="6" a="1"/>
  <c r="L219" i="6" s="1"/>
  <c r="J219" i="6" a="1"/>
  <c r="J219" i="6" s="1"/>
  <c r="I219" i="6" a="1"/>
  <c r="I219" i="6" s="1"/>
  <c r="G219" i="6" a="1"/>
  <c r="G219" i="6" s="1"/>
  <c r="F219" i="6" a="1"/>
  <c r="F219" i="6" s="1"/>
  <c r="E219" i="6" a="1"/>
  <c r="E219" i="6" s="1"/>
  <c r="D219" i="6" a="1"/>
  <c r="D219" i="6" s="1"/>
  <c r="U193" i="6"/>
  <c r="T193" i="6"/>
  <c r="S193" i="6"/>
  <c r="R193" i="6"/>
  <c r="Q193" i="6"/>
  <c r="P193" i="6"/>
  <c r="O193" i="6"/>
  <c r="M193" i="6" a="1"/>
  <c r="M193" i="6" s="1"/>
  <c r="L193" i="6" a="1"/>
  <c r="L193" i="6" s="1"/>
  <c r="J193" i="6" a="1"/>
  <c r="J193" i="6" s="1"/>
  <c r="I193" i="6" a="1"/>
  <c r="I193" i="6" s="1"/>
  <c r="G193" i="6" a="1"/>
  <c r="G193" i="6" s="1"/>
  <c r="F193" i="6" a="1"/>
  <c r="F193" i="6" s="1"/>
  <c r="E193" i="6" a="1"/>
  <c r="E193" i="6" s="1"/>
  <c r="D193" i="6" a="1"/>
  <c r="D193" i="6" s="1"/>
  <c r="U167" i="6"/>
  <c r="T167" i="6"/>
  <c r="S167" i="6"/>
  <c r="R167" i="6"/>
  <c r="Q167" i="6"/>
  <c r="P167" i="6"/>
  <c r="O167" i="6"/>
  <c r="M167" i="6" a="1"/>
  <c r="M167" i="6" s="1"/>
  <c r="L167" i="6" a="1"/>
  <c r="L167" i="6" s="1"/>
  <c r="J167" i="6" a="1"/>
  <c r="J167" i="6" s="1"/>
  <c r="I167" i="6" a="1"/>
  <c r="I167" i="6" s="1"/>
  <c r="G167" i="6" a="1"/>
  <c r="G167" i="6" s="1"/>
  <c r="F167" i="6" a="1"/>
  <c r="F167" i="6" s="1"/>
  <c r="E167" i="6" a="1"/>
  <c r="E167" i="6" s="1"/>
  <c r="D167" i="6" a="1"/>
  <c r="D167" i="6" s="1"/>
  <c r="U141" i="6"/>
  <c r="T141" i="6"/>
  <c r="S141" i="6"/>
  <c r="R141" i="6"/>
  <c r="Q141" i="6"/>
  <c r="P141" i="6"/>
  <c r="O141" i="6"/>
  <c r="M141" i="6" a="1"/>
  <c r="M141" i="6" s="1"/>
  <c r="L141" i="6" a="1"/>
  <c r="L141" i="6" s="1"/>
  <c r="J141" i="6" a="1"/>
  <c r="J141" i="6" s="1"/>
  <c r="I141" i="6" a="1"/>
  <c r="I141" i="6" s="1"/>
  <c r="G141" i="6" a="1"/>
  <c r="G141" i="6" s="1"/>
  <c r="F141" i="6" a="1"/>
  <c r="F141" i="6" s="1"/>
  <c r="E141" i="6" a="1"/>
  <c r="E141" i="6" s="1"/>
  <c r="D141" i="6" a="1"/>
  <c r="D141" i="6" s="1"/>
  <c r="U115" i="6"/>
  <c r="T115" i="6"/>
  <c r="S115" i="6"/>
  <c r="R115" i="6"/>
  <c r="Q115" i="6"/>
  <c r="P115" i="6"/>
  <c r="O115" i="6"/>
  <c r="M115" i="6" a="1"/>
  <c r="M115" i="6" s="1"/>
  <c r="L115" i="6" a="1"/>
  <c r="L115" i="6" s="1"/>
  <c r="J115" i="6" a="1"/>
  <c r="J115" i="6" s="1"/>
  <c r="I115" i="6" a="1"/>
  <c r="I115" i="6" s="1"/>
  <c r="G115" i="6" a="1"/>
  <c r="G115" i="6" s="1"/>
  <c r="F115" i="6" a="1"/>
  <c r="F115" i="6" s="1"/>
  <c r="E115" i="6" a="1"/>
  <c r="E115" i="6" s="1"/>
  <c r="D115" i="6" a="1"/>
  <c r="D115" i="6" s="1"/>
  <c r="U89" i="6"/>
  <c r="U63" i="6"/>
  <c r="T63" i="6"/>
  <c r="S63" i="6"/>
  <c r="R63" i="6"/>
  <c r="Q63" i="6"/>
  <c r="P63" i="6"/>
  <c r="O63" i="6"/>
  <c r="M63" i="6" a="1"/>
  <c r="M63" i="6" s="1"/>
  <c r="L63" i="6" a="1"/>
  <c r="L63" i="6" s="1"/>
  <c r="J63" i="6" a="1"/>
  <c r="J63" i="6" s="1"/>
  <c r="I63" i="6" a="1"/>
  <c r="I63" i="6" s="1"/>
  <c r="G63" i="6" a="1"/>
  <c r="G63" i="6" s="1"/>
  <c r="F63" i="6" a="1"/>
  <c r="F63" i="6" s="1"/>
  <c r="E63" i="6" a="1"/>
  <c r="E63" i="6" s="1"/>
  <c r="D63" i="6" a="1"/>
  <c r="D63" i="6" s="1"/>
  <c r="M37" i="6" a="1"/>
  <c r="M37" i="6" s="1"/>
  <c r="L37" i="6" a="1"/>
  <c r="L37" i="6" s="1"/>
  <c r="J37" i="6" a="1"/>
  <c r="J37" i="6" s="1"/>
  <c r="I37" i="6" a="1"/>
  <c r="I37" i="6" s="1"/>
  <c r="G37" i="6" a="1"/>
  <c r="G37" i="6" s="1"/>
  <c r="F37" i="6" a="1"/>
  <c r="F37" i="6" s="1"/>
  <c r="E37" i="6" a="1"/>
  <c r="E37" i="6" s="1"/>
  <c r="D37" i="6" a="1"/>
  <c r="D37" i="6" s="1"/>
  <c r="O37" i="6"/>
  <c r="P37" i="6"/>
  <c r="Q37" i="6"/>
  <c r="R37" i="6"/>
  <c r="S37" i="6"/>
  <c r="T37" i="6"/>
  <c r="U37" i="6"/>
  <c r="U817" i="5"/>
  <c r="T817" i="5"/>
  <c r="S817" i="5"/>
  <c r="R817" i="5"/>
  <c r="Q817" i="5"/>
  <c r="P817" i="5"/>
  <c r="O817" i="5"/>
  <c r="M817" i="5" a="1"/>
  <c r="M817" i="5" s="1"/>
  <c r="L817" i="5" a="1"/>
  <c r="L817" i="5" s="1"/>
  <c r="J817" i="5" a="1"/>
  <c r="J817" i="5" s="1"/>
  <c r="I817" i="5"/>
  <c r="K817" i="5" s="1"/>
  <c r="I817" i="5" a="1"/>
  <c r="G817" i="5" a="1"/>
  <c r="G817" i="5" s="1"/>
  <c r="F817" i="5" a="1"/>
  <c r="F817" i="5" s="1"/>
  <c r="E817" i="5" a="1"/>
  <c r="E817" i="5" s="1"/>
  <c r="D817" i="5" a="1"/>
  <c r="D817" i="5" s="1"/>
  <c r="U791" i="5"/>
  <c r="T791" i="5"/>
  <c r="S791" i="5"/>
  <c r="R791" i="5"/>
  <c r="Q791" i="5"/>
  <c r="P791" i="5"/>
  <c r="O791" i="5"/>
  <c r="M791" i="5" a="1"/>
  <c r="M791" i="5" s="1"/>
  <c r="L791" i="5" a="1"/>
  <c r="L791" i="5" s="1"/>
  <c r="J791" i="5" a="1"/>
  <c r="J791" i="5" s="1"/>
  <c r="I791" i="5"/>
  <c r="I791" i="5" a="1"/>
  <c r="G791" i="5" a="1"/>
  <c r="G791" i="5" s="1"/>
  <c r="F791" i="5" a="1"/>
  <c r="F791" i="5" s="1"/>
  <c r="H791" i="5" s="1"/>
  <c r="E791" i="5" a="1"/>
  <c r="E791" i="5" s="1"/>
  <c r="D791" i="5" a="1"/>
  <c r="D791" i="5" s="1"/>
  <c r="U765" i="5"/>
  <c r="T765" i="5"/>
  <c r="S765" i="5"/>
  <c r="R765" i="5"/>
  <c r="Q765" i="5"/>
  <c r="P765" i="5"/>
  <c r="O765" i="5"/>
  <c r="M765" i="5" a="1"/>
  <c r="M765" i="5" s="1"/>
  <c r="L765" i="5" a="1"/>
  <c r="L765" i="5" s="1"/>
  <c r="J765" i="5"/>
  <c r="J765" i="5" a="1"/>
  <c r="I765" i="5"/>
  <c r="K765" i="5" s="1"/>
  <c r="I765" i="5" a="1"/>
  <c r="G765" i="5" a="1"/>
  <c r="G765" i="5" s="1"/>
  <c r="F765" i="5" a="1"/>
  <c r="F765" i="5" s="1"/>
  <c r="H765" i="5" s="1"/>
  <c r="E765" i="5" a="1"/>
  <c r="E765" i="5" s="1"/>
  <c r="D765" i="5" a="1"/>
  <c r="D765" i="5" s="1"/>
  <c r="U739" i="5"/>
  <c r="T739" i="5"/>
  <c r="S739" i="5"/>
  <c r="R739" i="5"/>
  <c r="Q739" i="5"/>
  <c r="P739" i="5"/>
  <c r="O739" i="5"/>
  <c r="M739" i="5" a="1"/>
  <c r="M739" i="5" s="1"/>
  <c r="L739" i="5" a="1"/>
  <c r="L739" i="5" s="1"/>
  <c r="J739" i="5"/>
  <c r="J739" i="5" a="1"/>
  <c r="I739" i="5"/>
  <c r="K739" i="5" s="1"/>
  <c r="I739" i="5" a="1"/>
  <c r="G739" i="5" a="1"/>
  <c r="G739" i="5" s="1"/>
  <c r="F739" i="5" a="1"/>
  <c r="F739" i="5" s="1"/>
  <c r="H739" i="5" s="1"/>
  <c r="E739" i="5" a="1"/>
  <c r="E739" i="5" s="1"/>
  <c r="D739" i="5" a="1"/>
  <c r="D739" i="5" s="1"/>
  <c r="U713" i="5"/>
  <c r="T713" i="5"/>
  <c r="S713" i="5"/>
  <c r="R713" i="5"/>
  <c r="Q713" i="5"/>
  <c r="P713" i="5"/>
  <c r="O713" i="5"/>
  <c r="M713" i="5" a="1"/>
  <c r="M713" i="5" s="1"/>
  <c r="L713" i="5" a="1"/>
  <c r="L713" i="5" s="1"/>
  <c r="N713" i="5" s="1"/>
  <c r="J713" i="5"/>
  <c r="J713" i="5" a="1"/>
  <c r="I713" i="5"/>
  <c r="K713" i="5" s="1"/>
  <c r="I713" i="5" a="1"/>
  <c r="G713" i="5" a="1"/>
  <c r="G713" i="5" s="1"/>
  <c r="F713" i="5" a="1"/>
  <c r="F713" i="5" s="1"/>
  <c r="H713" i="5" s="1"/>
  <c r="E713" i="5" a="1"/>
  <c r="E713" i="5" s="1"/>
  <c r="D713" i="5" a="1"/>
  <c r="D713" i="5" s="1"/>
  <c r="U687" i="5"/>
  <c r="T687" i="5"/>
  <c r="S687" i="5"/>
  <c r="R687" i="5"/>
  <c r="Q687" i="5"/>
  <c r="P687" i="5"/>
  <c r="O687" i="5"/>
  <c r="M687" i="5" a="1"/>
  <c r="M687" i="5" s="1"/>
  <c r="L687" i="5" a="1"/>
  <c r="L687" i="5" s="1"/>
  <c r="J687" i="5"/>
  <c r="J687" i="5" a="1"/>
  <c r="I687" i="5"/>
  <c r="K687" i="5" s="1"/>
  <c r="I687" i="5" a="1"/>
  <c r="G687" i="5" a="1"/>
  <c r="G687" i="5" s="1"/>
  <c r="F687" i="5" a="1"/>
  <c r="F687" i="5" s="1"/>
  <c r="H687" i="5" s="1"/>
  <c r="E687" i="5" a="1"/>
  <c r="E687" i="5" s="1"/>
  <c r="D687" i="5" a="1"/>
  <c r="D687" i="5" s="1"/>
  <c r="U661" i="5"/>
  <c r="T661" i="5"/>
  <c r="S661" i="5"/>
  <c r="R661" i="5"/>
  <c r="Q661" i="5"/>
  <c r="P661" i="5"/>
  <c r="O661" i="5"/>
  <c r="M661" i="5" a="1"/>
  <c r="M661" i="5" s="1"/>
  <c r="L661" i="5" a="1"/>
  <c r="L661" i="5" s="1"/>
  <c r="J661" i="5"/>
  <c r="J661" i="5" a="1"/>
  <c r="I661" i="5"/>
  <c r="K661" i="5" s="1"/>
  <c r="I661" i="5" a="1"/>
  <c r="G661" i="5" a="1"/>
  <c r="G661" i="5" s="1"/>
  <c r="F661" i="5" a="1"/>
  <c r="F661" i="5" s="1"/>
  <c r="H661" i="5" s="1"/>
  <c r="E661" i="5" a="1"/>
  <c r="E661" i="5" s="1"/>
  <c r="D661" i="5" a="1"/>
  <c r="D661" i="5" s="1"/>
  <c r="U635" i="5"/>
  <c r="T635" i="5"/>
  <c r="S635" i="5"/>
  <c r="R635" i="5"/>
  <c r="Q635" i="5"/>
  <c r="P635" i="5"/>
  <c r="O635" i="5"/>
  <c r="M635" i="5" a="1"/>
  <c r="M635" i="5" s="1"/>
  <c r="L635" i="5" a="1"/>
  <c r="L635" i="5" s="1"/>
  <c r="J635" i="5" a="1"/>
  <c r="J635" i="5" s="1"/>
  <c r="I635" i="5"/>
  <c r="K635" i="5" s="1"/>
  <c r="I635" i="5" a="1"/>
  <c r="G635" i="5" a="1"/>
  <c r="G635" i="5" s="1"/>
  <c r="F635" i="5" a="1"/>
  <c r="F635" i="5" s="1"/>
  <c r="H635" i="5" s="1"/>
  <c r="E635" i="5" a="1"/>
  <c r="E635" i="5" s="1"/>
  <c r="D635" i="5" a="1"/>
  <c r="D635" i="5" s="1"/>
  <c r="U609" i="5"/>
  <c r="T609" i="5"/>
  <c r="S609" i="5"/>
  <c r="R609" i="5"/>
  <c r="Q609" i="5"/>
  <c r="P609" i="5"/>
  <c r="O609" i="5"/>
  <c r="M609" i="5" a="1"/>
  <c r="M609" i="5" s="1"/>
  <c r="L609" i="5" a="1"/>
  <c r="L609" i="5" s="1"/>
  <c r="J609" i="5"/>
  <c r="J609" i="5" a="1"/>
  <c r="I609" i="5"/>
  <c r="K609" i="5" s="1"/>
  <c r="I609" i="5" a="1"/>
  <c r="G609" i="5" a="1"/>
  <c r="G609" i="5" s="1"/>
  <c r="F609" i="5" a="1"/>
  <c r="F609" i="5" s="1"/>
  <c r="H609" i="5" s="1"/>
  <c r="E609" i="5" a="1"/>
  <c r="E609" i="5" s="1"/>
  <c r="D609" i="5" a="1"/>
  <c r="D609" i="5" s="1"/>
  <c r="U583" i="5"/>
  <c r="T583" i="5"/>
  <c r="S583" i="5"/>
  <c r="R583" i="5"/>
  <c r="Q583" i="5"/>
  <c r="P583" i="5"/>
  <c r="O583" i="5"/>
  <c r="M583" i="5" a="1"/>
  <c r="M583" i="5" s="1"/>
  <c r="L583" i="5" a="1"/>
  <c r="L583" i="5" s="1"/>
  <c r="J583" i="5" a="1"/>
  <c r="J583" i="5" s="1"/>
  <c r="I583" i="5"/>
  <c r="I583" i="5" a="1"/>
  <c r="G583" i="5" a="1"/>
  <c r="G583" i="5" s="1"/>
  <c r="F583" i="5" a="1"/>
  <c r="F583" i="5" s="1"/>
  <c r="H583" i="5" s="1"/>
  <c r="E583" i="5" a="1"/>
  <c r="E583" i="5" s="1"/>
  <c r="D583" i="5" a="1"/>
  <c r="D583" i="5" s="1"/>
  <c r="U557" i="5"/>
  <c r="T557" i="5"/>
  <c r="S557" i="5"/>
  <c r="R557" i="5"/>
  <c r="Q557" i="5"/>
  <c r="P557" i="5"/>
  <c r="O557" i="5"/>
  <c r="M557" i="5" a="1"/>
  <c r="M557" i="5" s="1"/>
  <c r="L557" i="5" a="1"/>
  <c r="L557" i="5" s="1"/>
  <c r="J557" i="5" a="1"/>
  <c r="J557" i="5" s="1"/>
  <c r="I557" i="5" a="1"/>
  <c r="I557" i="5" s="1"/>
  <c r="K557" i="5" s="1"/>
  <c r="G557" i="5" a="1"/>
  <c r="G557" i="5" s="1"/>
  <c r="F557" i="5" a="1"/>
  <c r="F557" i="5" s="1"/>
  <c r="H557" i="5" s="1"/>
  <c r="E557" i="5" a="1"/>
  <c r="E557" i="5" s="1"/>
  <c r="D557" i="5" a="1"/>
  <c r="D557" i="5" s="1"/>
  <c r="U531" i="5"/>
  <c r="T531" i="5"/>
  <c r="S531" i="5"/>
  <c r="R531" i="5"/>
  <c r="Q531" i="5"/>
  <c r="P531" i="5"/>
  <c r="O531" i="5"/>
  <c r="M531" i="5" a="1"/>
  <c r="M531" i="5" s="1"/>
  <c r="L531" i="5" a="1"/>
  <c r="L531" i="5" s="1"/>
  <c r="J531" i="5" a="1"/>
  <c r="J531" i="5" s="1"/>
  <c r="I531" i="5" a="1"/>
  <c r="I531" i="5" s="1"/>
  <c r="K531" i="5" s="1"/>
  <c r="G531" i="5" a="1"/>
  <c r="G531" i="5" s="1"/>
  <c r="F531" i="5" a="1"/>
  <c r="F531" i="5" s="1"/>
  <c r="E531" i="5" a="1"/>
  <c r="E531" i="5" s="1"/>
  <c r="D531" i="5" a="1"/>
  <c r="D531" i="5" s="1"/>
  <c r="U505" i="5"/>
  <c r="T505" i="5"/>
  <c r="S505" i="5"/>
  <c r="R505" i="5"/>
  <c r="Q505" i="5"/>
  <c r="P505" i="5"/>
  <c r="O505" i="5"/>
  <c r="M505" i="5" a="1"/>
  <c r="M505" i="5" s="1"/>
  <c r="L505" i="5" a="1"/>
  <c r="L505" i="5" s="1"/>
  <c r="J505" i="5" a="1"/>
  <c r="J505" i="5" s="1"/>
  <c r="I505" i="5" a="1"/>
  <c r="I505" i="5" s="1"/>
  <c r="K505" i="5" s="1"/>
  <c r="G505" i="5" a="1"/>
  <c r="G505" i="5" s="1"/>
  <c r="F505" i="5" a="1"/>
  <c r="F505" i="5" s="1"/>
  <c r="E505" i="5" a="1"/>
  <c r="E505" i="5" s="1"/>
  <c r="D505" i="5" a="1"/>
  <c r="D505" i="5" s="1"/>
  <c r="U479" i="5"/>
  <c r="T479" i="5"/>
  <c r="S479" i="5"/>
  <c r="R479" i="5"/>
  <c r="Q479" i="5"/>
  <c r="P479" i="5"/>
  <c r="O479" i="5"/>
  <c r="M479" i="5" a="1"/>
  <c r="M479" i="5" s="1"/>
  <c r="L479" i="5" a="1"/>
  <c r="L479" i="5" s="1"/>
  <c r="J479" i="5" a="1"/>
  <c r="J479" i="5" s="1"/>
  <c r="I479" i="5" a="1"/>
  <c r="I479" i="5" s="1"/>
  <c r="K479" i="5" s="1"/>
  <c r="G479" i="5" a="1"/>
  <c r="G479" i="5" s="1"/>
  <c r="F479" i="5" a="1"/>
  <c r="F479" i="5" s="1"/>
  <c r="E479" i="5" a="1"/>
  <c r="E479" i="5" s="1"/>
  <c r="D479" i="5" a="1"/>
  <c r="D479" i="5" s="1"/>
  <c r="U453" i="5"/>
  <c r="T453" i="5"/>
  <c r="S453" i="5"/>
  <c r="R453" i="5"/>
  <c r="Q453" i="5"/>
  <c r="P453" i="5"/>
  <c r="O453" i="5"/>
  <c r="M453" i="5" a="1"/>
  <c r="M453" i="5" s="1"/>
  <c r="L453" i="5" a="1"/>
  <c r="L453" i="5" s="1"/>
  <c r="J453" i="5" a="1"/>
  <c r="J453" i="5" s="1"/>
  <c r="I453" i="5" a="1"/>
  <c r="I453" i="5" s="1"/>
  <c r="G453" i="5" a="1"/>
  <c r="G453" i="5" s="1"/>
  <c r="F453" i="5" a="1"/>
  <c r="F453" i="5" s="1"/>
  <c r="E453" i="5" a="1"/>
  <c r="E453" i="5" s="1"/>
  <c r="D453" i="5" a="1"/>
  <c r="D453" i="5" s="1"/>
  <c r="U427" i="5"/>
  <c r="T427" i="5"/>
  <c r="S427" i="5"/>
  <c r="R427" i="5"/>
  <c r="Q427" i="5"/>
  <c r="P427" i="5"/>
  <c r="O427" i="5"/>
  <c r="M427" i="5" a="1"/>
  <c r="M427" i="5" s="1"/>
  <c r="L427" i="5" a="1"/>
  <c r="L427" i="5" s="1"/>
  <c r="J427" i="5" a="1"/>
  <c r="J427" i="5" s="1"/>
  <c r="I427" i="5" a="1"/>
  <c r="I427" i="5" s="1"/>
  <c r="K427" i="5" s="1"/>
  <c r="G427" i="5" a="1"/>
  <c r="G427" i="5" s="1"/>
  <c r="F427" i="5" a="1"/>
  <c r="F427" i="5" s="1"/>
  <c r="E427" i="5" a="1"/>
  <c r="E427" i="5" s="1"/>
  <c r="D427" i="5" a="1"/>
  <c r="D427" i="5" s="1"/>
  <c r="U401" i="5"/>
  <c r="T401" i="5"/>
  <c r="S401" i="5"/>
  <c r="R401" i="5"/>
  <c r="Q401" i="5"/>
  <c r="P401" i="5"/>
  <c r="O401" i="5"/>
  <c r="M401" i="5" a="1"/>
  <c r="M401" i="5" s="1"/>
  <c r="L401" i="5" a="1"/>
  <c r="L401" i="5" s="1"/>
  <c r="J401" i="5" a="1"/>
  <c r="J401" i="5" s="1"/>
  <c r="I401" i="5" a="1"/>
  <c r="I401" i="5" s="1"/>
  <c r="G401" i="5" a="1"/>
  <c r="G401" i="5" s="1"/>
  <c r="F401" i="5" a="1"/>
  <c r="F401" i="5" s="1"/>
  <c r="E401" i="5" a="1"/>
  <c r="E401" i="5" s="1"/>
  <c r="D401" i="5" a="1"/>
  <c r="D401" i="5" s="1"/>
  <c r="U375" i="5"/>
  <c r="T375" i="5"/>
  <c r="S375" i="5"/>
  <c r="R375" i="5"/>
  <c r="Q375" i="5"/>
  <c r="P375" i="5"/>
  <c r="O375" i="5"/>
  <c r="M375" i="5" a="1"/>
  <c r="M375" i="5" s="1"/>
  <c r="L375" i="5" a="1"/>
  <c r="L375" i="5" s="1"/>
  <c r="J375" i="5" a="1"/>
  <c r="J375" i="5" s="1"/>
  <c r="I375" i="5" a="1"/>
  <c r="I375" i="5" s="1"/>
  <c r="K375" i="5" s="1"/>
  <c r="G375" i="5" a="1"/>
  <c r="G375" i="5" s="1"/>
  <c r="F375" i="5" a="1"/>
  <c r="F375" i="5" s="1"/>
  <c r="E375" i="5" a="1"/>
  <c r="E375" i="5" s="1"/>
  <c r="D375" i="5" a="1"/>
  <c r="D375" i="5" s="1"/>
  <c r="U349" i="5"/>
  <c r="T349" i="5"/>
  <c r="S349" i="5"/>
  <c r="R349" i="5"/>
  <c r="Q349" i="5"/>
  <c r="P349" i="5"/>
  <c r="O349" i="5"/>
  <c r="M349" i="5" a="1"/>
  <c r="M349" i="5" s="1"/>
  <c r="L349" i="5" a="1"/>
  <c r="L349" i="5" s="1"/>
  <c r="J349" i="5" a="1"/>
  <c r="J349" i="5" s="1"/>
  <c r="I349" i="5" a="1"/>
  <c r="I349" i="5" s="1"/>
  <c r="K349" i="5" s="1"/>
  <c r="G349" i="5" a="1"/>
  <c r="G349" i="5" s="1"/>
  <c r="F349" i="5" a="1"/>
  <c r="F349" i="5" s="1"/>
  <c r="E349" i="5" a="1"/>
  <c r="E349" i="5" s="1"/>
  <c r="D349" i="5" a="1"/>
  <c r="D349" i="5" s="1"/>
  <c r="U323" i="5"/>
  <c r="T323" i="5"/>
  <c r="S323" i="5"/>
  <c r="R323" i="5"/>
  <c r="Q323" i="5"/>
  <c r="P323" i="5"/>
  <c r="O323" i="5"/>
  <c r="M323" i="5" a="1"/>
  <c r="M323" i="5" s="1"/>
  <c r="L323" i="5" a="1"/>
  <c r="L323" i="5" s="1"/>
  <c r="J323" i="5" a="1"/>
  <c r="J323" i="5" s="1"/>
  <c r="I323" i="5" a="1"/>
  <c r="I323" i="5" s="1"/>
  <c r="G323" i="5" a="1"/>
  <c r="G323" i="5" s="1"/>
  <c r="F323" i="5" a="1"/>
  <c r="F323" i="5" s="1"/>
  <c r="E323" i="5" a="1"/>
  <c r="E323" i="5" s="1"/>
  <c r="D323" i="5" a="1"/>
  <c r="D323" i="5" s="1"/>
  <c r="U297" i="5"/>
  <c r="T297" i="5"/>
  <c r="S297" i="5"/>
  <c r="R297" i="5"/>
  <c r="Q297" i="5"/>
  <c r="P297" i="5"/>
  <c r="O297" i="5"/>
  <c r="M297" i="5" a="1"/>
  <c r="M297" i="5" s="1"/>
  <c r="L297" i="5" a="1"/>
  <c r="L297" i="5" s="1"/>
  <c r="J297" i="5" a="1"/>
  <c r="J297" i="5" s="1"/>
  <c r="I297" i="5" a="1"/>
  <c r="I297" i="5" s="1"/>
  <c r="G297" i="5" a="1"/>
  <c r="G297" i="5" s="1"/>
  <c r="F297" i="5" a="1"/>
  <c r="F297" i="5" s="1"/>
  <c r="H297" i="5" s="1"/>
  <c r="E297" i="5" a="1"/>
  <c r="E297" i="5" s="1"/>
  <c r="D297" i="5" a="1"/>
  <c r="D297" i="5" s="1"/>
  <c r="U271" i="5"/>
  <c r="T271" i="5"/>
  <c r="S271" i="5"/>
  <c r="R271" i="5"/>
  <c r="Q271" i="5"/>
  <c r="P271" i="5"/>
  <c r="O271" i="5"/>
  <c r="M271" i="5" a="1"/>
  <c r="M271" i="5" s="1"/>
  <c r="L271" i="5" a="1"/>
  <c r="L271" i="5" s="1"/>
  <c r="J271" i="5" a="1"/>
  <c r="J271" i="5" s="1"/>
  <c r="I271" i="5" a="1"/>
  <c r="I271" i="5" s="1"/>
  <c r="G271" i="5" a="1"/>
  <c r="G271" i="5" s="1"/>
  <c r="F271" i="5" a="1"/>
  <c r="F271" i="5" s="1"/>
  <c r="H271" i="5" s="1"/>
  <c r="E271" i="5" a="1"/>
  <c r="E271" i="5" s="1"/>
  <c r="D271" i="5" a="1"/>
  <c r="D271" i="5" s="1"/>
  <c r="U245" i="5"/>
  <c r="T245" i="5"/>
  <c r="S245" i="5"/>
  <c r="R245" i="5"/>
  <c r="Q245" i="5"/>
  <c r="P245" i="5"/>
  <c r="O245" i="5"/>
  <c r="M245" i="5" a="1"/>
  <c r="M245" i="5" s="1"/>
  <c r="L245" i="5" a="1"/>
  <c r="L245" i="5" s="1"/>
  <c r="J245" i="5" a="1"/>
  <c r="J245" i="5" s="1"/>
  <c r="I245" i="5" a="1"/>
  <c r="I245" i="5" s="1"/>
  <c r="G245" i="5" a="1"/>
  <c r="G245" i="5" s="1"/>
  <c r="F245" i="5" a="1"/>
  <c r="F245" i="5" s="1"/>
  <c r="E245" i="5" a="1"/>
  <c r="E245" i="5" s="1"/>
  <c r="D245" i="5" a="1"/>
  <c r="D245" i="5" s="1"/>
  <c r="U219" i="5"/>
  <c r="T219" i="5"/>
  <c r="S219" i="5"/>
  <c r="R219" i="5"/>
  <c r="Q219" i="5"/>
  <c r="P219" i="5"/>
  <c r="O219" i="5"/>
  <c r="M219" i="5" a="1"/>
  <c r="M219" i="5" s="1"/>
  <c r="L219" i="5" a="1"/>
  <c r="L219" i="5" s="1"/>
  <c r="J219" i="5"/>
  <c r="J219" i="5" a="1"/>
  <c r="I219" i="5" a="1"/>
  <c r="I219" i="5" s="1"/>
  <c r="G219" i="5" a="1"/>
  <c r="G219" i="5" s="1"/>
  <c r="F219" i="5" a="1"/>
  <c r="F219" i="5" s="1"/>
  <c r="E219" i="5" a="1"/>
  <c r="E219" i="5" s="1"/>
  <c r="D219" i="5" a="1"/>
  <c r="D219" i="5" s="1"/>
  <c r="U193" i="5"/>
  <c r="T193" i="5"/>
  <c r="S193" i="5"/>
  <c r="R193" i="5"/>
  <c r="Q193" i="5"/>
  <c r="P193" i="5"/>
  <c r="O193" i="5"/>
  <c r="M193" i="5" a="1"/>
  <c r="M193" i="5" s="1"/>
  <c r="L193" i="5" a="1"/>
  <c r="L193" i="5" s="1"/>
  <c r="J193" i="5" a="1"/>
  <c r="J193" i="5" s="1"/>
  <c r="I193" i="5" a="1"/>
  <c r="I193" i="5" s="1"/>
  <c r="G193" i="5" a="1"/>
  <c r="G193" i="5" s="1"/>
  <c r="F193" i="5" a="1"/>
  <c r="F193" i="5" s="1"/>
  <c r="H193" i="5" s="1"/>
  <c r="E193" i="5" a="1"/>
  <c r="E193" i="5" s="1"/>
  <c r="D193" i="5" a="1"/>
  <c r="D193" i="5" s="1"/>
  <c r="U167" i="5"/>
  <c r="T167" i="5"/>
  <c r="S167" i="5"/>
  <c r="R167" i="5"/>
  <c r="Q167" i="5"/>
  <c r="P167" i="5"/>
  <c r="O167" i="5"/>
  <c r="M167" i="5" a="1"/>
  <c r="M167" i="5" s="1"/>
  <c r="L167" i="5" a="1"/>
  <c r="L167" i="5" s="1"/>
  <c r="J167" i="5" a="1"/>
  <c r="J167" i="5" s="1"/>
  <c r="I167" i="5" a="1"/>
  <c r="I167" i="5" s="1"/>
  <c r="G167" i="5" a="1"/>
  <c r="G167" i="5" s="1"/>
  <c r="F167" i="5" a="1"/>
  <c r="F167" i="5" s="1"/>
  <c r="E167" i="5" a="1"/>
  <c r="E167" i="5" s="1"/>
  <c r="D167" i="5" a="1"/>
  <c r="D167" i="5" s="1"/>
  <c r="U141" i="5"/>
  <c r="T141" i="5"/>
  <c r="S141" i="5"/>
  <c r="R141" i="5"/>
  <c r="Q141" i="5"/>
  <c r="P141" i="5"/>
  <c r="O141" i="5"/>
  <c r="M141" i="5" a="1"/>
  <c r="M141" i="5" s="1"/>
  <c r="L141" i="5" a="1"/>
  <c r="L141" i="5" s="1"/>
  <c r="N141" i="5" s="1"/>
  <c r="J141" i="5" a="1"/>
  <c r="J141" i="5" s="1"/>
  <c r="I141" i="5" a="1"/>
  <c r="I141" i="5" s="1"/>
  <c r="G141" i="5" a="1"/>
  <c r="G141" i="5" s="1"/>
  <c r="F141" i="5" a="1"/>
  <c r="F141" i="5" s="1"/>
  <c r="E141" i="5" a="1"/>
  <c r="E141" i="5" s="1"/>
  <c r="D141" i="5" a="1"/>
  <c r="D141" i="5" s="1"/>
  <c r="U115" i="5"/>
  <c r="T115" i="5"/>
  <c r="S115" i="5"/>
  <c r="R115" i="5"/>
  <c r="Q115" i="5"/>
  <c r="P115" i="5"/>
  <c r="O115" i="5"/>
  <c r="M115" i="5" a="1"/>
  <c r="M115" i="5" s="1"/>
  <c r="L115" i="5" a="1"/>
  <c r="L115" i="5" s="1"/>
  <c r="J115" i="5" a="1"/>
  <c r="J115" i="5" s="1"/>
  <c r="I115" i="5" a="1"/>
  <c r="I115" i="5" s="1"/>
  <c r="G115" i="5" a="1"/>
  <c r="G115" i="5" s="1"/>
  <c r="F115" i="5" a="1"/>
  <c r="F115" i="5" s="1"/>
  <c r="E115" i="5" a="1"/>
  <c r="E115" i="5" s="1"/>
  <c r="D115" i="5" a="1"/>
  <c r="D115" i="5" s="1"/>
  <c r="U89" i="5"/>
  <c r="T89" i="5"/>
  <c r="S89" i="5"/>
  <c r="R89" i="5"/>
  <c r="Q89" i="5"/>
  <c r="P89" i="5"/>
  <c r="O89" i="5"/>
  <c r="M89" i="5" a="1"/>
  <c r="M89" i="5" s="1"/>
  <c r="L89" i="5" a="1"/>
  <c r="L89" i="5" s="1"/>
  <c r="J89" i="5" a="1"/>
  <c r="J89" i="5" s="1"/>
  <c r="I89" i="5" a="1"/>
  <c r="I89" i="5" s="1"/>
  <c r="G89" i="5" a="1"/>
  <c r="G89" i="5" s="1"/>
  <c r="F89" i="5" a="1"/>
  <c r="F89" i="5" s="1"/>
  <c r="H89" i="5" s="1"/>
  <c r="E89" i="5" a="1"/>
  <c r="E89" i="5" s="1"/>
  <c r="D89" i="5" a="1"/>
  <c r="D89" i="5" s="1"/>
  <c r="U63" i="5"/>
  <c r="T63" i="5"/>
  <c r="S63" i="5"/>
  <c r="R63" i="5"/>
  <c r="Q63" i="5"/>
  <c r="P63" i="5"/>
  <c r="O63" i="5"/>
  <c r="M63" i="5" a="1"/>
  <c r="M63" i="5" s="1"/>
  <c r="L63" i="5" a="1"/>
  <c r="L63" i="5" s="1"/>
  <c r="J63" i="5" a="1"/>
  <c r="J63" i="5" s="1"/>
  <c r="I63" i="5" a="1"/>
  <c r="I63" i="5" s="1"/>
  <c r="G63" i="5" a="1"/>
  <c r="G63" i="5" s="1"/>
  <c r="F63" i="5" a="1"/>
  <c r="F63" i="5" s="1"/>
  <c r="H63" i="5" s="1"/>
  <c r="E63" i="5" a="1"/>
  <c r="E63" i="5" s="1"/>
  <c r="D63" i="5" a="1"/>
  <c r="D63" i="5" s="1"/>
  <c r="M37" i="5" a="1"/>
  <c r="M37" i="5" s="1"/>
  <c r="L37" i="5" a="1"/>
  <c r="L37" i="5" s="1"/>
  <c r="J37" i="5" a="1"/>
  <c r="J37" i="5" s="1"/>
  <c r="I37" i="5" a="1"/>
  <c r="I37" i="5" s="1"/>
  <c r="G37" i="5" a="1"/>
  <c r="G37" i="5" s="1"/>
  <c r="F37" i="5" a="1"/>
  <c r="F37" i="5" s="1"/>
  <c r="E37" i="5" a="1"/>
  <c r="E37" i="5" s="1"/>
  <c r="D37" i="5" a="1"/>
  <c r="D37" i="5" s="1"/>
  <c r="B64" i="5"/>
  <c r="B90" i="5" s="1"/>
  <c r="B38" i="5"/>
  <c r="A38" i="17" s="1"/>
  <c r="S6" i="5"/>
  <c r="A64" i="17"/>
  <c r="A12" i="17"/>
  <c r="B38" i="6"/>
  <c r="B64" i="6"/>
  <c r="B12" i="6"/>
  <c r="P1" i="27"/>
  <c r="K557" i="6" l="1"/>
  <c r="G557" i="17"/>
  <c r="H531" i="6"/>
  <c r="G531" i="17"/>
  <c r="N505" i="5"/>
  <c r="Q126" i="16"/>
  <c r="U123" i="16"/>
  <c r="U122" i="16"/>
  <c r="Q121" i="16"/>
  <c r="T121" i="16" s="1"/>
  <c r="Q113" i="16"/>
  <c r="Q115" i="16" s="1"/>
  <c r="Q93" i="16"/>
  <c r="Q60" i="16"/>
  <c r="U60" i="16" s="1"/>
  <c r="Q59" i="16"/>
  <c r="U59" i="16" s="1"/>
  <c r="S55" i="16"/>
  <c r="S52" i="16"/>
  <c r="Q50" i="16"/>
  <c r="U50" i="16" s="1"/>
  <c r="S48" i="16"/>
  <c r="T48" i="16" s="1"/>
  <c r="S44" i="16"/>
  <c r="S41" i="16"/>
  <c r="Q40" i="16"/>
  <c r="U40" i="16" s="1"/>
  <c r="S130" i="16"/>
  <c r="T130" i="16" s="1"/>
  <c r="S122" i="16"/>
  <c r="U117" i="16"/>
  <c r="U105" i="16"/>
  <c r="S135" i="16"/>
  <c r="T135" i="16" s="1"/>
  <c r="U127" i="16"/>
  <c r="U126" i="16"/>
  <c r="S91" i="16"/>
  <c r="S59" i="16"/>
  <c r="T59" i="16" s="1"/>
  <c r="S57" i="16"/>
  <c r="Q53" i="16"/>
  <c r="U53" i="16" s="1"/>
  <c r="H505" i="6"/>
  <c r="G505" i="17"/>
  <c r="H479" i="5"/>
  <c r="G479" i="17"/>
  <c r="K479" i="6"/>
  <c r="K453" i="6"/>
  <c r="G453" i="17"/>
  <c r="K453" i="5"/>
  <c r="H453" i="5"/>
  <c r="G427" i="17"/>
  <c r="H427" i="5"/>
  <c r="K427" i="6"/>
  <c r="K401" i="5"/>
  <c r="N401" i="6"/>
  <c r="G401" i="17"/>
  <c r="K401" i="6"/>
  <c r="H375" i="5"/>
  <c r="H375" i="6"/>
  <c r="G375" i="17"/>
  <c r="G349" i="17"/>
  <c r="H349" i="5"/>
  <c r="K323" i="5"/>
  <c r="G323" i="17"/>
  <c r="H323" i="6"/>
  <c r="K297" i="5"/>
  <c r="N297" i="6"/>
  <c r="G297" i="17"/>
  <c r="K297" i="6"/>
  <c r="K271" i="6"/>
  <c r="G271" i="17"/>
  <c r="K271" i="5"/>
  <c r="K245" i="6"/>
  <c r="K245" i="5"/>
  <c r="G245" i="17"/>
  <c r="H245" i="5"/>
  <c r="K219" i="5"/>
  <c r="K219" i="6"/>
  <c r="H219" i="5"/>
  <c r="G219" i="17"/>
  <c r="H193" i="6"/>
  <c r="G193" i="17"/>
  <c r="K167" i="6"/>
  <c r="G167" i="17"/>
  <c r="K167" i="5"/>
  <c r="H167" i="5"/>
  <c r="K137" i="16"/>
  <c r="O137" i="16" s="1"/>
  <c r="U136" i="16"/>
  <c r="U138" i="16"/>
  <c r="U135" i="16"/>
  <c r="U133" i="16"/>
  <c r="S138" i="16"/>
  <c r="T138" i="16" s="1"/>
  <c r="Q136" i="16"/>
  <c r="Q133" i="16"/>
  <c r="T133" i="16" s="1"/>
  <c r="U139" i="16"/>
  <c r="T139" i="16"/>
  <c r="S136" i="16"/>
  <c r="T136" i="16" s="1"/>
  <c r="S132" i="16"/>
  <c r="T132" i="16" s="1"/>
  <c r="Q137" i="16"/>
  <c r="T137" i="16" s="1"/>
  <c r="Q134" i="16"/>
  <c r="T134" i="16" s="1"/>
  <c r="U137" i="16"/>
  <c r="K133" i="16"/>
  <c r="O133" i="16" s="1"/>
  <c r="K136" i="16"/>
  <c r="O136" i="16" s="1"/>
  <c r="M132" i="16"/>
  <c r="H139" i="16"/>
  <c r="H134" i="16"/>
  <c r="H132" i="16"/>
  <c r="H130" i="16"/>
  <c r="H136" i="16"/>
  <c r="H138" i="16"/>
  <c r="H135" i="16"/>
  <c r="H133" i="16"/>
  <c r="H131" i="16"/>
  <c r="I139" i="16"/>
  <c r="I137" i="16"/>
  <c r="I135" i="16"/>
  <c r="K141" i="5"/>
  <c r="K129" i="16"/>
  <c r="O129" i="16" s="1"/>
  <c r="U129" i="16"/>
  <c r="T128" i="16"/>
  <c r="U128" i="16"/>
  <c r="Q129" i="16"/>
  <c r="T129" i="16" s="1"/>
  <c r="S126" i="16"/>
  <c r="T126" i="16" s="1"/>
  <c r="S124" i="16"/>
  <c r="T125" i="16"/>
  <c r="T127" i="16"/>
  <c r="K125" i="16"/>
  <c r="O125" i="16" s="1"/>
  <c r="T122" i="16"/>
  <c r="Q123" i="16"/>
  <c r="S123" i="16"/>
  <c r="T124" i="16"/>
  <c r="M122" i="16"/>
  <c r="K122" i="16"/>
  <c r="O122" i="16" s="1"/>
  <c r="M124" i="16"/>
  <c r="K124" i="16"/>
  <c r="O124" i="16" s="1"/>
  <c r="S118" i="16"/>
  <c r="Q119" i="16"/>
  <c r="T119" i="16" s="1"/>
  <c r="Q118" i="16"/>
  <c r="Q120" i="16"/>
  <c r="T120" i="16" s="1"/>
  <c r="P140" i="16" a="1"/>
  <c r="P140" i="16" s="1"/>
  <c r="U120" i="16"/>
  <c r="M118" i="16"/>
  <c r="N118" i="16" s="1"/>
  <c r="K141" i="6"/>
  <c r="M120" i="16"/>
  <c r="N120" i="16" s="1"/>
  <c r="S117" i="16"/>
  <c r="R140" i="16" a="1"/>
  <c r="R140" i="16" s="1"/>
  <c r="G141" i="17"/>
  <c r="H126" i="16"/>
  <c r="H124" i="16"/>
  <c r="H122" i="16"/>
  <c r="H120" i="16"/>
  <c r="H118" i="16"/>
  <c r="G128" i="16"/>
  <c r="G127" i="16"/>
  <c r="H127" i="16" s="1"/>
  <c r="E128" i="16"/>
  <c r="E140" i="16" s="1"/>
  <c r="H116" i="16"/>
  <c r="H141" i="5"/>
  <c r="D140" i="16" a="1"/>
  <c r="D140" i="16" s="1"/>
  <c r="G140" i="16"/>
  <c r="M116" i="16"/>
  <c r="K116" i="16"/>
  <c r="O116" i="16" s="1"/>
  <c r="U113" i="16"/>
  <c r="U112" i="16"/>
  <c r="U111" i="16"/>
  <c r="Q112" i="16"/>
  <c r="T112" i="16" s="1"/>
  <c r="S111" i="16"/>
  <c r="T111" i="16" s="1"/>
  <c r="K112" i="16"/>
  <c r="O112" i="16" s="1"/>
  <c r="K111" i="16"/>
  <c r="O111" i="16" s="1"/>
  <c r="M111" i="16"/>
  <c r="S107" i="16"/>
  <c r="T107" i="16" s="1"/>
  <c r="M110" i="16"/>
  <c r="M106" i="16"/>
  <c r="U103" i="16"/>
  <c r="S105" i="16"/>
  <c r="T105" i="16" s="1"/>
  <c r="T103" i="16"/>
  <c r="I113" i="16"/>
  <c r="I110" i="16"/>
  <c r="I109" i="16"/>
  <c r="G109" i="16"/>
  <c r="H109" i="16" s="1"/>
  <c r="I107" i="16"/>
  <c r="H115" i="16"/>
  <c r="E111" i="16"/>
  <c r="H110" i="16"/>
  <c r="G107" i="16"/>
  <c r="H107" i="16" s="1"/>
  <c r="H105" i="16"/>
  <c r="H103" i="16"/>
  <c r="Q97" i="16"/>
  <c r="K100" i="16"/>
  <c r="O100" i="16" s="1"/>
  <c r="Q101" i="16"/>
  <c r="T101" i="16" s="1"/>
  <c r="Q99" i="16"/>
  <c r="T99" i="16" s="1"/>
  <c r="S99" i="16"/>
  <c r="M100" i="16"/>
  <c r="N100" i="16" s="1"/>
  <c r="U97" i="16"/>
  <c r="Q95" i="16"/>
  <c r="S95" i="16"/>
  <c r="S97" i="16"/>
  <c r="K96" i="16"/>
  <c r="O96" i="16" s="1"/>
  <c r="P114" i="16" a="1"/>
  <c r="P114" i="16" s="1"/>
  <c r="U91" i="16"/>
  <c r="S93" i="16"/>
  <c r="T93" i="16" s="1"/>
  <c r="E101" i="16"/>
  <c r="F114" i="16" a="1"/>
  <c r="F114" i="16" s="1"/>
  <c r="D114" i="16" a="1"/>
  <c r="D114" i="16" s="1"/>
  <c r="G101" i="16"/>
  <c r="H101" i="16" s="1"/>
  <c r="H115" i="6"/>
  <c r="R114" i="16" a="1"/>
  <c r="R114" i="16" s="1"/>
  <c r="T91" i="16"/>
  <c r="G115" i="17"/>
  <c r="M90" i="16"/>
  <c r="E90" i="16"/>
  <c r="N115" i="5"/>
  <c r="K713" i="6"/>
  <c r="K817" i="6"/>
  <c r="N138" i="16"/>
  <c r="N134" i="16"/>
  <c r="N130" i="16"/>
  <c r="N126" i="16"/>
  <c r="L140" i="16" a="1"/>
  <c r="L140" i="16" s="1"/>
  <c r="K375" i="6"/>
  <c r="K531" i="6"/>
  <c r="K609" i="6"/>
  <c r="K115" i="6"/>
  <c r="H245" i="6"/>
  <c r="H271" i="6"/>
  <c r="N505" i="6"/>
  <c r="N583" i="6"/>
  <c r="H635" i="6"/>
  <c r="N739" i="6"/>
  <c r="N791" i="6"/>
  <c r="M139" i="16"/>
  <c r="M135" i="16"/>
  <c r="M131" i="16"/>
  <c r="M127" i="16"/>
  <c r="M123" i="16"/>
  <c r="M119" i="16"/>
  <c r="M113" i="16"/>
  <c r="M115" i="16" s="1"/>
  <c r="M108" i="16"/>
  <c r="K99" i="16"/>
  <c r="O99" i="16" s="1"/>
  <c r="M96" i="16"/>
  <c r="N96" i="16" s="1"/>
  <c r="M92" i="16"/>
  <c r="K45" i="16"/>
  <c r="O45" i="16" s="1"/>
  <c r="H167" i="6"/>
  <c r="K193" i="6"/>
  <c r="H297" i="6"/>
  <c r="K323" i="6"/>
  <c r="H479" i="6"/>
  <c r="K505" i="6"/>
  <c r="H661" i="6"/>
  <c r="H687" i="6"/>
  <c r="K139" i="16"/>
  <c r="O139" i="16" s="1"/>
  <c r="K135" i="16"/>
  <c r="O135" i="16" s="1"/>
  <c r="K131" i="16"/>
  <c r="O131" i="16" s="1"/>
  <c r="K127" i="16"/>
  <c r="O127" i="16" s="1"/>
  <c r="K123" i="16"/>
  <c r="O123" i="16" s="1"/>
  <c r="K119" i="16"/>
  <c r="O119" i="16" s="1"/>
  <c r="K93" i="16"/>
  <c r="O93" i="16" s="1"/>
  <c r="M47" i="16"/>
  <c r="H791" i="6"/>
  <c r="M137" i="16"/>
  <c r="N137" i="16" s="1"/>
  <c r="M133" i="16"/>
  <c r="M129" i="16"/>
  <c r="M125" i="16"/>
  <c r="M121" i="16"/>
  <c r="N121" i="16" s="1"/>
  <c r="M117" i="16"/>
  <c r="L114" i="16" a="1"/>
  <c r="L114" i="16" s="1"/>
  <c r="M48" i="16"/>
  <c r="M44" i="16"/>
  <c r="N133" i="16"/>
  <c r="N117" i="16"/>
  <c r="N106" i="16"/>
  <c r="J140" i="16" a="1"/>
  <c r="J140" i="16" s="1"/>
  <c r="M112" i="16"/>
  <c r="K110" i="16"/>
  <c r="K107" i="16"/>
  <c r="O107" i="16" s="1"/>
  <c r="M104" i="16"/>
  <c r="N104" i="16" s="1"/>
  <c r="K95" i="16"/>
  <c r="O95" i="16" s="1"/>
  <c r="K94" i="16"/>
  <c r="O94" i="16" s="1"/>
  <c r="K92" i="16"/>
  <c r="K56" i="16"/>
  <c r="O56" i="16" s="1"/>
  <c r="K51" i="16"/>
  <c r="O51" i="16" s="1"/>
  <c r="K48" i="16"/>
  <c r="O48" i="16" s="1"/>
  <c r="K44" i="16"/>
  <c r="O44" i="16" s="1"/>
  <c r="N116" i="16"/>
  <c r="N132" i="16"/>
  <c r="N128" i="16"/>
  <c r="K103" i="16"/>
  <c r="O103" i="16" s="1"/>
  <c r="K102" i="16"/>
  <c r="O102" i="16" s="1"/>
  <c r="K91" i="16"/>
  <c r="O91" i="16" s="1"/>
  <c r="K90" i="16"/>
  <c r="K109" i="16"/>
  <c r="O109" i="16" s="1"/>
  <c r="N108" i="16"/>
  <c r="K101" i="16"/>
  <c r="O101" i="16" s="1"/>
  <c r="K98" i="16"/>
  <c r="O98" i="16" s="1"/>
  <c r="M98" i="16"/>
  <c r="J114" i="16" a="1"/>
  <c r="J114" i="16" s="1"/>
  <c r="K53" i="16"/>
  <c r="O53" i="16" s="1"/>
  <c r="K49" i="16"/>
  <c r="O49" i="16" s="1"/>
  <c r="K42" i="16"/>
  <c r="O42" i="16" s="1"/>
  <c r="K105" i="16"/>
  <c r="O105" i="16" s="1"/>
  <c r="M102" i="16"/>
  <c r="K97" i="16"/>
  <c r="O97" i="16" s="1"/>
  <c r="M94" i="16"/>
  <c r="K61" i="16"/>
  <c r="O61" i="16" s="1"/>
  <c r="M55" i="16"/>
  <c r="M50" i="16"/>
  <c r="N50" i="16" s="1"/>
  <c r="M45" i="16"/>
  <c r="N45" i="16" s="1"/>
  <c r="M40" i="16"/>
  <c r="I90" i="16"/>
  <c r="K115" i="5"/>
  <c r="G89" i="17"/>
  <c r="K89" i="5"/>
  <c r="Q58" i="16"/>
  <c r="U58" i="16" s="1"/>
  <c r="M61" i="16"/>
  <c r="N61" i="16" s="1"/>
  <c r="M60" i="16"/>
  <c r="M59" i="16"/>
  <c r="K58" i="16"/>
  <c r="K59" i="16"/>
  <c r="O59" i="16" s="1"/>
  <c r="Q56" i="16"/>
  <c r="U56" i="16" s="1"/>
  <c r="Q55" i="16"/>
  <c r="U55" i="16" s="1"/>
  <c r="S58" i="16"/>
  <c r="T58" i="16"/>
  <c r="K55" i="16"/>
  <c r="O55" i="16" s="1"/>
  <c r="M56" i="16"/>
  <c r="N56" i="16" s="1"/>
  <c r="K57" i="16"/>
  <c r="S53" i="16"/>
  <c r="T53" i="16" s="1"/>
  <c r="S54" i="16"/>
  <c r="T54" i="16" s="1"/>
  <c r="K52" i="16"/>
  <c r="O52" i="16" s="1"/>
  <c r="M54" i="16"/>
  <c r="N54" i="16" s="1"/>
  <c r="M51" i="16"/>
  <c r="G51" i="16"/>
  <c r="H51" i="16" s="1"/>
  <c r="H61" i="16"/>
  <c r="I58" i="16"/>
  <c r="H57" i="16"/>
  <c r="D62" i="16" a="1"/>
  <c r="D62" i="16" s="1"/>
  <c r="G53" i="16"/>
  <c r="Q49" i="16"/>
  <c r="U49" i="16" s="1"/>
  <c r="M49" i="16"/>
  <c r="S49" i="16"/>
  <c r="T49" i="16" s="1"/>
  <c r="Q47" i="16"/>
  <c r="U47" i="16" s="1"/>
  <c r="S50" i="16"/>
  <c r="T50" i="16" s="1"/>
  <c r="Q43" i="16"/>
  <c r="U43" i="16" s="1"/>
  <c r="R62" i="16" a="1"/>
  <c r="R62" i="16" s="1"/>
  <c r="Q41" i="16"/>
  <c r="U41" i="16" s="1"/>
  <c r="M41" i="16"/>
  <c r="N41" i="16" s="1"/>
  <c r="N63" i="6"/>
  <c r="M42" i="16"/>
  <c r="N42" i="16" s="1"/>
  <c r="K39" i="16"/>
  <c r="O39" i="16" s="1"/>
  <c r="J62" i="16" a="1"/>
  <c r="J62" i="16" s="1"/>
  <c r="S38" i="16"/>
  <c r="T38" i="16" s="1"/>
  <c r="Q39" i="16"/>
  <c r="U39" i="16" s="1"/>
  <c r="P62" i="16" a="1"/>
  <c r="P62" i="16" s="1"/>
  <c r="G63" i="17"/>
  <c r="H63" i="6"/>
  <c r="L62" i="16" a="1"/>
  <c r="L62" i="16" s="1"/>
  <c r="K38" i="16"/>
  <c r="K63" i="6"/>
  <c r="G49" i="16"/>
  <c r="G62" i="16" s="1"/>
  <c r="G45" i="16"/>
  <c r="G41" i="16"/>
  <c r="F62" i="16" a="1"/>
  <c r="F62" i="16" s="1"/>
  <c r="K63" i="5"/>
  <c r="I33" i="16"/>
  <c r="E26" i="16"/>
  <c r="E31" i="16"/>
  <c r="E24" i="16"/>
  <c r="H37" i="6"/>
  <c r="H816" i="16"/>
  <c r="H582" i="16"/>
  <c r="O58" i="16"/>
  <c r="U61" i="16"/>
  <c r="T61" i="16"/>
  <c r="N58" i="16"/>
  <c r="E56" i="16"/>
  <c r="H56" i="16" s="1"/>
  <c r="I56" i="16"/>
  <c r="E54" i="16"/>
  <c r="H54" i="16" s="1"/>
  <c r="I54" i="16"/>
  <c r="E52" i="16"/>
  <c r="H52" i="16" s="1"/>
  <c r="I52" i="16"/>
  <c r="E50" i="16"/>
  <c r="H50" i="16" s="1"/>
  <c r="I50" i="16"/>
  <c r="E48" i="16"/>
  <c r="H48" i="16" s="1"/>
  <c r="I48" i="16"/>
  <c r="E46" i="16"/>
  <c r="H46" i="16" s="1"/>
  <c r="I46" i="16"/>
  <c r="E44" i="16"/>
  <c r="H44" i="16" s="1"/>
  <c r="I44" i="16"/>
  <c r="E42" i="16"/>
  <c r="H42" i="16" s="1"/>
  <c r="I42" i="16"/>
  <c r="E40" i="16"/>
  <c r="H40" i="16" s="1"/>
  <c r="I40" i="16"/>
  <c r="E38" i="16"/>
  <c r="I38" i="16"/>
  <c r="K60" i="16"/>
  <c r="O60" i="16" s="1"/>
  <c r="H59" i="16"/>
  <c r="Q57" i="16"/>
  <c r="U57" i="16" s="1"/>
  <c r="I57" i="16"/>
  <c r="I55" i="16"/>
  <c r="I53" i="16"/>
  <c r="T52" i="16"/>
  <c r="I51" i="16"/>
  <c r="I49" i="16"/>
  <c r="N47" i="16"/>
  <c r="I47" i="16"/>
  <c r="T46" i="16"/>
  <c r="I45" i="16"/>
  <c r="T44" i="16"/>
  <c r="N43" i="16"/>
  <c r="I43" i="16"/>
  <c r="T42" i="16"/>
  <c r="I41" i="16"/>
  <c r="T40" i="16"/>
  <c r="I39" i="16"/>
  <c r="I61" i="16"/>
  <c r="S60" i="16"/>
  <c r="T60" i="16" s="1"/>
  <c r="G58" i="16"/>
  <c r="H58" i="16" s="1"/>
  <c r="H55" i="16"/>
  <c r="H53" i="16"/>
  <c r="T51" i="16"/>
  <c r="N48" i="16"/>
  <c r="T47" i="16"/>
  <c r="H47" i="16"/>
  <c r="N46" i="16"/>
  <c r="T45" i="16"/>
  <c r="H45" i="16"/>
  <c r="H43" i="16"/>
  <c r="T41" i="16"/>
  <c r="H41" i="16"/>
  <c r="N40" i="16"/>
  <c r="T39" i="16"/>
  <c r="H39" i="16"/>
  <c r="M38" i="16"/>
  <c r="H113" i="16"/>
  <c r="G90" i="16"/>
  <c r="Q90" i="16"/>
  <c r="U90" i="16"/>
  <c r="K113" i="16"/>
  <c r="H112" i="16"/>
  <c r="Q110" i="16"/>
  <c r="T110" i="16" s="1"/>
  <c r="Q108" i="16"/>
  <c r="T108" i="16" s="1"/>
  <c r="U108" i="16"/>
  <c r="E108" i="16"/>
  <c r="I108" i="16"/>
  <c r="Q106" i="16"/>
  <c r="U106" i="16"/>
  <c r="E106" i="16"/>
  <c r="I106" i="16"/>
  <c r="Q104" i="16"/>
  <c r="U104" i="16"/>
  <c r="E104" i="16"/>
  <c r="I104" i="16"/>
  <c r="Q102" i="16"/>
  <c r="U102" i="16"/>
  <c r="E102" i="16"/>
  <c r="I102" i="16"/>
  <c r="Q100" i="16"/>
  <c r="U100" i="16"/>
  <c r="E100" i="16"/>
  <c r="I100" i="16"/>
  <c r="Q98" i="16"/>
  <c r="U98" i="16"/>
  <c r="E98" i="16"/>
  <c r="I98" i="16"/>
  <c r="Q96" i="16"/>
  <c r="U96" i="16"/>
  <c r="E96" i="16"/>
  <c r="I96" i="16"/>
  <c r="Q94" i="16"/>
  <c r="U94" i="16"/>
  <c r="E94" i="16"/>
  <c r="I94" i="16"/>
  <c r="Q92" i="16"/>
  <c r="U92" i="16"/>
  <c r="E92" i="16"/>
  <c r="I92" i="16"/>
  <c r="N111" i="16"/>
  <c r="S109" i="16"/>
  <c r="T109" i="16" s="1"/>
  <c r="S113" i="16"/>
  <c r="G111" i="16"/>
  <c r="H111" i="16" s="1"/>
  <c r="U110" i="16"/>
  <c r="U109" i="16"/>
  <c r="G108" i="16"/>
  <c r="H108" i="16" s="1"/>
  <c r="M107" i="16"/>
  <c r="S106" i="16"/>
  <c r="G106" i="16"/>
  <c r="H106" i="16" s="1"/>
  <c r="M105" i="16"/>
  <c r="S104" i="16"/>
  <c r="G104" i="16"/>
  <c r="H104" i="16" s="1"/>
  <c r="M103" i="16"/>
  <c r="S102" i="16"/>
  <c r="G102" i="16"/>
  <c r="H102" i="16" s="1"/>
  <c r="M101" i="16"/>
  <c r="S100" i="16"/>
  <c r="G100" i="16"/>
  <c r="H100" i="16" s="1"/>
  <c r="M99" i="16"/>
  <c r="S98" i="16"/>
  <c r="G98" i="16"/>
  <c r="H98" i="16" s="1"/>
  <c r="M97" i="16"/>
  <c r="S96" i="16"/>
  <c r="T96" i="16" s="1"/>
  <c r="G96" i="16"/>
  <c r="H96" i="16" s="1"/>
  <c r="M95" i="16"/>
  <c r="S94" i="16"/>
  <c r="G94" i="16"/>
  <c r="H94" i="16" s="1"/>
  <c r="M93" i="16"/>
  <c r="S92" i="16"/>
  <c r="G92" i="16"/>
  <c r="H92" i="16" s="1"/>
  <c r="M91" i="16"/>
  <c r="S90" i="16"/>
  <c r="U116" i="16"/>
  <c r="Q116" i="16"/>
  <c r="T116" i="16" s="1"/>
  <c r="H39" i="18"/>
  <c r="G817" i="17"/>
  <c r="G791" i="17"/>
  <c r="H38" i="18"/>
  <c r="H37" i="18"/>
  <c r="G765" i="17"/>
  <c r="N817" i="6"/>
  <c r="H765" i="6"/>
  <c r="N765" i="6"/>
  <c r="H713" i="6"/>
  <c r="N713" i="6"/>
  <c r="N687" i="6"/>
  <c r="N661" i="6"/>
  <c r="N635" i="6"/>
  <c r="H609" i="6"/>
  <c r="N609" i="6"/>
  <c r="K583" i="6"/>
  <c r="H557" i="6"/>
  <c r="N557" i="6"/>
  <c r="N531" i="6"/>
  <c r="N479" i="6"/>
  <c r="H453" i="6"/>
  <c r="N453" i="6"/>
  <c r="H427" i="6"/>
  <c r="N427" i="6"/>
  <c r="H401" i="6"/>
  <c r="N375" i="6"/>
  <c r="K349" i="6"/>
  <c r="H349" i="6"/>
  <c r="N349" i="6"/>
  <c r="N323" i="6"/>
  <c r="N271" i="6"/>
  <c r="N245" i="6"/>
  <c r="H219" i="6"/>
  <c r="N219" i="6"/>
  <c r="N193" i="6"/>
  <c r="N167" i="6"/>
  <c r="H141" i="6"/>
  <c r="N141" i="6"/>
  <c r="N115" i="6"/>
  <c r="N37" i="6"/>
  <c r="K37" i="6"/>
  <c r="H817" i="5"/>
  <c r="N817" i="5"/>
  <c r="K791" i="5"/>
  <c r="N791" i="5"/>
  <c r="N765" i="5"/>
  <c r="N739" i="5"/>
  <c r="N687" i="5"/>
  <c r="N661" i="5"/>
  <c r="N635" i="5"/>
  <c r="N609" i="5"/>
  <c r="K583" i="5"/>
  <c r="N583" i="5"/>
  <c r="N557" i="5"/>
  <c r="H531" i="5"/>
  <c r="N531" i="5"/>
  <c r="H505" i="5"/>
  <c r="N479" i="5"/>
  <c r="N453" i="5"/>
  <c r="N427" i="5"/>
  <c r="H401" i="5"/>
  <c r="N401" i="5"/>
  <c r="N375" i="5"/>
  <c r="N349" i="5"/>
  <c r="H323" i="5"/>
  <c r="N323" i="5"/>
  <c r="N297" i="5"/>
  <c r="N271" i="5"/>
  <c r="N245" i="5"/>
  <c r="N219" i="5"/>
  <c r="K193" i="5"/>
  <c r="N193" i="5"/>
  <c r="N167" i="5"/>
  <c r="H115" i="5"/>
  <c r="N89" i="5"/>
  <c r="N63" i="5"/>
  <c r="A90" i="17"/>
  <c r="B90" i="6"/>
  <c r="B116" i="5"/>
  <c r="T43" i="16" l="1"/>
  <c r="N136" i="16"/>
  <c r="N129" i="16"/>
  <c r="N125" i="16"/>
  <c r="T123" i="16"/>
  <c r="N122" i="16"/>
  <c r="N124" i="16"/>
  <c r="S140" i="16"/>
  <c r="T118" i="16"/>
  <c r="T117" i="16"/>
  <c r="Q140" i="16"/>
  <c r="U140" i="16" s="1"/>
  <c r="M140" i="16"/>
  <c r="I140" i="16"/>
  <c r="H128" i="16"/>
  <c r="H140" i="16"/>
  <c r="N112" i="16"/>
  <c r="T104" i="16"/>
  <c r="N103" i="16"/>
  <c r="T97" i="16"/>
  <c r="N99" i="16"/>
  <c r="T94" i="16"/>
  <c r="S114" i="16"/>
  <c r="T102" i="16"/>
  <c r="N102" i="16"/>
  <c r="T95" i="16"/>
  <c r="N95" i="16"/>
  <c r="N93" i="16"/>
  <c r="Q114" i="16"/>
  <c r="U114" i="16" s="1"/>
  <c r="N92" i="16"/>
  <c r="E114" i="16"/>
  <c r="I114" i="16" s="1"/>
  <c r="G114" i="16"/>
  <c r="N127" i="16"/>
  <c r="M114" i="16"/>
  <c r="N107" i="16"/>
  <c r="N44" i="16"/>
  <c r="N39" i="16"/>
  <c r="N131" i="16"/>
  <c r="N105" i="16"/>
  <c r="N109" i="16"/>
  <c r="N119" i="16"/>
  <c r="N135" i="16"/>
  <c r="K140" i="16"/>
  <c r="O140" i="16" s="1"/>
  <c r="N123" i="16"/>
  <c r="N139" i="16"/>
  <c r="N97" i="16"/>
  <c r="O92" i="16"/>
  <c r="N90" i="16"/>
  <c r="K114" i="16"/>
  <c r="O114" i="16" s="1"/>
  <c r="O90" i="16"/>
  <c r="N110" i="16"/>
  <c r="O110" i="16"/>
  <c r="N53" i="16"/>
  <c r="N101" i="16"/>
  <c r="N52" i="16"/>
  <c r="N51" i="16"/>
  <c r="N49" i="16"/>
  <c r="N94" i="16"/>
  <c r="N98" i="16"/>
  <c r="N59" i="16"/>
  <c r="T56" i="16"/>
  <c r="T55" i="16"/>
  <c r="T57" i="16"/>
  <c r="N55" i="16"/>
  <c r="N57" i="16"/>
  <c r="O57" i="16"/>
  <c r="E62" i="16"/>
  <c r="I62" i="16" s="1"/>
  <c r="S62" i="16"/>
  <c r="Q62" i="16"/>
  <c r="U62" i="16" s="1"/>
  <c r="M62" i="16"/>
  <c r="O38" i="16"/>
  <c r="K62" i="16"/>
  <c r="O62" i="16" s="1"/>
  <c r="H49" i="16"/>
  <c r="N38" i="16"/>
  <c r="N60" i="16"/>
  <c r="H38" i="16"/>
  <c r="T113" i="16"/>
  <c r="S115" i="16"/>
  <c r="T115" i="16" s="1"/>
  <c r="K115" i="16"/>
  <c r="N115" i="16" s="1"/>
  <c r="O113" i="16"/>
  <c r="T100" i="16"/>
  <c r="N91" i="16"/>
  <c r="H90" i="16"/>
  <c r="T92" i="16"/>
  <c r="T90" i="16"/>
  <c r="T98" i="16"/>
  <c r="T106" i="16"/>
  <c r="N113" i="16"/>
  <c r="B116" i="6"/>
  <c r="A116" i="17"/>
  <c r="B142" i="5"/>
  <c r="T140" i="16" l="1"/>
  <c r="N140" i="16"/>
  <c r="T114" i="16"/>
  <c r="H114" i="16"/>
  <c r="N114" i="16"/>
  <c r="H62" i="16"/>
  <c r="T62" i="16"/>
  <c r="N62" i="16"/>
  <c r="B168" i="5"/>
  <c r="B142" i="6"/>
  <c r="A142" i="17"/>
  <c r="F287" i="15"/>
  <c r="F288" i="15"/>
  <c r="F289" i="15"/>
  <c r="F290" i="15"/>
  <c r="F291" i="15"/>
  <c r="F292" i="15"/>
  <c r="B194" i="5" l="1"/>
  <c r="B168" i="6"/>
  <c r="A168" i="17"/>
  <c r="S6" i="6"/>
  <c r="N6" i="17" s="1"/>
  <c r="A194" i="17" l="1"/>
  <c r="B220" i="5"/>
  <c r="B194" i="6"/>
  <c r="B220" i="6" l="1"/>
  <c r="A220" i="17"/>
  <c r="B246" i="5"/>
  <c r="D36" i="26"/>
  <c r="D37" i="26"/>
  <c r="D38" i="26"/>
  <c r="D39" i="18"/>
  <c r="C39" i="18"/>
  <c r="L37" i="4"/>
  <c r="L38" i="4"/>
  <c r="L39" i="4"/>
  <c r="B272" i="5" l="1"/>
  <c r="B246" i="6"/>
  <c r="A246" i="17"/>
  <c r="E39" i="18"/>
  <c r="D38" i="18"/>
  <c r="B298" i="5" l="1"/>
  <c r="B272" i="6"/>
  <c r="A272" i="17"/>
  <c r="A298" i="17" l="1"/>
  <c r="B298" i="6"/>
  <c r="B324" i="5"/>
  <c r="B324" i="6" l="1"/>
  <c r="A324" i="17"/>
  <c r="B350" i="5"/>
  <c r="B376" i="5" l="1"/>
  <c r="B375" i="16" s="1"/>
  <c r="C375" i="15" s="1"/>
  <c r="B350" i="6"/>
  <c r="A350" i="17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O3" i="15"/>
  <c r="U2" i="16"/>
  <c r="H4" i="26"/>
  <c r="C89" i="15"/>
  <c r="C115" i="15"/>
  <c r="B141" i="16"/>
  <c r="C141" i="15" s="1"/>
  <c r="B167" i="16"/>
  <c r="C167" i="15" s="1"/>
  <c r="B193" i="16"/>
  <c r="C193" i="15" s="1"/>
  <c r="B219" i="16"/>
  <c r="C219" i="15" s="1"/>
  <c r="B245" i="16"/>
  <c r="C245" i="15" s="1"/>
  <c r="B271" i="16"/>
  <c r="C271" i="15" s="1"/>
  <c r="B297" i="16"/>
  <c r="C297" i="15" s="1"/>
  <c r="B323" i="16"/>
  <c r="C323" i="15" s="1"/>
  <c r="B349" i="16"/>
  <c r="C349" i="15" s="1"/>
  <c r="B37" i="16"/>
  <c r="C37" i="15" s="1"/>
  <c r="B63" i="16"/>
  <c r="C63" i="15" s="1"/>
  <c r="B11" i="16"/>
  <c r="C11" i="15" s="1"/>
  <c r="B23" i="4"/>
  <c r="B22" i="26" s="1"/>
  <c r="B22" i="4"/>
  <c r="B22" i="7" s="1"/>
  <c r="B22" i="18" s="1"/>
  <c r="B18" i="21" s="1"/>
  <c r="B21" i="4"/>
  <c r="B21" i="7" s="1"/>
  <c r="B21" i="18" s="1"/>
  <c r="B17" i="21" s="1"/>
  <c r="B20" i="4"/>
  <c r="B19" i="26" s="1"/>
  <c r="B19" i="4"/>
  <c r="B18" i="26" s="1"/>
  <c r="B18" i="4"/>
  <c r="B18" i="7" s="1"/>
  <c r="B18" i="18" s="1"/>
  <c r="B14" i="21" s="1"/>
  <c r="B17" i="4"/>
  <c r="B17" i="7" s="1"/>
  <c r="B17" i="18" s="1"/>
  <c r="B13" i="21" s="1"/>
  <c r="B16" i="4"/>
  <c r="B15" i="26" s="1"/>
  <c r="B15" i="4"/>
  <c r="B14" i="26" s="1"/>
  <c r="B14" i="4"/>
  <c r="B14" i="7" s="1"/>
  <c r="B14" i="18" s="1"/>
  <c r="B10" i="21" s="1"/>
  <c r="B13" i="4"/>
  <c r="B13" i="7" s="1"/>
  <c r="B13" i="18" s="1"/>
  <c r="B9" i="21" s="1"/>
  <c r="B12" i="4"/>
  <c r="B11" i="26" s="1"/>
  <c r="B11" i="4"/>
  <c r="B10" i="26" s="1"/>
  <c r="B10" i="4"/>
  <c r="B9" i="26" s="1"/>
  <c r="B9" i="4"/>
  <c r="N815" i="15"/>
  <c r="J815" i="15"/>
  <c r="F815" i="15"/>
  <c r="N814" i="15"/>
  <c r="J814" i="15"/>
  <c r="F814" i="15"/>
  <c r="N813" i="15"/>
  <c r="J813" i="15"/>
  <c r="F813" i="15"/>
  <c r="N812" i="15"/>
  <c r="J812" i="15"/>
  <c r="F812" i="15"/>
  <c r="N811" i="15"/>
  <c r="J811" i="15"/>
  <c r="F811" i="15"/>
  <c r="N810" i="15"/>
  <c r="J810" i="15"/>
  <c r="F810" i="15"/>
  <c r="N809" i="15"/>
  <c r="J809" i="15"/>
  <c r="F809" i="15"/>
  <c r="N808" i="15"/>
  <c r="J808" i="15"/>
  <c r="F808" i="15"/>
  <c r="N807" i="15"/>
  <c r="J807" i="15"/>
  <c r="F807" i="15"/>
  <c r="N806" i="15"/>
  <c r="J806" i="15"/>
  <c r="F806" i="15"/>
  <c r="N805" i="15"/>
  <c r="J805" i="15"/>
  <c r="F805" i="15"/>
  <c r="N804" i="15"/>
  <c r="J804" i="15"/>
  <c r="F804" i="15"/>
  <c r="N803" i="15"/>
  <c r="J803" i="15"/>
  <c r="F803" i="15"/>
  <c r="N802" i="15"/>
  <c r="J802" i="15"/>
  <c r="F802" i="15"/>
  <c r="N801" i="15"/>
  <c r="J801" i="15"/>
  <c r="F801" i="15"/>
  <c r="N800" i="15"/>
  <c r="J800" i="15"/>
  <c r="F800" i="15"/>
  <c r="N799" i="15"/>
  <c r="J799" i="15"/>
  <c r="F799" i="15"/>
  <c r="N798" i="15"/>
  <c r="J798" i="15"/>
  <c r="F798" i="15"/>
  <c r="N797" i="15"/>
  <c r="J797" i="15"/>
  <c r="F797" i="15"/>
  <c r="N796" i="15"/>
  <c r="J796" i="15"/>
  <c r="F796" i="15"/>
  <c r="N795" i="15"/>
  <c r="J795" i="15"/>
  <c r="F795" i="15"/>
  <c r="N794" i="15"/>
  <c r="J794" i="15"/>
  <c r="F794" i="15"/>
  <c r="N793" i="15"/>
  <c r="J793" i="15"/>
  <c r="F793" i="15"/>
  <c r="N792" i="15"/>
  <c r="J792" i="15"/>
  <c r="F792" i="15"/>
  <c r="N789" i="15"/>
  <c r="J789" i="15"/>
  <c r="F789" i="15"/>
  <c r="N788" i="15"/>
  <c r="J788" i="15"/>
  <c r="F788" i="15"/>
  <c r="N787" i="15"/>
  <c r="J787" i="15"/>
  <c r="F787" i="15"/>
  <c r="N786" i="15"/>
  <c r="J786" i="15"/>
  <c r="F786" i="15"/>
  <c r="N785" i="15"/>
  <c r="J785" i="15"/>
  <c r="F785" i="15"/>
  <c r="N784" i="15"/>
  <c r="J784" i="15"/>
  <c r="F784" i="15"/>
  <c r="N783" i="15"/>
  <c r="J783" i="15"/>
  <c r="F783" i="15"/>
  <c r="N782" i="15"/>
  <c r="J782" i="15"/>
  <c r="F782" i="15"/>
  <c r="N781" i="15"/>
  <c r="J781" i="15"/>
  <c r="F781" i="15"/>
  <c r="N780" i="15"/>
  <c r="J780" i="15"/>
  <c r="F780" i="15"/>
  <c r="N779" i="15"/>
  <c r="J779" i="15"/>
  <c r="F779" i="15"/>
  <c r="N778" i="15"/>
  <c r="J778" i="15"/>
  <c r="F778" i="15"/>
  <c r="N777" i="15"/>
  <c r="J777" i="15"/>
  <c r="F777" i="15"/>
  <c r="N776" i="15"/>
  <c r="J776" i="15"/>
  <c r="F776" i="15"/>
  <c r="N775" i="15"/>
  <c r="J775" i="15"/>
  <c r="F775" i="15"/>
  <c r="N774" i="15"/>
  <c r="J774" i="15"/>
  <c r="F774" i="15"/>
  <c r="N773" i="15"/>
  <c r="J773" i="15"/>
  <c r="F773" i="15"/>
  <c r="N772" i="15"/>
  <c r="J772" i="15"/>
  <c r="F772" i="15"/>
  <c r="N771" i="15"/>
  <c r="J771" i="15"/>
  <c r="F771" i="15"/>
  <c r="N770" i="15"/>
  <c r="J770" i="15"/>
  <c r="F770" i="15"/>
  <c r="N769" i="15"/>
  <c r="J769" i="15"/>
  <c r="F769" i="15"/>
  <c r="N768" i="15"/>
  <c r="J768" i="15"/>
  <c r="F768" i="15"/>
  <c r="N767" i="15"/>
  <c r="J767" i="15"/>
  <c r="F767" i="15"/>
  <c r="N766" i="15"/>
  <c r="J766" i="15"/>
  <c r="F766" i="15"/>
  <c r="N763" i="15"/>
  <c r="J763" i="15"/>
  <c r="F763" i="15"/>
  <c r="N762" i="15"/>
  <c r="J762" i="15"/>
  <c r="F762" i="15"/>
  <c r="N761" i="15"/>
  <c r="J761" i="15"/>
  <c r="F761" i="15"/>
  <c r="N760" i="15"/>
  <c r="J760" i="15"/>
  <c r="F760" i="15"/>
  <c r="N759" i="15"/>
  <c r="J759" i="15"/>
  <c r="F759" i="15"/>
  <c r="N758" i="15"/>
  <c r="J758" i="15"/>
  <c r="F758" i="15"/>
  <c r="N757" i="15"/>
  <c r="J757" i="15"/>
  <c r="F757" i="15"/>
  <c r="N756" i="15"/>
  <c r="J756" i="15"/>
  <c r="F756" i="15"/>
  <c r="N755" i="15"/>
  <c r="J755" i="15"/>
  <c r="F755" i="15"/>
  <c r="N754" i="15"/>
  <c r="J754" i="15"/>
  <c r="F754" i="15"/>
  <c r="N753" i="15"/>
  <c r="J753" i="15"/>
  <c r="F753" i="15"/>
  <c r="N752" i="15"/>
  <c r="J752" i="15"/>
  <c r="F752" i="15"/>
  <c r="N751" i="15"/>
  <c r="J751" i="15"/>
  <c r="F751" i="15"/>
  <c r="N750" i="15"/>
  <c r="J750" i="15"/>
  <c r="F750" i="15"/>
  <c r="N749" i="15"/>
  <c r="J749" i="15"/>
  <c r="F749" i="15"/>
  <c r="N748" i="15"/>
  <c r="J748" i="15"/>
  <c r="F748" i="15"/>
  <c r="N747" i="15"/>
  <c r="J747" i="15"/>
  <c r="F747" i="15"/>
  <c r="N746" i="15"/>
  <c r="J746" i="15"/>
  <c r="F746" i="15"/>
  <c r="N745" i="15"/>
  <c r="J745" i="15"/>
  <c r="F745" i="15"/>
  <c r="N744" i="15"/>
  <c r="J744" i="15"/>
  <c r="F744" i="15"/>
  <c r="N743" i="15"/>
  <c r="J743" i="15"/>
  <c r="F743" i="15"/>
  <c r="N742" i="15"/>
  <c r="J742" i="15"/>
  <c r="F742" i="15"/>
  <c r="N741" i="15"/>
  <c r="J741" i="15"/>
  <c r="F741" i="15"/>
  <c r="N740" i="15"/>
  <c r="J740" i="15"/>
  <c r="F740" i="15"/>
  <c r="N737" i="15"/>
  <c r="J737" i="15"/>
  <c r="F737" i="15"/>
  <c r="N736" i="15"/>
  <c r="J736" i="15"/>
  <c r="F736" i="15"/>
  <c r="N735" i="15"/>
  <c r="J735" i="15"/>
  <c r="F735" i="15"/>
  <c r="N734" i="15"/>
  <c r="J734" i="15"/>
  <c r="F734" i="15"/>
  <c r="N733" i="15"/>
  <c r="J733" i="15"/>
  <c r="F733" i="15"/>
  <c r="N732" i="15"/>
  <c r="J732" i="15"/>
  <c r="F732" i="15"/>
  <c r="N731" i="15"/>
  <c r="J731" i="15"/>
  <c r="F731" i="15"/>
  <c r="N730" i="15"/>
  <c r="J730" i="15"/>
  <c r="F730" i="15"/>
  <c r="N729" i="15"/>
  <c r="J729" i="15"/>
  <c r="F729" i="15"/>
  <c r="N728" i="15"/>
  <c r="J728" i="15"/>
  <c r="F728" i="15"/>
  <c r="N727" i="15"/>
  <c r="J727" i="15"/>
  <c r="F727" i="15"/>
  <c r="N726" i="15"/>
  <c r="J726" i="15"/>
  <c r="F726" i="15"/>
  <c r="N725" i="15"/>
  <c r="J725" i="15"/>
  <c r="F725" i="15"/>
  <c r="N724" i="15"/>
  <c r="J724" i="15"/>
  <c r="F724" i="15"/>
  <c r="N723" i="15"/>
  <c r="J723" i="15"/>
  <c r="F723" i="15"/>
  <c r="N722" i="15"/>
  <c r="J722" i="15"/>
  <c r="F722" i="15"/>
  <c r="N721" i="15"/>
  <c r="J721" i="15"/>
  <c r="F721" i="15"/>
  <c r="N720" i="15"/>
  <c r="J720" i="15"/>
  <c r="F720" i="15"/>
  <c r="N719" i="15"/>
  <c r="J719" i="15"/>
  <c r="F719" i="15"/>
  <c r="N718" i="15"/>
  <c r="J718" i="15"/>
  <c r="F718" i="15"/>
  <c r="N717" i="15"/>
  <c r="J717" i="15"/>
  <c r="F717" i="15"/>
  <c r="N716" i="15"/>
  <c r="J716" i="15"/>
  <c r="F716" i="15"/>
  <c r="N715" i="15"/>
  <c r="J715" i="15"/>
  <c r="F715" i="15"/>
  <c r="N714" i="15"/>
  <c r="J714" i="15"/>
  <c r="F714" i="15"/>
  <c r="N711" i="15"/>
  <c r="J711" i="15"/>
  <c r="F711" i="15"/>
  <c r="N710" i="15"/>
  <c r="J710" i="15"/>
  <c r="F710" i="15"/>
  <c r="N709" i="15"/>
  <c r="J709" i="15"/>
  <c r="F709" i="15"/>
  <c r="N708" i="15"/>
  <c r="J708" i="15"/>
  <c r="F708" i="15"/>
  <c r="N707" i="15"/>
  <c r="J707" i="15"/>
  <c r="F707" i="15"/>
  <c r="N706" i="15"/>
  <c r="J706" i="15"/>
  <c r="F706" i="15"/>
  <c r="N705" i="15"/>
  <c r="J705" i="15"/>
  <c r="F705" i="15"/>
  <c r="N704" i="15"/>
  <c r="J704" i="15"/>
  <c r="F704" i="15"/>
  <c r="N703" i="15"/>
  <c r="J703" i="15"/>
  <c r="F703" i="15"/>
  <c r="N702" i="15"/>
  <c r="J702" i="15"/>
  <c r="F702" i="15"/>
  <c r="N701" i="15"/>
  <c r="J701" i="15"/>
  <c r="F701" i="15"/>
  <c r="N700" i="15"/>
  <c r="J700" i="15"/>
  <c r="F700" i="15"/>
  <c r="N699" i="15"/>
  <c r="J699" i="15"/>
  <c r="F699" i="15"/>
  <c r="N698" i="15"/>
  <c r="J698" i="15"/>
  <c r="F698" i="15"/>
  <c r="N697" i="15"/>
  <c r="J697" i="15"/>
  <c r="F697" i="15"/>
  <c r="N696" i="15"/>
  <c r="J696" i="15"/>
  <c r="F696" i="15"/>
  <c r="N695" i="15"/>
  <c r="J695" i="15"/>
  <c r="F695" i="15"/>
  <c r="N694" i="15"/>
  <c r="J694" i="15"/>
  <c r="F694" i="15"/>
  <c r="N693" i="15"/>
  <c r="J693" i="15"/>
  <c r="F693" i="15"/>
  <c r="N692" i="15"/>
  <c r="J692" i="15"/>
  <c r="F692" i="15"/>
  <c r="N691" i="15"/>
  <c r="J691" i="15"/>
  <c r="F691" i="15"/>
  <c r="N690" i="15"/>
  <c r="J690" i="15"/>
  <c r="F690" i="15"/>
  <c r="N689" i="15"/>
  <c r="J689" i="15"/>
  <c r="F689" i="15"/>
  <c r="N688" i="15"/>
  <c r="J688" i="15"/>
  <c r="F688" i="15"/>
  <c r="N685" i="15"/>
  <c r="J685" i="15"/>
  <c r="F685" i="15"/>
  <c r="N684" i="15"/>
  <c r="J684" i="15"/>
  <c r="F684" i="15"/>
  <c r="N683" i="15"/>
  <c r="J683" i="15"/>
  <c r="F683" i="15"/>
  <c r="N682" i="15"/>
  <c r="J682" i="15"/>
  <c r="F682" i="15"/>
  <c r="N681" i="15"/>
  <c r="J681" i="15"/>
  <c r="F681" i="15"/>
  <c r="N680" i="15"/>
  <c r="J680" i="15"/>
  <c r="F680" i="15"/>
  <c r="N679" i="15"/>
  <c r="J679" i="15"/>
  <c r="F679" i="15"/>
  <c r="N678" i="15"/>
  <c r="J678" i="15"/>
  <c r="F678" i="15"/>
  <c r="N677" i="15"/>
  <c r="J677" i="15"/>
  <c r="F677" i="15"/>
  <c r="N676" i="15"/>
  <c r="J676" i="15"/>
  <c r="F676" i="15"/>
  <c r="N675" i="15"/>
  <c r="J675" i="15"/>
  <c r="F675" i="15"/>
  <c r="N674" i="15"/>
  <c r="J674" i="15"/>
  <c r="F674" i="15"/>
  <c r="N673" i="15"/>
  <c r="J673" i="15"/>
  <c r="F673" i="15"/>
  <c r="N672" i="15"/>
  <c r="J672" i="15"/>
  <c r="F672" i="15"/>
  <c r="N671" i="15"/>
  <c r="J671" i="15"/>
  <c r="F671" i="15"/>
  <c r="N670" i="15"/>
  <c r="J670" i="15"/>
  <c r="F670" i="15"/>
  <c r="N669" i="15"/>
  <c r="J669" i="15"/>
  <c r="F669" i="15"/>
  <c r="N668" i="15"/>
  <c r="J668" i="15"/>
  <c r="F668" i="15"/>
  <c r="N667" i="15"/>
  <c r="J667" i="15"/>
  <c r="F667" i="15"/>
  <c r="N666" i="15"/>
  <c r="J666" i="15"/>
  <c r="F666" i="15"/>
  <c r="N665" i="15"/>
  <c r="J665" i="15"/>
  <c r="F665" i="15"/>
  <c r="N664" i="15"/>
  <c r="J664" i="15"/>
  <c r="F664" i="15"/>
  <c r="N663" i="15"/>
  <c r="J663" i="15"/>
  <c r="F663" i="15"/>
  <c r="N662" i="15"/>
  <c r="J662" i="15"/>
  <c r="F662" i="15"/>
  <c r="N659" i="15"/>
  <c r="J659" i="15"/>
  <c r="F659" i="15"/>
  <c r="N658" i="15"/>
  <c r="J658" i="15"/>
  <c r="F658" i="15"/>
  <c r="N657" i="15"/>
  <c r="J657" i="15"/>
  <c r="F657" i="15"/>
  <c r="N656" i="15"/>
  <c r="J656" i="15"/>
  <c r="F656" i="15"/>
  <c r="N655" i="15"/>
  <c r="J655" i="15"/>
  <c r="F655" i="15"/>
  <c r="N654" i="15"/>
  <c r="J654" i="15"/>
  <c r="F654" i="15"/>
  <c r="N653" i="15"/>
  <c r="J653" i="15"/>
  <c r="F653" i="15"/>
  <c r="N652" i="15"/>
  <c r="J652" i="15"/>
  <c r="F652" i="15"/>
  <c r="N651" i="15"/>
  <c r="J651" i="15"/>
  <c r="F651" i="15"/>
  <c r="N650" i="15"/>
  <c r="J650" i="15"/>
  <c r="F650" i="15"/>
  <c r="N649" i="15"/>
  <c r="J649" i="15"/>
  <c r="F649" i="15"/>
  <c r="N648" i="15"/>
  <c r="J648" i="15"/>
  <c r="F648" i="15"/>
  <c r="N647" i="15"/>
  <c r="J647" i="15"/>
  <c r="F647" i="15"/>
  <c r="N646" i="15"/>
  <c r="J646" i="15"/>
  <c r="F646" i="15"/>
  <c r="N645" i="15"/>
  <c r="J645" i="15"/>
  <c r="F645" i="15"/>
  <c r="N644" i="15"/>
  <c r="J644" i="15"/>
  <c r="F644" i="15"/>
  <c r="N643" i="15"/>
  <c r="J643" i="15"/>
  <c r="F643" i="15"/>
  <c r="N642" i="15"/>
  <c r="J642" i="15"/>
  <c r="F642" i="15"/>
  <c r="N641" i="15"/>
  <c r="J641" i="15"/>
  <c r="F641" i="15"/>
  <c r="N640" i="15"/>
  <c r="J640" i="15"/>
  <c r="F640" i="15"/>
  <c r="N639" i="15"/>
  <c r="J639" i="15"/>
  <c r="F639" i="15"/>
  <c r="N638" i="15"/>
  <c r="J638" i="15"/>
  <c r="F638" i="15"/>
  <c r="N637" i="15"/>
  <c r="J637" i="15"/>
  <c r="F637" i="15"/>
  <c r="N636" i="15"/>
  <c r="J636" i="15"/>
  <c r="F636" i="15"/>
  <c r="N633" i="15"/>
  <c r="J633" i="15"/>
  <c r="F633" i="15"/>
  <c r="N632" i="15"/>
  <c r="J632" i="15"/>
  <c r="F632" i="15"/>
  <c r="N631" i="15"/>
  <c r="J631" i="15"/>
  <c r="F631" i="15"/>
  <c r="N630" i="15"/>
  <c r="J630" i="15"/>
  <c r="F630" i="15"/>
  <c r="N629" i="15"/>
  <c r="J629" i="15"/>
  <c r="F629" i="15"/>
  <c r="N628" i="15"/>
  <c r="J628" i="15"/>
  <c r="F628" i="15"/>
  <c r="N627" i="15"/>
  <c r="J627" i="15"/>
  <c r="F627" i="15"/>
  <c r="N626" i="15"/>
  <c r="J626" i="15"/>
  <c r="F626" i="15"/>
  <c r="N625" i="15"/>
  <c r="J625" i="15"/>
  <c r="F625" i="15"/>
  <c r="N624" i="15"/>
  <c r="J624" i="15"/>
  <c r="F624" i="15"/>
  <c r="N623" i="15"/>
  <c r="J623" i="15"/>
  <c r="F623" i="15"/>
  <c r="N622" i="15"/>
  <c r="J622" i="15"/>
  <c r="F622" i="15"/>
  <c r="N621" i="15"/>
  <c r="J621" i="15"/>
  <c r="F621" i="15"/>
  <c r="N620" i="15"/>
  <c r="J620" i="15"/>
  <c r="F620" i="15"/>
  <c r="N619" i="15"/>
  <c r="J619" i="15"/>
  <c r="F619" i="15"/>
  <c r="N618" i="15"/>
  <c r="J618" i="15"/>
  <c r="F618" i="15"/>
  <c r="N617" i="15"/>
  <c r="J617" i="15"/>
  <c r="F617" i="15"/>
  <c r="N616" i="15"/>
  <c r="J616" i="15"/>
  <c r="F616" i="15"/>
  <c r="N615" i="15"/>
  <c r="J615" i="15"/>
  <c r="F615" i="15"/>
  <c r="N614" i="15"/>
  <c r="J614" i="15"/>
  <c r="F614" i="15"/>
  <c r="N613" i="15"/>
  <c r="J613" i="15"/>
  <c r="F613" i="15"/>
  <c r="N612" i="15"/>
  <c r="J612" i="15"/>
  <c r="F612" i="15"/>
  <c r="N611" i="15"/>
  <c r="J611" i="15"/>
  <c r="F611" i="15"/>
  <c r="N610" i="15"/>
  <c r="J610" i="15"/>
  <c r="F610" i="15"/>
  <c r="N607" i="15"/>
  <c r="J607" i="15"/>
  <c r="F607" i="15"/>
  <c r="N606" i="15"/>
  <c r="J606" i="15"/>
  <c r="F606" i="15"/>
  <c r="N605" i="15"/>
  <c r="J605" i="15"/>
  <c r="F605" i="15"/>
  <c r="N604" i="15"/>
  <c r="J604" i="15"/>
  <c r="F604" i="15"/>
  <c r="N603" i="15"/>
  <c r="J603" i="15"/>
  <c r="F603" i="15"/>
  <c r="N602" i="15"/>
  <c r="J602" i="15"/>
  <c r="F602" i="15"/>
  <c r="N601" i="15"/>
  <c r="J601" i="15"/>
  <c r="F601" i="15"/>
  <c r="N600" i="15"/>
  <c r="J600" i="15"/>
  <c r="F600" i="15"/>
  <c r="N599" i="15"/>
  <c r="J599" i="15"/>
  <c r="F599" i="15"/>
  <c r="N598" i="15"/>
  <c r="J598" i="15"/>
  <c r="F598" i="15"/>
  <c r="N597" i="15"/>
  <c r="J597" i="15"/>
  <c r="F597" i="15"/>
  <c r="N596" i="15"/>
  <c r="J596" i="15"/>
  <c r="F596" i="15"/>
  <c r="N595" i="15"/>
  <c r="J595" i="15"/>
  <c r="F595" i="15"/>
  <c r="N594" i="15"/>
  <c r="J594" i="15"/>
  <c r="F594" i="15"/>
  <c r="N593" i="15"/>
  <c r="J593" i="15"/>
  <c r="F593" i="15"/>
  <c r="N592" i="15"/>
  <c r="J592" i="15"/>
  <c r="F592" i="15"/>
  <c r="N591" i="15"/>
  <c r="J591" i="15"/>
  <c r="F591" i="15"/>
  <c r="N590" i="15"/>
  <c r="J590" i="15"/>
  <c r="F590" i="15"/>
  <c r="N589" i="15"/>
  <c r="J589" i="15"/>
  <c r="F589" i="15"/>
  <c r="N588" i="15"/>
  <c r="J588" i="15"/>
  <c r="F588" i="15"/>
  <c r="N587" i="15"/>
  <c r="J587" i="15"/>
  <c r="F587" i="15"/>
  <c r="N586" i="15"/>
  <c r="J586" i="15"/>
  <c r="F586" i="15"/>
  <c r="N585" i="15"/>
  <c r="J585" i="15"/>
  <c r="F585" i="15"/>
  <c r="N584" i="15"/>
  <c r="J584" i="15"/>
  <c r="F584" i="15"/>
  <c r="N581" i="15"/>
  <c r="J581" i="15"/>
  <c r="F581" i="15"/>
  <c r="N580" i="15"/>
  <c r="J580" i="15"/>
  <c r="F580" i="15"/>
  <c r="N579" i="15"/>
  <c r="J579" i="15"/>
  <c r="F579" i="15"/>
  <c r="N578" i="15"/>
  <c r="J578" i="15"/>
  <c r="F578" i="15"/>
  <c r="N577" i="15"/>
  <c r="J577" i="15"/>
  <c r="F577" i="15"/>
  <c r="N576" i="15"/>
  <c r="J576" i="15"/>
  <c r="F576" i="15"/>
  <c r="N575" i="15"/>
  <c r="J575" i="15"/>
  <c r="F575" i="15"/>
  <c r="N574" i="15"/>
  <c r="J574" i="15"/>
  <c r="F574" i="15"/>
  <c r="N573" i="15"/>
  <c r="J573" i="15"/>
  <c r="F573" i="15"/>
  <c r="N572" i="15"/>
  <c r="J572" i="15"/>
  <c r="F572" i="15"/>
  <c r="N571" i="15"/>
  <c r="J571" i="15"/>
  <c r="F571" i="15"/>
  <c r="N570" i="15"/>
  <c r="J570" i="15"/>
  <c r="F570" i="15"/>
  <c r="N569" i="15"/>
  <c r="J569" i="15"/>
  <c r="F569" i="15"/>
  <c r="N568" i="15"/>
  <c r="J568" i="15"/>
  <c r="F568" i="15"/>
  <c r="N567" i="15"/>
  <c r="J567" i="15"/>
  <c r="F567" i="15"/>
  <c r="N566" i="15"/>
  <c r="J566" i="15"/>
  <c r="F566" i="15"/>
  <c r="N565" i="15"/>
  <c r="J565" i="15"/>
  <c r="F565" i="15"/>
  <c r="N564" i="15"/>
  <c r="J564" i="15"/>
  <c r="F564" i="15"/>
  <c r="N563" i="15"/>
  <c r="J563" i="15"/>
  <c r="F563" i="15"/>
  <c r="N562" i="15"/>
  <c r="J562" i="15"/>
  <c r="F562" i="15"/>
  <c r="N561" i="15"/>
  <c r="J561" i="15"/>
  <c r="F561" i="15"/>
  <c r="N560" i="15"/>
  <c r="J560" i="15"/>
  <c r="F560" i="15"/>
  <c r="N559" i="15"/>
  <c r="J559" i="15"/>
  <c r="F559" i="15"/>
  <c r="N558" i="15"/>
  <c r="J558" i="15"/>
  <c r="F558" i="15"/>
  <c r="N555" i="15"/>
  <c r="J555" i="15"/>
  <c r="F555" i="15"/>
  <c r="N554" i="15"/>
  <c r="J554" i="15"/>
  <c r="F554" i="15"/>
  <c r="N553" i="15"/>
  <c r="J553" i="15"/>
  <c r="F553" i="15"/>
  <c r="N552" i="15"/>
  <c r="J552" i="15"/>
  <c r="F552" i="15"/>
  <c r="N551" i="15"/>
  <c r="J551" i="15"/>
  <c r="F551" i="15"/>
  <c r="N550" i="15"/>
  <c r="J550" i="15"/>
  <c r="F550" i="15"/>
  <c r="N549" i="15"/>
  <c r="J549" i="15"/>
  <c r="F549" i="15"/>
  <c r="N548" i="15"/>
  <c r="J548" i="15"/>
  <c r="F548" i="15"/>
  <c r="N547" i="15"/>
  <c r="J547" i="15"/>
  <c r="F547" i="15"/>
  <c r="N546" i="15"/>
  <c r="J546" i="15"/>
  <c r="F546" i="15"/>
  <c r="N545" i="15"/>
  <c r="J545" i="15"/>
  <c r="F545" i="15"/>
  <c r="N544" i="15"/>
  <c r="J544" i="15"/>
  <c r="F544" i="15"/>
  <c r="N543" i="15"/>
  <c r="J543" i="15"/>
  <c r="F543" i="15"/>
  <c r="N542" i="15"/>
  <c r="J542" i="15"/>
  <c r="F542" i="15"/>
  <c r="N541" i="15"/>
  <c r="J541" i="15"/>
  <c r="F541" i="15"/>
  <c r="N540" i="15"/>
  <c r="J540" i="15"/>
  <c r="F540" i="15"/>
  <c r="N539" i="15"/>
  <c r="J539" i="15"/>
  <c r="F539" i="15"/>
  <c r="N538" i="15"/>
  <c r="J538" i="15"/>
  <c r="F538" i="15"/>
  <c r="N537" i="15"/>
  <c r="J537" i="15"/>
  <c r="F537" i="15"/>
  <c r="N536" i="15"/>
  <c r="J536" i="15"/>
  <c r="F536" i="15"/>
  <c r="N535" i="15"/>
  <c r="J535" i="15"/>
  <c r="F535" i="15"/>
  <c r="N534" i="15"/>
  <c r="J534" i="15"/>
  <c r="F534" i="15"/>
  <c r="N533" i="15"/>
  <c r="J533" i="15"/>
  <c r="F533" i="15"/>
  <c r="N532" i="15"/>
  <c r="J532" i="15"/>
  <c r="F532" i="15"/>
  <c r="N529" i="15"/>
  <c r="J529" i="15"/>
  <c r="F529" i="15"/>
  <c r="N528" i="15"/>
  <c r="J528" i="15"/>
  <c r="F528" i="15"/>
  <c r="N527" i="15"/>
  <c r="J527" i="15"/>
  <c r="F527" i="15"/>
  <c r="N526" i="15"/>
  <c r="J526" i="15"/>
  <c r="F526" i="15"/>
  <c r="N525" i="15"/>
  <c r="J525" i="15"/>
  <c r="F525" i="15"/>
  <c r="N524" i="15"/>
  <c r="J524" i="15"/>
  <c r="F524" i="15"/>
  <c r="N523" i="15"/>
  <c r="J523" i="15"/>
  <c r="F523" i="15"/>
  <c r="N522" i="15"/>
  <c r="J522" i="15"/>
  <c r="F522" i="15"/>
  <c r="N521" i="15"/>
  <c r="J521" i="15"/>
  <c r="F521" i="15"/>
  <c r="N520" i="15"/>
  <c r="J520" i="15"/>
  <c r="F520" i="15"/>
  <c r="N519" i="15"/>
  <c r="J519" i="15"/>
  <c r="F519" i="15"/>
  <c r="N518" i="15"/>
  <c r="J518" i="15"/>
  <c r="F518" i="15"/>
  <c r="N517" i="15"/>
  <c r="J517" i="15"/>
  <c r="F517" i="15"/>
  <c r="N516" i="15"/>
  <c r="J516" i="15"/>
  <c r="F516" i="15"/>
  <c r="N515" i="15"/>
  <c r="J515" i="15"/>
  <c r="F515" i="15"/>
  <c r="N514" i="15"/>
  <c r="J514" i="15"/>
  <c r="F514" i="15"/>
  <c r="N513" i="15"/>
  <c r="J513" i="15"/>
  <c r="F513" i="15"/>
  <c r="N512" i="15"/>
  <c r="J512" i="15"/>
  <c r="F512" i="15"/>
  <c r="N511" i="15"/>
  <c r="J511" i="15"/>
  <c r="F511" i="15"/>
  <c r="N510" i="15"/>
  <c r="J510" i="15"/>
  <c r="F510" i="15"/>
  <c r="N509" i="15"/>
  <c r="J509" i="15"/>
  <c r="F509" i="15"/>
  <c r="N508" i="15"/>
  <c r="J508" i="15"/>
  <c r="F508" i="15"/>
  <c r="N507" i="15"/>
  <c r="J507" i="15"/>
  <c r="F507" i="15"/>
  <c r="N506" i="15"/>
  <c r="J506" i="15"/>
  <c r="F506" i="15"/>
  <c r="N503" i="15"/>
  <c r="J503" i="15"/>
  <c r="F503" i="15"/>
  <c r="N502" i="15"/>
  <c r="J502" i="15"/>
  <c r="F502" i="15"/>
  <c r="N501" i="15"/>
  <c r="J501" i="15"/>
  <c r="F501" i="15"/>
  <c r="N500" i="15"/>
  <c r="J500" i="15"/>
  <c r="F500" i="15"/>
  <c r="N499" i="15"/>
  <c r="J499" i="15"/>
  <c r="F499" i="15"/>
  <c r="N498" i="15"/>
  <c r="J498" i="15"/>
  <c r="F498" i="15"/>
  <c r="N497" i="15"/>
  <c r="J497" i="15"/>
  <c r="F497" i="15"/>
  <c r="N496" i="15"/>
  <c r="J496" i="15"/>
  <c r="F496" i="15"/>
  <c r="N495" i="15"/>
  <c r="J495" i="15"/>
  <c r="F495" i="15"/>
  <c r="N494" i="15"/>
  <c r="J494" i="15"/>
  <c r="F494" i="15"/>
  <c r="N493" i="15"/>
  <c r="J493" i="15"/>
  <c r="F493" i="15"/>
  <c r="N492" i="15"/>
  <c r="J492" i="15"/>
  <c r="F492" i="15"/>
  <c r="N491" i="15"/>
  <c r="J491" i="15"/>
  <c r="F491" i="15"/>
  <c r="N490" i="15"/>
  <c r="J490" i="15"/>
  <c r="F490" i="15"/>
  <c r="N489" i="15"/>
  <c r="J489" i="15"/>
  <c r="F489" i="15"/>
  <c r="N488" i="15"/>
  <c r="J488" i="15"/>
  <c r="F488" i="15"/>
  <c r="N487" i="15"/>
  <c r="J487" i="15"/>
  <c r="F487" i="15"/>
  <c r="N486" i="15"/>
  <c r="J486" i="15"/>
  <c r="F486" i="15"/>
  <c r="N485" i="15"/>
  <c r="J485" i="15"/>
  <c r="F485" i="15"/>
  <c r="N484" i="15"/>
  <c r="J484" i="15"/>
  <c r="F484" i="15"/>
  <c r="N483" i="15"/>
  <c r="J483" i="15"/>
  <c r="F483" i="15"/>
  <c r="N482" i="15"/>
  <c r="J482" i="15"/>
  <c r="F482" i="15"/>
  <c r="N481" i="15"/>
  <c r="J481" i="15"/>
  <c r="F481" i="15"/>
  <c r="N480" i="15"/>
  <c r="J480" i="15"/>
  <c r="F480" i="15"/>
  <c r="N477" i="15"/>
  <c r="J477" i="15"/>
  <c r="F477" i="15"/>
  <c r="N476" i="15"/>
  <c r="J476" i="15"/>
  <c r="F476" i="15"/>
  <c r="N475" i="15"/>
  <c r="J475" i="15"/>
  <c r="F475" i="15"/>
  <c r="N474" i="15"/>
  <c r="J474" i="15"/>
  <c r="F474" i="15"/>
  <c r="N473" i="15"/>
  <c r="J473" i="15"/>
  <c r="F473" i="15"/>
  <c r="N472" i="15"/>
  <c r="J472" i="15"/>
  <c r="F472" i="15"/>
  <c r="N471" i="15"/>
  <c r="J471" i="15"/>
  <c r="F471" i="15"/>
  <c r="N470" i="15"/>
  <c r="J470" i="15"/>
  <c r="F470" i="15"/>
  <c r="N469" i="15"/>
  <c r="J469" i="15"/>
  <c r="F469" i="15"/>
  <c r="N468" i="15"/>
  <c r="J468" i="15"/>
  <c r="F468" i="15"/>
  <c r="N467" i="15"/>
  <c r="J467" i="15"/>
  <c r="F467" i="15"/>
  <c r="N466" i="15"/>
  <c r="J466" i="15"/>
  <c r="F466" i="15"/>
  <c r="N465" i="15"/>
  <c r="J465" i="15"/>
  <c r="F465" i="15"/>
  <c r="N464" i="15"/>
  <c r="J464" i="15"/>
  <c r="F464" i="15"/>
  <c r="N463" i="15"/>
  <c r="J463" i="15"/>
  <c r="F463" i="15"/>
  <c r="N462" i="15"/>
  <c r="J462" i="15"/>
  <c r="F462" i="15"/>
  <c r="N461" i="15"/>
  <c r="J461" i="15"/>
  <c r="F461" i="15"/>
  <c r="N460" i="15"/>
  <c r="J460" i="15"/>
  <c r="F460" i="15"/>
  <c r="N459" i="15"/>
  <c r="J459" i="15"/>
  <c r="F459" i="15"/>
  <c r="N458" i="15"/>
  <c r="J458" i="15"/>
  <c r="F458" i="15"/>
  <c r="N457" i="15"/>
  <c r="J457" i="15"/>
  <c r="F457" i="15"/>
  <c r="N456" i="15"/>
  <c r="J456" i="15"/>
  <c r="F456" i="15"/>
  <c r="N455" i="15"/>
  <c r="J455" i="15"/>
  <c r="F455" i="15"/>
  <c r="N454" i="15"/>
  <c r="J454" i="15"/>
  <c r="F454" i="15"/>
  <c r="F478" i="15" s="1"/>
  <c r="N451" i="15"/>
  <c r="J451" i="15"/>
  <c r="F451" i="15"/>
  <c r="N450" i="15"/>
  <c r="J450" i="15"/>
  <c r="F450" i="15"/>
  <c r="N449" i="15"/>
  <c r="J449" i="15"/>
  <c r="F449" i="15"/>
  <c r="N448" i="15"/>
  <c r="J448" i="15"/>
  <c r="F448" i="15"/>
  <c r="N447" i="15"/>
  <c r="J447" i="15"/>
  <c r="F447" i="15"/>
  <c r="N446" i="15"/>
  <c r="J446" i="15"/>
  <c r="F446" i="15"/>
  <c r="N445" i="15"/>
  <c r="J445" i="15"/>
  <c r="F445" i="15"/>
  <c r="N444" i="15"/>
  <c r="J444" i="15"/>
  <c r="F444" i="15"/>
  <c r="N443" i="15"/>
  <c r="J443" i="15"/>
  <c r="F443" i="15"/>
  <c r="N442" i="15"/>
  <c r="J442" i="15"/>
  <c r="F442" i="15"/>
  <c r="N441" i="15"/>
  <c r="J441" i="15"/>
  <c r="F441" i="15"/>
  <c r="N440" i="15"/>
  <c r="J440" i="15"/>
  <c r="F440" i="15"/>
  <c r="N439" i="15"/>
  <c r="J439" i="15"/>
  <c r="F439" i="15"/>
  <c r="N438" i="15"/>
  <c r="J438" i="15"/>
  <c r="F438" i="15"/>
  <c r="N437" i="15"/>
  <c r="J437" i="15"/>
  <c r="F437" i="15"/>
  <c r="N436" i="15"/>
  <c r="J436" i="15"/>
  <c r="F436" i="15"/>
  <c r="N435" i="15"/>
  <c r="J435" i="15"/>
  <c r="F435" i="15"/>
  <c r="N434" i="15"/>
  <c r="J434" i="15"/>
  <c r="F434" i="15"/>
  <c r="N433" i="15"/>
  <c r="J433" i="15"/>
  <c r="F433" i="15"/>
  <c r="N432" i="15"/>
  <c r="J432" i="15"/>
  <c r="F432" i="15"/>
  <c r="N431" i="15"/>
  <c r="J431" i="15"/>
  <c r="F431" i="15"/>
  <c r="N430" i="15"/>
  <c r="J430" i="15"/>
  <c r="F430" i="15"/>
  <c r="N429" i="15"/>
  <c r="J429" i="15"/>
  <c r="F429" i="15"/>
  <c r="N428" i="15"/>
  <c r="J428" i="15"/>
  <c r="F428" i="15"/>
  <c r="F452" i="15" s="1"/>
  <c r="N425" i="15"/>
  <c r="J425" i="15"/>
  <c r="F425" i="15"/>
  <c r="N424" i="15"/>
  <c r="J424" i="15"/>
  <c r="F424" i="15"/>
  <c r="N423" i="15"/>
  <c r="J423" i="15"/>
  <c r="F423" i="15"/>
  <c r="N422" i="15"/>
  <c r="J422" i="15"/>
  <c r="F422" i="15"/>
  <c r="N421" i="15"/>
  <c r="J421" i="15"/>
  <c r="F421" i="15"/>
  <c r="N420" i="15"/>
  <c r="J420" i="15"/>
  <c r="F420" i="15"/>
  <c r="N419" i="15"/>
  <c r="J419" i="15"/>
  <c r="F419" i="15"/>
  <c r="N418" i="15"/>
  <c r="J418" i="15"/>
  <c r="F418" i="15"/>
  <c r="N417" i="15"/>
  <c r="J417" i="15"/>
  <c r="F417" i="15"/>
  <c r="N416" i="15"/>
  <c r="J416" i="15"/>
  <c r="F416" i="15"/>
  <c r="N415" i="15"/>
  <c r="J415" i="15"/>
  <c r="F415" i="15"/>
  <c r="N414" i="15"/>
  <c r="J414" i="15"/>
  <c r="F414" i="15"/>
  <c r="N413" i="15"/>
  <c r="J413" i="15"/>
  <c r="F413" i="15"/>
  <c r="N412" i="15"/>
  <c r="J412" i="15"/>
  <c r="F412" i="15"/>
  <c r="N411" i="15"/>
  <c r="J411" i="15"/>
  <c r="F411" i="15"/>
  <c r="N410" i="15"/>
  <c r="J410" i="15"/>
  <c r="F410" i="15"/>
  <c r="N409" i="15"/>
  <c r="J409" i="15"/>
  <c r="F409" i="15"/>
  <c r="N408" i="15"/>
  <c r="J408" i="15"/>
  <c r="F408" i="15"/>
  <c r="N407" i="15"/>
  <c r="J407" i="15"/>
  <c r="F407" i="15"/>
  <c r="N406" i="15"/>
  <c r="J406" i="15"/>
  <c r="F406" i="15"/>
  <c r="N405" i="15"/>
  <c r="J405" i="15"/>
  <c r="F405" i="15"/>
  <c r="N404" i="15"/>
  <c r="J404" i="15"/>
  <c r="F404" i="15"/>
  <c r="N403" i="15"/>
  <c r="J403" i="15"/>
  <c r="F403" i="15"/>
  <c r="N402" i="15"/>
  <c r="J402" i="15"/>
  <c r="F402" i="15"/>
  <c r="N399" i="15"/>
  <c r="J399" i="15"/>
  <c r="F399" i="15"/>
  <c r="N398" i="15"/>
  <c r="J398" i="15"/>
  <c r="F398" i="15"/>
  <c r="N397" i="15"/>
  <c r="J397" i="15"/>
  <c r="F397" i="15"/>
  <c r="N396" i="15"/>
  <c r="J396" i="15"/>
  <c r="F396" i="15"/>
  <c r="N395" i="15"/>
  <c r="J395" i="15"/>
  <c r="F395" i="15"/>
  <c r="N394" i="15"/>
  <c r="J394" i="15"/>
  <c r="F394" i="15"/>
  <c r="N393" i="15"/>
  <c r="J393" i="15"/>
  <c r="F393" i="15"/>
  <c r="N392" i="15"/>
  <c r="J392" i="15"/>
  <c r="F392" i="15"/>
  <c r="N391" i="15"/>
  <c r="J391" i="15"/>
  <c r="F391" i="15"/>
  <c r="N390" i="15"/>
  <c r="J390" i="15"/>
  <c r="F390" i="15"/>
  <c r="N389" i="15"/>
  <c r="J389" i="15"/>
  <c r="F389" i="15"/>
  <c r="N388" i="15"/>
  <c r="J388" i="15"/>
  <c r="F388" i="15"/>
  <c r="N387" i="15"/>
  <c r="J387" i="15"/>
  <c r="F387" i="15"/>
  <c r="N386" i="15"/>
  <c r="J386" i="15"/>
  <c r="F386" i="15"/>
  <c r="N385" i="15"/>
  <c r="J385" i="15"/>
  <c r="F385" i="15"/>
  <c r="N384" i="15"/>
  <c r="J384" i="15"/>
  <c r="F384" i="15"/>
  <c r="N383" i="15"/>
  <c r="J383" i="15"/>
  <c r="F383" i="15"/>
  <c r="N382" i="15"/>
  <c r="J382" i="15"/>
  <c r="F382" i="15"/>
  <c r="N381" i="15"/>
  <c r="J381" i="15"/>
  <c r="F381" i="15"/>
  <c r="N380" i="15"/>
  <c r="J380" i="15"/>
  <c r="F380" i="15"/>
  <c r="N379" i="15"/>
  <c r="J379" i="15"/>
  <c r="F379" i="15"/>
  <c r="N378" i="15"/>
  <c r="J378" i="15"/>
  <c r="F378" i="15"/>
  <c r="N377" i="15"/>
  <c r="J377" i="15"/>
  <c r="F377" i="15"/>
  <c r="N376" i="15"/>
  <c r="J376" i="15"/>
  <c r="F376" i="15"/>
  <c r="F400" i="15" s="1"/>
  <c r="N373" i="15"/>
  <c r="J373" i="15"/>
  <c r="F373" i="15"/>
  <c r="N372" i="15"/>
  <c r="J372" i="15"/>
  <c r="F372" i="15"/>
  <c r="N371" i="15"/>
  <c r="J371" i="15"/>
  <c r="F371" i="15"/>
  <c r="N370" i="15"/>
  <c r="J370" i="15"/>
  <c r="F370" i="15"/>
  <c r="N369" i="15"/>
  <c r="J369" i="15"/>
  <c r="F369" i="15"/>
  <c r="N368" i="15"/>
  <c r="J368" i="15"/>
  <c r="F368" i="15"/>
  <c r="N367" i="15"/>
  <c r="J367" i="15"/>
  <c r="F367" i="15"/>
  <c r="N366" i="15"/>
  <c r="J366" i="15"/>
  <c r="F366" i="15"/>
  <c r="N365" i="15"/>
  <c r="J365" i="15"/>
  <c r="F365" i="15"/>
  <c r="N364" i="15"/>
  <c r="J364" i="15"/>
  <c r="F364" i="15"/>
  <c r="N363" i="15"/>
  <c r="J363" i="15"/>
  <c r="F363" i="15"/>
  <c r="N362" i="15"/>
  <c r="J362" i="15"/>
  <c r="F362" i="15"/>
  <c r="N361" i="15"/>
  <c r="J361" i="15"/>
  <c r="F361" i="15"/>
  <c r="N360" i="15"/>
  <c r="J360" i="15"/>
  <c r="F360" i="15"/>
  <c r="N359" i="15"/>
  <c r="J359" i="15"/>
  <c r="F359" i="15"/>
  <c r="N358" i="15"/>
  <c r="J358" i="15"/>
  <c r="F358" i="15"/>
  <c r="N357" i="15"/>
  <c r="J357" i="15"/>
  <c r="F357" i="15"/>
  <c r="N356" i="15"/>
  <c r="J356" i="15"/>
  <c r="F356" i="15"/>
  <c r="N355" i="15"/>
  <c r="J355" i="15"/>
  <c r="F355" i="15"/>
  <c r="N354" i="15"/>
  <c r="J354" i="15"/>
  <c r="F354" i="15"/>
  <c r="N353" i="15"/>
  <c r="J353" i="15"/>
  <c r="F353" i="15"/>
  <c r="N352" i="15"/>
  <c r="J352" i="15"/>
  <c r="F352" i="15"/>
  <c r="N351" i="15"/>
  <c r="J351" i="15"/>
  <c r="F351" i="15"/>
  <c r="N350" i="15"/>
  <c r="J350" i="15"/>
  <c r="F350" i="15"/>
  <c r="N347" i="15"/>
  <c r="J347" i="15"/>
  <c r="F347" i="15"/>
  <c r="N346" i="15"/>
  <c r="J346" i="15"/>
  <c r="F346" i="15"/>
  <c r="N345" i="15"/>
  <c r="J345" i="15"/>
  <c r="F345" i="15"/>
  <c r="N344" i="15"/>
  <c r="J344" i="15"/>
  <c r="F344" i="15"/>
  <c r="N343" i="15"/>
  <c r="J343" i="15"/>
  <c r="F343" i="15"/>
  <c r="N342" i="15"/>
  <c r="J342" i="15"/>
  <c r="F342" i="15"/>
  <c r="N341" i="15"/>
  <c r="J341" i="15"/>
  <c r="F341" i="15"/>
  <c r="N340" i="15"/>
  <c r="J340" i="15"/>
  <c r="F340" i="15"/>
  <c r="N339" i="15"/>
  <c r="J339" i="15"/>
  <c r="F339" i="15"/>
  <c r="N338" i="15"/>
  <c r="J338" i="15"/>
  <c r="F338" i="15"/>
  <c r="N337" i="15"/>
  <c r="J337" i="15"/>
  <c r="F337" i="15"/>
  <c r="N336" i="15"/>
  <c r="J336" i="15"/>
  <c r="F336" i="15"/>
  <c r="N335" i="15"/>
  <c r="J335" i="15"/>
  <c r="F335" i="15"/>
  <c r="N334" i="15"/>
  <c r="J334" i="15"/>
  <c r="F334" i="15"/>
  <c r="N333" i="15"/>
  <c r="J333" i="15"/>
  <c r="F333" i="15"/>
  <c r="N332" i="15"/>
  <c r="J332" i="15"/>
  <c r="F332" i="15"/>
  <c r="N331" i="15"/>
  <c r="J331" i="15"/>
  <c r="F331" i="15"/>
  <c r="N330" i="15"/>
  <c r="J330" i="15"/>
  <c r="F330" i="15"/>
  <c r="N329" i="15"/>
  <c r="J329" i="15"/>
  <c r="F329" i="15"/>
  <c r="N328" i="15"/>
  <c r="J328" i="15"/>
  <c r="F328" i="15"/>
  <c r="N327" i="15"/>
  <c r="J327" i="15"/>
  <c r="F327" i="15"/>
  <c r="N326" i="15"/>
  <c r="J326" i="15"/>
  <c r="F326" i="15"/>
  <c r="N325" i="15"/>
  <c r="J325" i="15"/>
  <c r="F325" i="15"/>
  <c r="N324" i="15"/>
  <c r="J324" i="15"/>
  <c r="F324" i="15"/>
  <c r="F348" i="15" s="1"/>
  <c r="N321" i="15"/>
  <c r="J321" i="15"/>
  <c r="F321" i="15"/>
  <c r="N320" i="15"/>
  <c r="J320" i="15"/>
  <c r="F320" i="15"/>
  <c r="N319" i="15"/>
  <c r="J319" i="15"/>
  <c r="F319" i="15"/>
  <c r="N318" i="15"/>
  <c r="J318" i="15"/>
  <c r="F318" i="15"/>
  <c r="N317" i="15"/>
  <c r="J317" i="15"/>
  <c r="F317" i="15"/>
  <c r="N316" i="15"/>
  <c r="J316" i="15"/>
  <c r="F316" i="15"/>
  <c r="N315" i="15"/>
  <c r="J315" i="15"/>
  <c r="F315" i="15"/>
  <c r="N314" i="15"/>
  <c r="J314" i="15"/>
  <c r="F314" i="15"/>
  <c r="N313" i="15"/>
  <c r="J313" i="15"/>
  <c r="F313" i="15"/>
  <c r="N312" i="15"/>
  <c r="J312" i="15"/>
  <c r="F312" i="15"/>
  <c r="N311" i="15"/>
  <c r="J311" i="15"/>
  <c r="F311" i="15"/>
  <c r="N310" i="15"/>
  <c r="J310" i="15"/>
  <c r="F310" i="15"/>
  <c r="N309" i="15"/>
  <c r="J309" i="15"/>
  <c r="F309" i="15"/>
  <c r="N308" i="15"/>
  <c r="J308" i="15"/>
  <c r="F308" i="15"/>
  <c r="N307" i="15"/>
  <c r="J307" i="15"/>
  <c r="F307" i="15"/>
  <c r="N306" i="15"/>
  <c r="J306" i="15"/>
  <c r="F306" i="15"/>
  <c r="N305" i="15"/>
  <c r="J305" i="15"/>
  <c r="F305" i="15"/>
  <c r="N304" i="15"/>
  <c r="J304" i="15"/>
  <c r="F304" i="15"/>
  <c r="N303" i="15"/>
  <c r="J303" i="15"/>
  <c r="F303" i="15"/>
  <c r="N302" i="15"/>
  <c r="J302" i="15"/>
  <c r="F302" i="15"/>
  <c r="N301" i="15"/>
  <c r="J301" i="15"/>
  <c r="F301" i="15"/>
  <c r="N300" i="15"/>
  <c r="J300" i="15"/>
  <c r="F300" i="15"/>
  <c r="N299" i="15"/>
  <c r="J299" i="15"/>
  <c r="F299" i="15"/>
  <c r="N298" i="15"/>
  <c r="J298" i="15"/>
  <c r="F298" i="15"/>
  <c r="N295" i="15"/>
  <c r="J295" i="15"/>
  <c r="F295" i="15"/>
  <c r="N294" i="15"/>
  <c r="J294" i="15"/>
  <c r="F294" i="15"/>
  <c r="N293" i="15"/>
  <c r="J293" i="15"/>
  <c r="F293" i="15"/>
  <c r="N292" i="15"/>
  <c r="J292" i="15"/>
  <c r="N291" i="15"/>
  <c r="J291" i="15"/>
  <c r="N290" i="15"/>
  <c r="J290" i="15"/>
  <c r="N289" i="15"/>
  <c r="J289" i="15"/>
  <c r="N288" i="15"/>
  <c r="J288" i="15"/>
  <c r="N287" i="15"/>
  <c r="J287" i="15"/>
  <c r="N286" i="15"/>
  <c r="J286" i="15"/>
  <c r="F286" i="15"/>
  <c r="N285" i="15"/>
  <c r="J285" i="15"/>
  <c r="F285" i="15"/>
  <c r="N284" i="15"/>
  <c r="J284" i="15"/>
  <c r="F284" i="15"/>
  <c r="N283" i="15"/>
  <c r="J283" i="15"/>
  <c r="F283" i="15"/>
  <c r="N282" i="15"/>
  <c r="J282" i="15"/>
  <c r="F282" i="15"/>
  <c r="N281" i="15"/>
  <c r="J281" i="15"/>
  <c r="F281" i="15"/>
  <c r="N280" i="15"/>
  <c r="J280" i="15"/>
  <c r="F280" i="15"/>
  <c r="N279" i="15"/>
  <c r="J279" i="15"/>
  <c r="F279" i="15"/>
  <c r="N278" i="15"/>
  <c r="J278" i="15"/>
  <c r="F278" i="15"/>
  <c r="N277" i="15"/>
  <c r="J277" i="15"/>
  <c r="F277" i="15"/>
  <c r="N276" i="15"/>
  <c r="J276" i="15"/>
  <c r="F276" i="15"/>
  <c r="N275" i="15"/>
  <c r="J275" i="15"/>
  <c r="F275" i="15"/>
  <c r="N274" i="15"/>
  <c r="J274" i="15"/>
  <c r="F274" i="15"/>
  <c r="N273" i="15"/>
  <c r="J273" i="15"/>
  <c r="F273" i="15"/>
  <c r="N272" i="15"/>
  <c r="J272" i="15"/>
  <c r="F272" i="15"/>
  <c r="N269" i="15"/>
  <c r="J269" i="15"/>
  <c r="F269" i="15"/>
  <c r="N268" i="15"/>
  <c r="J268" i="15"/>
  <c r="F268" i="15"/>
  <c r="N267" i="15"/>
  <c r="J267" i="15"/>
  <c r="F267" i="15"/>
  <c r="N266" i="15"/>
  <c r="J266" i="15"/>
  <c r="F266" i="15"/>
  <c r="N265" i="15"/>
  <c r="J265" i="15"/>
  <c r="F265" i="15"/>
  <c r="N264" i="15"/>
  <c r="J264" i="15"/>
  <c r="F264" i="15"/>
  <c r="N263" i="15"/>
  <c r="J263" i="15"/>
  <c r="F263" i="15"/>
  <c r="N262" i="15"/>
  <c r="J262" i="15"/>
  <c r="F262" i="15"/>
  <c r="N261" i="15"/>
  <c r="J261" i="15"/>
  <c r="F261" i="15"/>
  <c r="N260" i="15"/>
  <c r="J260" i="15"/>
  <c r="F260" i="15"/>
  <c r="N259" i="15"/>
  <c r="J259" i="15"/>
  <c r="F259" i="15"/>
  <c r="N258" i="15"/>
  <c r="J258" i="15"/>
  <c r="F258" i="15"/>
  <c r="N257" i="15"/>
  <c r="J257" i="15"/>
  <c r="F257" i="15"/>
  <c r="N256" i="15"/>
  <c r="J256" i="15"/>
  <c r="F256" i="15"/>
  <c r="N255" i="15"/>
  <c r="J255" i="15"/>
  <c r="F255" i="15"/>
  <c r="N254" i="15"/>
  <c r="J254" i="15"/>
  <c r="F254" i="15"/>
  <c r="N253" i="15"/>
  <c r="J253" i="15"/>
  <c r="F253" i="15"/>
  <c r="N252" i="15"/>
  <c r="J252" i="15"/>
  <c r="F252" i="15"/>
  <c r="N251" i="15"/>
  <c r="J251" i="15"/>
  <c r="F251" i="15"/>
  <c r="N250" i="15"/>
  <c r="J250" i="15"/>
  <c r="F250" i="15"/>
  <c r="N249" i="15"/>
  <c r="J249" i="15"/>
  <c r="F249" i="15"/>
  <c r="N248" i="15"/>
  <c r="J248" i="15"/>
  <c r="F248" i="15"/>
  <c r="N247" i="15"/>
  <c r="J247" i="15"/>
  <c r="F247" i="15"/>
  <c r="N246" i="15"/>
  <c r="J246" i="15"/>
  <c r="F246" i="15"/>
  <c r="N243" i="15"/>
  <c r="J243" i="15"/>
  <c r="F243" i="15"/>
  <c r="N242" i="15"/>
  <c r="J242" i="15"/>
  <c r="F242" i="15"/>
  <c r="N241" i="15"/>
  <c r="J241" i="15"/>
  <c r="F241" i="15"/>
  <c r="N240" i="15"/>
  <c r="J240" i="15"/>
  <c r="F240" i="15"/>
  <c r="N239" i="15"/>
  <c r="J239" i="15"/>
  <c r="F239" i="15"/>
  <c r="N238" i="15"/>
  <c r="J238" i="15"/>
  <c r="F238" i="15"/>
  <c r="N237" i="15"/>
  <c r="J237" i="15"/>
  <c r="F237" i="15"/>
  <c r="N236" i="15"/>
  <c r="J236" i="15"/>
  <c r="F236" i="15"/>
  <c r="N235" i="15"/>
  <c r="J235" i="15"/>
  <c r="F235" i="15"/>
  <c r="N234" i="15"/>
  <c r="J234" i="15"/>
  <c r="F234" i="15"/>
  <c r="N233" i="15"/>
  <c r="J233" i="15"/>
  <c r="F233" i="15"/>
  <c r="N232" i="15"/>
  <c r="J232" i="15"/>
  <c r="F232" i="15"/>
  <c r="N231" i="15"/>
  <c r="J231" i="15"/>
  <c r="F231" i="15"/>
  <c r="N230" i="15"/>
  <c r="J230" i="15"/>
  <c r="F230" i="15"/>
  <c r="N229" i="15"/>
  <c r="J229" i="15"/>
  <c r="F229" i="15"/>
  <c r="N228" i="15"/>
  <c r="J228" i="15"/>
  <c r="F228" i="15"/>
  <c r="N227" i="15"/>
  <c r="J227" i="15"/>
  <c r="F227" i="15"/>
  <c r="N226" i="15"/>
  <c r="J226" i="15"/>
  <c r="F226" i="15"/>
  <c r="N225" i="15"/>
  <c r="J225" i="15"/>
  <c r="F225" i="15"/>
  <c r="N224" i="15"/>
  <c r="J224" i="15"/>
  <c r="F224" i="15"/>
  <c r="N223" i="15"/>
  <c r="J223" i="15"/>
  <c r="F223" i="15"/>
  <c r="N222" i="15"/>
  <c r="J222" i="15"/>
  <c r="F222" i="15"/>
  <c r="N221" i="15"/>
  <c r="J221" i="15"/>
  <c r="F221" i="15"/>
  <c r="N220" i="15"/>
  <c r="J220" i="15"/>
  <c r="F220" i="15"/>
  <c r="N217" i="15"/>
  <c r="J217" i="15"/>
  <c r="F217" i="15"/>
  <c r="N216" i="15"/>
  <c r="J216" i="15"/>
  <c r="F216" i="15"/>
  <c r="N215" i="15"/>
  <c r="J215" i="15"/>
  <c r="F215" i="15"/>
  <c r="N214" i="15"/>
  <c r="J214" i="15"/>
  <c r="F214" i="15"/>
  <c r="N213" i="15"/>
  <c r="J213" i="15"/>
  <c r="F213" i="15"/>
  <c r="N212" i="15"/>
  <c r="J212" i="15"/>
  <c r="F212" i="15"/>
  <c r="N211" i="15"/>
  <c r="J211" i="15"/>
  <c r="F211" i="15"/>
  <c r="N210" i="15"/>
  <c r="J210" i="15"/>
  <c r="F210" i="15"/>
  <c r="N209" i="15"/>
  <c r="J209" i="15"/>
  <c r="F209" i="15"/>
  <c r="N208" i="15"/>
  <c r="J208" i="15"/>
  <c r="F208" i="15"/>
  <c r="N207" i="15"/>
  <c r="J207" i="15"/>
  <c r="F207" i="15"/>
  <c r="N206" i="15"/>
  <c r="J206" i="15"/>
  <c r="F206" i="15"/>
  <c r="N205" i="15"/>
  <c r="J205" i="15"/>
  <c r="F205" i="15"/>
  <c r="N204" i="15"/>
  <c r="J204" i="15"/>
  <c r="F204" i="15"/>
  <c r="N203" i="15"/>
  <c r="J203" i="15"/>
  <c r="F203" i="15"/>
  <c r="N202" i="15"/>
  <c r="J202" i="15"/>
  <c r="F202" i="15"/>
  <c r="N201" i="15"/>
  <c r="J201" i="15"/>
  <c r="F201" i="15"/>
  <c r="N200" i="15"/>
  <c r="J200" i="15"/>
  <c r="F200" i="15"/>
  <c r="N199" i="15"/>
  <c r="J199" i="15"/>
  <c r="F199" i="15"/>
  <c r="N198" i="15"/>
  <c r="J198" i="15"/>
  <c r="F198" i="15"/>
  <c r="N197" i="15"/>
  <c r="J197" i="15"/>
  <c r="F197" i="15"/>
  <c r="N196" i="15"/>
  <c r="J196" i="15"/>
  <c r="F196" i="15"/>
  <c r="N195" i="15"/>
  <c r="J195" i="15"/>
  <c r="F195" i="15"/>
  <c r="N194" i="15"/>
  <c r="J194" i="15"/>
  <c r="F194" i="15"/>
  <c r="N191" i="15"/>
  <c r="J191" i="15"/>
  <c r="F191" i="15"/>
  <c r="N190" i="15"/>
  <c r="J190" i="15"/>
  <c r="F190" i="15"/>
  <c r="N189" i="15"/>
  <c r="J189" i="15"/>
  <c r="F189" i="15"/>
  <c r="N188" i="15"/>
  <c r="J188" i="15"/>
  <c r="F188" i="15"/>
  <c r="N187" i="15"/>
  <c r="J187" i="15"/>
  <c r="F187" i="15"/>
  <c r="N186" i="15"/>
  <c r="J186" i="15"/>
  <c r="F186" i="15"/>
  <c r="N185" i="15"/>
  <c r="J185" i="15"/>
  <c r="F185" i="15"/>
  <c r="N184" i="15"/>
  <c r="J184" i="15"/>
  <c r="F184" i="15"/>
  <c r="N183" i="15"/>
  <c r="J183" i="15"/>
  <c r="F183" i="15"/>
  <c r="N182" i="15"/>
  <c r="J182" i="15"/>
  <c r="F182" i="15"/>
  <c r="N181" i="15"/>
  <c r="J181" i="15"/>
  <c r="F181" i="15"/>
  <c r="N180" i="15"/>
  <c r="J180" i="15"/>
  <c r="F180" i="15"/>
  <c r="N179" i="15"/>
  <c r="J179" i="15"/>
  <c r="F179" i="15"/>
  <c r="N178" i="15"/>
  <c r="J178" i="15"/>
  <c r="F178" i="15"/>
  <c r="N177" i="15"/>
  <c r="J177" i="15"/>
  <c r="F177" i="15"/>
  <c r="N176" i="15"/>
  <c r="J176" i="15"/>
  <c r="F176" i="15"/>
  <c r="N175" i="15"/>
  <c r="J175" i="15"/>
  <c r="F175" i="15"/>
  <c r="N174" i="15"/>
  <c r="J174" i="15"/>
  <c r="F174" i="15"/>
  <c r="N173" i="15"/>
  <c r="J173" i="15"/>
  <c r="F173" i="15"/>
  <c r="N172" i="15"/>
  <c r="J172" i="15"/>
  <c r="F172" i="15"/>
  <c r="N171" i="15"/>
  <c r="J171" i="15"/>
  <c r="F171" i="15"/>
  <c r="N170" i="15"/>
  <c r="J170" i="15"/>
  <c r="F170" i="15"/>
  <c r="N169" i="15"/>
  <c r="J169" i="15"/>
  <c r="F169" i="15"/>
  <c r="N168" i="15"/>
  <c r="J168" i="15"/>
  <c r="F168" i="15"/>
  <c r="N165" i="15"/>
  <c r="J165" i="15"/>
  <c r="F165" i="15"/>
  <c r="N164" i="15"/>
  <c r="J164" i="15"/>
  <c r="F164" i="15"/>
  <c r="N163" i="15"/>
  <c r="J163" i="15"/>
  <c r="F163" i="15"/>
  <c r="N162" i="15"/>
  <c r="J162" i="15"/>
  <c r="F162" i="15"/>
  <c r="N161" i="15"/>
  <c r="J161" i="15"/>
  <c r="F161" i="15"/>
  <c r="N160" i="15"/>
  <c r="J160" i="15"/>
  <c r="F160" i="15"/>
  <c r="N159" i="15"/>
  <c r="J159" i="15"/>
  <c r="F159" i="15"/>
  <c r="N158" i="15"/>
  <c r="J158" i="15"/>
  <c r="F158" i="15"/>
  <c r="N157" i="15"/>
  <c r="J157" i="15"/>
  <c r="F157" i="15"/>
  <c r="N156" i="15"/>
  <c r="J156" i="15"/>
  <c r="F156" i="15"/>
  <c r="N155" i="15"/>
  <c r="J155" i="15"/>
  <c r="F155" i="15"/>
  <c r="N154" i="15"/>
  <c r="J154" i="15"/>
  <c r="F154" i="15"/>
  <c r="N153" i="15"/>
  <c r="J153" i="15"/>
  <c r="F153" i="15"/>
  <c r="N152" i="15"/>
  <c r="J152" i="15"/>
  <c r="F152" i="15"/>
  <c r="N151" i="15"/>
  <c r="J151" i="15"/>
  <c r="F151" i="15"/>
  <c r="N150" i="15"/>
  <c r="J150" i="15"/>
  <c r="F150" i="15"/>
  <c r="N149" i="15"/>
  <c r="J149" i="15"/>
  <c r="F149" i="15"/>
  <c r="N148" i="15"/>
  <c r="J148" i="15"/>
  <c r="F148" i="15"/>
  <c r="N147" i="15"/>
  <c r="J147" i="15"/>
  <c r="F147" i="15"/>
  <c r="N146" i="15"/>
  <c r="J146" i="15"/>
  <c r="F146" i="15"/>
  <c r="N145" i="15"/>
  <c r="J145" i="15"/>
  <c r="F145" i="15"/>
  <c r="N144" i="15"/>
  <c r="J144" i="15"/>
  <c r="F144" i="15"/>
  <c r="N143" i="15"/>
  <c r="J143" i="15"/>
  <c r="F143" i="15"/>
  <c r="N142" i="15"/>
  <c r="J142" i="15"/>
  <c r="F142" i="15"/>
  <c r="N139" i="15"/>
  <c r="J139" i="15"/>
  <c r="F139" i="15"/>
  <c r="N138" i="15"/>
  <c r="J138" i="15"/>
  <c r="F138" i="15"/>
  <c r="N137" i="15"/>
  <c r="J137" i="15"/>
  <c r="F137" i="15"/>
  <c r="N136" i="15"/>
  <c r="J136" i="15"/>
  <c r="F136" i="15"/>
  <c r="N135" i="15"/>
  <c r="J135" i="15"/>
  <c r="F135" i="15"/>
  <c r="N134" i="15"/>
  <c r="J134" i="15"/>
  <c r="F134" i="15"/>
  <c r="N133" i="15"/>
  <c r="J133" i="15"/>
  <c r="F133" i="15"/>
  <c r="N132" i="15"/>
  <c r="J132" i="15"/>
  <c r="F132" i="15"/>
  <c r="N131" i="15"/>
  <c r="J131" i="15"/>
  <c r="F131" i="15"/>
  <c r="N130" i="15"/>
  <c r="J130" i="15"/>
  <c r="F130" i="15"/>
  <c r="N129" i="15"/>
  <c r="J129" i="15"/>
  <c r="F129" i="15"/>
  <c r="N128" i="15"/>
  <c r="J128" i="15"/>
  <c r="F128" i="15"/>
  <c r="N127" i="15"/>
  <c r="J127" i="15"/>
  <c r="F127" i="15"/>
  <c r="N126" i="15"/>
  <c r="J126" i="15"/>
  <c r="F126" i="15"/>
  <c r="N125" i="15"/>
  <c r="J125" i="15"/>
  <c r="F125" i="15"/>
  <c r="N124" i="15"/>
  <c r="J124" i="15"/>
  <c r="F124" i="15"/>
  <c r="N123" i="15"/>
  <c r="J123" i="15"/>
  <c r="F123" i="15"/>
  <c r="N122" i="15"/>
  <c r="J122" i="15"/>
  <c r="F122" i="15"/>
  <c r="N121" i="15"/>
  <c r="J121" i="15"/>
  <c r="F121" i="15"/>
  <c r="N120" i="15"/>
  <c r="J120" i="15"/>
  <c r="F120" i="15"/>
  <c r="N119" i="15"/>
  <c r="J119" i="15"/>
  <c r="F119" i="15"/>
  <c r="N118" i="15"/>
  <c r="J118" i="15"/>
  <c r="F118" i="15"/>
  <c r="N117" i="15"/>
  <c r="J117" i="15"/>
  <c r="F117" i="15"/>
  <c r="N116" i="15"/>
  <c r="J116" i="15"/>
  <c r="F116" i="15"/>
  <c r="N113" i="15"/>
  <c r="J113" i="15"/>
  <c r="F113" i="15"/>
  <c r="N112" i="15"/>
  <c r="J112" i="15"/>
  <c r="F112" i="15"/>
  <c r="N111" i="15"/>
  <c r="J111" i="15"/>
  <c r="F111" i="15"/>
  <c r="N110" i="15"/>
  <c r="J110" i="15"/>
  <c r="F110" i="15"/>
  <c r="N109" i="15"/>
  <c r="J109" i="15"/>
  <c r="F109" i="15"/>
  <c r="N108" i="15"/>
  <c r="J108" i="15"/>
  <c r="F108" i="15"/>
  <c r="N107" i="15"/>
  <c r="J107" i="15"/>
  <c r="F107" i="15"/>
  <c r="N106" i="15"/>
  <c r="J106" i="15"/>
  <c r="F106" i="15"/>
  <c r="N105" i="15"/>
  <c r="J105" i="15"/>
  <c r="F105" i="15"/>
  <c r="N104" i="15"/>
  <c r="J104" i="15"/>
  <c r="F104" i="15"/>
  <c r="N103" i="15"/>
  <c r="J103" i="15"/>
  <c r="F103" i="15"/>
  <c r="N102" i="15"/>
  <c r="J102" i="15"/>
  <c r="F102" i="15"/>
  <c r="N101" i="15"/>
  <c r="J101" i="15"/>
  <c r="F101" i="15"/>
  <c r="N100" i="15"/>
  <c r="J100" i="15"/>
  <c r="F100" i="15"/>
  <c r="N99" i="15"/>
  <c r="J99" i="15"/>
  <c r="F99" i="15"/>
  <c r="N98" i="15"/>
  <c r="J98" i="15"/>
  <c r="F98" i="15"/>
  <c r="N97" i="15"/>
  <c r="J97" i="15"/>
  <c r="F97" i="15"/>
  <c r="N96" i="15"/>
  <c r="J96" i="15"/>
  <c r="F96" i="15"/>
  <c r="N95" i="15"/>
  <c r="J95" i="15"/>
  <c r="F95" i="15"/>
  <c r="N94" i="15"/>
  <c r="J94" i="15"/>
  <c r="F94" i="15"/>
  <c r="N93" i="15"/>
  <c r="J93" i="15"/>
  <c r="F93" i="15"/>
  <c r="N92" i="15"/>
  <c r="J92" i="15"/>
  <c r="F92" i="15"/>
  <c r="N91" i="15"/>
  <c r="J91" i="15"/>
  <c r="F91" i="15"/>
  <c r="N90" i="15"/>
  <c r="J90" i="15"/>
  <c r="F90" i="15"/>
  <c r="N87" i="15"/>
  <c r="J87" i="15"/>
  <c r="F87" i="15"/>
  <c r="N86" i="15"/>
  <c r="J86" i="15"/>
  <c r="F86" i="15"/>
  <c r="N85" i="15"/>
  <c r="J85" i="15"/>
  <c r="F85" i="15"/>
  <c r="N84" i="15"/>
  <c r="J84" i="15"/>
  <c r="F84" i="15"/>
  <c r="N83" i="15"/>
  <c r="J83" i="15"/>
  <c r="F83" i="15"/>
  <c r="N82" i="15"/>
  <c r="J82" i="15"/>
  <c r="F82" i="15"/>
  <c r="N81" i="15"/>
  <c r="J81" i="15"/>
  <c r="F81" i="15"/>
  <c r="N80" i="15"/>
  <c r="J80" i="15"/>
  <c r="F80" i="15"/>
  <c r="N79" i="15"/>
  <c r="J79" i="15"/>
  <c r="F79" i="15"/>
  <c r="N78" i="15"/>
  <c r="J78" i="15"/>
  <c r="F78" i="15"/>
  <c r="N77" i="15"/>
  <c r="J77" i="15"/>
  <c r="F77" i="15"/>
  <c r="N76" i="15"/>
  <c r="J76" i="15"/>
  <c r="F76" i="15"/>
  <c r="N75" i="15"/>
  <c r="J75" i="15"/>
  <c r="F75" i="15"/>
  <c r="N74" i="15"/>
  <c r="J74" i="15"/>
  <c r="F74" i="15"/>
  <c r="N73" i="15"/>
  <c r="J73" i="15"/>
  <c r="F73" i="15"/>
  <c r="N72" i="15"/>
  <c r="J72" i="15"/>
  <c r="F72" i="15"/>
  <c r="N71" i="15"/>
  <c r="J71" i="15"/>
  <c r="F71" i="15"/>
  <c r="N70" i="15"/>
  <c r="J70" i="15"/>
  <c r="F70" i="15"/>
  <c r="N69" i="15"/>
  <c r="J69" i="15"/>
  <c r="F69" i="15"/>
  <c r="N68" i="15"/>
  <c r="J68" i="15"/>
  <c r="F68" i="15"/>
  <c r="N67" i="15"/>
  <c r="J67" i="15"/>
  <c r="F67" i="15"/>
  <c r="N66" i="15"/>
  <c r="J66" i="15"/>
  <c r="F66" i="15"/>
  <c r="N65" i="15"/>
  <c r="J65" i="15"/>
  <c r="F65" i="15"/>
  <c r="N64" i="15"/>
  <c r="J64" i="15"/>
  <c r="F64" i="15"/>
  <c r="N61" i="15"/>
  <c r="J61" i="15"/>
  <c r="F61" i="15"/>
  <c r="N60" i="15"/>
  <c r="J60" i="15"/>
  <c r="F60" i="15"/>
  <c r="N59" i="15"/>
  <c r="J59" i="15"/>
  <c r="F59" i="15"/>
  <c r="N58" i="15"/>
  <c r="J58" i="15"/>
  <c r="F58" i="15"/>
  <c r="N57" i="15"/>
  <c r="J57" i="15"/>
  <c r="F57" i="15"/>
  <c r="N56" i="15"/>
  <c r="J56" i="15"/>
  <c r="F56" i="15"/>
  <c r="N55" i="15"/>
  <c r="J55" i="15"/>
  <c r="F55" i="15"/>
  <c r="N54" i="15"/>
  <c r="J54" i="15"/>
  <c r="F54" i="15"/>
  <c r="N53" i="15"/>
  <c r="J53" i="15"/>
  <c r="F53" i="15"/>
  <c r="N52" i="15"/>
  <c r="J52" i="15"/>
  <c r="F52" i="15"/>
  <c r="N51" i="15"/>
  <c r="J51" i="15"/>
  <c r="F51" i="15"/>
  <c r="N50" i="15"/>
  <c r="J50" i="15"/>
  <c r="F50" i="15"/>
  <c r="N49" i="15"/>
  <c r="J49" i="15"/>
  <c r="F49" i="15"/>
  <c r="N48" i="15"/>
  <c r="J48" i="15"/>
  <c r="F48" i="15"/>
  <c r="N47" i="15"/>
  <c r="J47" i="15"/>
  <c r="F47" i="15"/>
  <c r="N46" i="15"/>
  <c r="J46" i="15"/>
  <c r="F46" i="15"/>
  <c r="N45" i="15"/>
  <c r="J45" i="15"/>
  <c r="F45" i="15"/>
  <c r="N44" i="15"/>
  <c r="J44" i="15"/>
  <c r="F44" i="15"/>
  <c r="N43" i="15"/>
  <c r="J43" i="15"/>
  <c r="F43" i="15"/>
  <c r="N42" i="15"/>
  <c r="J42" i="15"/>
  <c r="F42" i="15"/>
  <c r="N41" i="15"/>
  <c r="J41" i="15"/>
  <c r="F41" i="15"/>
  <c r="N40" i="15"/>
  <c r="J40" i="15"/>
  <c r="F40" i="15"/>
  <c r="N39" i="15"/>
  <c r="J39" i="15"/>
  <c r="F39" i="15"/>
  <c r="N38" i="15"/>
  <c r="J38" i="15"/>
  <c r="F38" i="15"/>
  <c r="N26" i="15"/>
  <c r="N27" i="15"/>
  <c r="N28" i="15"/>
  <c r="N29" i="15"/>
  <c r="N30" i="15"/>
  <c r="N31" i="15"/>
  <c r="N32" i="15"/>
  <c r="N33" i="15"/>
  <c r="N34" i="15"/>
  <c r="N35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12" i="15"/>
  <c r="J31" i="15"/>
  <c r="J32" i="15"/>
  <c r="J33" i="15"/>
  <c r="J34" i="15"/>
  <c r="J35" i="15"/>
  <c r="J20" i="15"/>
  <c r="J21" i="15"/>
  <c r="J22" i="15"/>
  <c r="J23" i="15"/>
  <c r="J24" i="15"/>
  <c r="J25" i="15"/>
  <c r="J26" i="15"/>
  <c r="J27" i="15"/>
  <c r="J28" i="15"/>
  <c r="J29" i="15"/>
  <c r="J30" i="15"/>
  <c r="J13" i="15"/>
  <c r="J14" i="15"/>
  <c r="J15" i="15"/>
  <c r="J16" i="15"/>
  <c r="J17" i="15"/>
  <c r="J18" i="15"/>
  <c r="J19" i="15"/>
  <c r="J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12" i="15"/>
  <c r="H35" i="23"/>
  <c r="G35" i="23"/>
  <c r="F35" i="23"/>
  <c r="E35" i="23"/>
  <c r="C35" i="23"/>
  <c r="H34" i="23"/>
  <c r="G34" i="23"/>
  <c r="F34" i="23"/>
  <c r="E34" i="23"/>
  <c r="C34" i="23"/>
  <c r="H33" i="23"/>
  <c r="G33" i="23"/>
  <c r="F33" i="23"/>
  <c r="E33" i="23"/>
  <c r="C33" i="23"/>
  <c r="H32" i="23"/>
  <c r="G32" i="23"/>
  <c r="F32" i="23"/>
  <c r="E32" i="23"/>
  <c r="D32" i="23"/>
  <c r="C32" i="23"/>
  <c r="H31" i="23"/>
  <c r="G31" i="23"/>
  <c r="F31" i="23"/>
  <c r="E31" i="23"/>
  <c r="D31" i="23"/>
  <c r="C31" i="23"/>
  <c r="H30" i="23"/>
  <c r="G30" i="23"/>
  <c r="F30" i="23"/>
  <c r="E30" i="23"/>
  <c r="D30" i="23"/>
  <c r="C30" i="23"/>
  <c r="H29" i="23"/>
  <c r="G29" i="23"/>
  <c r="F29" i="23"/>
  <c r="E29" i="23"/>
  <c r="D29" i="23"/>
  <c r="C29" i="23"/>
  <c r="H28" i="23"/>
  <c r="G28" i="23"/>
  <c r="F28" i="23"/>
  <c r="E28" i="23"/>
  <c r="D28" i="23"/>
  <c r="C28" i="23"/>
  <c r="H27" i="23"/>
  <c r="G27" i="23"/>
  <c r="F27" i="23"/>
  <c r="E27" i="23"/>
  <c r="D27" i="23"/>
  <c r="C27" i="23"/>
  <c r="H26" i="23"/>
  <c r="G26" i="23"/>
  <c r="F26" i="23"/>
  <c r="E26" i="23"/>
  <c r="D26" i="23"/>
  <c r="C26" i="23"/>
  <c r="H25" i="23"/>
  <c r="G25" i="23"/>
  <c r="F25" i="23"/>
  <c r="E25" i="23"/>
  <c r="D25" i="23"/>
  <c r="C25" i="23"/>
  <c r="H24" i="23"/>
  <c r="G24" i="23"/>
  <c r="F24" i="23"/>
  <c r="E24" i="23"/>
  <c r="D24" i="23"/>
  <c r="C24" i="23"/>
  <c r="H23" i="23"/>
  <c r="G23" i="23"/>
  <c r="F23" i="23"/>
  <c r="E23" i="23"/>
  <c r="D23" i="23"/>
  <c r="C23" i="23"/>
  <c r="H22" i="23"/>
  <c r="G22" i="23"/>
  <c r="F22" i="23"/>
  <c r="E22" i="23"/>
  <c r="D22" i="23"/>
  <c r="C22" i="23"/>
  <c r="H21" i="23"/>
  <c r="G21" i="23"/>
  <c r="F21" i="23"/>
  <c r="E21" i="23"/>
  <c r="D21" i="23"/>
  <c r="C21" i="23"/>
  <c r="H20" i="23"/>
  <c r="G20" i="23"/>
  <c r="F20" i="23"/>
  <c r="E20" i="23"/>
  <c r="D20" i="23"/>
  <c r="C20" i="23"/>
  <c r="H19" i="23"/>
  <c r="G19" i="23"/>
  <c r="F19" i="23"/>
  <c r="E19" i="23"/>
  <c r="D19" i="23"/>
  <c r="C19" i="23"/>
  <c r="H18" i="23"/>
  <c r="G18" i="23"/>
  <c r="F18" i="23"/>
  <c r="E18" i="23"/>
  <c r="D18" i="23"/>
  <c r="C18" i="23"/>
  <c r="H17" i="23"/>
  <c r="G17" i="23"/>
  <c r="F17" i="23"/>
  <c r="E17" i="23"/>
  <c r="D17" i="23"/>
  <c r="C17" i="23"/>
  <c r="H16" i="23"/>
  <c r="G16" i="23"/>
  <c r="F16" i="23"/>
  <c r="E16" i="23"/>
  <c r="D16" i="23"/>
  <c r="C16" i="23"/>
  <c r="H15" i="23"/>
  <c r="G15" i="23"/>
  <c r="F15" i="23"/>
  <c r="E15" i="23"/>
  <c r="D15" i="23"/>
  <c r="C15" i="23"/>
  <c r="H14" i="23"/>
  <c r="G14" i="23"/>
  <c r="F14" i="23"/>
  <c r="E14" i="23"/>
  <c r="D14" i="23"/>
  <c r="C14" i="23"/>
  <c r="H13" i="23"/>
  <c r="G13" i="23"/>
  <c r="F13" i="23"/>
  <c r="E13" i="23"/>
  <c r="D13" i="23"/>
  <c r="C13" i="23"/>
  <c r="H12" i="23"/>
  <c r="G12" i="23"/>
  <c r="F12" i="23"/>
  <c r="E12" i="23"/>
  <c r="D12" i="23"/>
  <c r="C12" i="23"/>
  <c r="H11" i="23"/>
  <c r="G11" i="23"/>
  <c r="F11" i="23"/>
  <c r="E11" i="23"/>
  <c r="D11" i="23"/>
  <c r="C11" i="23"/>
  <c r="H10" i="23"/>
  <c r="G10" i="23"/>
  <c r="F10" i="23"/>
  <c r="E10" i="23"/>
  <c r="D10" i="23"/>
  <c r="C10" i="23"/>
  <c r="H9" i="23"/>
  <c r="G9" i="23"/>
  <c r="F9" i="23"/>
  <c r="E9" i="23"/>
  <c r="D9" i="23"/>
  <c r="C9" i="23"/>
  <c r="H8" i="23"/>
  <c r="G8" i="23"/>
  <c r="F8" i="23"/>
  <c r="E8" i="23"/>
  <c r="D8" i="23"/>
  <c r="C8" i="23"/>
  <c r="H7" i="23"/>
  <c r="G7" i="23"/>
  <c r="F7" i="23"/>
  <c r="E7" i="23"/>
  <c r="D7" i="23"/>
  <c r="C7" i="23"/>
  <c r="H6" i="23"/>
  <c r="G6" i="23"/>
  <c r="F6" i="23"/>
  <c r="E6" i="23"/>
  <c r="D6" i="23"/>
  <c r="C6" i="23"/>
  <c r="L37" i="17"/>
  <c r="E5" i="23" s="1"/>
  <c r="M37" i="17"/>
  <c r="F5" i="23" s="1"/>
  <c r="N37" i="17"/>
  <c r="G5" i="23" s="1"/>
  <c r="O37" i="17"/>
  <c r="H5" i="23" s="1"/>
  <c r="K37" i="17"/>
  <c r="D5" i="23" s="1"/>
  <c r="J37" i="17"/>
  <c r="C5" i="23" s="1"/>
  <c r="H35" i="22"/>
  <c r="G35" i="22"/>
  <c r="F35" i="22"/>
  <c r="E35" i="22"/>
  <c r="D35" i="22"/>
  <c r="C35" i="22"/>
  <c r="H34" i="22"/>
  <c r="G34" i="22"/>
  <c r="F34" i="22"/>
  <c r="E34" i="22"/>
  <c r="D34" i="22"/>
  <c r="C34" i="22"/>
  <c r="H33" i="22"/>
  <c r="G33" i="22"/>
  <c r="F33" i="22"/>
  <c r="E33" i="22"/>
  <c r="D33" i="22"/>
  <c r="C33" i="22"/>
  <c r="H32" i="22"/>
  <c r="G32" i="22"/>
  <c r="F32" i="22"/>
  <c r="E32" i="22"/>
  <c r="D32" i="22"/>
  <c r="C32" i="22"/>
  <c r="H31" i="22"/>
  <c r="G31" i="22"/>
  <c r="F31" i="22"/>
  <c r="E31" i="22"/>
  <c r="D31" i="22"/>
  <c r="C31" i="22"/>
  <c r="H30" i="22"/>
  <c r="G30" i="22"/>
  <c r="F30" i="22"/>
  <c r="E30" i="22"/>
  <c r="D30" i="22"/>
  <c r="C30" i="22"/>
  <c r="H29" i="22"/>
  <c r="G29" i="22"/>
  <c r="F29" i="22"/>
  <c r="E29" i="22"/>
  <c r="D29" i="22"/>
  <c r="C29" i="22"/>
  <c r="H28" i="22"/>
  <c r="G28" i="22"/>
  <c r="F28" i="22"/>
  <c r="E28" i="22"/>
  <c r="D28" i="22"/>
  <c r="C28" i="22"/>
  <c r="H27" i="22"/>
  <c r="G27" i="22"/>
  <c r="F27" i="22"/>
  <c r="E27" i="22"/>
  <c r="D27" i="22"/>
  <c r="C27" i="22"/>
  <c r="H26" i="22"/>
  <c r="G26" i="22"/>
  <c r="F26" i="22"/>
  <c r="E26" i="22"/>
  <c r="D26" i="22"/>
  <c r="C26" i="22"/>
  <c r="H25" i="22"/>
  <c r="G25" i="22"/>
  <c r="F25" i="22"/>
  <c r="E25" i="22"/>
  <c r="D25" i="22"/>
  <c r="C25" i="22"/>
  <c r="H24" i="22"/>
  <c r="G24" i="22"/>
  <c r="F24" i="22"/>
  <c r="E24" i="22"/>
  <c r="D24" i="22"/>
  <c r="C24" i="22"/>
  <c r="H23" i="22"/>
  <c r="G23" i="22"/>
  <c r="F23" i="22"/>
  <c r="E23" i="22"/>
  <c r="D23" i="22"/>
  <c r="C23" i="22"/>
  <c r="H22" i="22"/>
  <c r="G22" i="22"/>
  <c r="F22" i="22"/>
  <c r="E22" i="22"/>
  <c r="D22" i="22"/>
  <c r="C22" i="22"/>
  <c r="H21" i="22"/>
  <c r="G21" i="22"/>
  <c r="F21" i="22"/>
  <c r="E21" i="22"/>
  <c r="D21" i="22"/>
  <c r="C21" i="22"/>
  <c r="H20" i="22"/>
  <c r="G20" i="22"/>
  <c r="F20" i="22"/>
  <c r="E20" i="22"/>
  <c r="D20" i="22"/>
  <c r="C20" i="22"/>
  <c r="H19" i="22"/>
  <c r="G19" i="22"/>
  <c r="F19" i="22"/>
  <c r="E19" i="22"/>
  <c r="D19" i="22"/>
  <c r="C19" i="22"/>
  <c r="H18" i="22"/>
  <c r="G18" i="22"/>
  <c r="F18" i="22"/>
  <c r="E18" i="22"/>
  <c r="D18" i="22"/>
  <c r="C18" i="22"/>
  <c r="H17" i="22"/>
  <c r="G17" i="22"/>
  <c r="F17" i="22"/>
  <c r="E17" i="22"/>
  <c r="D17" i="22"/>
  <c r="C17" i="22"/>
  <c r="H16" i="22"/>
  <c r="G16" i="22"/>
  <c r="F16" i="22"/>
  <c r="E16" i="22"/>
  <c r="D16" i="22"/>
  <c r="C16" i="22"/>
  <c r="H15" i="22"/>
  <c r="G15" i="22"/>
  <c r="F15" i="22"/>
  <c r="E15" i="22"/>
  <c r="D15" i="22"/>
  <c r="C15" i="22"/>
  <c r="H14" i="22"/>
  <c r="G14" i="22"/>
  <c r="F14" i="22"/>
  <c r="E14" i="22"/>
  <c r="D14" i="22"/>
  <c r="C14" i="22"/>
  <c r="H13" i="22"/>
  <c r="G13" i="22"/>
  <c r="F13" i="22"/>
  <c r="E13" i="22"/>
  <c r="D13" i="22"/>
  <c r="C13" i="22"/>
  <c r="H12" i="22"/>
  <c r="G12" i="22"/>
  <c r="F12" i="22"/>
  <c r="E12" i="22"/>
  <c r="D12" i="22"/>
  <c r="C12" i="22"/>
  <c r="H11" i="22"/>
  <c r="G11" i="22"/>
  <c r="F11" i="22"/>
  <c r="E11" i="22"/>
  <c r="D11" i="22"/>
  <c r="C11" i="22"/>
  <c r="H10" i="22"/>
  <c r="G10" i="22"/>
  <c r="F10" i="22"/>
  <c r="E10" i="22"/>
  <c r="D10" i="22"/>
  <c r="C10" i="22"/>
  <c r="H9" i="22"/>
  <c r="G9" i="22"/>
  <c r="F9" i="22"/>
  <c r="E9" i="22"/>
  <c r="D9" i="22"/>
  <c r="C9" i="22"/>
  <c r="H8" i="22"/>
  <c r="G8" i="22"/>
  <c r="F8" i="22"/>
  <c r="E8" i="22"/>
  <c r="D8" i="22"/>
  <c r="C8" i="22"/>
  <c r="H6" i="22"/>
  <c r="G6" i="22"/>
  <c r="F6" i="22"/>
  <c r="E6" i="22"/>
  <c r="D6" i="22"/>
  <c r="C6" i="22"/>
  <c r="H5" i="22"/>
  <c r="G5" i="22"/>
  <c r="F5" i="22"/>
  <c r="E5" i="22"/>
  <c r="D5" i="22"/>
  <c r="C5" i="22"/>
  <c r="H35" i="21"/>
  <c r="G35" i="21"/>
  <c r="F35" i="21"/>
  <c r="E35" i="21"/>
  <c r="D35" i="21"/>
  <c r="H34" i="21"/>
  <c r="G34" i="21"/>
  <c r="F34" i="21"/>
  <c r="E34" i="21"/>
  <c r="D34" i="21"/>
  <c r="H33" i="21"/>
  <c r="G33" i="21"/>
  <c r="F33" i="21"/>
  <c r="E33" i="21"/>
  <c r="D33" i="21"/>
  <c r="H32" i="21"/>
  <c r="G32" i="21"/>
  <c r="F32" i="21"/>
  <c r="E32" i="21"/>
  <c r="D32" i="21"/>
  <c r="H31" i="21"/>
  <c r="G31" i="21"/>
  <c r="F31" i="21"/>
  <c r="E31" i="21"/>
  <c r="D31" i="21"/>
  <c r="H30" i="21"/>
  <c r="G30" i="21"/>
  <c r="F30" i="21"/>
  <c r="E30" i="21"/>
  <c r="D30" i="21"/>
  <c r="H29" i="21"/>
  <c r="G29" i="21"/>
  <c r="F29" i="21"/>
  <c r="E29" i="21"/>
  <c r="D29" i="21"/>
  <c r="H28" i="21"/>
  <c r="G28" i="21"/>
  <c r="F28" i="21"/>
  <c r="E28" i="21"/>
  <c r="D28" i="21"/>
  <c r="H27" i="21"/>
  <c r="G27" i="21"/>
  <c r="F27" i="21"/>
  <c r="E27" i="21"/>
  <c r="D27" i="21"/>
  <c r="H26" i="21"/>
  <c r="G26" i="21"/>
  <c r="F26" i="21"/>
  <c r="E26" i="21"/>
  <c r="D26" i="21"/>
  <c r="H25" i="21"/>
  <c r="G25" i="21"/>
  <c r="F25" i="21"/>
  <c r="E25" i="21"/>
  <c r="D25" i="21"/>
  <c r="H24" i="21"/>
  <c r="G24" i="21"/>
  <c r="F24" i="21"/>
  <c r="E24" i="21"/>
  <c r="D24" i="21"/>
  <c r="H23" i="21"/>
  <c r="G23" i="21"/>
  <c r="F23" i="21"/>
  <c r="E23" i="21"/>
  <c r="D23" i="21"/>
  <c r="H22" i="21"/>
  <c r="G22" i="21"/>
  <c r="F22" i="21"/>
  <c r="E22" i="21"/>
  <c r="D22" i="21"/>
  <c r="H21" i="21"/>
  <c r="G21" i="21"/>
  <c r="F21" i="21"/>
  <c r="E21" i="21"/>
  <c r="D21" i="21"/>
  <c r="H20" i="21"/>
  <c r="G20" i="21"/>
  <c r="F20" i="21"/>
  <c r="E20" i="21"/>
  <c r="D20" i="21"/>
  <c r="H19" i="21"/>
  <c r="G19" i="21"/>
  <c r="F19" i="21"/>
  <c r="E19" i="21"/>
  <c r="D19" i="21"/>
  <c r="H18" i="21"/>
  <c r="G18" i="21"/>
  <c r="F18" i="21"/>
  <c r="E18" i="21"/>
  <c r="D18" i="21"/>
  <c r="H17" i="21"/>
  <c r="G17" i="21"/>
  <c r="F17" i="21"/>
  <c r="E17" i="21"/>
  <c r="D17" i="21"/>
  <c r="H16" i="21"/>
  <c r="G16" i="21"/>
  <c r="F16" i="21"/>
  <c r="E16" i="21"/>
  <c r="D16" i="21"/>
  <c r="H15" i="21"/>
  <c r="G15" i="21"/>
  <c r="F15" i="21"/>
  <c r="E15" i="21"/>
  <c r="D15" i="21"/>
  <c r="H14" i="21"/>
  <c r="G14" i="21"/>
  <c r="F14" i="21"/>
  <c r="E14" i="21"/>
  <c r="D14" i="21"/>
  <c r="H13" i="21"/>
  <c r="G13" i="21"/>
  <c r="F13" i="21"/>
  <c r="E13" i="21"/>
  <c r="D13" i="21"/>
  <c r="H12" i="21"/>
  <c r="G12" i="21"/>
  <c r="F12" i="21"/>
  <c r="E12" i="21"/>
  <c r="D12" i="21"/>
  <c r="H11" i="21"/>
  <c r="G11" i="21"/>
  <c r="F11" i="21"/>
  <c r="E11" i="21"/>
  <c r="D11" i="21"/>
  <c r="H10" i="21"/>
  <c r="G10" i="21"/>
  <c r="F10" i="21"/>
  <c r="E10" i="21"/>
  <c r="D10" i="21"/>
  <c r="H9" i="21"/>
  <c r="G9" i="21"/>
  <c r="F9" i="21"/>
  <c r="E9" i="21"/>
  <c r="D9" i="21"/>
  <c r="H8" i="21"/>
  <c r="G8" i="21"/>
  <c r="F8" i="21"/>
  <c r="E8" i="21"/>
  <c r="D8" i="21"/>
  <c r="H7" i="21"/>
  <c r="G7" i="21"/>
  <c r="F7" i="21"/>
  <c r="E7" i="21"/>
  <c r="D7" i="21"/>
  <c r="H6" i="21"/>
  <c r="G6" i="21"/>
  <c r="F6" i="21"/>
  <c r="E6" i="21"/>
  <c r="D6" i="21"/>
  <c r="T37" i="5"/>
  <c r="H5" i="21" s="1"/>
  <c r="S37" i="5"/>
  <c r="G5" i="21" s="1"/>
  <c r="R37" i="5"/>
  <c r="F5" i="21" s="1"/>
  <c r="Q37" i="5"/>
  <c r="E5" i="21" s="1"/>
  <c r="P37" i="5"/>
  <c r="D5" i="21" s="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O37" i="5"/>
  <c r="C5" i="21" s="1"/>
  <c r="D21" i="18"/>
  <c r="C21" i="18"/>
  <c r="F21" i="18"/>
  <c r="I21" i="18"/>
  <c r="H21" i="18"/>
  <c r="R815" i="16"/>
  <c r="P815" i="16"/>
  <c r="R814" i="16"/>
  <c r="P814" i="16"/>
  <c r="R813" i="16"/>
  <c r="P813" i="16"/>
  <c r="R812" i="16"/>
  <c r="P812" i="16"/>
  <c r="R811" i="16"/>
  <c r="P811" i="16"/>
  <c r="R810" i="16"/>
  <c r="P810" i="16"/>
  <c r="R809" i="16"/>
  <c r="P809" i="16"/>
  <c r="R808" i="16"/>
  <c r="P808" i="16"/>
  <c r="R807" i="16"/>
  <c r="P807" i="16"/>
  <c r="R806" i="16"/>
  <c r="P806" i="16"/>
  <c r="R805" i="16"/>
  <c r="P805" i="16"/>
  <c r="R804" i="16"/>
  <c r="P804" i="16"/>
  <c r="R803" i="16"/>
  <c r="P803" i="16"/>
  <c r="R802" i="16"/>
  <c r="P802" i="16"/>
  <c r="R801" i="16"/>
  <c r="P801" i="16"/>
  <c r="R800" i="16"/>
  <c r="P800" i="16"/>
  <c r="R799" i="16"/>
  <c r="R798" i="16"/>
  <c r="P798" i="16"/>
  <c r="R797" i="16"/>
  <c r="P797" i="16"/>
  <c r="R796" i="16"/>
  <c r="P796" i="16"/>
  <c r="R795" i="16"/>
  <c r="P795" i="16"/>
  <c r="R794" i="16"/>
  <c r="P794" i="16"/>
  <c r="R793" i="16"/>
  <c r="P793" i="16"/>
  <c r="R792" i="16"/>
  <c r="P792" i="16"/>
  <c r="R791" i="16"/>
  <c r="P791" i="16"/>
  <c r="R789" i="16"/>
  <c r="P789" i="16"/>
  <c r="R788" i="16"/>
  <c r="P788" i="16"/>
  <c r="R787" i="16"/>
  <c r="P787" i="16"/>
  <c r="R786" i="16"/>
  <c r="P786" i="16"/>
  <c r="R785" i="16"/>
  <c r="P785" i="16"/>
  <c r="R784" i="16"/>
  <c r="P784" i="16"/>
  <c r="R783" i="16"/>
  <c r="P783" i="16"/>
  <c r="R782" i="16"/>
  <c r="P782" i="16"/>
  <c r="R781" i="16"/>
  <c r="P781" i="16"/>
  <c r="R780" i="16"/>
  <c r="P780" i="16"/>
  <c r="R779" i="16"/>
  <c r="P779" i="16"/>
  <c r="R778" i="16"/>
  <c r="P778" i="16"/>
  <c r="R777" i="16"/>
  <c r="P777" i="16"/>
  <c r="R776" i="16"/>
  <c r="P776" i="16"/>
  <c r="R775" i="16"/>
  <c r="P775" i="16"/>
  <c r="R774" i="16"/>
  <c r="P774" i="16"/>
  <c r="R773" i="16"/>
  <c r="P773" i="16"/>
  <c r="R772" i="16"/>
  <c r="P772" i="16"/>
  <c r="R771" i="16"/>
  <c r="P771" i="16"/>
  <c r="R770" i="16"/>
  <c r="P770" i="16"/>
  <c r="R769" i="16"/>
  <c r="P769" i="16"/>
  <c r="R768" i="16"/>
  <c r="P768" i="16"/>
  <c r="R767" i="16"/>
  <c r="P767" i="16"/>
  <c r="R766" i="16"/>
  <c r="P766" i="16"/>
  <c r="R765" i="16"/>
  <c r="P765" i="16"/>
  <c r="R763" i="16"/>
  <c r="P763" i="16"/>
  <c r="R762" i="16"/>
  <c r="P762" i="16"/>
  <c r="R761" i="16"/>
  <c r="P761" i="16"/>
  <c r="R760" i="16"/>
  <c r="P760" i="16"/>
  <c r="R759" i="16"/>
  <c r="P759" i="16"/>
  <c r="R758" i="16"/>
  <c r="P758" i="16"/>
  <c r="R757" i="16"/>
  <c r="P757" i="16"/>
  <c r="R756" i="16"/>
  <c r="P756" i="16"/>
  <c r="R755" i="16"/>
  <c r="P755" i="16"/>
  <c r="R754" i="16"/>
  <c r="P754" i="16"/>
  <c r="R753" i="16"/>
  <c r="P753" i="16"/>
  <c r="R752" i="16"/>
  <c r="P752" i="16"/>
  <c r="R751" i="16"/>
  <c r="P751" i="16"/>
  <c r="R750" i="16"/>
  <c r="P750" i="16"/>
  <c r="R749" i="16"/>
  <c r="P749" i="16"/>
  <c r="R748" i="16"/>
  <c r="P748" i="16"/>
  <c r="R747" i="16"/>
  <c r="P747" i="16"/>
  <c r="R746" i="16"/>
  <c r="P746" i="16"/>
  <c r="R745" i="16"/>
  <c r="P745" i="16"/>
  <c r="R744" i="16"/>
  <c r="P744" i="16"/>
  <c r="R743" i="16"/>
  <c r="P743" i="16"/>
  <c r="R742" i="16"/>
  <c r="P742" i="16"/>
  <c r="R741" i="16"/>
  <c r="P741" i="16"/>
  <c r="R740" i="16"/>
  <c r="P740" i="16"/>
  <c r="R739" i="16"/>
  <c r="R764" i="16" s="1" a="1"/>
  <c r="R764" i="16" s="1"/>
  <c r="P739" i="16"/>
  <c r="P764" i="16" s="1" a="1"/>
  <c r="P764" i="16" s="1"/>
  <c r="R737" i="16"/>
  <c r="P737" i="16"/>
  <c r="R736" i="16"/>
  <c r="P736" i="16"/>
  <c r="R735" i="16"/>
  <c r="P735" i="16"/>
  <c r="R734" i="16"/>
  <c r="P734" i="16"/>
  <c r="R733" i="16"/>
  <c r="P733" i="16"/>
  <c r="R732" i="16"/>
  <c r="P732" i="16"/>
  <c r="R731" i="16"/>
  <c r="P731" i="16"/>
  <c r="R730" i="16"/>
  <c r="P730" i="16"/>
  <c r="R729" i="16"/>
  <c r="P729" i="16"/>
  <c r="R728" i="16"/>
  <c r="P728" i="16"/>
  <c r="R727" i="16"/>
  <c r="P727" i="16"/>
  <c r="R726" i="16"/>
  <c r="P726" i="16"/>
  <c r="R725" i="16"/>
  <c r="P725" i="16"/>
  <c r="R724" i="16"/>
  <c r="P724" i="16"/>
  <c r="R723" i="16"/>
  <c r="P723" i="16"/>
  <c r="R722" i="16"/>
  <c r="P722" i="16"/>
  <c r="R721" i="16"/>
  <c r="P721" i="16"/>
  <c r="R720" i="16"/>
  <c r="P720" i="16"/>
  <c r="R719" i="16"/>
  <c r="P719" i="16"/>
  <c r="R718" i="16"/>
  <c r="P718" i="16"/>
  <c r="R717" i="16"/>
  <c r="P717" i="16"/>
  <c r="R716" i="16"/>
  <c r="P716" i="16"/>
  <c r="R715" i="16"/>
  <c r="P715" i="16"/>
  <c r="R714" i="16"/>
  <c r="P714" i="16"/>
  <c r="R713" i="16"/>
  <c r="P713" i="16"/>
  <c r="R711" i="16"/>
  <c r="P711" i="16"/>
  <c r="R710" i="16"/>
  <c r="P710" i="16"/>
  <c r="R709" i="16"/>
  <c r="P709" i="16"/>
  <c r="R708" i="16"/>
  <c r="P708" i="16"/>
  <c r="R707" i="16"/>
  <c r="P707" i="16"/>
  <c r="R706" i="16"/>
  <c r="P706" i="16"/>
  <c r="R705" i="16"/>
  <c r="P705" i="16"/>
  <c r="R704" i="16"/>
  <c r="P704" i="16"/>
  <c r="R703" i="16"/>
  <c r="P703" i="16"/>
  <c r="R702" i="16"/>
  <c r="P702" i="16"/>
  <c r="R701" i="16"/>
  <c r="P701" i="16"/>
  <c r="R700" i="16"/>
  <c r="P700" i="16"/>
  <c r="R699" i="16"/>
  <c r="P699" i="16"/>
  <c r="R698" i="16"/>
  <c r="P698" i="16"/>
  <c r="R697" i="16"/>
  <c r="P697" i="16"/>
  <c r="R696" i="16"/>
  <c r="P696" i="16"/>
  <c r="R695" i="16"/>
  <c r="P695" i="16"/>
  <c r="R694" i="16"/>
  <c r="P694" i="16"/>
  <c r="R693" i="16"/>
  <c r="P693" i="16"/>
  <c r="R692" i="16"/>
  <c r="P692" i="16"/>
  <c r="R691" i="16"/>
  <c r="P691" i="16"/>
  <c r="R690" i="16"/>
  <c r="P690" i="16"/>
  <c r="R689" i="16"/>
  <c r="P689" i="16"/>
  <c r="R688" i="16"/>
  <c r="P688" i="16"/>
  <c r="R687" i="16"/>
  <c r="R712" i="16" s="1" a="1"/>
  <c r="R712" i="16" s="1"/>
  <c r="P687" i="16"/>
  <c r="P712" i="16" s="1" a="1"/>
  <c r="P712" i="16" s="1"/>
  <c r="R685" i="16"/>
  <c r="P685" i="16"/>
  <c r="R684" i="16"/>
  <c r="P684" i="16"/>
  <c r="R683" i="16"/>
  <c r="P683" i="16"/>
  <c r="R682" i="16"/>
  <c r="P682" i="16"/>
  <c r="R681" i="16"/>
  <c r="P681" i="16"/>
  <c r="R680" i="16"/>
  <c r="P680" i="16"/>
  <c r="R679" i="16"/>
  <c r="P679" i="16"/>
  <c r="R678" i="16"/>
  <c r="P678" i="16"/>
  <c r="R677" i="16"/>
  <c r="P677" i="16"/>
  <c r="R676" i="16"/>
  <c r="P676" i="16"/>
  <c r="R675" i="16"/>
  <c r="P675" i="16"/>
  <c r="R674" i="16"/>
  <c r="P674" i="16"/>
  <c r="R673" i="16"/>
  <c r="P673" i="16"/>
  <c r="R672" i="16"/>
  <c r="P672" i="16"/>
  <c r="R671" i="16"/>
  <c r="P671" i="16"/>
  <c r="R670" i="16"/>
  <c r="P670" i="16"/>
  <c r="R669" i="16"/>
  <c r="P669" i="16"/>
  <c r="R668" i="16"/>
  <c r="P668" i="16"/>
  <c r="R667" i="16"/>
  <c r="P667" i="16"/>
  <c r="R666" i="16"/>
  <c r="P666" i="16"/>
  <c r="R665" i="16"/>
  <c r="P665" i="16"/>
  <c r="R664" i="16"/>
  <c r="P664" i="16"/>
  <c r="R663" i="16"/>
  <c r="P663" i="16"/>
  <c r="R662" i="16"/>
  <c r="P662" i="16"/>
  <c r="R661" i="16"/>
  <c r="P661" i="16"/>
  <c r="R659" i="16"/>
  <c r="P659" i="16"/>
  <c r="R658" i="16"/>
  <c r="P658" i="16"/>
  <c r="R657" i="16"/>
  <c r="P657" i="16"/>
  <c r="R656" i="16"/>
  <c r="P656" i="16"/>
  <c r="R655" i="16"/>
  <c r="P655" i="16"/>
  <c r="R654" i="16"/>
  <c r="P654" i="16"/>
  <c r="R653" i="16"/>
  <c r="P653" i="16"/>
  <c r="R652" i="16"/>
  <c r="P652" i="16"/>
  <c r="R651" i="16"/>
  <c r="P651" i="16"/>
  <c r="R650" i="16"/>
  <c r="P650" i="16"/>
  <c r="R649" i="16"/>
  <c r="P649" i="16"/>
  <c r="R648" i="16"/>
  <c r="P648" i="16"/>
  <c r="R647" i="16"/>
  <c r="P647" i="16"/>
  <c r="R646" i="16"/>
  <c r="P646" i="16"/>
  <c r="R645" i="16"/>
  <c r="P645" i="16"/>
  <c r="R644" i="16"/>
  <c r="P644" i="16"/>
  <c r="R643" i="16"/>
  <c r="P643" i="16"/>
  <c r="R642" i="16"/>
  <c r="P642" i="16"/>
  <c r="R641" i="16"/>
  <c r="P641" i="16"/>
  <c r="R640" i="16"/>
  <c r="P640" i="16"/>
  <c r="R639" i="16"/>
  <c r="P639" i="16"/>
  <c r="R638" i="16"/>
  <c r="P638" i="16"/>
  <c r="R637" i="16"/>
  <c r="P637" i="16"/>
  <c r="R636" i="16"/>
  <c r="P636" i="16"/>
  <c r="R635" i="16"/>
  <c r="R660" i="16" s="1" a="1"/>
  <c r="R660" i="16" s="1"/>
  <c r="P635" i="16"/>
  <c r="P660" i="16" s="1" a="1"/>
  <c r="P660" i="16" s="1"/>
  <c r="R633" i="16"/>
  <c r="P633" i="16"/>
  <c r="R632" i="16"/>
  <c r="P632" i="16"/>
  <c r="R631" i="16"/>
  <c r="P631" i="16"/>
  <c r="R630" i="16"/>
  <c r="P630" i="16"/>
  <c r="R629" i="16"/>
  <c r="P629" i="16"/>
  <c r="R628" i="16"/>
  <c r="P628" i="16"/>
  <c r="R627" i="16"/>
  <c r="P627" i="16"/>
  <c r="R626" i="16"/>
  <c r="P626" i="16"/>
  <c r="R625" i="16"/>
  <c r="P625" i="16"/>
  <c r="R624" i="16"/>
  <c r="P624" i="16"/>
  <c r="R623" i="16"/>
  <c r="P623" i="16"/>
  <c r="R622" i="16"/>
  <c r="P622" i="16"/>
  <c r="R621" i="16"/>
  <c r="P621" i="16"/>
  <c r="R620" i="16"/>
  <c r="P620" i="16"/>
  <c r="R619" i="16"/>
  <c r="P619" i="16"/>
  <c r="R618" i="16"/>
  <c r="P618" i="16"/>
  <c r="R617" i="16"/>
  <c r="P617" i="16"/>
  <c r="R616" i="16"/>
  <c r="P616" i="16"/>
  <c r="R615" i="16"/>
  <c r="P615" i="16"/>
  <c r="R614" i="16"/>
  <c r="P614" i="16"/>
  <c r="R613" i="16"/>
  <c r="P613" i="16"/>
  <c r="R612" i="16"/>
  <c r="P612" i="16"/>
  <c r="R611" i="16"/>
  <c r="P611" i="16"/>
  <c r="R610" i="16"/>
  <c r="P610" i="16"/>
  <c r="R609" i="16"/>
  <c r="P609" i="16"/>
  <c r="R607" i="16"/>
  <c r="P607" i="16"/>
  <c r="R606" i="16"/>
  <c r="P606" i="16"/>
  <c r="R605" i="16"/>
  <c r="P605" i="16"/>
  <c r="R604" i="16"/>
  <c r="P604" i="16"/>
  <c r="R603" i="16"/>
  <c r="P603" i="16"/>
  <c r="R602" i="16"/>
  <c r="P602" i="16"/>
  <c r="R601" i="16"/>
  <c r="P601" i="16"/>
  <c r="R600" i="16"/>
  <c r="P600" i="16"/>
  <c r="R599" i="16"/>
  <c r="P599" i="16"/>
  <c r="R598" i="16"/>
  <c r="P598" i="16"/>
  <c r="R597" i="16"/>
  <c r="P597" i="16"/>
  <c r="R596" i="16"/>
  <c r="P596" i="16"/>
  <c r="R595" i="16"/>
  <c r="P595" i="16"/>
  <c r="R594" i="16"/>
  <c r="P594" i="16"/>
  <c r="R593" i="16"/>
  <c r="P593" i="16"/>
  <c r="R592" i="16"/>
  <c r="P592" i="16"/>
  <c r="R591" i="16"/>
  <c r="P591" i="16"/>
  <c r="R590" i="16"/>
  <c r="P590" i="16"/>
  <c r="R589" i="16"/>
  <c r="P589" i="16"/>
  <c r="R588" i="16"/>
  <c r="P588" i="16"/>
  <c r="R587" i="16"/>
  <c r="P587" i="16"/>
  <c r="R586" i="16"/>
  <c r="P586" i="16"/>
  <c r="R585" i="16"/>
  <c r="P585" i="16"/>
  <c r="R584" i="16"/>
  <c r="P584" i="16"/>
  <c r="R583" i="16"/>
  <c r="R608" i="16" s="1" a="1"/>
  <c r="R608" i="16" s="1"/>
  <c r="P583" i="16"/>
  <c r="R581" i="16"/>
  <c r="P581" i="16"/>
  <c r="R580" i="16"/>
  <c r="P580" i="16"/>
  <c r="R579" i="16"/>
  <c r="P579" i="16"/>
  <c r="R578" i="16"/>
  <c r="P578" i="16"/>
  <c r="R577" i="16"/>
  <c r="P577" i="16"/>
  <c r="R576" i="16"/>
  <c r="P576" i="16"/>
  <c r="R575" i="16"/>
  <c r="P575" i="16"/>
  <c r="R574" i="16"/>
  <c r="P574" i="16"/>
  <c r="R573" i="16"/>
  <c r="P573" i="16"/>
  <c r="R572" i="16"/>
  <c r="P572" i="16"/>
  <c r="R571" i="16"/>
  <c r="P571" i="16"/>
  <c r="R570" i="16"/>
  <c r="P570" i="16"/>
  <c r="R569" i="16"/>
  <c r="P569" i="16"/>
  <c r="R568" i="16"/>
  <c r="P568" i="16"/>
  <c r="R567" i="16"/>
  <c r="P567" i="16"/>
  <c r="R566" i="16"/>
  <c r="P566" i="16"/>
  <c r="R565" i="16"/>
  <c r="P565" i="16"/>
  <c r="R564" i="16"/>
  <c r="P564" i="16"/>
  <c r="R563" i="16"/>
  <c r="P563" i="16"/>
  <c r="R562" i="16"/>
  <c r="P562" i="16"/>
  <c r="R561" i="16"/>
  <c r="P561" i="16"/>
  <c r="R560" i="16"/>
  <c r="P560" i="16"/>
  <c r="R559" i="16"/>
  <c r="P559" i="16"/>
  <c r="R558" i="16"/>
  <c r="P558" i="16"/>
  <c r="R557" i="16"/>
  <c r="P557" i="16"/>
  <c r="R555" i="16"/>
  <c r="P555" i="16"/>
  <c r="R554" i="16"/>
  <c r="P554" i="16"/>
  <c r="R553" i="16"/>
  <c r="P553" i="16"/>
  <c r="R552" i="16"/>
  <c r="P552" i="16"/>
  <c r="R551" i="16"/>
  <c r="P551" i="16"/>
  <c r="R550" i="16"/>
  <c r="P550" i="16"/>
  <c r="R549" i="16"/>
  <c r="P549" i="16"/>
  <c r="R548" i="16"/>
  <c r="P548" i="16"/>
  <c r="R547" i="16"/>
  <c r="P547" i="16"/>
  <c r="R546" i="16"/>
  <c r="P546" i="16"/>
  <c r="R545" i="16"/>
  <c r="P545" i="16"/>
  <c r="R544" i="16"/>
  <c r="P544" i="16"/>
  <c r="R543" i="16"/>
  <c r="P543" i="16"/>
  <c r="R542" i="16"/>
  <c r="P542" i="16"/>
  <c r="R541" i="16"/>
  <c r="P541" i="16"/>
  <c r="R540" i="16"/>
  <c r="P540" i="16"/>
  <c r="R539" i="16"/>
  <c r="P539" i="16"/>
  <c r="R538" i="16"/>
  <c r="P538" i="16"/>
  <c r="R537" i="16"/>
  <c r="P537" i="16"/>
  <c r="R536" i="16"/>
  <c r="P536" i="16"/>
  <c r="R535" i="16"/>
  <c r="P535" i="16"/>
  <c r="R534" i="16"/>
  <c r="P534" i="16"/>
  <c r="R533" i="16"/>
  <c r="P533" i="16"/>
  <c r="R532" i="16"/>
  <c r="P532" i="16"/>
  <c r="R531" i="16"/>
  <c r="P531" i="16"/>
  <c r="R529" i="16"/>
  <c r="P529" i="16"/>
  <c r="R528" i="16"/>
  <c r="P528" i="16"/>
  <c r="R527" i="16"/>
  <c r="P527" i="16"/>
  <c r="R526" i="16"/>
  <c r="P526" i="16"/>
  <c r="R525" i="16"/>
  <c r="P525" i="16"/>
  <c r="R524" i="16"/>
  <c r="P524" i="16"/>
  <c r="R523" i="16"/>
  <c r="P523" i="16"/>
  <c r="R522" i="16"/>
  <c r="P522" i="16"/>
  <c r="R521" i="16"/>
  <c r="P521" i="16"/>
  <c r="R520" i="16"/>
  <c r="P520" i="16"/>
  <c r="R519" i="16"/>
  <c r="P519" i="16"/>
  <c r="R518" i="16"/>
  <c r="P518" i="16"/>
  <c r="R517" i="16"/>
  <c r="P517" i="16"/>
  <c r="R516" i="16"/>
  <c r="P516" i="16"/>
  <c r="R515" i="16"/>
  <c r="P515" i="16"/>
  <c r="R514" i="16"/>
  <c r="P514" i="16"/>
  <c r="R513" i="16"/>
  <c r="P513" i="16"/>
  <c r="R512" i="16"/>
  <c r="P512" i="16"/>
  <c r="R511" i="16"/>
  <c r="P511" i="16"/>
  <c r="R510" i="16"/>
  <c r="P510" i="16"/>
  <c r="R509" i="16"/>
  <c r="P509" i="16"/>
  <c r="R508" i="16"/>
  <c r="P508" i="16"/>
  <c r="R507" i="16"/>
  <c r="P507" i="16"/>
  <c r="R506" i="16"/>
  <c r="P506" i="16"/>
  <c r="R505" i="16"/>
  <c r="P505" i="16"/>
  <c r="R503" i="16"/>
  <c r="P503" i="16"/>
  <c r="R502" i="16"/>
  <c r="P502" i="16"/>
  <c r="R501" i="16"/>
  <c r="P501" i="16"/>
  <c r="R500" i="16"/>
  <c r="P500" i="16"/>
  <c r="R499" i="16"/>
  <c r="P499" i="16"/>
  <c r="R498" i="16"/>
  <c r="P498" i="16"/>
  <c r="R497" i="16"/>
  <c r="P497" i="16"/>
  <c r="R496" i="16"/>
  <c r="P496" i="16"/>
  <c r="R495" i="16"/>
  <c r="P495" i="16"/>
  <c r="R494" i="16"/>
  <c r="P494" i="16"/>
  <c r="R493" i="16"/>
  <c r="P493" i="16"/>
  <c r="R492" i="16"/>
  <c r="P492" i="16"/>
  <c r="R491" i="16"/>
  <c r="P491" i="16"/>
  <c r="R490" i="16"/>
  <c r="R489" i="16"/>
  <c r="R488" i="16"/>
  <c r="P488" i="16"/>
  <c r="R487" i="16"/>
  <c r="P487" i="16"/>
  <c r="R486" i="16"/>
  <c r="P486" i="16"/>
  <c r="R485" i="16"/>
  <c r="P485" i="16"/>
  <c r="R484" i="16"/>
  <c r="P484" i="16"/>
  <c r="R483" i="16"/>
  <c r="P483" i="16"/>
  <c r="R482" i="16"/>
  <c r="P482" i="16"/>
  <c r="R481" i="16"/>
  <c r="P481" i="16"/>
  <c r="R480" i="16"/>
  <c r="P480" i="16"/>
  <c r="R479" i="16"/>
  <c r="P479" i="16"/>
  <c r="R477" i="16"/>
  <c r="P477" i="16"/>
  <c r="R476" i="16"/>
  <c r="P476" i="16"/>
  <c r="R475" i="16"/>
  <c r="P475" i="16"/>
  <c r="R474" i="16"/>
  <c r="P474" i="16"/>
  <c r="R473" i="16"/>
  <c r="P473" i="16"/>
  <c r="R472" i="16"/>
  <c r="P472" i="16"/>
  <c r="R471" i="16"/>
  <c r="P471" i="16"/>
  <c r="R470" i="16"/>
  <c r="P470" i="16"/>
  <c r="R469" i="16"/>
  <c r="P469" i="16"/>
  <c r="R468" i="16"/>
  <c r="P468" i="16"/>
  <c r="R467" i="16"/>
  <c r="P467" i="16"/>
  <c r="R466" i="16"/>
  <c r="P466" i="16"/>
  <c r="R465" i="16"/>
  <c r="P465" i="16"/>
  <c r="R464" i="16"/>
  <c r="P464" i="16"/>
  <c r="R463" i="16"/>
  <c r="P463" i="16"/>
  <c r="R462" i="16"/>
  <c r="P462" i="16"/>
  <c r="R461" i="16"/>
  <c r="P461" i="16"/>
  <c r="R460" i="16"/>
  <c r="P460" i="16"/>
  <c r="R459" i="16"/>
  <c r="P459" i="16"/>
  <c r="R458" i="16"/>
  <c r="P458" i="16"/>
  <c r="R457" i="16"/>
  <c r="P457" i="16"/>
  <c r="R456" i="16"/>
  <c r="P456" i="16"/>
  <c r="R455" i="16"/>
  <c r="P455" i="16"/>
  <c r="R454" i="16"/>
  <c r="P454" i="16"/>
  <c r="R453" i="16"/>
  <c r="P453" i="16"/>
  <c r="R451" i="16"/>
  <c r="P451" i="16"/>
  <c r="R450" i="16"/>
  <c r="P450" i="16"/>
  <c r="R449" i="16"/>
  <c r="P449" i="16"/>
  <c r="R448" i="16"/>
  <c r="P448" i="16"/>
  <c r="R447" i="16"/>
  <c r="P447" i="16"/>
  <c r="R446" i="16"/>
  <c r="P446" i="16"/>
  <c r="R445" i="16"/>
  <c r="P445" i="16"/>
  <c r="R444" i="16"/>
  <c r="P444" i="16"/>
  <c r="R443" i="16"/>
  <c r="P443" i="16"/>
  <c r="R442" i="16"/>
  <c r="P442" i="16"/>
  <c r="R441" i="16"/>
  <c r="P441" i="16"/>
  <c r="R440" i="16"/>
  <c r="P440" i="16"/>
  <c r="R439" i="16"/>
  <c r="P439" i="16"/>
  <c r="R438" i="16"/>
  <c r="P438" i="16"/>
  <c r="R437" i="16"/>
  <c r="P437" i="16"/>
  <c r="R436" i="16"/>
  <c r="P436" i="16"/>
  <c r="R435" i="16"/>
  <c r="P435" i="16"/>
  <c r="R434" i="16"/>
  <c r="P434" i="16"/>
  <c r="R433" i="16"/>
  <c r="P433" i="16"/>
  <c r="R432" i="16"/>
  <c r="P432" i="16"/>
  <c r="R431" i="16"/>
  <c r="P431" i="16"/>
  <c r="R430" i="16"/>
  <c r="P430" i="16"/>
  <c r="R429" i="16"/>
  <c r="P429" i="16"/>
  <c r="R428" i="16"/>
  <c r="P428" i="16"/>
  <c r="R427" i="16"/>
  <c r="R452" i="16" s="1" a="1"/>
  <c r="R452" i="16" s="1"/>
  <c r="P427" i="16"/>
  <c r="P452" i="16" s="1" a="1"/>
  <c r="P452" i="16" s="1"/>
  <c r="R425" i="16"/>
  <c r="P425" i="16"/>
  <c r="R424" i="16"/>
  <c r="P424" i="16"/>
  <c r="R423" i="16"/>
  <c r="P423" i="16"/>
  <c r="R422" i="16"/>
  <c r="P422" i="16"/>
  <c r="R421" i="16"/>
  <c r="P421" i="16"/>
  <c r="R420" i="16"/>
  <c r="P420" i="16"/>
  <c r="R419" i="16"/>
  <c r="P419" i="16"/>
  <c r="R418" i="16"/>
  <c r="P418" i="16"/>
  <c r="R417" i="16"/>
  <c r="P417" i="16"/>
  <c r="R416" i="16"/>
  <c r="P416" i="16"/>
  <c r="R415" i="16"/>
  <c r="P415" i="16"/>
  <c r="R414" i="16"/>
  <c r="P414" i="16"/>
  <c r="R413" i="16"/>
  <c r="P413" i="16"/>
  <c r="R412" i="16"/>
  <c r="P412" i="16"/>
  <c r="R411" i="16"/>
  <c r="P411" i="16"/>
  <c r="R410" i="16"/>
  <c r="P410" i="16"/>
  <c r="R409" i="16"/>
  <c r="P409" i="16"/>
  <c r="R408" i="16"/>
  <c r="P408" i="16"/>
  <c r="R407" i="16"/>
  <c r="P407" i="16"/>
  <c r="R406" i="16"/>
  <c r="P406" i="16"/>
  <c r="R405" i="16"/>
  <c r="P405" i="16"/>
  <c r="R404" i="16"/>
  <c r="P404" i="16"/>
  <c r="R403" i="16"/>
  <c r="P403" i="16"/>
  <c r="R402" i="16"/>
  <c r="P402" i="16"/>
  <c r="R401" i="16"/>
  <c r="P401" i="16"/>
  <c r="R399" i="16"/>
  <c r="P399" i="16"/>
  <c r="R398" i="16"/>
  <c r="P398" i="16"/>
  <c r="R397" i="16"/>
  <c r="P397" i="16"/>
  <c r="R396" i="16"/>
  <c r="P396" i="16"/>
  <c r="R395" i="16"/>
  <c r="P395" i="16"/>
  <c r="R394" i="16"/>
  <c r="P394" i="16"/>
  <c r="R393" i="16"/>
  <c r="P393" i="16"/>
  <c r="R392" i="16"/>
  <c r="P392" i="16"/>
  <c r="R391" i="16"/>
  <c r="P391" i="16"/>
  <c r="R390" i="16"/>
  <c r="P390" i="16"/>
  <c r="R389" i="16"/>
  <c r="P389" i="16"/>
  <c r="R388" i="16"/>
  <c r="P388" i="16"/>
  <c r="R387" i="16"/>
  <c r="P387" i="16"/>
  <c r="R386" i="16"/>
  <c r="P386" i="16"/>
  <c r="R385" i="16"/>
  <c r="P385" i="16"/>
  <c r="R384" i="16"/>
  <c r="P384" i="16"/>
  <c r="R383" i="16"/>
  <c r="P383" i="16"/>
  <c r="R382" i="16"/>
  <c r="P382" i="16"/>
  <c r="R381" i="16"/>
  <c r="P381" i="16"/>
  <c r="R380" i="16"/>
  <c r="P380" i="16"/>
  <c r="R379" i="16"/>
  <c r="P379" i="16"/>
  <c r="R378" i="16"/>
  <c r="P378" i="16"/>
  <c r="R377" i="16"/>
  <c r="P377" i="16"/>
  <c r="R376" i="16"/>
  <c r="P376" i="16"/>
  <c r="R375" i="16"/>
  <c r="P375" i="16"/>
  <c r="P400" i="16" s="1" a="1"/>
  <c r="P400" i="16" s="1"/>
  <c r="R373" i="16"/>
  <c r="P373" i="16"/>
  <c r="R372" i="16"/>
  <c r="P372" i="16"/>
  <c r="R371" i="16"/>
  <c r="P371" i="16"/>
  <c r="R370" i="16"/>
  <c r="P370" i="16"/>
  <c r="R369" i="16"/>
  <c r="P369" i="16"/>
  <c r="R368" i="16"/>
  <c r="P368" i="16"/>
  <c r="R367" i="16"/>
  <c r="P367" i="16"/>
  <c r="R366" i="16"/>
  <c r="P366" i="16"/>
  <c r="R365" i="16"/>
  <c r="P365" i="16"/>
  <c r="R364" i="16"/>
  <c r="P364" i="16"/>
  <c r="R363" i="16"/>
  <c r="P363" i="16"/>
  <c r="R362" i="16"/>
  <c r="P362" i="16"/>
  <c r="R361" i="16"/>
  <c r="P361" i="16"/>
  <c r="R360" i="16"/>
  <c r="P360" i="16"/>
  <c r="R359" i="16"/>
  <c r="P359" i="16"/>
  <c r="R358" i="16"/>
  <c r="P358" i="16"/>
  <c r="R357" i="16"/>
  <c r="P357" i="16"/>
  <c r="R356" i="16"/>
  <c r="P356" i="16"/>
  <c r="R355" i="16"/>
  <c r="P355" i="16"/>
  <c r="R354" i="16"/>
  <c r="P354" i="16"/>
  <c r="R353" i="16"/>
  <c r="P353" i="16"/>
  <c r="R352" i="16"/>
  <c r="P352" i="16"/>
  <c r="R351" i="16"/>
  <c r="P351" i="16"/>
  <c r="R350" i="16"/>
  <c r="P350" i="16"/>
  <c r="R349" i="16"/>
  <c r="R374" i="16" s="1" a="1"/>
  <c r="R374" i="16" s="1"/>
  <c r="P349" i="16"/>
  <c r="R347" i="16"/>
  <c r="P347" i="16"/>
  <c r="R346" i="16"/>
  <c r="P346" i="16"/>
  <c r="R345" i="16"/>
  <c r="P345" i="16"/>
  <c r="R344" i="16"/>
  <c r="P344" i="16"/>
  <c r="R343" i="16"/>
  <c r="P343" i="16"/>
  <c r="R342" i="16"/>
  <c r="P342" i="16"/>
  <c r="R341" i="16"/>
  <c r="P341" i="16"/>
  <c r="R340" i="16"/>
  <c r="P340" i="16"/>
  <c r="R339" i="16"/>
  <c r="P339" i="16"/>
  <c r="R338" i="16"/>
  <c r="P338" i="16"/>
  <c r="R337" i="16"/>
  <c r="P337" i="16"/>
  <c r="R336" i="16"/>
  <c r="P336" i="16"/>
  <c r="R335" i="16"/>
  <c r="P335" i="16"/>
  <c r="R334" i="16"/>
  <c r="P334" i="16"/>
  <c r="R333" i="16"/>
  <c r="P333" i="16"/>
  <c r="R332" i="16"/>
  <c r="P332" i="16"/>
  <c r="R331" i="16"/>
  <c r="P331" i="16"/>
  <c r="R330" i="16"/>
  <c r="P330" i="16"/>
  <c r="R329" i="16"/>
  <c r="P329" i="16"/>
  <c r="R328" i="16"/>
  <c r="P328" i="16"/>
  <c r="R327" i="16"/>
  <c r="P327" i="16"/>
  <c r="R326" i="16"/>
  <c r="P326" i="16"/>
  <c r="R325" i="16"/>
  <c r="P325" i="16"/>
  <c r="R324" i="16"/>
  <c r="P324" i="16"/>
  <c r="R323" i="16"/>
  <c r="P323" i="16"/>
  <c r="P348" i="16" s="1" a="1"/>
  <c r="P348" i="16" s="1"/>
  <c r="R321" i="16"/>
  <c r="P321" i="16"/>
  <c r="R320" i="16"/>
  <c r="P320" i="16"/>
  <c r="R319" i="16"/>
  <c r="P319" i="16"/>
  <c r="R318" i="16"/>
  <c r="P318" i="16"/>
  <c r="R317" i="16"/>
  <c r="P317" i="16"/>
  <c r="R316" i="16"/>
  <c r="P316" i="16"/>
  <c r="R315" i="16"/>
  <c r="P315" i="16"/>
  <c r="R314" i="16"/>
  <c r="P314" i="16"/>
  <c r="R313" i="16"/>
  <c r="P313" i="16"/>
  <c r="R312" i="16"/>
  <c r="P312" i="16"/>
  <c r="R311" i="16"/>
  <c r="P311" i="16"/>
  <c r="R310" i="16"/>
  <c r="P310" i="16"/>
  <c r="R309" i="16"/>
  <c r="P309" i="16"/>
  <c r="R308" i="16"/>
  <c r="P308" i="16"/>
  <c r="R307" i="16"/>
  <c r="P307" i="16"/>
  <c r="R306" i="16"/>
  <c r="P306" i="16"/>
  <c r="R305" i="16"/>
  <c r="P305" i="16"/>
  <c r="R304" i="16"/>
  <c r="P304" i="16"/>
  <c r="R303" i="16"/>
  <c r="P303" i="16"/>
  <c r="R302" i="16"/>
  <c r="P302" i="16"/>
  <c r="R301" i="16"/>
  <c r="P301" i="16"/>
  <c r="R300" i="16"/>
  <c r="P300" i="16"/>
  <c r="R299" i="16"/>
  <c r="P299" i="16"/>
  <c r="R298" i="16"/>
  <c r="P298" i="16"/>
  <c r="R297" i="16"/>
  <c r="P297" i="16"/>
  <c r="R295" i="16"/>
  <c r="P295" i="16"/>
  <c r="R294" i="16"/>
  <c r="P294" i="16"/>
  <c r="R293" i="16"/>
  <c r="P293" i="16"/>
  <c r="R292" i="16"/>
  <c r="P292" i="16"/>
  <c r="R291" i="16"/>
  <c r="P291" i="16"/>
  <c r="R290" i="16"/>
  <c r="P290" i="16"/>
  <c r="R289" i="16"/>
  <c r="P289" i="16"/>
  <c r="R288" i="16"/>
  <c r="P288" i="16"/>
  <c r="R287" i="16"/>
  <c r="P287" i="16"/>
  <c r="R286" i="16"/>
  <c r="P286" i="16"/>
  <c r="R285" i="16"/>
  <c r="P285" i="16"/>
  <c r="R284" i="16"/>
  <c r="P284" i="16"/>
  <c r="R283" i="16"/>
  <c r="P283" i="16"/>
  <c r="R282" i="16"/>
  <c r="P282" i="16"/>
  <c r="R281" i="16"/>
  <c r="P281" i="16"/>
  <c r="R280" i="16"/>
  <c r="P280" i="16"/>
  <c r="R279" i="16"/>
  <c r="P279" i="16"/>
  <c r="R278" i="16"/>
  <c r="P278" i="16"/>
  <c r="R277" i="16"/>
  <c r="P277" i="16"/>
  <c r="R276" i="16"/>
  <c r="P276" i="16"/>
  <c r="R275" i="16"/>
  <c r="P275" i="16"/>
  <c r="R274" i="16"/>
  <c r="P274" i="16"/>
  <c r="R273" i="16"/>
  <c r="P273" i="16"/>
  <c r="R272" i="16"/>
  <c r="P272" i="16"/>
  <c r="R271" i="16"/>
  <c r="R296" i="16" s="1" a="1"/>
  <c r="R296" i="16" s="1"/>
  <c r="P271" i="16"/>
  <c r="P296" i="16" s="1" a="1"/>
  <c r="P296" i="16" s="1"/>
  <c r="R269" i="16"/>
  <c r="P269" i="16"/>
  <c r="R268" i="16"/>
  <c r="P268" i="16"/>
  <c r="R267" i="16"/>
  <c r="P267" i="16"/>
  <c r="R266" i="16"/>
  <c r="P266" i="16"/>
  <c r="R265" i="16"/>
  <c r="P265" i="16"/>
  <c r="R264" i="16"/>
  <c r="P264" i="16"/>
  <c r="R263" i="16"/>
  <c r="P263" i="16"/>
  <c r="R262" i="16"/>
  <c r="P262" i="16"/>
  <c r="R261" i="16"/>
  <c r="P261" i="16"/>
  <c r="R260" i="16"/>
  <c r="P260" i="16"/>
  <c r="R259" i="16"/>
  <c r="P259" i="16"/>
  <c r="R258" i="16"/>
  <c r="P258" i="16"/>
  <c r="R257" i="16"/>
  <c r="P257" i="16"/>
  <c r="R256" i="16"/>
  <c r="P256" i="16"/>
  <c r="R255" i="16"/>
  <c r="P255" i="16"/>
  <c r="R254" i="16"/>
  <c r="P254" i="16"/>
  <c r="R253" i="16"/>
  <c r="P253" i="16"/>
  <c r="R252" i="16"/>
  <c r="P252" i="16"/>
  <c r="R251" i="16"/>
  <c r="P251" i="16"/>
  <c r="R250" i="16"/>
  <c r="P250" i="16"/>
  <c r="R249" i="16"/>
  <c r="P249" i="16"/>
  <c r="R248" i="16"/>
  <c r="P248" i="16"/>
  <c r="R247" i="16"/>
  <c r="P247" i="16"/>
  <c r="R246" i="16"/>
  <c r="P246" i="16"/>
  <c r="R245" i="16"/>
  <c r="P245" i="16"/>
  <c r="R243" i="16"/>
  <c r="P243" i="16"/>
  <c r="R242" i="16"/>
  <c r="P242" i="16"/>
  <c r="R241" i="16"/>
  <c r="P241" i="16"/>
  <c r="R240" i="16"/>
  <c r="P240" i="16"/>
  <c r="R239" i="16"/>
  <c r="P239" i="16"/>
  <c r="R238" i="16"/>
  <c r="P238" i="16"/>
  <c r="R237" i="16"/>
  <c r="P237" i="16"/>
  <c r="R236" i="16"/>
  <c r="P236" i="16"/>
  <c r="R235" i="16"/>
  <c r="P235" i="16"/>
  <c r="R234" i="16"/>
  <c r="P234" i="16"/>
  <c r="R233" i="16"/>
  <c r="P233" i="16"/>
  <c r="R232" i="16"/>
  <c r="P232" i="16"/>
  <c r="R231" i="16"/>
  <c r="P231" i="16"/>
  <c r="R230" i="16"/>
  <c r="P230" i="16"/>
  <c r="R229" i="16"/>
  <c r="P229" i="16"/>
  <c r="R228" i="16"/>
  <c r="P228" i="16"/>
  <c r="R227" i="16"/>
  <c r="P227" i="16"/>
  <c r="R226" i="16"/>
  <c r="P226" i="16"/>
  <c r="R225" i="16"/>
  <c r="P225" i="16"/>
  <c r="R224" i="16"/>
  <c r="P224" i="16"/>
  <c r="R223" i="16"/>
  <c r="P223" i="16"/>
  <c r="R222" i="16"/>
  <c r="P222" i="16"/>
  <c r="R221" i="16"/>
  <c r="P221" i="16"/>
  <c r="R220" i="16"/>
  <c r="P220" i="16"/>
  <c r="R219" i="16"/>
  <c r="R244" i="16" s="1" a="1"/>
  <c r="R244" i="16" s="1"/>
  <c r="P219" i="16"/>
  <c r="P244" i="16" s="1" a="1"/>
  <c r="P244" i="16" s="1"/>
  <c r="R217" i="16"/>
  <c r="P217" i="16"/>
  <c r="R216" i="16"/>
  <c r="P216" i="16"/>
  <c r="R215" i="16"/>
  <c r="P215" i="16"/>
  <c r="R214" i="16"/>
  <c r="P214" i="16"/>
  <c r="R213" i="16"/>
  <c r="P213" i="16"/>
  <c r="R212" i="16"/>
  <c r="P212" i="16"/>
  <c r="R211" i="16"/>
  <c r="P211" i="16"/>
  <c r="R210" i="16"/>
  <c r="P210" i="16"/>
  <c r="R209" i="16"/>
  <c r="P209" i="16"/>
  <c r="R208" i="16"/>
  <c r="P208" i="16"/>
  <c r="R207" i="16"/>
  <c r="P207" i="16"/>
  <c r="R206" i="16"/>
  <c r="P206" i="16"/>
  <c r="R205" i="16"/>
  <c r="P205" i="16"/>
  <c r="R204" i="16"/>
  <c r="P204" i="16"/>
  <c r="R203" i="16"/>
  <c r="P203" i="16"/>
  <c r="R202" i="16"/>
  <c r="P202" i="16"/>
  <c r="R201" i="16"/>
  <c r="P201" i="16"/>
  <c r="R200" i="16"/>
  <c r="P200" i="16"/>
  <c r="R199" i="16"/>
  <c r="P199" i="16"/>
  <c r="R198" i="16"/>
  <c r="P198" i="16"/>
  <c r="R197" i="16"/>
  <c r="P197" i="16"/>
  <c r="R196" i="16"/>
  <c r="P196" i="16"/>
  <c r="R195" i="16"/>
  <c r="P195" i="16"/>
  <c r="R194" i="16"/>
  <c r="P194" i="16"/>
  <c r="R193" i="16"/>
  <c r="P193" i="16"/>
  <c r="R191" i="16"/>
  <c r="P191" i="16"/>
  <c r="R190" i="16"/>
  <c r="P190" i="16"/>
  <c r="R189" i="16"/>
  <c r="P189" i="16"/>
  <c r="R188" i="16"/>
  <c r="P188" i="16"/>
  <c r="R187" i="16"/>
  <c r="P187" i="16"/>
  <c r="R186" i="16"/>
  <c r="P186" i="16"/>
  <c r="R185" i="16"/>
  <c r="P185" i="16"/>
  <c r="R184" i="16"/>
  <c r="P184" i="16"/>
  <c r="R183" i="16"/>
  <c r="P183" i="16"/>
  <c r="R182" i="16"/>
  <c r="P182" i="16"/>
  <c r="R181" i="16"/>
  <c r="P181" i="16"/>
  <c r="R180" i="16"/>
  <c r="P180" i="16"/>
  <c r="R179" i="16"/>
  <c r="P179" i="16"/>
  <c r="R178" i="16"/>
  <c r="P178" i="16"/>
  <c r="R177" i="16"/>
  <c r="P177" i="16"/>
  <c r="R176" i="16"/>
  <c r="P176" i="16"/>
  <c r="R175" i="16"/>
  <c r="P175" i="16"/>
  <c r="R174" i="16"/>
  <c r="P174" i="16"/>
  <c r="R173" i="16"/>
  <c r="P173" i="16"/>
  <c r="R172" i="16"/>
  <c r="P172" i="16"/>
  <c r="R171" i="16"/>
  <c r="P171" i="16"/>
  <c r="R170" i="16"/>
  <c r="P170" i="16"/>
  <c r="R169" i="16"/>
  <c r="P169" i="16"/>
  <c r="R168" i="16"/>
  <c r="P168" i="16"/>
  <c r="R167" i="16"/>
  <c r="R192" i="16" s="1" a="1"/>
  <c r="R192" i="16" s="1"/>
  <c r="P167" i="16"/>
  <c r="P192" i="16" s="1" a="1"/>
  <c r="P192" i="16" s="1"/>
  <c r="R165" i="16"/>
  <c r="P165" i="16"/>
  <c r="R164" i="16"/>
  <c r="P164" i="16"/>
  <c r="R163" i="16"/>
  <c r="P163" i="16"/>
  <c r="R162" i="16"/>
  <c r="P162" i="16"/>
  <c r="R161" i="16"/>
  <c r="P161" i="16"/>
  <c r="R160" i="16"/>
  <c r="P160" i="16"/>
  <c r="R159" i="16"/>
  <c r="P159" i="16"/>
  <c r="R158" i="16"/>
  <c r="P158" i="16"/>
  <c r="R157" i="16"/>
  <c r="P157" i="16"/>
  <c r="R156" i="16"/>
  <c r="P156" i="16"/>
  <c r="R155" i="16"/>
  <c r="P155" i="16"/>
  <c r="R154" i="16"/>
  <c r="P154" i="16"/>
  <c r="R153" i="16"/>
  <c r="P153" i="16"/>
  <c r="R152" i="16"/>
  <c r="P152" i="16"/>
  <c r="R151" i="16"/>
  <c r="P151" i="16"/>
  <c r="R150" i="16"/>
  <c r="P150" i="16"/>
  <c r="R149" i="16"/>
  <c r="P149" i="16"/>
  <c r="R148" i="16"/>
  <c r="P148" i="16"/>
  <c r="R147" i="16"/>
  <c r="P147" i="16"/>
  <c r="R146" i="16"/>
  <c r="P146" i="16"/>
  <c r="R145" i="16"/>
  <c r="P145" i="16"/>
  <c r="R144" i="16"/>
  <c r="P144" i="16"/>
  <c r="R143" i="16"/>
  <c r="P143" i="16"/>
  <c r="R142" i="16"/>
  <c r="P142" i="16"/>
  <c r="R141" i="16"/>
  <c r="P141" i="16"/>
  <c r="R87" i="16"/>
  <c r="P87" i="16"/>
  <c r="R86" i="16"/>
  <c r="P86" i="16"/>
  <c r="R85" i="16"/>
  <c r="P85" i="16"/>
  <c r="R84" i="16"/>
  <c r="P84" i="16"/>
  <c r="R83" i="16"/>
  <c r="P83" i="16"/>
  <c r="R82" i="16"/>
  <c r="P82" i="16"/>
  <c r="R81" i="16"/>
  <c r="P81" i="16"/>
  <c r="R80" i="16"/>
  <c r="P80" i="16"/>
  <c r="R79" i="16"/>
  <c r="P79" i="16"/>
  <c r="R78" i="16"/>
  <c r="P78" i="16"/>
  <c r="R77" i="16"/>
  <c r="P77" i="16"/>
  <c r="R76" i="16"/>
  <c r="P76" i="16"/>
  <c r="R75" i="16"/>
  <c r="P75" i="16"/>
  <c r="R74" i="16"/>
  <c r="P74" i="16"/>
  <c r="R73" i="16"/>
  <c r="P73" i="16"/>
  <c r="R72" i="16"/>
  <c r="P72" i="16"/>
  <c r="R71" i="16"/>
  <c r="P71" i="16"/>
  <c r="R70" i="16"/>
  <c r="P70" i="16"/>
  <c r="R69" i="16"/>
  <c r="P69" i="16"/>
  <c r="R68" i="16"/>
  <c r="P68" i="16"/>
  <c r="R67" i="16"/>
  <c r="P67" i="16"/>
  <c r="R66" i="16"/>
  <c r="P66" i="16"/>
  <c r="R65" i="16"/>
  <c r="P65" i="16"/>
  <c r="R64" i="16"/>
  <c r="P64" i="16"/>
  <c r="R63" i="16"/>
  <c r="P63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F815" i="16"/>
  <c r="D815" i="16"/>
  <c r="F814" i="16"/>
  <c r="D814" i="16"/>
  <c r="F813" i="16"/>
  <c r="D813" i="16"/>
  <c r="F812" i="16"/>
  <c r="D812" i="16"/>
  <c r="F811" i="16"/>
  <c r="D811" i="16"/>
  <c r="F810" i="16"/>
  <c r="D810" i="16"/>
  <c r="F809" i="16"/>
  <c r="D809" i="16"/>
  <c r="F808" i="16"/>
  <c r="D808" i="16"/>
  <c r="F807" i="16"/>
  <c r="D807" i="16"/>
  <c r="F806" i="16"/>
  <c r="D806" i="16"/>
  <c r="F805" i="16"/>
  <c r="D805" i="16"/>
  <c r="F804" i="16"/>
  <c r="D804" i="16"/>
  <c r="F803" i="16"/>
  <c r="D803" i="16"/>
  <c r="F802" i="16"/>
  <c r="D802" i="16"/>
  <c r="F801" i="16"/>
  <c r="D801" i="16"/>
  <c r="F800" i="16"/>
  <c r="D800" i="16"/>
  <c r="F799" i="16"/>
  <c r="D799" i="16"/>
  <c r="F798" i="16"/>
  <c r="D798" i="16"/>
  <c r="F797" i="16"/>
  <c r="D797" i="16"/>
  <c r="F796" i="16"/>
  <c r="D796" i="16"/>
  <c r="F795" i="16"/>
  <c r="D795" i="16"/>
  <c r="F794" i="16"/>
  <c r="D794" i="16"/>
  <c r="F793" i="16"/>
  <c r="D793" i="16"/>
  <c r="F792" i="16"/>
  <c r="D792" i="16"/>
  <c r="F791" i="16"/>
  <c r="D791" i="16"/>
  <c r="F789" i="16"/>
  <c r="D789" i="16"/>
  <c r="F788" i="16"/>
  <c r="D788" i="16"/>
  <c r="F787" i="16"/>
  <c r="D787" i="16"/>
  <c r="F786" i="16"/>
  <c r="D786" i="16"/>
  <c r="F785" i="16"/>
  <c r="D785" i="16"/>
  <c r="F784" i="16"/>
  <c r="D784" i="16"/>
  <c r="F783" i="16"/>
  <c r="D783" i="16"/>
  <c r="F782" i="16"/>
  <c r="D782" i="16"/>
  <c r="F781" i="16"/>
  <c r="D781" i="16"/>
  <c r="F780" i="16"/>
  <c r="D780" i="16"/>
  <c r="F779" i="16"/>
  <c r="D779" i="16"/>
  <c r="F778" i="16"/>
  <c r="D778" i="16"/>
  <c r="F777" i="16"/>
  <c r="D777" i="16"/>
  <c r="F776" i="16"/>
  <c r="D776" i="16"/>
  <c r="F775" i="16"/>
  <c r="D775" i="16"/>
  <c r="F774" i="16"/>
  <c r="D774" i="16"/>
  <c r="F773" i="16"/>
  <c r="D773" i="16"/>
  <c r="F772" i="16"/>
  <c r="D772" i="16"/>
  <c r="F771" i="16"/>
  <c r="D771" i="16"/>
  <c r="F770" i="16"/>
  <c r="D770" i="16"/>
  <c r="F769" i="16"/>
  <c r="D769" i="16"/>
  <c r="F768" i="16"/>
  <c r="D768" i="16"/>
  <c r="F767" i="16"/>
  <c r="D767" i="16"/>
  <c r="F766" i="16"/>
  <c r="D766" i="16"/>
  <c r="F765" i="16"/>
  <c r="D765" i="16"/>
  <c r="F763" i="16"/>
  <c r="D763" i="16"/>
  <c r="F762" i="16"/>
  <c r="D762" i="16"/>
  <c r="F761" i="16"/>
  <c r="D761" i="16"/>
  <c r="F760" i="16"/>
  <c r="D760" i="16"/>
  <c r="F759" i="16"/>
  <c r="D759" i="16"/>
  <c r="F758" i="16"/>
  <c r="D758" i="16"/>
  <c r="F757" i="16"/>
  <c r="D757" i="16"/>
  <c r="F756" i="16"/>
  <c r="D756" i="16"/>
  <c r="F755" i="16"/>
  <c r="D755" i="16"/>
  <c r="F754" i="16"/>
  <c r="D754" i="16"/>
  <c r="F753" i="16"/>
  <c r="D753" i="16"/>
  <c r="F752" i="16"/>
  <c r="D752" i="16"/>
  <c r="F751" i="16"/>
  <c r="D751" i="16"/>
  <c r="F750" i="16"/>
  <c r="D750" i="16"/>
  <c r="F749" i="16"/>
  <c r="D749" i="16"/>
  <c r="F748" i="16"/>
  <c r="D748" i="16"/>
  <c r="F747" i="16"/>
  <c r="D747" i="16"/>
  <c r="F746" i="16"/>
  <c r="D746" i="16"/>
  <c r="F745" i="16"/>
  <c r="D745" i="16"/>
  <c r="F744" i="16"/>
  <c r="D744" i="16"/>
  <c r="F743" i="16"/>
  <c r="D743" i="16"/>
  <c r="F742" i="16"/>
  <c r="D742" i="16"/>
  <c r="F741" i="16"/>
  <c r="D741" i="16"/>
  <c r="F740" i="16"/>
  <c r="D740" i="16"/>
  <c r="F739" i="16"/>
  <c r="D739" i="16"/>
  <c r="F737" i="16"/>
  <c r="D737" i="16"/>
  <c r="F736" i="16"/>
  <c r="D736" i="16"/>
  <c r="F735" i="16"/>
  <c r="D735" i="16"/>
  <c r="F734" i="16"/>
  <c r="D734" i="16"/>
  <c r="F733" i="16"/>
  <c r="D733" i="16"/>
  <c r="F732" i="16"/>
  <c r="D732" i="16"/>
  <c r="F731" i="16"/>
  <c r="D731" i="16"/>
  <c r="F730" i="16"/>
  <c r="D730" i="16"/>
  <c r="F729" i="16"/>
  <c r="D729" i="16"/>
  <c r="F728" i="16"/>
  <c r="D728" i="16"/>
  <c r="F727" i="16"/>
  <c r="D727" i="16"/>
  <c r="F726" i="16"/>
  <c r="D726" i="16"/>
  <c r="F725" i="16"/>
  <c r="D725" i="16"/>
  <c r="F724" i="16"/>
  <c r="D724" i="16"/>
  <c r="F723" i="16"/>
  <c r="D723" i="16"/>
  <c r="F722" i="16"/>
  <c r="D722" i="16"/>
  <c r="F721" i="16"/>
  <c r="D721" i="16"/>
  <c r="F720" i="16"/>
  <c r="D720" i="16"/>
  <c r="F719" i="16"/>
  <c r="D719" i="16"/>
  <c r="F718" i="16"/>
  <c r="D718" i="16"/>
  <c r="F717" i="16"/>
  <c r="D717" i="16"/>
  <c r="F716" i="16"/>
  <c r="D716" i="16"/>
  <c r="F715" i="16"/>
  <c r="D715" i="16"/>
  <c r="F714" i="16"/>
  <c r="D714" i="16"/>
  <c r="F713" i="16"/>
  <c r="D713" i="16"/>
  <c r="F711" i="16"/>
  <c r="D711" i="16"/>
  <c r="F710" i="16"/>
  <c r="D710" i="16"/>
  <c r="F709" i="16"/>
  <c r="D709" i="16"/>
  <c r="F708" i="16"/>
  <c r="D708" i="16"/>
  <c r="F707" i="16"/>
  <c r="D707" i="16"/>
  <c r="F706" i="16"/>
  <c r="D706" i="16"/>
  <c r="F705" i="16"/>
  <c r="D705" i="16"/>
  <c r="F704" i="16"/>
  <c r="D704" i="16"/>
  <c r="F703" i="16"/>
  <c r="D703" i="16"/>
  <c r="F702" i="16"/>
  <c r="D702" i="16"/>
  <c r="F701" i="16"/>
  <c r="D701" i="16"/>
  <c r="F700" i="16"/>
  <c r="D700" i="16"/>
  <c r="F699" i="16"/>
  <c r="D699" i="16"/>
  <c r="F698" i="16"/>
  <c r="D698" i="16"/>
  <c r="F697" i="16"/>
  <c r="D697" i="16"/>
  <c r="F696" i="16"/>
  <c r="D696" i="16"/>
  <c r="F695" i="16"/>
  <c r="D695" i="16"/>
  <c r="F694" i="16"/>
  <c r="D694" i="16"/>
  <c r="F693" i="16"/>
  <c r="D693" i="16"/>
  <c r="F692" i="16"/>
  <c r="D692" i="16"/>
  <c r="F691" i="16"/>
  <c r="D691" i="16"/>
  <c r="F690" i="16"/>
  <c r="D690" i="16"/>
  <c r="F689" i="16"/>
  <c r="D689" i="16"/>
  <c r="F688" i="16"/>
  <c r="D688" i="16"/>
  <c r="F687" i="16"/>
  <c r="D687" i="16"/>
  <c r="F685" i="16"/>
  <c r="D685" i="16"/>
  <c r="F684" i="16"/>
  <c r="D684" i="16"/>
  <c r="F683" i="16"/>
  <c r="D683" i="16"/>
  <c r="F682" i="16"/>
  <c r="D682" i="16"/>
  <c r="F681" i="16"/>
  <c r="D681" i="16"/>
  <c r="F680" i="16"/>
  <c r="D680" i="16"/>
  <c r="F679" i="16"/>
  <c r="D679" i="16"/>
  <c r="F678" i="16"/>
  <c r="D678" i="16"/>
  <c r="F677" i="16"/>
  <c r="D677" i="16"/>
  <c r="F676" i="16"/>
  <c r="D676" i="16"/>
  <c r="F675" i="16"/>
  <c r="D675" i="16"/>
  <c r="F674" i="16"/>
  <c r="D674" i="16"/>
  <c r="F673" i="16"/>
  <c r="D673" i="16"/>
  <c r="F672" i="16"/>
  <c r="D672" i="16"/>
  <c r="F671" i="16"/>
  <c r="D671" i="16"/>
  <c r="F670" i="16"/>
  <c r="D670" i="16"/>
  <c r="F669" i="16"/>
  <c r="D669" i="16"/>
  <c r="F668" i="16"/>
  <c r="D668" i="16"/>
  <c r="F667" i="16"/>
  <c r="D667" i="16"/>
  <c r="F666" i="16"/>
  <c r="D666" i="16"/>
  <c r="F665" i="16"/>
  <c r="D665" i="16"/>
  <c r="F664" i="16"/>
  <c r="D664" i="16"/>
  <c r="F663" i="16"/>
  <c r="D663" i="16"/>
  <c r="F662" i="16"/>
  <c r="D662" i="16"/>
  <c r="F661" i="16"/>
  <c r="D661" i="16"/>
  <c r="F659" i="16"/>
  <c r="D659" i="16"/>
  <c r="F658" i="16"/>
  <c r="D658" i="16"/>
  <c r="F657" i="16"/>
  <c r="D657" i="16"/>
  <c r="F656" i="16"/>
  <c r="D656" i="16"/>
  <c r="F655" i="16"/>
  <c r="D655" i="16"/>
  <c r="F654" i="16"/>
  <c r="D654" i="16"/>
  <c r="F653" i="16"/>
  <c r="D653" i="16"/>
  <c r="F652" i="16"/>
  <c r="D652" i="16"/>
  <c r="F651" i="16"/>
  <c r="D651" i="16"/>
  <c r="F650" i="16"/>
  <c r="D650" i="16"/>
  <c r="F649" i="16"/>
  <c r="D649" i="16"/>
  <c r="F648" i="16"/>
  <c r="D648" i="16"/>
  <c r="F647" i="16"/>
  <c r="D647" i="16"/>
  <c r="F646" i="16"/>
  <c r="D646" i="16"/>
  <c r="F645" i="16"/>
  <c r="D645" i="16"/>
  <c r="F644" i="16"/>
  <c r="D644" i="16"/>
  <c r="F643" i="16"/>
  <c r="D643" i="16"/>
  <c r="F642" i="16"/>
  <c r="D642" i="16"/>
  <c r="F641" i="16"/>
  <c r="D641" i="16"/>
  <c r="F640" i="16"/>
  <c r="D640" i="16"/>
  <c r="F639" i="16"/>
  <c r="D639" i="16"/>
  <c r="F638" i="16"/>
  <c r="D638" i="16"/>
  <c r="F637" i="16"/>
  <c r="D637" i="16"/>
  <c r="F636" i="16"/>
  <c r="D636" i="16"/>
  <c r="F635" i="16"/>
  <c r="D635" i="16"/>
  <c r="F633" i="16"/>
  <c r="D633" i="16"/>
  <c r="F632" i="16"/>
  <c r="D632" i="16"/>
  <c r="F631" i="16"/>
  <c r="D631" i="16"/>
  <c r="F630" i="16"/>
  <c r="D630" i="16"/>
  <c r="F629" i="16"/>
  <c r="D629" i="16"/>
  <c r="F628" i="16"/>
  <c r="D628" i="16"/>
  <c r="F627" i="16"/>
  <c r="D627" i="16"/>
  <c r="F626" i="16"/>
  <c r="D626" i="16"/>
  <c r="F625" i="16"/>
  <c r="D625" i="16"/>
  <c r="F624" i="16"/>
  <c r="D624" i="16"/>
  <c r="F623" i="16"/>
  <c r="D623" i="16"/>
  <c r="F622" i="16"/>
  <c r="D622" i="16"/>
  <c r="F621" i="16"/>
  <c r="D621" i="16"/>
  <c r="F620" i="16"/>
  <c r="D620" i="16"/>
  <c r="F619" i="16"/>
  <c r="D619" i="16"/>
  <c r="F618" i="16"/>
  <c r="D618" i="16"/>
  <c r="F617" i="16"/>
  <c r="D617" i="16"/>
  <c r="F616" i="16"/>
  <c r="D616" i="16"/>
  <c r="F615" i="16"/>
  <c r="D615" i="16"/>
  <c r="F614" i="16"/>
  <c r="D614" i="16"/>
  <c r="F613" i="16"/>
  <c r="D613" i="16"/>
  <c r="F612" i="16"/>
  <c r="D612" i="16"/>
  <c r="F611" i="16"/>
  <c r="D611" i="16"/>
  <c r="F610" i="16"/>
  <c r="D610" i="16"/>
  <c r="F609" i="16"/>
  <c r="D609" i="16"/>
  <c r="F607" i="16"/>
  <c r="D607" i="16"/>
  <c r="F606" i="16"/>
  <c r="D606" i="16"/>
  <c r="F605" i="16"/>
  <c r="D605" i="16"/>
  <c r="F604" i="16"/>
  <c r="D604" i="16"/>
  <c r="F603" i="16"/>
  <c r="D603" i="16"/>
  <c r="F602" i="16"/>
  <c r="D602" i="16"/>
  <c r="F601" i="16"/>
  <c r="D601" i="16"/>
  <c r="F600" i="16"/>
  <c r="D600" i="16"/>
  <c r="F599" i="16"/>
  <c r="D599" i="16"/>
  <c r="F598" i="16"/>
  <c r="D598" i="16"/>
  <c r="F597" i="16"/>
  <c r="D597" i="16"/>
  <c r="F596" i="16"/>
  <c r="D596" i="16"/>
  <c r="F595" i="16"/>
  <c r="D595" i="16"/>
  <c r="F594" i="16"/>
  <c r="D594" i="16"/>
  <c r="F593" i="16"/>
  <c r="D593" i="16"/>
  <c r="F592" i="16"/>
  <c r="D592" i="16"/>
  <c r="F591" i="16"/>
  <c r="D591" i="16"/>
  <c r="F590" i="16"/>
  <c r="D590" i="16"/>
  <c r="F589" i="16"/>
  <c r="D589" i="16"/>
  <c r="F588" i="16"/>
  <c r="D588" i="16"/>
  <c r="F587" i="16"/>
  <c r="D587" i="16"/>
  <c r="F586" i="16"/>
  <c r="D586" i="16"/>
  <c r="F585" i="16"/>
  <c r="D585" i="16"/>
  <c r="F584" i="16"/>
  <c r="D584" i="16"/>
  <c r="F583" i="16"/>
  <c r="D583" i="16"/>
  <c r="F581" i="16"/>
  <c r="D581" i="16"/>
  <c r="F580" i="16"/>
  <c r="D580" i="16"/>
  <c r="F579" i="16"/>
  <c r="D579" i="16"/>
  <c r="F578" i="16"/>
  <c r="D578" i="16"/>
  <c r="F577" i="16"/>
  <c r="D577" i="16"/>
  <c r="F576" i="16"/>
  <c r="D576" i="16"/>
  <c r="F575" i="16"/>
  <c r="D575" i="16"/>
  <c r="F574" i="16"/>
  <c r="D574" i="16"/>
  <c r="F573" i="16"/>
  <c r="D573" i="16"/>
  <c r="F572" i="16"/>
  <c r="D572" i="16"/>
  <c r="F571" i="16"/>
  <c r="D571" i="16"/>
  <c r="F570" i="16"/>
  <c r="D570" i="16"/>
  <c r="F569" i="16"/>
  <c r="D569" i="16"/>
  <c r="F568" i="16"/>
  <c r="D568" i="16"/>
  <c r="F567" i="16"/>
  <c r="D567" i="16"/>
  <c r="F566" i="16"/>
  <c r="D566" i="16"/>
  <c r="F565" i="16"/>
  <c r="D565" i="16"/>
  <c r="F564" i="16"/>
  <c r="D564" i="16"/>
  <c r="F563" i="16"/>
  <c r="D563" i="16"/>
  <c r="F562" i="16"/>
  <c r="D562" i="16"/>
  <c r="F561" i="16"/>
  <c r="D561" i="16"/>
  <c r="F560" i="16"/>
  <c r="D560" i="16"/>
  <c r="F559" i="16"/>
  <c r="D559" i="16"/>
  <c r="F558" i="16"/>
  <c r="D558" i="16"/>
  <c r="F557" i="16"/>
  <c r="D557" i="16"/>
  <c r="F555" i="16"/>
  <c r="D555" i="16"/>
  <c r="F554" i="16"/>
  <c r="D554" i="16"/>
  <c r="F553" i="16"/>
  <c r="D553" i="16"/>
  <c r="F552" i="16"/>
  <c r="D552" i="16"/>
  <c r="F551" i="16"/>
  <c r="D551" i="16"/>
  <c r="F550" i="16"/>
  <c r="D550" i="16"/>
  <c r="F549" i="16"/>
  <c r="D549" i="16"/>
  <c r="F548" i="16"/>
  <c r="D548" i="16"/>
  <c r="F547" i="16"/>
  <c r="D547" i="16"/>
  <c r="F546" i="16"/>
  <c r="D546" i="16"/>
  <c r="F545" i="16"/>
  <c r="D545" i="16"/>
  <c r="F544" i="16"/>
  <c r="D544" i="16"/>
  <c r="F543" i="16"/>
  <c r="D543" i="16"/>
  <c r="F542" i="16"/>
  <c r="D542" i="16"/>
  <c r="F541" i="16"/>
  <c r="D541" i="16"/>
  <c r="F540" i="16"/>
  <c r="D540" i="16"/>
  <c r="F539" i="16"/>
  <c r="D539" i="16"/>
  <c r="F538" i="16"/>
  <c r="D538" i="16"/>
  <c r="F537" i="16"/>
  <c r="D537" i="16"/>
  <c r="F536" i="16"/>
  <c r="D536" i="16"/>
  <c r="F535" i="16"/>
  <c r="D535" i="16"/>
  <c r="F534" i="16"/>
  <c r="D534" i="16"/>
  <c r="F533" i="16"/>
  <c r="D533" i="16"/>
  <c r="F532" i="16"/>
  <c r="D532" i="16"/>
  <c r="F531" i="16"/>
  <c r="F556" i="16" s="1" a="1"/>
  <c r="F556" i="16" s="1"/>
  <c r="D531" i="16"/>
  <c r="D556" i="16" s="1" a="1"/>
  <c r="D556" i="16" s="1"/>
  <c r="F529" i="16"/>
  <c r="D529" i="16"/>
  <c r="F528" i="16"/>
  <c r="D528" i="16"/>
  <c r="F527" i="16"/>
  <c r="D527" i="16"/>
  <c r="F526" i="16"/>
  <c r="D526" i="16"/>
  <c r="F525" i="16"/>
  <c r="D525" i="16"/>
  <c r="F524" i="16"/>
  <c r="D524" i="16"/>
  <c r="F523" i="16"/>
  <c r="D523" i="16"/>
  <c r="F522" i="16"/>
  <c r="D522" i="16"/>
  <c r="F521" i="16"/>
  <c r="D521" i="16"/>
  <c r="F520" i="16"/>
  <c r="D520" i="16"/>
  <c r="F519" i="16"/>
  <c r="D519" i="16"/>
  <c r="F518" i="16"/>
  <c r="D518" i="16"/>
  <c r="F517" i="16"/>
  <c r="D517" i="16"/>
  <c r="F516" i="16"/>
  <c r="D516" i="16"/>
  <c r="F515" i="16"/>
  <c r="D515" i="16"/>
  <c r="F514" i="16"/>
  <c r="D514" i="16"/>
  <c r="F513" i="16"/>
  <c r="D513" i="16"/>
  <c r="F512" i="16"/>
  <c r="D512" i="16"/>
  <c r="F511" i="16"/>
  <c r="D511" i="16"/>
  <c r="F510" i="16"/>
  <c r="D510" i="16"/>
  <c r="F509" i="16"/>
  <c r="D509" i="16"/>
  <c r="F508" i="16"/>
  <c r="D508" i="16"/>
  <c r="F507" i="16"/>
  <c r="D507" i="16"/>
  <c r="F506" i="16"/>
  <c r="D506" i="16"/>
  <c r="F505" i="16"/>
  <c r="F530" i="16" s="1" a="1"/>
  <c r="F530" i="16" s="1"/>
  <c r="D505" i="16"/>
  <c r="D530" i="16" s="1" a="1"/>
  <c r="D530" i="16" s="1"/>
  <c r="F503" i="16"/>
  <c r="D503" i="16"/>
  <c r="F502" i="16"/>
  <c r="D502" i="16"/>
  <c r="F501" i="16"/>
  <c r="D501" i="16"/>
  <c r="F500" i="16"/>
  <c r="D500" i="16"/>
  <c r="F499" i="16"/>
  <c r="D499" i="16"/>
  <c r="F498" i="16"/>
  <c r="D498" i="16"/>
  <c r="F497" i="16"/>
  <c r="D497" i="16"/>
  <c r="F496" i="16"/>
  <c r="D496" i="16"/>
  <c r="F495" i="16"/>
  <c r="D495" i="16"/>
  <c r="F494" i="16"/>
  <c r="D494" i="16"/>
  <c r="F493" i="16"/>
  <c r="D493" i="16"/>
  <c r="F492" i="16"/>
  <c r="D492" i="16"/>
  <c r="F491" i="16"/>
  <c r="D491" i="16"/>
  <c r="F490" i="16"/>
  <c r="D490" i="16"/>
  <c r="F489" i="16"/>
  <c r="D489" i="16"/>
  <c r="F488" i="16"/>
  <c r="D488" i="16"/>
  <c r="F487" i="16"/>
  <c r="D487" i="16"/>
  <c r="F486" i="16"/>
  <c r="D486" i="16"/>
  <c r="F485" i="16"/>
  <c r="D485" i="16"/>
  <c r="F484" i="16"/>
  <c r="D484" i="16"/>
  <c r="F483" i="16"/>
  <c r="D483" i="16"/>
  <c r="F482" i="16"/>
  <c r="D482" i="16"/>
  <c r="F481" i="16"/>
  <c r="D481" i="16"/>
  <c r="F480" i="16"/>
  <c r="D480" i="16"/>
  <c r="F479" i="16"/>
  <c r="F504" i="16" s="1" a="1"/>
  <c r="F504" i="16" s="1"/>
  <c r="D479" i="16"/>
  <c r="D504" i="16" s="1" a="1"/>
  <c r="D504" i="16" s="1"/>
  <c r="F477" i="16"/>
  <c r="D477" i="16"/>
  <c r="F476" i="16"/>
  <c r="D476" i="16"/>
  <c r="F475" i="16"/>
  <c r="D475" i="16"/>
  <c r="F474" i="16"/>
  <c r="D474" i="16"/>
  <c r="F473" i="16"/>
  <c r="D473" i="16"/>
  <c r="F472" i="16"/>
  <c r="D472" i="16"/>
  <c r="F471" i="16"/>
  <c r="D471" i="16"/>
  <c r="F470" i="16"/>
  <c r="D470" i="16"/>
  <c r="F469" i="16"/>
  <c r="D469" i="16"/>
  <c r="F468" i="16"/>
  <c r="D468" i="16"/>
  <c r="F467" i="16"/>
  <c r="D467" i="16"/>
  <c r="F466" i="16"/>
  <c r="D466" i="16"/>
  <c r="F465" i="16"/>
  <c r="D465" i="16"/>
  <c r="F464" i="16"/>
  <c r="D464" i="16"/>
  <c r="F463" i="16"/>
  <c r="D463" i="16"/>
  <c r="F462" i="16"/>
  <c r="D462" i="16"/>
  <c r="F461" i="16"/>
  <c r="D461" i="16"/>
  <c r="F460" i="16"/>
  <c r="D460" i="16"/>
  <c r="F459" i="16"/>
  <c r="D459" i="16"/>
  <c r="F458" i="16"/>
  <c r="D458" i="16"/>
  <c r="F457" i="16"/>
  <c r="D457" i="16"/>
  <c r="F456" i="16"/>
  <c r="D456" i="16"/>
  <c r="F455" i="16"/>
  <c r="D455" i="16"/>
  <c r="F454" i="16"/>
  <c r="D454" i="16"/>
  <c r="F453" i="16"/>
  <c r="F478" i="16" s="1" a="1"/>
  <c r="F478" i="16" s="1"/>
  <c r="D453" i="16"/>
  <c r="D478" i="16" s="1" a="1"/>
  <c r="D478" i="16" s="1"/>
  <c r="F451" i="16"/>
  <c r="D451" i="16"/>
  <c r="F450" i="16"/>
  <c r="D450" i="16"/>
  <c r="F449" i="16"/>
  <c r="D449" i="16"/>
  <c r="F448" i="16"/>
  <c r="D448" i="16"/>
  <c r="F447" i="16"/>
  <c r="D447" i="16"/>
  <c r="F446" i="16"/>
  <c r="D446" i="16"/>
  <c r="F445" i="16"/>
  <c r="D445" i="16"/>
  <c r="F444" i="16"/>
  <c r="D444" i="16"/>
  <c r="F443" i="16"/>
  <c r="D443" i="16"/>
  <c r="F442" i="16"/>
  <c r="D442" i="16"/>
  <c r="F441" i="16"/>
  <c r="D441" i="16"/>
  <c r="F440" i="16"/>
  <c r="D440" i="16"/>
  <c r="F439" i="16"/>
  <c r="D439" i="16"/>
  <c r="F438" i="16"/>
  <c r="D438" i="16"/>
  <c r="F437" i="16"/>
  <c r="D437" i="16"/>
  <c r="F436" i="16"/>
  <c r="D436" i="16"/>
  <c r="F435" i="16"/>
  <c r="D435" i="16"/>
  <c r="F434" i="16"/>
  <c r="D434" i="16"/>
  <c r="F433" i="16"/>
  <c r="D433" i="16"/>
  <c r="F432" i="16"/>
  <c r="D432" i="16"/>
  <c r="F431" i="16"/>
  <c r="D431" i="16"/>
  <c r="F430" i="16"/>
  <c r="D430" i="16"/>
  <c r="F429" i="16"/>
  <c r="D429" i="16"/>
  <c r="F428" i="16"/>
  <c r="D428" i="16"/>
  <c r="F427" i="16"/>
  <c r="F452" i="16" s="1" a="1"/>
  <c r="F452" i="16" s="1"/>
  <c r="D427" i="16"/>
  <c r="D452" i="16" s="1" a="1"/>
  <c r="D452" i="16" s="1"/>
  <c r="F425" i="16"/>
  <c r="D425" i="16"/>
  <c r="F424" i="16"/>
  <c r="D424" i="16"/>
  <c r="F423" i="16"/>
  <c r="D423" i="16"/>
  <c r="F422" i="16"/>
  <c r="D422" i="16"/>
  <c r="F421" i="16"/>
  <c r="D421" i="16"/>
  <c r="F420" i="16"/>
  <c r="D420" i="16"/>
  <c r="F419" i="16"/>
  <c r="D419" i="16"/>
  <c r="F418" i="16"/>
  <c r="D418" i="16"/>
  <c r="F417" i="16"/>
  <c r="D417" i="16"/>
  <c r="F416" i="16"/>
  <c r="D416" i="16"/>
  <c r="F415" i="16"/>
  <c r="D415" i="16"/>
  <c r="F414" i="16"/>
  <c r="D414" i="16"/>
  <c r="F413" i="16"/>
  <c r="D413" i="16"/>
  <c r="F412" i="16"/>
  <c r="D412" i="16"/>
  <c r="F411" i="16"/>
  <c r="D411" i="16"/>
  <c r="F410" i="16"/>
  <c r="D410" i="16"/>
  <c r="F409" i="16"/>
  <c r="D409" i="16"/>
  <c r="F408" i="16"/>
  <c r="D408" i="16"/>
  <c r="F407" i="16"/>
  <c r="D407" i="16"/>
  <c r="F406" i="16"/>
  <c r="D406" i="16"/>
  <c r="F405" i="16"/>
  <c r="D405" i="16"/>
  <c r="F404" i="16"/>
  <c r="D404" i="16"/>
  <c r="F403" i="16"/>
  <c r="D403" i="16"/>
  <c r="F402" i="16"/>
  <c r="D402" i="16"/>
  <c r="F401" i="16"/>
  <c r="D401" i="16"/>
  <c r="F399" i="16"/>
  <c r="D399" i="16"/>
  <c r="F398" i="16"/>
  <c r="D398" i="16"/>
  <c r="F397" i="16"/>
  <c r="D397" i="16"/>
  <c r="F396" i="16"/>
  <c r="D396" i="16"/>
  <c r="F395" i="16"/>
  <c r="D395" i="16"/>
  <c r="F394" i="16"/>
  <c r="D394" i="16"/>
  <c r="F393" i="16"/>
  <c r="D393" i="16"/>
  <c r="F392" i="16"/>
  <c r="D392" i="16"/>
  <c r="F391" i="16"/>
  <c r="D391" i="16"/>
  <c r="F390" i="16"/>
  <c r="D390" i="16"/>
  <c r="F389" i="16"/>
  <c r="D389" i="16"/>
  <c r="F388" i="16"/>
  <c r="D388" i="16"/>
  <c r="F387" i="16"/>
  <c r="D387" i="16"/>
  <c r="F386" i="16"/>
  <c r="D386" i="16"/>
  <c r="F385" i="16"/>
  <c r="D385" i="16"/>
  <c r="F384" i="16"/>
  <c r="D384" i="16"/>
  <c r="F383" i="16"/>
  <c r="D383" i="16"/>
  <c r="F382" i="16"/>
  <c r="D382" i="16"/>
  <c r="F381" i="16"/>
  <c r="D381" i="16"/>
  <c r="F380" i="16"/>
  <c r="D380" i="16"/>
  <c r="F379" i="16"/>
  <c r="D379" i="16"/>
  <c r="F378" i="16"/>
  <c r="D378" i="16"/>
  <c r="F377" i="16"/>
  <c r="D377" i="16"/>
  <c r="F376" i="16"/>
  <c r="D376" i="16"/>
  <c r="F375" i="16"/>
  <c r="F400" i="16" s="1" a="1"/>
  <c r="F400" i="16" s="1"/>
  <c r="D375" i="16"/>
  <c r="D400" i="16" s="1" a="1"/>
  <c r="D400" i="16" s="1"/>
  <c r="F373" i="16"/>
  <c r="D373" i="16"/>
  <c r="F372" i="16"/>
  <c r="D372" i="16"/>
  <c r="F371" i="16"/>
  <c r="D371" i="16"/>
  <c r="F370" i="16"/>
  <c r="D370" i="16"/>
  <c r="F369" i="16"/>
  <c r="D369" i="16"/>
  <c r="F368" i="16"/>
  <c r="D368" i="16"/>
  <c r="F367" i="16"/>
  <c r="D367" i="16"/>
  <c r="F366" i="16"/>
  <c r="D366" i="16"/>
  <c r="F365" i="16"/>
  <c r="D365" i="16"/>
  <c r="F364" i="16"/>
  <c r="D364" i="16"/>
  <c r="F363" i="16"/>
  <c r="D363" i="16"/>
  <c r="F362" i="16"/>
  <c r="D362" i="16"/>
  <c r="F361" i="16"/>
  <c r="D361" i="16"/>
  <c r="F360" i="16"/>
  <c r="D360" i="16"/>
  <c r="F359" i="16"/>
  <c r="D359" i="16"/>
  <c r="F358" i="16"/>
  <c r="D358" i="16"/>
  <c r="F357" i="16"/>
  <c r="D357" i="16"/>
  <c r="F356" i="16"/>
  <c r="D356" i="16"/>
  <c r="F355" i="16"/>
  <c r="D355" i="16"/>
  <c r="F354" i="16"/>
  <c r="D354" i="16"/>
  <c r="F353" i="16"/>
  <c r="D353" i="16"/>
  <c r="F352" i="16"/>
  <c r="D352" i="16"/>
  <c r="F351" i="16"/>
  <c r="D351" i="16"/>
  <c r="F350" i="16"/>
  <c r="D350" i="16"/>
  <c r="F349" i="16"/>
  <c r="D349" i="16"/>
  <c r="F347" i="16"/>
  <c r="D347" i="16"/>
  <c r="F346" i="16"/>
  <c r="D346" i="16"/>
  <c r="F345" i="16"/>
  <c r="D345" i="16"/>
  <c r="F344" i="16"/>
  <c r="D344" i="16"/>
  <c r="F343" i="16"/>
  <c r="D343" i="16"/>
  <c r="F342" i="16"/>
  <c r="D342" i="16"/>
  <c r="F341" i="16"/>
  <c r="D341" i="16"/>
  <c r="F340" i="16"/>
  <c r="D340" i="16"/>
  <c r="F339" i="16"/>
  <c r="D339" i="16"/>
  <c r="F338" i="16"/>
  <c r="D338" i="16"/>
  <c r="F337" i="16"/>
  <c r="D337" i="16"/>
  <c r="F336" i="16"/>
  <c r="D336" i="16"/>
  <c r="F335" i="16"/>
  <c r="D335" i="16"/>
  <c r="F334" i="16"/>
  <c r="D334" i="16"/>
  <c r="F333" i="16"/>
  <c r="D333" i="16"/>
  <c r="F332" i="16"/>
  <c r="D332" i="16"/>
  <c r="F331" i="16"/>
  <c r="D331" i="16"/>
  <c r="F330" i="16"/>
  <c r="D330" i="16"/>
  <c r="F329" i="16"/>
  <c r="D329" i="16"/>
  <c r="F328" i="16"/>
  <c r="D328" i="16"/>
  <c r="F327" i="16"/>
  <c r="D327" i="16"/>
  <c r="F326" i="16"/>
  <c r="D326" i="16"/>
  <c r="F325" i="16"/>
  <c r="D325" i="16"/>
  <c r="F324" i="16"/>
  <c r="D324" i="16"/>
  <c r="F323" i="16"/>
  <c r="F348" i="16" s="1" a="1"/>
  <c r="F348" i="16" s="1"/>
  <c r="D323" i="16"/>
  <c r="F321" i="16"/>
  <c r="D321" i="16"/>
  <c r="F320" i="16"/>
  <c r="D320" i="16"/>
  <c r="F319" i="16"/>
  <c r="D319" i="16"/>
  <c r="F318" i="16"/>
  <c r="D318" i="16"/>
  <c r="F317" i="16"/>
  <c r="D317" i="16"/>
  <c r="F316" i="16"/>
  <c r="D316" i="16"/>
  <c r="F315" i="16"/>
  <c r="D315" i="16"/>
  <c r="F314" i="16"/>
  <c r="D314" i="16"/>
  <c r="F313" i="16"/>
  <c r="D313" i="16"/>
  <c r="F312" i="16"/>
  <c r="D312" i="16"/>
  <c r="F311" i="16"/>
  <c r="D311" i="16"/>
  <c r="F310" i="16"/>
  <c r="D310" i="16"/>
  <c r="F309" i="16"/>
  <c r="D309" i="16"/>
  <c r="F308" i="16"/>
  <c r="D308" i="16"/>
  <c r="F307" i="16"/>
  <c r="D307" i="16"/>
  <c r="F306" i="16"/>
  <c r="D306" i="16"/>
  <c r="F305" i="16"/>
  <c r="D305" i="16"/>
  <c r="F304" i="16"/>
  <c r="D304" i="16"/>
  <c r="F303" i="16"/>
  <c r="D303" i="16"/>
  <c r="F302" i="16"/>
  <c r="D302" i="16"/>
  <c r="F301" i="16"/>
  <c r="D301" i="16"/>
  <c r="F300" i="16"/>
  <c r="D300" i="16"/>
  <c r="F299" i="16"/>
  <c r="D299" i="16"/>
  <c r="F298" i="16"/>
  <c r="D298" i="16"/>
  <c r="F297" i="16"/>
  <c r="D297" i="16"/>
  <c r="D322" i="16" s="1" a="1"/>
  <c r="D322" i="16" s="1"/>
  <c r="F295" i="16"/>
  <c r="D295" i="16"/>
  <c r="F294" i="16"/>
  <c r="D294" i="16"/>
  <c r="F293" i="16"/>
  <c r="D293" i="16"/>
  <c r="F292" i="16"/>
  <c r="D292" i="16"/>
  <c r="F291" i="16"/>
  <c r="D291" i="16"/>
  <c r="F290" i="16"/>
  <c r="D290" i="16"/>
  <c r="F289" i="16"/>
  <c r="D289" i="16"/>
  <c r="F288" i="16"/>
  <c r="D288" i="16"/>
  <c r="F287" i="16"/>
  <c r="D287" i="16"/>
  <c r="F286" i="16"/>
  <c r="D286" i="16"/>
  <c r="F285" i="16"/>
  <c r="D285" i="16"/>
  <c r="F284" i="16"/>
  <c r="D284" i="16"/>
  <c r="F283" i="16"/>
  <c r="D283" i="16"/>
  <c r="F282" i="16"/>
  <c r="D282" i="16"/>
  <c r="F281" i="16"/>
  <c r="D281" i="16"/>
  <c r="F280" i="16"/>
  <c r="D280" i="16"/>
  <c r="F279" i="16"/>
  <c r="D279" i="16"/>
  <c r="F278" i="16"/>
  <c r="D278" i="16"/>
  <c r="F277" i="16"/>
  <c r="D277" i="16"/>
  <c r="F276" i="16"/>
  <c r="D276" i="16"/>
  <c r="F275" i="16"/>
  <c r="D275" i="16"/>
  <c r="F274" i="16"/>
  <c r="D274" i="16"/>
  <c r="F273" i="16"/>
  <c r="D273" i="16"/>
  <c r="F272" i="16"/>
  <c r="D272" i="16"/>
  <c r="F271" i="16"/>
  <c r="F296" i="16" s="1" a="1"/>
  <c r="F296" i="16" s="1"/>
  <c r="D271" i="16"/>
  <c r="D296" i="16" s="1" a="1"/>
  <c r="D296" i="16" s="1"/>
  <c r="F269" i="16"/>
  <c r="D269" i="16"/>
  <c r="F268" i="16"/>
  <c r="D268" i="16"/>
  <c r="F267" i="16"/>
  <c r="D267" i="16"/>
  <c r="F266" i="16"/>
  <c r="D266" i="16"/>
  <c r="F265" i="16"/>
  <c r="D265" i="16"/>
  <c r="F264" i="16"/>
  <c r="D264" i="16"/>
  <c r="F263" i="16"/>
  <c r="D263" i="16"/>
  <c r="F262" i="16"/>
  <c r="D262" i="16"/>
  <c r="F261" i="16"/>
  <c r="D261" i="16"/>
  <c r="F260" i="16"/>
  <c r="D260" i="16"/>
  <c r="F259" i="16"/>
  <c r="D259" i="16"/>
  <c r="F258" i="16"/>
  <c r="D258" i="16"/>
  <c r="F257" i="16"/>
  <c r="D257" i="16"/>
  <c r="F256" i="16"/>
  <c r="D256" i="16"/>
  <c r="F255" i="16"/>
  <c r="D255" i="16"/>
  <c r="F254" i="16"/>
  <c r="D254" i="16"/>
  <c r="F253" i="16"/>
  <c r="D253" i="16"/>
  <c r="F252" i="16"/>
  <c r="D252" i="16"/>
  <c r="F251" i="16"/>
  <c r="D251" i="16"/>
  <c r="F250" i="16"/>
  <c r="D250" i="16"/>
  <c r="F249" i="16"/>
  <c r="D249" i="16"/>
  <c r="F248" i="16"/>
  <c r="D248" i="16"/>
  <c r="F247" i="16"/>
  <c r="D247" i="16"/>
  <c r="F246" i="16"/>
  <c r="D246" i="16"/>
  <c r="F245" i="16"/>
  <c r="D245" i="16"/>
  <c r="F243" i="16"/>
  <c r="D243" i="16"/>
  <c r="F242" i="16"/>
  <c r="D242" i="16"/>
  <c r="F241" i="16"/>
  <c r="D241" i="16"/>
  <c r="F240" i="16"/>
  <c r="D240" i="16"/>
  <c r="F239" i="16"/>
  <c r="D239" i="16"/>
  <c r="F238" i="16"/>
  <c r="D238" i="16"/>
  <c r="F237" i="16"/>
  <c r="D237" i="16"/>
  <c r="F236" i="16"/>
  <c r="D236" i="16"/>
  <c r="F235" i="16"/>
  <c r="D235" i="16"/>
  <c r="F234" i="16"/>
  <c r="D234" i="16"/>
  <c r="F233" i="16"/>
  <c r="D233" i="16"/>
  <c r="F232" i="16"/>
  <c r="D232" i="16"/>
  <c r="F231" i="16"/>
  <c r="D231" i="16"/>
  <c r="F230" i="16"/>
  <c r="D230" i="16"/>
  <c r="F229" i="16"/>
  <c r="D229" i="16"/>
  <c r="F228" i="16"/>
  <c r="D228" i="16"/>
  <c r="F227" i="16"/>
  <c r="D227" i="16"/>
  <c r="F226" i="16"/>
  <c r="D226" i="16"/>
  <c r="F225" i="16"/>
  <c r="D225" i="16"/>
  <c r="F224" i="16"/>
  <c r="D224" i="16"/>
  <c r="F223" i="16"/>
  <c r="D223" i="16"/>
  <c r="F222" i="16"/>
  <c r="D222" i="16"/>
  <c r="F221" i="16"/>
  <c r="D221" i="16"/>
  <c r="F220" i="16"/>
  <c r="D220" i="16"/>
  <c r="F219" i="16"/>
  <c r="D219" i="16"/>
  <c r="F217" i="16"/>
  <c r="D217" i="16"/>
  <c r="F216" i="16"/>
  <c r="D216" i="16"/>
  <c r="F215" i="16"/>
  <c r="D215" i="16"/>
  <c r="F214" i="16"/>
  <c r="D214" i="16"/>
  <c r="F213" i="16"/>
  <c r="D213" i="16"/>
  <c r="F212" i="16"/>
  <c r="D212" i="16"/>
  <c r="F211" i="16"/>
  <c r="D211" i="16"/>
  <c r="F210" i="16"/>
  <c r="D210" i="16"/>
  <c r="F209" i="16"/>
  <c r="D209" i="16"/>
  <c r="F208" i="16"/>
  <c r="D208" i="16"/>
  <c r="F207" i="16"/>
  <c r="D207" i="16"/>
  <c r="F206" i="16"/>
  <c r="D206" i="16"/>
  <c r="F205" i="16"/>
  <c r="D205" i="16"/>
  <c r="F204" i="16"/>
  <c r="D204" i="16"/>
  <c r="F203" i="16"/>
  <c r="D203" i="16"/>
  <c r="F202" i="16"/>
  <c r="D202" i="16"/>
  <c r="F201" i="16"/>
  <c r="D201" i="16"/>
  <c r="F200" i="16"/>
  <c r="D200" i="16"/>
  <c r="F199" i="16"/>
  <c r="D199" i="16"/>
  <c r="F198" i="16"/>
  <c r="D198" i="16"/>
  <c r="F197" i="16"/>
  <c r="D197" i="16"/>
  <c r="F196" i="16"/>
  <c r="D196" i="16"/>
  <c r="F195" i="16"/>
  <c r="D195" i="16"/>
  <c r="F194" i="16"/>
  <c r="D194" i="16"/>
  <c r="F193" i="16"/>
  <c r="D193" i="16"/>
  <c r="D218" i="16" s="1" a="1"/>
  <c r="D218" i="16" s="1"/>
  <c r="F191" i="16"/>
  <c r="D191" i="16"/>
  <c r="F190" i="16"/>
  <c r="D190" i="16"/>
  <c r="F189" i="16"/>
  <c r="D189" i="16"/>
  <c r="F188" i="16"/>
  <c r="D188" i="16"/>
  <c r="F187" i="16"/>
  <c r="D187" i="16"/>
  <c r="F186" i="16"/>
  <c r="D186" i="16"/>
  <c r="F185" i="16"/>
  <c r="D185" i="16"/>
  <c r="F184" i="16"/>
  <c r="D184" i="16"/>
  <c r="F183" i="16"/>
  <c r="D183" i="16"/>
  <c r="F182" i="16"/>
  <c r="D182" i="16"/>
  <c r="F181" i="16"/>
  <c r="D181" i="16"/>
  <c r="F180" i="16"/>
  <c r="D180" i="16"/>
  <c r="F179" i="16"/>
  <c r="D179" i="16"/>
  <c r="F178" i="16"/>
  <c r="D178" i="16"/>
  <c r="F177" i="16"/>
  <c r="D177" i="16"/>
  <c r="F176" i="16"/>
  <c r="D176" i="16"/>
  <c r="F175" i="16"/>
  <c r="D175" i="16"/>
  <c r="F174" i="16"/>
  <c r="D174" i="16"/>
  <c r="F173" i="16"/>
  <c r="D173" i="16"/>
  <c r="F172" i="16"/>
  <c r="D172" i="16"/>
  <c r="F171" i="16"/>
  <c r="D171" i="16"/>
  <c r="F170" i="16"/>
  <c r="D170" i="16"/>
  <c r="F169" i="16"/>
  <c r="D169" i="16"/>
  <c r="F168" i="16"/>
  <c r="D168" i="16"/>
  <c r="F167" i="16"/>
  <c r="F192" i="16" s="1" a="1"/>
  <c r="F192" i="16" s="1"/>
  <c r="D167" i="16"/>
  <c r="D192" i="16" s="1" a="1"/>
  <c r="D192" i="16" s="1"/>
  <c r="F165" i="16"/>
  <c r="D165" i="16"/>
  <c r="F164" i="16"/>
  <c r="D164" i="16"/>
  <c r="F163" i="16"/>
  <c r="D163" i="16"/>
  <c r="F162" i="16"/>
  <c r="D162" i="16"/>
  <c r="F161" i="16"/>
  <c r="D161" i="16"/>
  <c r="F160" i="16"/>
  <c r="D160" i="16"/>
  <c r="F159" i="16"/>
  <c r="D159" i="16"/>
  <c r="F158" i="16"/>
  <c r="D158" i="16"/>
  <c r="F157" i="16"/>
  <c r="D157" i="16"/>
  <c r="F156" i="16"/>
  <c r="D156" i="16"/>
  <c r="F155" i="16"/>
  <c r="D155" i="16"/>
  <c r="F154" i="16"/>
  <c r="D154" i="16"/>
  <c r="F153" i="16"/>
  <c r="D153" i="16"/>
  <c r="F152" i="16"/>
  <c r="D152" i="16"/>
  <c r="F151" i="16"/>
  <c r="D151" i="16"/>
  <c r="F150" i="16"/>
  <c r="D150" i="16"/>
  <c r="F149" i="16"/>
  <c r="D149" i="16"/>
  <c r="F148" i="16"/>
  <c r="D148" i="16"/>
  <c r="F147" i="16"/>
  <c r="D147" i="16"/>
  <c r="F146" i="16"/>
  <c r="D146" i="16"/>
  <c r="F145" i="16"/>
  <c r="D145" i="16"/>
  <c r="F144" i="16"/>
  <c r="D144" i="16"/>
  <c r="F143" i="16"/>
  <c r="D143" i="16"/>
  <c r="F142" i="16"/>
  <c r="D142" i="16"/>
  <c r="F141" i="16"/>
  <c r="D141" i="16"/>
  <c r="D166" i="16" s="1" a="1"/>
  <c r="D166" i="16" s="1"/>
  <c r="F87" i="16"/>
  <c r="D87" i="16"/>
  <c r="F86" i="16"/>
  <c r="D86" i="16"/>
  <c r="F85" i="16"/>
  <c r="D85" i="16"/>
  <c r="F84" i="16"/>
  <c r="D84" i="16"/>
  <c r="F83" i="16"/>
  <c r="D83" i="16"/>
  <c r="F82" i="16"/>
  <c r="D82" i="16"/>
  <c r="F81" i="16"/>
  <c r="D81" i="16"/>
  <c r="F80" i="16"/>
  <c r="D80" i="16"/>
  <c r="F79" i="16"/>
  <c r="D79" i="16"/>
  <c r="F78" i="16"/>
  <c r="D78" i="16"/>
  <c r="F77" i="16"/>
  <c r="D77" i="16"/>
  <c r="F76" i="16"/>
  <c r="D76" i="16"/>
  <c r="F75" i="16"/>
  <c r="D75" i="16"/>
  <c r="F74" i="16"/>
  <c r="D74" i="16"/>
  <c r="F73" i="16"/>
  <c r="D73" i="16"/>
  <c r="F72" i="16"/>
  <c r="D72" i="16"/>
  <c r="F71" i="16"/>
  <c r="D71" i="16"/>
  <c r="F70" i="16"/>
  <c r="D70" i="16"/>
  <c r="F69" i="16"/>
  <c r="D69" i="16"/>
  <c r="F68" i="16"/>
  <c r="D68" i="16"/>
  <c r="F67" i="16"/>
  <c r="D67" i="16"/>
  <c r="F66" i="16"/>
  <c r="D66" i="16"/>
  <c r="F65" i="16"/>
  <c r="D65" i="16"/>
  <c r="F64" i="16"/>
  <c r="D64" i="16"/>
  <c r="F63" i="16"/>
  <c r="D63" i="16"/>
  <c r="D88" i="16" s="1" a="1"/>
  <c r="D88" i="16" s="1"/>
  <c r="L21" i="16"/>
  <c r="P37" i="17"/>
  <c r="U37" i="5"/>
  <c r="I17" i="18"/>
  <c r="H17" i="18"/>
  <c r="I33" i="4"/>
  <c r="C19" i="4"/>
  <c r="H17" i="7"/>
  <c r="C17" i="7"/>
  <c r="C13" i="18"/>
  <c r="D13" i="18"/>
  <c r="H13" i="18"/>
  <c r="F13" i="18"/>
  <c r="C12" i="7"/>
  <c r="I12" i="7"/>
  <c r="C13" i="7"/>
  <c r="C14" i="7"/>
  <c r="H14" i="7"/>
  <c r="I14" i="7"/>
  <c r="C15" i="7"/>
  <c r="C16" i="7"/>
  <c r="H16" i="7"/>
  <c r="I16" i="7"/>
  <c r="C18" i="7"/>
  <c r="H18" i="7"/>
  <c r="C19" i="7"/>
  <c r="I19" i="7"/>
  <c r="C20" i="7"/>
  <c r="I20" i="7"/>
  <c r="F20" i="7"/>
  <c r="C21" i="7"/>
  <c r="H21" i="7"/>
  <c r="I21" i="7"/>
  <c r="C22" i="7"/>
  <c r="H22" i="7"/>
  <c r="C23" i="7"/>
  <c r="H23" i="7"/>
  <c r="I23" i="7"/>
  <c r="C24" i="7"/>
  <c r="H24" i="7"/>
  <c r="I24" i="7"/>
  <c r="C25" i="7"/>
  <c r="H25" i="7"/>
  <c r="I25" i="7"/>
  <c r="C26" i="7"/>
  <c r="H26" i="7"/>
  <c r="I26" i="7"/>
  <c r="C27" i="7"/>
  <c r="H27" i="7"/>
  <c r="I27" i="7"/>
  <c r="C28" i="7"/>
  <c r="H28" i="7"/>
  <c r="I28" i="7"/>
  <c r="C29" i="7"/>
  <c r="H29" i="7"/>
  <c r="I29" i="7"/>
  <c r="C30" i="7"/>
  <c r="H30" i="7"/>
  <c r="I30" i="7"/>
  <c r="C31" i="7"/>
  <c r="I31" i="7"/>
  <c r="H32" i="7"/>
  <c r="I32" i="7"/>
  <c r="C33" i="7"/>
  <c r="H33" i="7"/>
  <c r="I33" i="7"/>
  <c r="C34" i="7"/>
  <c r="I34" i="7"/>
  <c r="C35" i="7"/>
  <c r="H35" i="7"/>
  <c r="I35" i="7"/>
  <c r="C36" i="7"/>
  <c r="H36" i="7"/>
  <c r="C37" i="7"/>
  <c r="D37" i="7"/>
  <c r="H37" i="7"/>
  <c r="I37" i="7"/>
  <c r="C38" i="7"/>
  <c r="D38" i="7"/>
  <c r="H38" i="7"/>
  <c r="I38" i="7"/>
  <c r="L38" i="7"/>
  <c r="H37" i="26" s="1"/>
  <c r="C39" i="7"/>
  <c r="D39" i="7"/>
  <c r="H39" i="7"/>
  <c r="I39" i="7"/>
  <c r="C11" i="18"/>
  <c r="D11" i="18"/>
  <c r="H11" i="18"/>
  <c r="I11" i="18"/>
  <c r="F11" i="18"/>
  <c r="C12" i="18"/>
  <c r="D12" i="18"/>
  <c r="H12" i="18"/>
  <c r="I12" i="18"/>
  <c r="F12" i="18"/>
  <c r="C14" i="18"/>
  <c r="D14" i="18"/>
  <c r="I14" i="18"/>
  <c r="F14" i="18"/>
  <c r="C15" i="18"/>
  <c r="D15" i="18"/>
  <c r="I15" i="18"/>
  <c r="F15" i="18"/>
  <c r="C16" i="18"/>
  <c r="D16" i="18"/>
  <c r="H16" i="18"/>
  <c r="I16" i="18"/>
  <c r="F16" i="18"/>
  <c r="C17" i="18"/>
  <c r="D17" i="18"/>
  <c r="F17" i="18"/>
  <c r="C18" i="18"/>
  <c r="D18" i="18"/>
  <c r="H18" i="18"/>
  <c r="I18" i="18"/>
  <c r="F18" i="18"/>
  <c r="C19" i="18"/>
  <c r="D19" i="18"/>
  <c r="I19" i="18"/>
  <c r="F19" i="18"/>
  <c r="C20" i="18"/>
  <c r="D20" i="18"/>
  <c r="H20" i="18"/>
  <c r="I20" i="18"/>
  <c r="F20" i="18"/>
  <c r="C22" i="18"/>
  <c r="D22" i="18"/>
  <c r="I22" i="18"/>
  <c r="F22" i="18"/>
  <c r="C23" i="18"/>
  <c r="D23" i="18"/>
  <c r="H23" i="18"/>
  <c r="I23" i="18"/>
  <c r="F23" i="18"/>
  <c r="C24" i="18"/>
  <c r="D24" i="18"/>
  <c r="H24" i="18"/>
  <c r="I24" i="18"/>
  <c r="F24" i="18"/>
  <c r="C25" i="18"/>
  <c r="D25" i="18"/>
  <c r="H25" i="18"/>
  <c r="I25" i="18"/>
  <c r="F25" i="18"/>
  <c r="C26" i="18"/>
  <c r="D26" i="18"/>
  <c r="I26" i="18"/>
  <c r="F26" i="18"/>
  <c r="C27" i="18"/>
  <c r="D27" i="18"/>
  <c r="I27" i="18"/>
  <c r="F27" i="18"/>
  <c r="C28" i="18"/>
  <c r="D28" i="18"/>
  <c r="H28" i="18"/>
  <c r="F28" i="18"/>
  <c r="C29" i="18"/>
  <c r="D29" i="18"/>
  <c r="H29" i="18"/>
  <c r="C30" i="18"/>
  <c r="D30" i="18"/>
  <c r="H30" i="18"/>
  <c r="I30" i="18"/>
  <c r="F30" i="18"/>
  <c r="C31" i="18"/>
  <c r="D31" i="18"/>
  <c r="H31" i="18"/>
  <c r="I31" i="18"/>
  <c r="F31" i="18"/>
  <c r="C32" i="18"/>
  <c r="D32" i="18"/>
  <c r="H32" i="18"/>
  <c r="I32" i="18"/>
  <c r="F32" i="18"/>
  <c r="C33" i="18"/>
  <c r="D33" i="18"/>
  <c r="I33" i="18"/>
  <c r="F33" i="18"/>
  <c r="C34" i="18"/>
  <c r="D34" i="18"/>
  <c r="I34" i="18"/>
  <c r="F34" i="18"/>
  <c r="C35" i="18"/>
  <c r="D35" i="18"/>
  <c r="H35" i="18"/>
  <c r="I35" i="18"/>
  <c r="F35" i="18"/>
  <c r="C36" i="18"/>
  <c r="D36" i="18"/>
  <c r="I36" i="18"/>
  <c r="F36" i="18"/>
  <c r="C37" i="18"/>
  <c r="D37" i="18"/>
  <c r="C38" i="18"/>
  <c r="C11" i="4"/>
  <c r="D11" i="4"/>
  <c r="I11" i="4"/>
  <c r="C12" i="4"/>
  <c r="D12" i="4"/>
  <c r="H12" i="4"/>
  <c r="I12" i="4"/>
  <c r="C13" i="4"/>
  <c r="D13" i="4"/>
  <c r="H13" i="4"/>
  <c r="I13" i="4"/>
  <c r="C14" i="4"/>
  <c r="D14" i="4"/>
  <c r="I14" i="4"/>
  <c r="C15" i="4"/>
  <c r="D15" i="4"/>
  <c r="H15" i="4"/>
  <c r="C16" i="4"/>
  <c r="D16" i="4"/>
  <c r="I16" i="4"/>
  <c r="C17" i="4"/>
  <c r="D17" i="4"/>
  <c r="H17" i="4"/>
  <c r="I17" i="4"/>
  <c r="C18" i="4"/>
  <c r="D18" i="4"/>
  <c r="H18" i="4"/>
  <c r="D19" i="4"/>
  <c r="I19" i="4"/>
  <c r="C20" i="4"/>
  <c r="D20" i="4"/>
  <c r="I20" i="4"/>
  <c r="C21" i="4"/>
  <c r="D21" i="4"/>
  <c r="I21" i="4"/>
  <c r="C22" i="4"/>
  <c r="D22" i="4"/>
  <c r="H22" i="4"/>
  <c r="I22" i="4"/>
  <c r="C23" i="4"/>
  <c r="D23" i="4"/>
  <c r="I23" i="4"/>
  <c r="F23" i="4"/>
  <c r="C24" i="4"/>
  <c r="D24" i="4"/>
  <c r="H24" i="4"/>
  <c r="I24" i="4"/>
  <c r="C25" i="4"/>
  <c r="D25" i="4"/>
  <c r="H25" i="4"/>
  <c r="I25" i="4"/>
  <c r="L25" i="4"/>
  <c r="C26" i="4"/>
  <c r="D26" i="4"/>
  <c r="I26" i="4"/>
  <c r="C27" i="4"/>
  <c r="D27" i="4"/>
  <c r="H27" i="4"/>
  <c r="I27" i="4"/>
  <c r="C28" i="4"/>
  <c r="D28" i="4"/>
  <c r="I28" i="4"/>
  <c r="C29" i="4"/>
  <c r="D29" i="4"/>
  <c r="H29" i="4"/>
  <c r="I29" i="4"/>
  <c r="C30" i="4"/>
  <c r="D30" i="4"/>
  <c r="I30" i="4"/>
  <c r="C31" i="4"/>
  <c r="D31" i="4"/>
  <c r="I31" i="4"/>
  <c r="C32" i="4"/>
  <c r="D32" i="4"/>
  <c r="H32" i="4"/>
  <c r="I32" i="4"/>
  <c r="C33" i="4"/>
  <c r="D33" i="4"/>
  <c r="C34" i="4"/>
  <c r="D34" i="4"/>
  <c r="I34" i="4"/>
  <c r="L34" i="4"/>
  <c r="C35" i="4"/>
  <c r="D35" i="4"/>
  <c r="H35" i="4"/>
  <c r="I35" i="4"/>
  <c r="C36" i="4"/>
  <c r="D36" i="4"/>
  <c r="E36" i="4" s="1"/>
  <c r="H36" i="4"/>
  <c r="C37" i="4"/>
  <c r="D37" i="4"/>
  <c r="H37" i="4"/>
  <c r="I37" i="4"/>
  <c r="C38" i="4"/>
  <c r="D38" i="4"/>
  <c r="H38" i="4"/>
  <c r="I38" i="4"/>
  <c r="C39" i="4"/>
  <c r="D39" i="4"/>
  <c r="H39" i="4"/>
  <c r="I39" i="4"/>
  <c r="J737" i="16"/>
  <c r="J736" i="16"/>
  <c r="J735" i="16"/>
  <c r="J734" i="16"/>
  <c r="J733" i="16"/>
  <c r="J732" i="16"/>
  <c r="J731" i="16"/>
  <c r="J730" i="16"/>
  <c r="J729" i="16"/>
  <c r="J728" i="16"/>
  <c r="J727" i="16"/>
  <c r="J726" i="16"/>
  <c r="J725" i="16"/>
  <c r="J724" i="16"/>
  <c r="J723" i="16"/>
  <c r="J722" i="16"/>
  <c r="J721" i="16"/>
  <c r="J720" i="16"/>
  <c r="J719" i="16"/>
  <c r="J718" i="16"/>
  <c r="J717" i="16"/>
  <c r="J716" i="16"/>
  <c r="J715" i="16"/>
  <c r="J714" i="16"/>
  <c r="J713" i="16"/>
  <c r="J581" i="16"/>
  <c r="J580" i="16"/>
  <c r="J579" i="16"/>
  <c r="J578" i="16"/>
  <c r="J577" i="16"/>
  <c r="J576" i="16"/>
  <c r="J575" i="16"/>
  <c r="J574" i="16"/>
  <c r="J573" i="16"/>
  <c r="J572" i="16"/>
  <c r="J571" i="16"/>
  <c r="J570" i="16"/>
  <c r="J569" i="16"/>
  <c r="J568" i="16"/>
  <c r="J567" i="16"/>
  <c r="J566" i="16"/>
  <c r="J565" i="16"/>
  <c r="J564" i="16"/>
  <c r="J563" i="16"/>
  <c r="J562" i="16"/>
  <c r="J561" i="16"/>
  <c r="J560" i="16"/>
  <c r="J559" i="16"/>
  <c r="J558" i="16"/>
  <c r="J557" i="16"/>
  <c r="J39" i="18"/>
  <c r="K39" i="18" s="1"/>
  <c r="J141" i="16"/>
  <c r="J142" i="16"/>
  <c r="J143" i="16"/>
  <c r="J144" i="16"/>
  <c r="J145" i="16"/>
  <c r="J146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7" i="16"/>
  <c r="J168" i="16"/>
  <c r="J169" i="16"/>
  <c r="J170" i="16"/>
  <c r="J171" i="16"/>
  <c r="J172" i="16"/>
  <c r="J173" i="16"/>
  <c r="J174" i="16"/>
  <c r="J175" i="16"/>
  <c r="J176" i="16"/>
  <c r="J177" i="16"/>
  <c r="J178" i="16"/>
  <c r="J179" i="16"/>
  <c r="J180" i="16"/>
  <c r="J181" i="16"/>
  <c r="J182" i="16"/>
  <c r="J183" i="16"/>
  <c r="J184" i="16"/>
  <c r="J185" i="16"/>
  <c r="J186" i="16"/>
  <c r="J187" i="16"/>
  <c r="J188" i="16"/>
  <c r="J189" i="16"/>
  <c r="J190" i="16"/>
  <c r="J191" i="16"/>
  <c r="J193" i="16"/>
  <c r="J194" i="16"/>
  <c r="J195" i="16"/>
  <c r="J196" i="16"/>
  <c r="J197" i="16"/>
  <c r="J198" i="16"/>
  <c r="J199" i="16"/>
  <c r="J200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3" i="16"/>
  <c r="J214" i="16"/>
  <c r="J215" i="16"/>
  <c r="J216" i="16"/>
  <c r="J217" i="16"/>
  <c r="J219" i="16"/>
  <c r="J220" i="16"/>
  <c r="J221" i="16"/>
  <c r="J222" i="16"/>
  <c r="J223" i="16"/>
  <c r="J224" i="16"/>
  <c r="J225" i="16"/>
  <c r="J226" i="16"/>
  <c r="J227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2" i="16"/>
  <c r="J243" i="16"/>
  <c r="J245" i="16"/>
  <c r="J246" i="16"/>
  <c r="J247" i="16"/>
  <c r="J248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6" i="16"/>
  <c r="J267" i="16"/>
  <c r="J268" i="16"/>
  <c r="J269" i="16"/>
  <c r="J271" i="16"/>
  <c r="J272" i="16"/>
  <c r="J273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5" i="16"/>
  <c r="J297" i="16"/>
  <c r="J298" i="16"/>
  <c r="J299" i="16"/>
  <c r="J300" i="16"/>
  <c r="J301" i="16"/>
  <c r="J302" i="16"/>
  <c r="J303" i="16"/>
  <c r="J304" i="16"/>
  <c r="J305" i="16"/>
  <c r="J306" i="16"/>
  <c r="J307" i="16"/>
  <c r="J308" i="16"/>
  <c r="J309" i="16"/>
  <c r="J310" i="16"/>
  <c r="J311" i="16"/>
  <c r="J312" i="16"/>
  <c r="J313" i="16"/>
  <c r="J314" i="16"/>
  <c r="J315" i="16"/>
  <c r="J316" i="16"/>
  <c r="J317" i="16"/>
  <c r="J318" i="16"/>
  <c r="J319" i="16"/>
  <c r="J320" i="16"/>
  <c r="J321" i="16"/>
  <c r="J323" i="16"/>
  <c r="J324" i="16"/>
  <c r="J325" i="16"/>
  <c r="J326" i="16"/>
  <c r="J327" i="16"/>
  <c r="J328" i="16"/>
  <c r="J329" i="16"/>
  <c r="J330" i="16"/>
  <c r="J331" i="16"/>
  <c r="J332" i="16"/>
  <c r="J333" i="16"/>
  <c r="J334" i="16"/>
  <c r="J335" i="16"/>
  <c r="J336" i="16"/>
  <c r="J337" i="16"/>
  <c r="J338" i="16"/>
  <c r="J339" i="16"/>
  <c r="J340" i="16"/>
  <c r="J341" i="16"/>
  <c r="J342" i="16"/>
  <c r="J343" i="16"/>
  <c r="J344" i="16"/>
  <c r="J345" i="16"/>
  <c r="J346" i="16"/>
  <c r="J347" i="16"/>
  <c r="J349" i="16"/>
  <c r="J350" i="16"/>
  <c r="J351" i="16"/>
  <c r="J352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6" i="16"/>
  <c r="J367" i="16"/>
  <c r="J368" i="16"/>
  <c r="J369" i="16"/>
  <c r="J370" i="16"/>
  <c r="J371" i="16"/>
  <c r="J372" i="16"/>
  <c r="J373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1" i="16"/>
  <c r="J402" i="16"/>
  <c r="J403" i="16"/>
  <c r="J404" i="16"/>
  <c r="J405" i="16"/>
  <c r="J406" i="16"/>
  <c r="J407" i="16"/>
  <c r="J408" i="16"/>
  <c r="J409" i="16"/>
  <c r="J410" i="16"/>
  <c r="J411" i="16"/>
  <c r="J412" i="16"/>
  <c r="J413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7" i="16"/>
  <c r="J428" i="16"/>
  <c r="J429" i="16"/>
  <c r="J430" i="16"/>
  <c r="J431" i="16"/>
  <c r="J432" i="16"/>
  <c r="J433" i="16"/>
  <c r="J434" i="16"/>
  <c r="J435" i="16"/>
  <c r="J436" i="16"/>
  <c r="J437" i="16"/>
  <c r="J438" i="16"/>
  <c r="J439" i="16"/>
  <c r="J440" i="16"/>
  <c r="J441" i="16"/>
  <c r="J442" i="16"/>
  <c r="J443" i="16"/>
  <c r="J444" i="16"/>
  <c r="J445" i="16"/>
  <c r="J446" i="16"/>
  <c r="J447" i="16"/>
  <c r="J448" i="16"/>
  <c r="J449" i="16"/>
  <c r="J450" i="16"/>
  <c r="J451" i="16"/>
  <c r="J453" i="16"/>
  <c r="J477" i="16"/>
  <c r="J454" i="16"/>
  <c r="J455" i="16"/>
  <c r="J456" i="16"/>
  <c r="J457" i="16"/>
  <c r="J458" i="16"/>
  <c r="J459" i="16"/>
  <c r="J460" i="16"/>
  <c r="J461" i="16"/>
  <c r="J462" i="16"/>
  <c r="J463" i="16"/>
  <c r="J464" i="16"/>
  <c r="J465" i="16"/>
  <c r="J466" i="16"/>
  <c r="J467" i="16"/>
  <c r="J468" i="16"/>
  <c r="J469" i="16"/>
  <c r="J470" i="16"/>
  <c r="J471" i="16"/>
  <c r="J472" i="16"/>
  <c r="J473" i="16"/>
  <c r="J474" i="16"/>
  <c r="J475" i="16"/>
  <c r="J476" i="16"/>
  <c r="J479" i="16"/>
  <c r="J480" i="16"/>
  <c r="J481" i="16"/>
  <c r="J482" i="16"/>
  <c r="J483" i="16"/>
  <c r="J484" i="16"/>
  <c r="J485" i="16"/>
  <c r="J486" i="16"/>
  <c r="J487" i="16"/>
  <c r="J488" i="16"/>
  <c r="J489" i="16"/>
  <c r="J490" i="16"/>
  <c r="J491" i="16"/>
  <c r="J492" i="16"/>
  <c r="J493" i="16"/>
  <c r="J494" i="16"/>
  <c r="J495" i="16"/>
  <c r="J496" i="16"/>
  <c r="J497" i="16"/>
  <c r="J498" i="16"/>
  <c r="J499" i="16"/>
  <c r="J500" i="16"/>
  <c r="J501" i="16"/>
  <c r="J502" i="16"/>
  <c r="J503" i="16"/>
  <c r="J505" i="16"/>
  <c r="J506" i="16"/>
  <c r="J507" i="16"/>
  <c r="J508" i="16"/>
  <c r="J509" i="16"/>
  <c r="J510" i="16"/>
  <c r="J511" i="16"/>
  <c r="J512" i="16"/>
  <c r="J513" i="16"/>
  <c r="J514" i="16"/>
  <c r="J515" i="16"/>
  <c r="J516" i="16"/>
  <c r="J517" i="16"/>
  <c r="J518" i="16"/>
  <c r="J519" i="16"/>
  <c r="J520" i="16"/>
  <c r="J521" i="16"/>
  <c r="J522" i="16"/>
  <c r="J523" i="16"/>
  <c r="J524" i="16"/>
  <c r="J525" i="16"/>
  <c r="J526" i="16"/>
  <c r="J527" i="16"/>
  <c r="J528" i="16"/>
  <c r="J529" i="16"/>
  <c r="J531" i="16"/>
  <c r="J532" i="16"/>
  <c r="J533" i="16"/>
  <c r="J534" i="16"/>
  <c r="J535" i="16"/>
  <c r="J536" i="16"/>
  <c r="J537" i="16"/>
  <c r="J538" i="16"/>
  <c r="J539" i="16"/>
  <c r="J540" i="16"/>
  <c r="J541" i="16"/>
  <c r="J542" i="16"/>
  <c r="J543" i="16"/>
  <c r="J544" i="16"/>
  <c r="J545" i="16"/>
  <c r="J546" i="16"/>
  <c r="J547" i="16"/>
  <c r="J548" i="16"/>
  <c r="J549" i="16"/>
  <c r="J550" i="16"/>
  <c r="J551" i="16"/>
  <c r="J552" i="16"/>
  <c r="J553" i="16"/>
  <c r="J554" i="16"/>
  <c r="J555" i="16"/>
  <c r="J583" i="16"/>
  <c r="J584" i="16"/>
  <c r="J585" i="16"/>
  <c r="J586" i="16"/>
  <c r="J587" i="16"/>
  <c r="J588" i="16"/>
  <c r="J589" i="16"/>
  <c r="J590" i="16"/>
  <c r="J591" i="16"/>
  <c r="J592" i="16"/>
  <c r="J593" i="16"/>
  <c r="J594" i="16"/>
  <c r="J595" i="16"/>
  <c r="J596" i="16"/>
  <c r="J597" i="16"/>
  <c r="J598" i="16"/>
  <c r="J599" i="16"/>
  <c r="J600" i="16"/>
  <c r="J601" i="16"/>
  <c r="J602" i="16"/>
  <c r="J603" i="16"/>
  <c r="J604" i="16"/>
  <c r="J605" i="16"/>
  <c r="J606" i="16"/>
  <c r="J607" i="16"/>
  <c r="J609" i="16"/>
  <c r="J610" i="16"/>
  <c r="J611" i="16"/>
  <c r="J612" i="16"/>
  <c r="J613" i="16"/>
  <c r="J614" i="16"/>
  <c r="J615" i="16"/>
  <c r="J616" i="16"/>
  <c r="J617" i="16"/>
  <c r="J618" i="16"/>
  <c r="J619" i="16"/>
  <c r="J620" i="16"/>
  <c r="J621" i="16"/>
  <c r="J622" i="16"/>
  <c r="J623" i="16"/>
  <c r="J624" i="16"/>
  <c r="J625" i="16"/>
  <c r="J626" i="16"/>
  <c r="J627" i="16"/>
  <c r="J628" i="16"/>
  <c r="J629" i="16"/>
  <c r="J630" i="16"/>
  <c r="J631" i="16"/>
  <c r="J632" i="16"/>
  <c r="J633" i="16"/>
  <c r="J635" i="16"/>
  <c r="J636" i="16"/>
  <c r="J637" i="16"/>
  <c r="J638" i="16"/>
  <c r="J639" i="16"/>
  <c r="J640" i="16"/>
  <c r="J641" i="16"/>
  <c r="J642" i="16"/>
  <c r="J643" i="16"/>
  <c r="J644" i="16"/>
  <c r="J645" i="16"/>
  <c r="J646" i="16"/>
  <c r="J647" i="16"/>
  <c r="J648" i="16"/>
  <c r="J649" i="16"/>
  <c r="J650" i="16"/>
  <c r="J651" i="16"/>
  <c r="J652" i="16"/>
  <c r="J653" i="16"/>
  <c r="J654" i="16"/>
  <c r="J655" i="16"/>
  <c r="J656" i="16"/>
  <c r="J657" i="16"/>
  <c r="J658" i="16"/>
  <c r="J659" i="16"/>
  <c r="J661" i="16"/>
  <c r="J662" i="16"/>
  <c r="J663" i="16"/>
  <c r="J664" i="16"/>
  <c r="J665" i="16"/>
  <c r="J666" i="16"/>
  <c r="J667" i="16"/>
  <c r="J668" i="16"/>
  <c r="J669" i="16"/>
  <c r="J670" i="16"/>
  <c r="J671" i="16"/>
  <c r="J672" i="16"/>
  <c r="J673" i="16"/>
  <c r="J674" i="16"/>
  <c r="J675" i="16"/>
  <c r="J676" i="16"/>
  <c r="J677" i="16"/>
  <c r="J678" i="16"/>
  <c r="J679" i="16"/>
  <c r="J680" i="16"/>
  <c r="J681" i="16"/>
  <c r="J682" i="16"/>
  <c r="J683" i="16"/>
  <c r="J684" i="16"/>
  <c r="J685" i="16"/>
  <c r="J687" i="16"/>
  <c r="J688" i="16"/>
  <c r="J689" i="16"/>
  <c r="J690" i="16"/>
  <c r="J691" i="16"/>
  <c r="J692" i="16"/>
  <c r="J693" i="16"/>
  <c r="J694" i="16"/>
  <c r="J695" i="16"/>
  <c r="J696" i="16"/>
  <c r="J697" i="16"/>
  <c r="J698" i="16"/>
  <c r="J699" i="16"/>
  <c r="J700" i="16"/>
  <c r="J701" i="16"/>
  <c r="J702" i="16"/>
  <c r="J703" i="16"/>
  <c r="J704" i="16"/>
  <c r="J705" i="16"/>
  <c r="J706" i="16"/>
  <c r="J707" i="16"/>
  <c r="J708" i="16"/>
  <c r="J709" i="16"/>
  <c r="J710" i="16"/>
  <c r="J711" i="16"/>
  <c r="J739" i="16"/>
  <c r="J740" i="16"/>
  <c r="J741" i="16"/>
  <c r="J742" i="16"/>
  <c r="J743" i="16"/>
  <c r="J744" i="16"/>
  <c r="J745" i="16"/>
  <c r="J746" i="16"/>
  <c r="J747" i="16"/>
  <c r="J748" i="16"/>
  <c r="J749" i="16"/>
  <c r="J750" i="16"/>
  <c r="J751" i="16"/>
  <c r="J752" i="16"/>
  <c r="J753" i="16"/>
  <c r="J754" i="16"/>
  <c r="J755" i="16"/>
  <c r="J756" i="16"/>
  <c r="J757" i="16"/>
  <c r="J758" i="16"/>
  <c r="J759" i="16"/>
  <c r="J760" i="16"/>
  <c r="J761" i="16"/>
  <c r="J762" i="16"/>
  <c r="J763" i="16"/>
  <c r="J765" i="16"/>
  <c r="J766" i="16"/>
  <c r="J767" i="16"/>
  <c r="J768" i="16"/>
  <c r="J769" i="16"/>
  <c r="J770" i="16"/>
  <c r="J771" i="16"/>
  <c r="J772" i="16"/>
  <c r="J773" i="16"/>
  <c r="J774" i="16"/>
  <c r="J775" i="16"/>
  <c r="J776" i="16"/>
  <c r="J777" i="16"/>
  <c r="J778" i="16"/>
  <c r="J779" i="16"/>
  <c r="J780" i="16"/>
  <c r="J781" i="16"/>
  <c r="J782" i="16"/>
  <c r="J783" i="16"/>
  <c r="J784" i="16"/>
  <c r="J785" i="16"/>
  <c r="J786" i="16"/>
  <c r="J787" i="16"/>
  <c r="J788" i="16"/>
  <c r="J789" i="16"/>
  <c r="J791" i="16"/>
  <c r="J792" i="16"/>
  <c r="J793" i="16"/>
  <c r="J794" i="16"/>
  <c r="J795" i="16"/>
  <c r="J796" i="16"/>
  <c r="J797" i="16"/>
  <c r="J798" i="16"/>
  <c r="J799" i="16"/>
  <c r="J800" i="16"/>
  <c r="J801" i="16"/>
  <c r="J802" i="16"/>
  <c r="J803" i="16"/>
  <c r="J804" i="16"/>
  <c r="J805" i="16"/>
  <c r="J806" i="16"/>
  <c r="J807" i="16"/>
  <c r="J808" i="16"/>
  <c r="J809" i="16"/>
  <c r="J810" i="16"/>
  <c r="J811" i="16"/>
  <c r="J812" i="16"/>
  <c r="J813" i="16"/>
  <c r="J814" i="16"/>
  <c r="J815" i="16"/>
  <c r="R35" i="16"/>
  <c r="P35" i="16"/>
  <c r="L35" i="16"/>
  <c r="J35" i="16"/>
  <c r="F35" i="16"/>
  <c r="R34" i="16"/>
  <c r="P34" i="16"/>
  <c r="L34" i="16"/>
  <c r="J34" i="16"/>
  <c r="F34" i="16"/>
  <c r="R33" i="16"/>
  <c r="P33" i="16"/>
  <c r="L33" i="16"/>
  <c r="J33" i="16"/>
  <c r="F33" i="16"/>
  <c r="R32" i="16"/>
  <c r="P32" i="16"/>
  <c r="L32" i="16"/>
  <c r="J32" i="16"/>
  <c r="F32" i="16"/>
  <c r="R31" i="16"/>
  <c r="P31" i="16"/>
  <c r="L31" i="16"/>
  <c r="J31" i="16"/>
  <c r="F31" i="16"/>
  <c r="R30" i="16"/>
  <c r="P30" i="16"/>
  <c r="L30" i="16"/>
  <c r="J30" i="16"/>
  <c r="F30" i="16"/>
  <c r="R29" i="16"/>
  <c r="P29" i="16"/>
  <c r="L29" i="16"/>
  <c r="J29" i="16"/>
  <c r="F29" i="16"/>
  <c r="R28" i="16"/>
  <c r="P28" i="16"/>
  <c r="L28" i="16"/>
  <c r="J28" i="16"/>
  <c r="F28" i="16"/>
  <c r="R27" i="16"/>
  <c r="P27" i="16"/>
  <c r="L27" i="16"/>
  <c r="J27" i="16"/>
  <c r="F27" i="16"/>
  <c r="R26" i="16"/>
  <c r="P26" i="16"/>
  <c r="L26" i="16"/>
  <c r="J26" i="16"/>
  <c r="F26" i="16"/>
  <c r="R25" i="16"/>
  <c r="P25" i="16"/>
  <c r="L25" i="16"/>
  <c r="J25" i="16"/>
  <c r="F25" i="16"/>
  <c r="R24" i="16"/>
  <c r="P24" i="16"/>
  <c r="L24" i="16"/>
  <c r="J24" i="16"/>
  <c r="F24" i="16"/>
  <c r="R23" i="16"/>
  <c r="P23" i="16"/>
  <c r="L23" i="16"/>
  <c r="J23" i="16"/>
  <c r="F23" i="16"/>
  <c r="R22" i="16"/>
  <c r="P22" i="16"/>
  <c r="L22" i="16"/>
  <c r="J22" i="16"/>
  <c r="F22" i="16"/>
  <c r="R21" i="16"/>
  <c r="P21" i="16"/>
  <c r="J21" i="16"/>
  <c r="F21" i="16"/>
  <c r="D21" i="16"/>
  <c r="E22" i="16" s="1"/>
  <c r="R20" i="16"/>
  <c r="P20" i="16"/>
  <c r="L20" i="16"/>
  <c r="J20" i="16"/>
  <c r="F20" i="16"/>
  <c r="D20" i="16"/>
  <c r="R19" i="16"/>
  <c r="P19" i="16"/>
  <c r="L19" i="16"/>
  <c r="J19" i="16"/>
  <c r="F19" i="16"/>
  <c r="D19" i="16"/>
  <c r="R18" i="16"/>
  <c r="P18" i="16"/>
  <c r="L18" i="16"/>
  <c r="J18" i="16"/>
  <c r="F18" i="16"/>
  <c r="D18" i="16"/>
  <c r="R17" i="16"/>
  <c r="P17" i="16"/>
  <c r="L17" i="16"/>
  <c r="J17" i="16"/>
  <c r="F17" i="16"/>
  <c r="D17" i="16"/>
  <c r="R16" i="16"/>
  <c r="P16" i="16"/>
  <c r="L16" i="16"/>
  <c r="J16" i="16"/>
  <c r="F16" i="16"/>
  <c r="D16" i="16"/>
  <c r="R15" i="16"/>
  <c r="P15" i="16"/>
  <c r="L15" i="16"/>
  <c r="J15" i="16"/>
  <c r="F15" i="16"/>
  <c r="D15" i="16"/>
  <c r="R14" i="16"/>
  <c r="P14" i="16"/>
  <c r="L14" i="16"/>
  <c r="J14" i="16"/>
  <c r="F14" i="16"/>
  <c r="D14" i="16"/>
  <c r="R13" i="16"/>
  <c r="P13" i="16"/>
  <c r="L13" i="16"/>
  <c r="J13" i="16"/>
  <c r="F13" i="16"/>
  <c r="D13" i="16"/>
  <c r="R12" i="16"/>
  <c r="P12" i="16"/>
  <c r="L12" i="16"/>
  <c r="J12" i="16"/>
  <c r="F12" i="16"/>
  <c r="D12" i="16"/>
  <c r="R11" i="16"/>
  <c r="P11" i="16"/>
  <c r="L11" i="16"/>
  <c r="J11" i="16"/>
  <c r="F11" i="16"/>
  <c r="I9" i="18"/>
  <c r="H10" i="18"/>
  <c r="I15" i="7"/>
  <c r="D9" i="4"/>
  <c r="H9" i="4"/>
  <c r="I9" i="4"/>
  <c r="D10" i="4"/>
  <c r="H10" i="4"/>
  <c r="I10" i="4"/>
  <c r="H30" i="4"/>
  <c r="H20" i="4"/>
  <c r="H19" i="4"/>
  <c r="I18" i="4"/>
  <c r="H34" i="4"/>
  <c r="D9" i="7"/>
  <c r="F10" i="18"/>
  <c r="I10" i="18"/>
  <c r="D10" i="18"/>
  <c r="C10" i="18"/>
  <c r="F9" i="18"/>
  <c r="D9" i="18"/>
  <c r="C9" i="18"/>
  <c r="I10" i="7"/>
  <c r="I9" i="7"/>
  <c r="C9" i="7"/>
  <c r="C32" i="7"/>
  <c r="H10" i="7"/>
  <c r="I13" i="7"/>
  <c r="C10" i="4"/>
  <c r="C10" i="7"/>
  <c r="H9" i="7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6" i="16"/>
  <c r="J65" i="16"/>
  <c r="J64" i="16"/>
  <c r="J63" i="16"/>
  <c r="R556" i="16" l="1" a="1"/>
  <c r="R556" i="16" s="1"/>
  <c r="P556" i="16" a="1"/>
  <c r="P556" i="16" s="1"/>
  <c r="F556" i="15"/>
  <c r="F530" i="15"/>
  <c r="P504" i="16" a="1"/>
  <c r="P504" i="16" s="1"/>
  <c r="F504" i="15"/>
  <c r="R504" i="16" a="1"/>
  <c r="R504" i="16" s="1"/>
  <c r="R348" i="16" a="1"/>
  <c r="R348" i="16" s="1"/>
  <c r="R816" i="16" a="1"/>
  <c r="R816" i="16" s="1"/>
  <c r="P374" i="16" a="1"/>
  <c r="P374" i="16" s="1"/>
  <c r="P426" i="16" a="1"/>
  <c r="P426" i="16" s="1"/>
  <c r="P530" i="16" a="1"/>
  <c r="P530" i="16" s="1"/>
  <c r="P582" i="16" a="1"/>
  <c r="P582" i="16" s="1"/>
  <c r="P634" i="16" a="1"/>
  <c r="P634" i="16" s="1"/>
  <c r="P686" i="16" a="1"/>
  <c r="P686" i="16" s="1"/>
  <c r="P738" i="16" a="1"/>
  <c r="P738" i="16" s="1"/>
  <c r="P790" i="16" a="1"/>
  <c r="P790" i="16" s="1"/>
  <c r="P608" i="16" a="1"/>
  <c r="P608" i="16" s="1"/>
  <c r="R218" i="16" a="1"/>
  <c r="R218" i="16" s="1"/>
  <c r="R270" i="16" a="1"/>
  <c r="R270" i="16" s="1"/>
  <c r="R426" i="16" a="1"/>
  <c r="R426" i="16" s="1"/>
  <c r="R478" i="16" a="1"/>
  <c r="R478" i="16" s="1"/>
  <c r="R530" i="16" a="1"/>
  <c r="R530" i="16" s="1"/>
  <c r="R582" i="16" a="1"/>
  <c r="R582" i="16" s="1"/>
  <c r="R634" i="16" a="1"/>
  <c r="R634" i="16" s="1"/>
  <c r="R686" i="16" a="1"/>
  <c r="R686" i="16" s="1"/>
  <c r="R738" i="16" a="1"/>
  <c r="R738" i="16" s="1"/>
  <c r="R790" i="16" a="1"/>
  <c r="R790" i="16" s="1"/>
  <c r="N400" i="15"/>
  <c r="N452" i="15"/>
  <c r="N530" i="15"/>
  <c r="L24" i="23" s="1"/>
  <c r="N36" i="27" s="1"/>
  <c r="N556" i="15"/>
  <c r="L25" i="23" s="1"/>
  <c r="N37" i="27" s="1"/>
  <c r="N582" i="15"/>
  <c r="N608" i="15"/>
  <c r="N634" i="15"/>
  <c r="N660" i="15"/>
  <c r="N686" i="15"/>
  <c r="N712" i="15"/>
  <c r="N738" i="15"/>
  <c r="N764" i="15"/>
  <c r="N790" i="15"/>
  <c r="N816" i="15"/>
  <c r="N504" i="15"/>
  <c r="L23" i="23" s="1"/>
  <c r="N35" i="27" s="1"/>
  <c r="P478" i="16" a="1"/>
  <c r="P478" i="16" s="1"/>
  <c r="N478" i="15"/>
  <c r="D426" i="16" a="1"/>
  <c r="D426" i="16" s="1"/>
  <c r="F426" i="15"/>
  <c r="F426" i="16" a="1"/>
  <c r="F426" i="16" s="1"/>
  <c r="N426" i="15"/>
  <c r="R400" i="16" a="1"/>
  <c r="R400" i="16" s="1"/>
  <c r="D374" i="16" a="1"/>
  <c r="D374" i="16" s="1"/>
  <c r="F374" i="15"/>
  <c r="F374" i="16" a="1"/>
  <c r="F374" i="16" s="1"/>
  <c r="N374" i="15"/>
  <c r="L18" i="23" s="1"/>
  <c r="N30" i="27" s="1"/>
  <c r="D348" i="16" a="1"/>
  <c r="D348" i="16" s="1"/>
  <c r="N348" i="15"/>
  <c r="P322" i="16" a="1"/>
  <c r="P322" i="16" s="1"/>
  <c r="R322" i="16" a="1"/>
  <c r="R322" i="16" s="1"/>
  <c r="N322" i="15"/>
  <c r="L16" i="23" s="1"/>
  <c r="N28" i="27" s="1"/>
  <c r="F322" i="16" a="1"/>
  <c r="F322" i="16" s="1"/>
  <c r="F322" i="15"/>
  <c r="J296" i="15"/>
  <c r="L15" i="22" s="1"/>
  <c r="M27" i="27" s="1"/>
  <c r="N296" i="15"/>
  <c r="F296" i="15"/>
  <c r="D270" i="16" a="1"/>
  <c r="D270" i="16" s="1"/>
  <c r="F270" i="16" a="1"/>
  <c r="F270" i="16" s="1"/>
  <c r="P270" i="16" a="1"/>
  <c r="P270" i="16" s="1"/>
  <c r="J270" i="15"/>
  <c r="L14" i="22" s="1"/>
  <c r="M26" i="27" s="1"/>
  <c r="N270" i="15"/>
  <c r="F270" i="15"/>
  <c r="F244" i="16" a="1"/>
  <c r="F244" i="16" s="1"/>
  <c r="D244" i="16" a="1"/>
  <c r="D244" i="16" s="1"/>
  <c r="J244" i="15"/>
  <c r="L13" i="22" s="1"/>
  <c r="M25" i="27" s="1"/>
  <c r="F244" i="15"/>
  <c r="N244" i="15"/>
  <c r="P218" i="16" a="1"/>
  <c r="P218" i="16" s="1"/>
  <c r="F218" i="16" a="1"/>
  <c r="F218" i="16" s="1"/>
  <c r="J218" i="15"/>
  <c r="L12" i="22" s="1"/>
  <c r="M24" i="27" s="1"/>
  <c r="N218" i="15"/>
  <c r="L12" i="23" s="1"/>
  <c r="N24" i="27" s="1"/>
  <c r="F218" i="15"/>
  <c r="L12" i="21" s="1"/>
  <c r="L24" i="27" s="1"/>
  <c r="N192" i="15"/>
  <c r="J192" i="15"/>
  <c r="L11" i="22" s="1"/>
  <c r="M23" i="27" s="1"/>
  <c r="F192" i="15"/>
  <c r="N166" i="15"/>
  <c r="P166" i="16" a="1"/>
  <c r="P166" i="16" s="1"/>
  <c r="R166" i="16" a="1"/>
  <c r="R166" i="16" s="1"/>
  <c r="F166" i="16" a="1"/>
  <c r="F166" i="16" s="1"/>
  <c r="F166" i="15"/>
  <c r="J140" i="15"/>
  <c r="N140" i="15"/>
  <c r="L9" i="23" s="1"/>
  <c r="N21" i="27" s="1"/>
  <c r="F140" i="15"/>
  <c r="J114" i="15"/>
  <c r="L8" i="22" s="1"/>
  <c r="M20" i="27" s="1"/>
  <c r="F114" i="15"/>
  <c r="N114" i="15"/>
  <c r="L8" i="23" s="1"/>
  <c r="N20" i="27" s="1"/>
  <c r="J504" i="16" a="1"/>
  <c r="J504" i="16" s="1"/>
  <c r="J738" i="16" a="1"/>
  <c r="J738" i="16" s="1"/>
  <c r="L166" i="16" a="1"/>
  <c r="L166" i="16" s="1"/>
  <c r="L270" i="16" a="1"/>
  <c r="L270" i="16" s="1"/>
  <c r="L374" i="16" a="1"/>
  <c r="L374" i="16" s="1"/>
  <c r="L478" i="16" a="1"/>
  <c r="L478" i="16" s="1"/>
  <c r="L686" i="16" a="1"/>
  <c r="L686" i="16" s="1"/>
  <c r="L790" i="16" a="1"/>
  <c r="L790" i="16" s="1"/>
  <c r="J712" i="16" a="1"/>
  <c r="J712" i="16" s="1"/>
  <c r="J608" i="16" a="1"/>
  <c r="J608" i="16" s="1"/>
  <c r="J478" i="16" a="1"/>
  <c r="J478" i="16" s="1"/>
  <c r="J374" i="16" a="1"/>
  <c r="J374" i="16" s="1"/>
  <c r="J270" i="16" a="1"/>
  <c r="J270" i="16" s="1"/>
  <c r="J166" i="16" a="1"/>
  <c r="J166" i="16" s="1"/>
  <c r="L192" i="16" a="1"/>
  <c r="L192" i="16" s="1"/>
  <c r="L296" i="16" a="1"/>
  <c r="L296" i="16" s="1"/>
  <c r="L400" i="16" a="1"/>
  <c r="L400" i="16" s="1"/>
  <c r="L504" i="16" a="1"/>
  <c r="L504" i="16" s="1"/>
  <c r="L608" i="16" a="1"/>
  <c r="L608" i="16" s="1"/>
  <c r="L712" i="16" a="1"/>
  <c r="L712" i="16" s="1"/>
  <c r="L816" i="16" a="1"/>
  <c r="L816" i="16" s="1"/>
  <c r="J634" i="16" a="1"/>
  <c r="J634" i="16" s="1"/>
  <c r="L582" i="16" a="1"/>
  <c r="L582" i="16" s="1"/>
  <c r="L218" i="16" a="1"/>
  <c r="L218" i="16" s="1"/>
  <c r="L322" i="16" a="1"/>
  <c r="L322" i="16" s="1"/>
  <c r="L426" i="16" a="1"/>
  <c r="L426" i="16" s="1"/>
  <c r="L530" i="16" a="1"/>
  <c r="L530" i="16" s="1"/>
  <c r="L634" i="16" a="1"/>
  <c r="L634" i="16" s="1"/>
  <c r="L738" i="16" a="1"/>
  <c r="L738" i="16" s="1"/>
  <c r="J322" i="15"/>
  <c r="L16" i="22" s="1"/>
  <c r="M28" i="27" s="1"/>
  <c r="J348" i="15"/>
  <c r="L17" i="22" s="1"/>
  <c r="M29" i="27" s="1"/>
  <c r="J374" i="15"/>
  <c r="L18" i="22" s="1"/>
  <c r="M30" i="27" s="1"/>
  <c r="J400" i="15"/>
  <c r="L19" i="22" s="1"/>
  <c r="M31" i="27" s="1"/>
  <c r="J426" i="15"/>
  <c r="L20" i="22" s="1"/>
  <c r="M32" i="27" s="1"/>
  <c r="J452" i="15"/>
  <c r="L21" i="22" s="1"/>
  <c r="M33" i="27" s="1"/>
  <c r="J478" i="15"/>
  <c r="J504" i="15"/>
  <c r="L23" i="22" s="1"/>
  <c r="M35" i="27" s="1"/>
  <c r="J530" i="15"/>
  <c r="L24" i="22" s="1"/>
  <c r="M36" i="27" s="1"/>
  <c r="J556" i="15"/>
  <c r="J582" i="15"/>
  <c r="J608" i="15"/>
  <c r="J634" i="15"/>
  <c r="J660" i="15"/>
  <c r="J686" i="15"/>
  <c r="J712" i="15"/>
  <c r="J738" i="15"/>
  <c r="J764" i="15"/>
  <c r="L33" i="22" s="1"/>
  <c r="M45" i="27" s="1"/>
  <c r="J790" i="15"/>
  <c r="J816" i="15"/>
  <c r="J764" i="16" a="1"/>
  <c r="J764" i="16" s="1"/>
  <c r="J400" i="16" a="1"/>
  <c r="J400" i="16" s="1"/>
  <c r="J296" i="16" a="1"/>
  <c r="J296" i="16" s="1"/>
  <c r="J192" i="16" a="1"/>
  <c r="J192" i="16" s="1"/>
  <c r="J166" i="15"/>
  <c r="L10" i="22" s="1"/>
  <c r="M22" i="27" s="1"/>
  <c r="J816" i="16" a="1"/>
  <c r="J816" i="16" s="1"/>
  <c r="J686" i="16" a="1"/>
  <c r="J686" i="16" s="1"/>
  <c r="J556" i="16" a="1"/>
  <c r="J556" i="16" s="1"/>
  <c r="J452" i="16" a="1"/>
  <c r="J452" i="16" s="1"/>
  <c r="J348" i="16" a="1"/>
  <c r="J348" i="16" s="1"/>
  <c r="J244" i="16" a="1"/>
  <c r="J244" i="16" s="1"/>
  <c r="J790" i="16" a="1"/>
  <c r="J790" i="16" s="1"/>
  <c r="J660" i="16" a="1"/>
  <c r="J660" i="16" s="1"/>
  <c r="J530" i="16" a="1"/>
  <c r="J530" i="16" s="1"/>
  <c r="J426" i="16" a="1"/>
  <c r="J426" i="16" s="1"/>
  <c r="J322" i="16" a="1"/>
  <c r="J322" i="16" s="1"/>
  <c r="J218" i="16" a="1"/>
  <c r="J218" i="16" s="1"/>
  <c r="J582" i="16" a="1"/>
  <c r="J582" i="16" s="1"/>
  <c r="L244" i="16" a="1"/>
  <c r="L244" i="16" s="1"/>
  <c r="L348" i="16" a="1"/>
  <c r="L348" i="16" s="1"/>
  <c r="L452" i="16" a="1"/>
  <c r="L452" i="16" s="1"/>
  <c r="L556" i="16" a="1"/>
  <c r="L556" i="16" s="1"/>
  <c r="L660" i="16" a="1"/>
  <c r="L660" i="16" s="1"/>
  <c r="L764" i="16" a="1"/>
  <c r="L764" i="16" s="1"/>
  <c r="J88" i="15"/>
  <c r="F88" i="16" a="1"/>
  <c r="F88" i="16" s="1"/>
  <c r="R88" i="16" a="1"/>
  <c r="R88" i="16" s="1"/>
  <c r="F88" i="15"/>
  <c r="L7" i="21" s="1"/>
  <c r="L19" i="27" s="1"/>
  <c r="J88" i="16" a="1"/>
  <c r="J88" i="16" s="1"/>
  <c r="N88" i="15"/>
  <c r="L7" i="23" s="1"/>
  <c r="N19" i="27" s="1"/>
  <c r="P88" i="16" a="1"/>
  <c r="P88" i="16" s="1"/>
  <c r="L88" i="16" a="1"/>
  <c r="L88" i="16" s="1"/>
  <c r="J62" i="15"/>
  <c r="N62" i="15"/>
  <c r="L6" i="23" s="1"/>
  <c r="N18" i="27" s="1"/>
  <c r="F62" i="15"/>
  <c r="F36" i="15"/>
  <c r="P36" i="16" a="1"/>
  <c r="P36" i="16" s="1"/>
  <c r="R36" i="16" a="1"/>
  <c r="R36" i="16" s="1"/>
  <c r="N36" i="15"/>
  <c r="L5" i="23" s="1"/>
  <c r="N17" i="27" s="1"/>
  <c r="J36" i="15"/>
  <c r="L5" i="22" s="1"/>
  <c r="I11" i="15"/>
  <c r="J36" i="16" a="1"/>
  <c r="J36" i="16" s="1"/>
  <c r="L36" i="16" a="1"/>
  <c r="L36" i="16" s="1"/>
  <c r="F36" i="16" a="1"/>
  <c r="F36" i="16" s="1"/>
  <c r="G28" i="18"/>
  <c r="F36" i="23"/>
  <c r="H36" i="23"/>
  <c r="D40" i="18"/>
  <c r="E36" i="23"/>
  <c r="D39" i="26"/>
  <c r="C36" i="23"/>
  <c r="G36" i="23"/>
  <c r="C40" i="18"/>
  <c r="E39" i="4"/>
  <c r="F36" i="21"/>
  <c r="G36" i="21"/>
  <c r="D36" i="21"/>
  <c r="H36" i="21"/>
  <c r="D40" i="4"/>
  <c r="C36" i="21"/>
  <c r="E36" i="21"/>
  <c r="B402" i="5"/>
  <c r="A376" i="17"/>
  <c r="B376" i="6"/>
  <c r="B9" i="22"/>
  <c r="B9" i="23" s="1"/>
  <c r="B16" i="20" s="1"/>
  <c r="B21" i="27"/>
  <c r="C21" i="27" s="1"/>
  <c r="B17" i="22"/>
  <c r="B17" i="23" s="1"/>
  <c r="B24" i="20" s="1"/>
  <c r="B29" i="27"/>
  <c r="C29" i="27" s="1"/>
  <c r="B10" i="22"/>
  <c r="B10" i="23" s="1"/>
  <c r="B17" i="20" s="1"/>
  <c r="B22" i="27"/>
  <c r="C22" i="27" s="1"/>
  <c r="B14" i="22"/>
  <c r="B14" i="23" s="1"/>
  <c r="B21" i="20" s="1"/>
  <c r="B26" i="27"/>
  <c r="C26" i="27" s="1"/>
  <c r="B18" i="22"/>
  <c r="B18" i="23" s="1"/>
  <c r="B25" i="20" s="1"/>
  <c r="B30" i="27"/>
  <c r="C30" i="27" s="1"/>
  <c r="B13" i="22"/>
  <c r="B13" i="23" s="1"/>
  <c r="B20" i="20" s="1"/>
  <c r="B25" i="27"/>
  <c r="C25" i="27" s="1"/>
  <c r="J39" i="4"/>
  <c r="K39" i="4" s="1"/>
  <c r="G38" i="26"/>
  <c r="J38" i="4"/>
  <c r="J38" i="7"/>
  <c r="K38" i="7" s="1"/>
  <c r="J37" i="4"/>
  <c r="K37" i="4" s="1"/>
  <c r="D35" i="23"/>
  <c r="F39" i="18"/>
  <c r="G39" i="18" s="1"/>
  <c r="H9" i="18"/>
  <c r="G37" i="17"/>
  <c r="L30" i="4"/>
  <c r="L14" i="4"/>
  <c r="J39" i="7"/>
  <c r="E38" i="18"/>
  <c r="D34" i="23"/>
  <c r="F38" i="18"/>
  <c r="G38" i="18" s="1"/>
  <c r="D33" i="23"/>
  <c r="F37" i="18"/>
  <c r="G37" i="18" s="1"/>
  <c r="E37" i="18"/>
  <c r="U724" i="16"/>
  <c r="G37" i="26"/>
  <c r="E38" i="7"/>
  <c r="G36" i="26"/>
  <c r="J37" i="7"/>
  <c r="K37" i="7" s="1"/>
  <c r="E37" i="7"/>
  <c r="E38" i="4"/>
  <c r="K38" i="4"/>
  <c r="E37" i="4"/>
  <c r="L36" i="4"/>
  <c r="U730" i="16"/>
  <c r="U720" i="16"/>
  <c r="U722" i="16"/>
  <c r="U716" i="16"/>
  <c r="U718" i="16"/>
  <c r="U714" i="16"/>
  <c r="L35" i="4"/>
  <c r="L32" i="4"/>
  <c r="L31" i="4"/>
  <c r="G27" i="18"/>
  <c r="L10" i="4"/>
  <c r="F38" i="4"/>
  <c r="F36" i="4"/>
  <c r="G36" i="4" s="1"/>
  <c r="L33" i="4"/>
  <c r="I748" i="16"/>
  <c r="D25" i="7"/>
  <c r="E25" i="7" s="1"/>
  <c r="U732" i="16"/>
  <c r="L17" i="4"/>
  <c r="L13" i="4"/>
  <c r="F12" i="4"/>
  <c r="G12" i="4" s="1"/>
  <c r="F39" i="4"/>
  <c r="G39" i="4" s="1"/>
  <c r="J37" i="18"/>
  <c r="F37" i="4"/>
  <c r="U736" i="16"/>
  <c r="U734" i="16"/>
  <c r="U728" i="16"/>
  <c r="U726" i="16"/>
  <c r="F35" i="4"/>
  <c r="G35" i="4" s="1"/>
  <c r="F33" i="4"/>
  <c r="G33" i="4" s="1"/>
  <c r="F31" i="4"/>
  <c r="G31" i="4" s="1"/>
  <c r="L33" i="7"/>
  <c r="L29" i="4"/>
  <c r="D28" i="7"/>
  <c r="E27" i="26" s="1"/>
  <c r="L28" i="4"/>
  <c r="L27" i="4"/>
  <c r="F26" i="4"/>
  <c r="G26" i="4" s="1"/>
  <c r="L26" i="4"/>
  <c r="F22" i="7"/>
  <c r="G22" i="7" s="1"/>
  <c r="S800" i="16"/>
  <c r="S804" i="16"/>
  <c r="S808" i="16"/>
  <c r="S812" i="16"/>
  <c r="S650" i="16"/>
  <c r="S742" i="16"/>
  <c r="S767" i="16"/>
  <c r="S771" i="16"/>
  <c r="S775" i="16"/>
  <c r="S779" i="16"/>
  <c r="S783" i="16"/>
  <c r="S787" i="16"/>
  <c r="S796" i="16"/>
  <c r="L24" i="4"/>
  <c r="L22" i="4"/>
  <c r="U793" i="16"/>
  <c r="U795" i="16"/>
  <c r="U797" i="16"/>
  <c r="U801" i="16"/>
  <c r="U803" i="16"/>
  <c r="U805" i="16"/>
  <c r="U807" i="16"/>
  <c r="U809" i="16"/>
  <c r="U815" i="16"/>
  <c r="U766" i="16"/>
  <c r="U768" i="16"/>
  <c r="U770" i="16"/>
  <c r="U772" i="16"/>
  <c r="U774" i="16"/>
  <c r="U776" i="16"/>
  <c r="U778" i="16"/>
  <c r="U780" i="16"/>
  <c r="U782" i="16"/>
  <c r="U784" i="16"/>
  <c r="U786" i="16"/>
  <c r="U788" i="16"/>
  <c r="U741" i="16"/>
  <c r="U743" i="16"/>
  <c r="U745" i="16"/>
  <c r="U747" i="16"/>
  <c r="U749" i="16"/>
  <c r="U751" i="16"/>
  <c r="U753" i="16"/>
  <c r="U755" i="16"/>
  <c r="U757" i="16"/>
  <c r="U759" i="16"/>
  <c r="U761" i="16"/>
  <c r="U763" i="16"/>
  <c r="U689" i="16"/>
  <c r="U693" i="16"/>
  <c r="U703" i="16"/>
  <c r="U705" i="16"/>
  <c r="U707" i="16"/>
  <c r="U709" i="16"/>
  <c r="U711" i="16"/>
  <c r="U664" i="16"/>
  <c r="U668" i="16"/>
  <c r="U672" i="16"/>
  <c r="U676" i="16"/>
  <c r="U680" i="16"/>
  <c r="U684" i="16"/>
  <c r="U643" i="16"/>
  <c r="U651" i="16"/>
  <c r="U655" i="16"/>
  <c r="U659" i="16"/>
  <c r="U610" i="16"/>
  <c r="U614" i="16"/>
  <c r="U618" i="16"/>
  <c r="U622" i="16"/>
  <c r="U626" i="16"/>
  <c r="U585" i="16"/>
  <c r="U589" i="16"/>
  <c r="U593" i="16"/>
  <c r="U597" i="16"/>
  <c r="U560" i="16"/>
  <c r="U564" i="16"/>
  <c r="U568" i="16"/>
  <c r="U572" i="16"/>
  <c r="U576" i="16"/>
  <c r="U580" i="16"/>
  <c r="U402" i="16"/>
  <c r="U418" i="16"/>
  <c r="U377" i="16"/>
  <c r="U381" i="16"/>
  <c r="U385" i="16"/>
  <c r="U389" i="16"/>
  <c r="U393" i="16"/>
  <c r="E31" i="4"/>
  <c r="J18" i="18"/>
  <c r="H14" i="18"/>
  <c r="J14" i="18" s="1"/>
  <c r="L12" i="4"/>
  <c r="L35" i="7"/>
  <c r="L34" i="7"/>
  <c r="H33" i="26" s="1"/>
  <c r="L32" i="7"/>
  <c r="L27" i="7"/>
  <c r="L25" i="7"/>
  <c r="H24" i="26" s="1"/>
  <c r="L23" i="7"/>
  <c r="L22" i="7"/>
  <c r="L21" i="7"/>
  <c r="L20" i="7"/>
  <c r="D23" i="7"/>
  <c r="E23" i="7" s="1"/>
  <c r="D33" i="7"/>
  <c r="E32" i="26" s="1"/>
  <c r="F17" i="7"/>
  <c r="G17" i="7" s="1"/>
  <c r="M696" i="16"/>
  <c r="D16" i="7"/>
  <c r="E16" i="7" s="1"/>
  <c r="D34" i="7"/>
  <c r="E33" i="26" s="1"/>
  <c r="D29" i="7"/>
  <c r="E29" i="7" s="1"/>
  <c r="L19" i="7"/>
  <c r="L18" i="7"/>
  <c r="L16" i="7"/>
  <c r="L15" i="7"/>
  <c r="L14" i="7"/>
  <c r="L13" i="7"/>
  <c r="D30" i="7"/>
  <c r="E29" i="26" s="1"/>
  <c r="F39" i="7"/>
  <c r="F38" i="7"/>
  <c r="G38" i="7" s="1"/>
  <c r="F36" i="7"/>
  <c r="G36" i="7" s="1"/>
  <c r="F29" i="7"/>
  <c r="G29" i="7" s="1"/>
  <c r="H20" i="7"/>
  <c r="J20" i="7" s="1"/>
  <c r="K20" i="7" s="1"/>
  <c r="D17" i="7"/>
  <c r="E16" i="26" s="1"/>
  <c r="D21" i="7"/>
  <c r="E20" i="26" s="1"/>
  <c r="D24" i="7"/>
  <c r="E23" i="26" s="1"/>
  <c r="L39" i="7"/>
  <c r="H38" i="26" s="1"/>
  <c r="L37" i="7"/>
  <c r="H36" i="26" s="1"/>
  <c r="L36" i="7"/>
  <c r="F26" i="7"/>
  <c r="F24" i="7"/>
  <c r="G24" i="7" s="1"/>
  <c r="F21" i="7"/>
  <c r="F37" i="7"/>
  <c r="G37" i="7" s="1"/>
  <c r="D12" i="7"/>
  <c r="E12" i="7" s="1"/>
  <c r="D22" i="7"/>
  <c r="E22" i="7" s="1"/>
  <c r="D36" i="7"/>
  <c r="E35" i="26" s="1"/>
  <c r="D35" i="7"/>
  <c r="E35" i="7" s="1"/>
  <c r="L10" i="7"/>
  <c r="L9" i="7"/>
  <c r="F10" i="4"/>
  <c r="G10" i="4" s="1"/>
  <c r="J25" i="18"/>
  <c r="G17" i="18"/>
  <c r="G16" i="18"/>
  <c r="G33" i="18"/>
  <c r="G22" i="18"/>
  <c r="B15" i="7"/>
  <c r="B15" i="18" s="1"/>
  <c r="B11" i="21" s="1"/>
  <c r="J30" i="4"/>
  <c r="K30" i="4" s="1"/>
  <c r="U701" i="16"/>
  <c r="U697" i="16"/>
  <c r="U699" i="16"/>
  <c r="M688" i="16"/>
  <c r="G35" i="18"/>
  <c r="K35" i="18"/>
  <c r="J34" i="4"/>
  <c r="K34" i="4" s="1"/>
  <c r="H34" i="7"/>
  <c r="J34" i="7" s="1"/>
  <c r="K34" i="7" s="1"/>
  <c r="F34" i="4"/>
  <c r="G34" i="4" s="1"/>
  <c r="U647" i="16"/>
  <c r="S646" i="16"/>
  <c r="S642" i="16"/>
  <c r="S638" i="16"/>
  <c r="U639" i="16"/>
  <c r="F32" i="7"/>
  <c r="G32" i="7" s="1"/>
  <c r="J33" i="7"/>
  <c r="K33" i="7" s="1"/>
  <c r="U630" i="16"/>
  <c r="J38" i="18"/>
  <c r="K38" i="18" s="1"/>
  <c r="H36" i="18"/>
  <c r="J36" i="18" s="1"/>
  <c r="U814" i="16"/>
  <c r="E34" i="18"/>
  <c r="G34" i="18"/>
  <c r="U811" i="16"/>
  <c r="G36" i="18"/>
  <c r="E36" i="18"/>
  <c r="J35" i="18"/>
  <c r="J17" i="18"/>
  <c r="K36" i="18"/>
  <c r="E35" i="18"/>
  <c r="U798" i="16"/>
  <c r="U802" i="16"/>
  <c r="U806" i="16"/>
  <c r="U810" i="16"/>
  <c r="J32" i="4"/>
  <c r="K32" i="4" s="1"/>
  <c r="F32" i="4"/>
  <c r="G32" i="4" s="1"/>
  <c r="J32" i="18"/>
  <c r="E32" i="18"/>
  <c r="E33" i="18"/>
  <c r="H33" i="18"/>
  <c r="J33" i="18" s="1"/>
  <c r="D32" i="7"/>
  <c r="E31" i="26" s="1"/>
  <c r="D31" i="7"/>
  <c r="E30" i="26" s="1"/>
  <c r="L31" i="7"/>
  <c r="H30" i="26" s="1"/>
  <c r="U601" i="16"/>
  <c r="U605" i="16"/>
  <c r="F30" i="7"/>
  <c r="G30" i="7" s="1"/>
  <c r="M584" i="16"/>
  <c r="F31" i="7"/>
  <c r="G31" i="7" s="1"/>
  <c r="J31" i="18"/>
  <c r="G31" i="18"/>
  <c r="E30" i="18"/>
  <c r="L30" i="7"/>
  <c r="H29" i="26" s="1"/>
  <c r="F30" i="4"/>
  <c r="G30" i="4" s="1"/>
  <c r="L29" i="7"/>
  <c r="F29" i="4"/>
  <c r="G29" i="26"/>
  <c r="M592" i="16"/>
  <c r="F28" i="4"/>
  <c r="G28" i="4" s="1"/>
  <c r="H27" i="18"/>
  <c r="J27" i="18" s="1"/>
  <c r="E27" i="18"/>
  <c r="D27" i="7"/>
  <c r="E27" i="7" s="1"/>
  <c r="J27" i="4"/>
  <c r="K27" i="4" s="1"/>
  <c r="E26" i="18"/>
  <c r="D26" i="7"/>
  <c r="E26" i="7" s="1"/>
  <c r="H26" i="18"/>
  <c r="J26" i="18" s="1"/>
  <c r="G29" i="18"/>
  <c r="E29" i="18"/>
  <c r="I29" i="18"/>
  <c r="J29" i="18" s="1"/>
  <c r="U535" i="16"/>
  <c r="U539" i="16"/>
  <c r="U543" i="16"/>
  <c r="U547" i="16"/>
  <c r="U551" i="16"/>
  <c r="U555" i="16"/>
  <c r="E28" i="18"/>
  <c r="U506" i="16"/>
  <c r="U510" i="16"/>
  <c r="U514" i="16"/>
  <c r="U518" i="16"/>
  <c r="U522" i="16"/>
  <c r="U526" i="16"/>
  <c r="U481" i="16"/>
  <c r="U485" i="16"/>
  <c r="U489" i="16"/>
  <c r="U493" i="16"/>
  <c r="U497" i="16"/>
  <c r="U501" i="16"/>
  <c r="G26" i="18"/>
  <c r="U456" i="16"/>
  <c r="U460" i="16"/>
  <c r="U464" i="16"/>
  <c r="U468" i="16"/>
  <c r="U472" i="16"/>
  <c r="U476" i="16"/>
  <c r="L26" i="7"/>
  <c r="F28" i="7"/>
  <c r="G28" i="7" s="1"/>
  <c r="F27" i="4"/>
  <c r="G27" i="4" s="1"/>
  <c r="G33" i="26"/>
  <c r="J27" i="7"/>
  <c r="K27" i="7" s="1"/>
  <c r="H31" i="7"/>
  <c r="J31" i="7" s="1"/>
  <c r="K31" i="7" s="1"/>
  <c r="H15" i="7"/>
  <c r="J15" i="7" s="1"/>
  <c r="K15" i="7" s="1"/>
  <c r="L28" i="7"/>
  <c r="L17" i="7"/>
  <c r="J28" i="7"/>
  <c r="K28" i="7" s="1"/>
  <c r="G35" i="26"/>
  <c r="G25" i="26"/>
  <c r="J30" i="7"/>
  <c r="K30" i="7" s="1"/>
  <c r="M552" i="16"/>
  <c r="M602" i="16"/>
  <c r="M640" i="16"/>
  <c r="M656" i="16"/>
  <c r="M744" i="16"/>
  <c r="M760" i="16"/>
  <c r="G26" i="26"/>
  <c r="F34" i="7"/>
  <c r="G34" i="7" s="1"/>
  <c r="F27" i="7"/>
  <c r="F25" i="7"/>
  <c r="G25" i="7" s="1"/>
  <c r="L12" i="7"/>
  <c r="G31" i="26"/>
  <c r="G27" i="26"/>
  <c r="G28" i="26"/>
  <c r="J10" i="7"/>
  <c r="K10" i="7" s="1"/>
  <c r="J29" i="7"/>
  <c r="K29" i="7" s="1"/>
  <c r="G34" i="26"/>
  <c r="G32" i="26"/>
  <c r="G30" i="26"/>
  <c r="F25" i="4"/>
  <c r="G25" i="4" s="1"/>
  <c r="J25" i="7"/>
  <c r="K25" i="7" s="1"/>
  <c r="K25" i="18"/>
  <c r="U431" i="16"/>
  <c r="U435" i="16"/>
  <c r="U439" i="16"/>
  <c r="U443" i="16"/>
  <c r="U447" i="16"/>
  <c r="U451" i="16"/>
  <c r="G25" i="18"/>
  <c r="G24" i="26"/>
  <c r="E25" i="18"/>
  <c r="U422" i="16"/>
  <c r="U414" i="16"/>
  <c r="U410" i="16"/>
  <c r="U406" i="16"/>
  <c r="E24" i="18"/>
  <c r="L24" i="7"/>
  <c r="F23" i="7"/>
  <c r="C22" i="26" s="1"/>
  <c r="G23" i="26"/>
  <c r="F24" i="4"/>
  <c r="J24" i="4"/>
  <c r="K24" i="4" s="1"/>
  <c r="J23" i="18"/>
  <c r="U397" i="16"/>
  <c r="G24" i="18"/>
  <c r="L23" i="4"/>
  <c r="F22" i="4"/>
  <c r="G22" i="4" s="1"/>
  <c r="G22" i="26"/>
  <c r="E23" i="18"/>
  <c r="K23" i="18"/>
  <c r="G23" i="18"/>
  <c r="E22" i="18"/>
  <c r="U352" i="16"/>
  <c r="U356" i="16"/>
  <c r="U360" i="16"/>
  <c r="U364" i="16"/>
  <c r="U368" i="16"/>
  <c r="U372" i="16"/>
  <c r="G21" i="18"/>
  <c r="G21" i="26"/>
  <c r="I22" i="7"/>
  <c r="J22" i="7" s="1"/>
  <c r="F21" i="4"/>
  <c r="G21" i="4" s="1"/>
  <c r="L21" i="4"/>
  <c r="U318" i="16"/>
  <c r="J20" i="18"/>
  <c r="G20" i="18"/>
  <c r="D20" i="7"/>
  <c r="E19" i="26" s="1"/>
  <c r="F20" i="4"/>
  <c r="G20" i="4" s="1"/>
  <c r="L20" i="4"/>
  <c r="F19" i="4"/>
  <c r="G19" i="4" s="1"/>
  <c r="D19" i="7"/>
  <c r="E19" i="7" s="1"/>
  <c r="F19" i="7"/>
  <c r="G19" i="7" s="1"/>
  <c r="K19" i="18"/>
  <c r="G19" i="18"/>
  <c r="E19" i="18"/>
  <c r="H19" i="18"/>
  <c r="J19" i="18" s="1"/>
  <c r="H19" i="7"/>
  <c r="J19" i="7" s="1"/>
  <c r="K19" i="7" s="1"/>
  <c r="G18" i="26"/>
  <c r="L19" i="4"/>
  <c r="E18" i="4"/>
  <c r="G20" i="26"/>
  <c r="U327" i="16"/>
  <c r="U331" i="16"/>
  <c r="U335" i="16"/>
  <c r="U339" i="16"/>
  <c r="U343" i="16"/>
  <c r="U347" i="16"/>
  <c r="E20" i="18"/>
  <c r="G19" i="26"/>
  <c r="F18" i="7"/>
  <c r="G18" i="7" s="1"/>
  <c r="F18" i="4"/>
  <c r="L18" i="4"/>
  <c r="G18" i="18"/>
  <c r="K18" i="18"/>
  <c r="E18" i="18"/>
  <c r="G17" i="26"/>
  <c r="I18" i="7"/>
  <c r="J18" i="7" s="1"/>
  <c r="D18" i="7"/>
  <c r="E17" i="26" s="1"/>
  <c r="E17" i="18"/>
  <c r="F17" i="4"/>
  <c r="G17" i="4" s="1"/>
  <c r="J16" i="18"/>
  <c r="L16" i="4"/>
  <c r="M195" i="16"/>
  <c r="G15" i="26"/>
  <c r="F16" i="7"/>
  <c r="G16" i="7" s="1"/>
  <c r="I17" i="7"/>
  <c r="G16" i="26"/>
  <c r="E16" i="18"/>
  <c r="K16" i="18"/>
  <c r="H16" i="4"/>
  <c r="J16" i="4" s="1"/>
  <c r="F16" i="4"/>
  <c r="F15" i="4"/>
  <c r="G15" i="4" s="1"/>
  <c r="L15" i="4"/>
  <c r="F14" i="4"/>
  <c r="G14" i="4" s="1"/>
  <c r="I36" i="4"/>
  <c r="J36" i="4" s="1"/>
  <c r="K36" i="4" s="1"/>
  <c r="E17" i="4"/>
  <c r="L11" i="4"/>
  <c r="H23" i="4"/>
  <c r="J23" i="4" s="1"/>
  <c r="K23" i="4" s="1"/>
  <c r="H31" i="4"/>
  <c r="J31" i="4" s="1"/>
  <c r="E34" i="4"/>
  <c r="H28" i="4"/>
  <c r="J28" i="4" s="1"/>
  <c r="H21" i="4"/>
  <c r="J21" i="4" s="1"/>
  <c r="K21" i="4" s="1"/>
  <c r="I15" i="4"/>
  <c r="J15" i="4" s="1"/>
  <c r="K15" i="4" s="1"/>
  <c r="H33" i="4"/>
  <c r="J33" i="4" s="1"/>
  <c r="H26" i="4"/>
  <c r="J26" i="4" s="1"/>
  <c r="K26" i="4" s="1"/>
  <c r="J25" i="4"/>
  <c r="K25" i="4" s="1"/>
  <c r="J29" i="4"/>
  <c r="K29" i="4" s="1"/>
  <c r="E15" i="4"/>
  <c r="N37" i="5"/>
  <c r="L9" i="4" s="1"/>
  <c r="J20" i="4"/>
  <c r="K20" i="4" s="1"/>
  <c r="B8" i="26"/>
  <c r="B9" i="7"/>
  <c r="B9" i="18" s="1"/>
  <c r="B5" i="21" s="1"/>
  <c r="E24" i="4"/>
  <c r="J35" i="4"/>
  <c r="J17" i="4"/>
  <c r="K17" i="4" s="1"/>
  <c r="J19" i="4"/>
  <c r="K19" i="4" s="1"/>
  <c r="J18" i="4"/>
  <c r="K18" i="4" s="1"/>
  <c r="J22" i="4"/>
  <c r="K22" i="4" s="1"/>
  <c r="E25" i="4"/>
  <c r="E33" i="4"/>
  <c r="I65" i="16"/>
  <c r="I69" i="16"/>
  <c r="I73" i="16"/>
  <c r="I81" i="16"/>
  <c r="I85" i="16"/>
  <c r="I223" i="16"/>
  <c r="I227" i="16"/>
  <c r="I231" i="16"/>
  <c r="I235" i="16"/>
  <c r="I239" i="16"/>
  <c r="I243" i="16"/>
  <c r="I273" i="16"/>
  <c r="I277" i="16"/>
  <c r="I281" i="16"/>
  <c r="I285" i="16"/>
  <c r="I289" i="16"/>
  <c r="I293" i="16"/>
  <c r="I298" i="16"/>
  <c r="I302" i="16"/>
  <c r="I306" i="16"/>
  <c r="I310" i="16"/>
  <c r="I314" i="16"/>
  <c r="I318" i="16"/>
  <c r="I327" i="16"/>
  <c r="I331" i="16"/>
  <c r="I335" i="16"/>
  <c r="I339" i="16"/>
  <c r="I343" i="16"/>
  <c r="I347" i="16"/>
  <c r="I352" i="16"/>
  <c r="I356" i="16"/>
  <c r="I360" i="16"/>
  <c r="I364" i="16"/>
  <c r="I368" i="16"/>
  <c r="B23" i="7"/>
  <c r="B23" i="18" s="1"/>
  <c r="B19" i="21" s="1"/>
  <c r="I372" i="16"/>
  <c r="I377" i="16"/>
  <c r="I381" i="16"/>
  <c r="I385" i="16"/>
  <c r="I389" i="16"/>
  <c r="I393" i="16"/>
  <c r="I397" i="16"/>
  <c r="I402" i="16"/>
  <c r="I405" i="16"/>
  <c r="I406" i="16"/>
  <c r="I410" i="16"/>
  <c r="I414" i="16"/>
  <c r="I418" i="16"/>
  <c r="I422" i="16"/>
  <c r="I431" i="16"/>
  <c r="I435" i="16"/>
  <c r="I439" i="16"/>
  <c r="I443" i="16"/>
  <c r="I447" i="16"/>
  <c r="I451" i="16"/>
  <c r="I456" i="16"/>
  <c r="I460" i="16"/>
  <c r="I464" i="16"/>
  <c r="I468" i="16"/>
  <c r="I472" i="16"/>
  <c r="I476" i="16"/>
  <c r="I481" i="16"/>
  <c r="I485" i="16"/>
  <c r="I489" i="16"/>
  <c r="I493" i="16"/>
  <c r="I497" i="16"/>
  <c r="I501" i="16"/>
  <c r="I506" i="16"/>
  <c r="I510" i="16"/>
  <c r="I514" i="16"/>
  <c r="I518" i="16"/>
  <c r="I522" i="16"/>
  <c r="I526" i="16"/>
  <c r="I535" i="16"/>
  <c r="I539" i="16"/>
  <c r="I543" i="16"/>
  <c r="I547" i="16"/>
  <c r="I551" i="16"/>
  <c r="I555" i="16"/>
  <c r="I560" i="16"/>
  <c r="I564" i="16"/>
  <c r="I568" i="16"/>
  <c r="I572" i="16"/>
  <c r="I576" i="16"/>
  <c r="I580" i="16"/>
  <c r="I585" i="16"/>
  <c r="I589" i="16"/>
  <c r="I593" i="16"/>
  <c r="I597" i="16"/>
  <c r="I601" i="16"/>
  <c r="I605" i="16"/>
  <c r="I610" i="16"/>
  <c r="I614" i="16"/>
  <c r="I618" i="16"/>
  <c r="I622" i="16"/>
  <c r="I626" i="16"/>
  <c r="I630" i="16"/>
  <c r="I639" i="16"/>
  <c r="I643" i="16"/>
  <c r="I647" i="16"/>
  <c r="I651" i="16"/>
  <c r="I655" i="16"/>
  <c r="I659" i="16"/>
  <c r="I664" i="16"/>
  <c r="I668" i="16"/>
  <c r="I672" i="16"/>
  <c r="I676" i="16"/>
  <c r="I680" i="16"/>
  <c r="I684" i="16"/>
  <c r="I689" i="16"/>
  <c r="I693" i="16"/>
  <c r="I697" i="16"/>
  <c r="I701" i="16"/>
  <c r="I705" i="16"/>
  <c r="I709" i="16"/>
  <c r="I714" i="16"/>
  <c r="I718" i="16"/>
  <c r="I793" i="16"/>
  <c r="E19" i="4"/>
  <c r="E28" i="4"/>
  <c r="E26" i="4"/>
  <c r="G23" i="4"/>
  <c r="E30" i="4"/>
  <c r="I145" i="16"/>
  <c r="I149" i="16"/>
  <c r="I153" i="16"/>
  <c r="I157" i="16"/>
  <c r="I161" i="16"/>
  <c r="I165" i="16"/>
  <c r="I170" i="16"/>
  <c r="I174" i="16"/>
  <c r="I178" i="16"/>
  <c r="I186" i="16"/>
  <c r="I190" i="16"/>
  <c r="I195" i="16"/>
  <c r="I199" i="16"/>
  <c r="I203" i="16"/>
  <c r="I207" i="16"/>
  <c r="I211" i="16"/>
  <c r="I215" i="16"/>
  <c r="I220" i="16"/>
  <c r="I224" i="16"/>
  <c r="I228" i="16"/>
  <c r="I232" i="16"/>
  <c r="I236" i="16"/>
  <c r="I240" i="16"/>
  <c r="I249" i="16"/>
  <c r="I253" i="16"/>
  <c r="I257" i="16"/>
  <c r="I261" i="16"/>
  <c r="I265" i="16"/>
  <c r="I269" i="16"/>
  <c r="I274" i="16"/>
  <c r="I278" i="16"/>
  <c r="I282" i="16"/>
  <c r="I294" i="16"/>
  <c r="I299" i="16"/>
  <c r="I303" i="16"/>
  <c r="I307" i="16"/>
  <c r="I311" i="16"/>
  <c r="E16" i="4"/>
  <c r="E21" i="4"/>
  <c r="E22" i="4"/>
  <c r="E27" i="4"/>
  <c r="E23" i="4"/>
  <c r="E35" i="4"/>
  <c r="E32" i="4"/>
  <c r="E29" i="4"/>
  <c r="E20" i="4"/>
  <c r="I315" i="16"/>
  <c r="I319" i="16"/>
  <c r="I324" i="16"/>
  <c r="I328" i="16"/>
  <c r="I332" i="16"/>
  <c r="I336" i="16"/>
  <c r="I340" i="16"/>
  <c r="I344" i="16"/>
  <c r="I353" i="16"/>
  <c r="I357" i="16"/>
  <c r="I361" i="16"/>
  <c r="I369" i="16"/>
  <c r="I378" i="16"/>
  <c r="I382" i="16"/>
  <c r="I386" i="16"/>
  <c r="I390" i="16"/>
  <c r="I394" i="16"/>
  <c r="I398" i="16"/>
  <c r="I403" i="16"/>
  <c r="I407" i="16"/>
  <c r="I411" i="16"/>
  <c r="I415" i="16"/>
  <c r="I419" i="16"/>
  <c r="I423" i="16"/>
  <c r="I432" i="16"/>
  <c r="I436" i="16"/>
  <c r="I440" i="16"/>
  <c r="I444" i="16"/>
  <c r="I448" i="16"/>
  <c r="I457" i="16"/>
  <c r="I461" i="16"/>
  <c r="I465" i="16"/>
  <c r="I469" i="16"/>
  <c r="I473" i="16"/>
  <c r="I477" i="16"/>
  <c r="I486" i="16"/>
  <c r="I490" i="16"/>
  <c r="I494" i="16"/>
  <c r="I498" i="16"/>
  <c r="I502" i="16"/>
  <c r="I507" i="16"/>
  <c r="I511" i="16"/>
  <c r="I515" i="16"/>
  <c r="I519" i="16"/>
  <c r="I527" i="16"/>
  <c r="I532" i="16"/>
  <c r="I536" i="16"/>
  <c r="I540" i="16"/>
  <c r="I544" i="16"/>
  <c r="I548" i="16"/>
  <c r="I552" i="16"/>
  <c r="I561" i="16"/>
  <c r="I565" i="16"/>
  <c r="I569" i="16"/>
  <c r="I573" i="16"/>
  <c r="I577" i="16"/>
  <c r="I581" i="16"/>
  <c r="I586" i="16"/>
  <c r="I590" i="16"/>
  <c r="I594" i="16"/>
  <c r="I598" i="16"/>
  <c r="I602" i="16"/>
  <c r="I606" i="16"/>
  <c r="I615" i="16"/>
  <c r="I619" i="16"/>
  <c r="I623" i="16"/>
  <c r="I627" i="16"/>
  <c r="I631" i="16"/>
  <c r="I636" i="16"/>
  <c r="I640" i="16"/>
  <c r="I644" i="16"/>
  <c r="I648" i="16"/>
  <c r="I652" i="16"/>
  <c r="I656" i="16"/>
  <c r="I665" i="16"/>
  <c r="I669" i="16"/>
  <c r="I673" i="16"/>
  <c r="I677" i="16"/>
  <c r="I681" i="16"/>
  <c r="I685" i="16"/>
  <c r="I690" i="16"/>
  <c r="I694" i="16"/>
  <c r="I698" i="16"/>
  <c r="I702" i="16"/>
  <c r="I706" i="16"/>
  <c r="I710" i="16"/>
  <c r="I752" i="16"/>
  <c r="I756" i="16"/>
  <c r="I760" i="16"/>
  <c r="I769" i="16"/>
  <c r="I773" i="16"/>
  <c r="I777" i="16"/>
  <c r="I781" i="16"/>
  <c r="I785" i="16"/>
  <c r="I789" i="16"/>
  <c r="B11" i="7"/>
  <c r="B11" i="18" s="1"/>
  <c r="B7" i="21" s="1"/>
  <c r="B21" i="26"/>
  <c r="B17" i="26"/>
  <c r="I722" i="16"/>
  <c r="I726" i="16"/>
  <c r="I730" i="16"/>
  <c r="I734" i="16"/>
  <c r="B19" i="7"/>
  <c r="B19" i="18" s="1"/>
  <c r="B15" i="21" s="1"/>
  <c r="B13" i="26"/>
  <c r="H14" i="4"/>
  <c r="J14" i="4" s="1"/>
  <c r="K14" i="4" s="1"/>
  <c r="E14" i="4"/>
  <c r="J13" i="4"/>
  <c r="K13" i="4" s="1"/>
  <c r="E13" i="4"/>
  <c r="G14" i="26"/>
  <c r="F15" i="7"/>
  <c r="G15" i="7" s="1"/>
  <c r="D15" i="7"/>
  <c r="E15" i="7" s="1"/>
  <c r="F14" i="7"/>
  <c r="G14" i="7" s="1"/>
  <c r="D14" i="7"/>
  <c r="E13" i="26" s="1"/>
  <c r="F13" i="4"/>
  <c r="G13" i="4" s="1"/>
  <c r="G15" i="18"/>
  <c r="E15" i="18"/>
  <c r="K15" i="18"/>
  <c r="D13" i="7"/>
  <c r="E13" i="7" s="1"/>
  <c r="H13" i="7"/>
  <c r="J13" i="7" s="1"/>
  <c r="K13" i="7" s="1"/>
  <c r="F13" i="7"/>
  <c r="G13" i="7" s="1"/>
  <c r="G12" i="26"/>
  <c r="J12" i="4"/>
  <c r="K12" i="4" s="1"/>
  <c r="F11" i="4"/>
  <c r="G11" i="4" s="1"/>
  <c r="I77" i="16"/>
  <c r="G11" i="18"/>
  <c r="E11" i="4"/>
  <c r="H12" i="7"/>
  <c r="F12" i="7"/>
  <c r="E12" i="4"/>
  <c r="G11" i="26"/>
  <c r="H11" i="4"/>
  <c r="J11" i="4" s="1"/>
  <c r="K11" i="4" s="1"/>
  <c r="I66" i="16"/>
  <c r="I70" i="16"/>
  <c r="I74" i="16"/>
  <c r="I78" i="16"/>
  <c r="I82" i="16"/>
  <c r="I86" i="16"/>
  <c r="E14" i="18"/>
  <c r="G14" i="18"/>
  <c r="G13" i="26"/>
  <c r="E13" i="18"/>
  <c r="G13" i="18"/>
  <c r="J12" i="18"/>
  <c r="G12" i="18"/>
  <c r="K12" i="18"/>
  <c r="E12" i="18"/>
  <c r="J11" i="18"/>
  <c r="E11" i="18"/>
  <c r="J10" i="4"/>
  <c r="K10" i="4" s="1"/>
  <c r="G10" i="18"/>
  <c r="E10" i="18"/>
  <c r="K37" i="5"/>
  <c r="F9" i="4" s="1"/>
  <c r="I715" i="16"/>
  <c r="I719" i="16"/>
  <c r="I723" i="16"/>
  <c r="I727" i="16"/>
  <c r="I731" i="16"/>
  <c r="I735" i="16"/>
  <c r="I737" i="16"/>
  <c r="I798" i="16"/>
  <c r="I802" i="16"/>
  <c r="I806" i="16"/>
  <c r="I810" i="16"/>
  <c r="I814" i="16"/>
  <c r="I743" i="16"/>
  <c r="I747" i="16"/>
  <c r="I751" i="16"/>
  <c r="I755" i="16"/>
  <c r="I759" i="16"/>
  <c r="I763" i="16"/>
  <c r="I768" i="16"/>
  <c r="I772" i="16"/>
  <c r="I776" i="16"/>
  <c r="I780" i="16"/>
  <c r="I784" i="16"/>
  <c r="I788" i="16"/>
  <c r="B12" i="7"/>
  <c r="B12" i="18" s="1"/>
  <c r="B8" i="21" s="1"/>
  <c r="B16" i="7"/>
  <c r="B16" i="18" s="1"/>
  <c r="B12" i="21" s="1"/>
  <c r="B20" i="7"/>
  <c r="B20" i="18" s="1"/>
  <c r="B16" i="21" s="1"/>
  <c r="B20" i="26"/>
  <c r="B16" i="26"/>
  <c r="B12" i="26"/>
  <c r="B10" i="7"/>
  <c r="B10" i="18" s="1"/>
  <c r="B6" i="21" s="1"/>
  <c r="K10" i="18"/>
  <c r="J10" i="18"/>
  <c r="E8" i="26"/>
  <c r="E10" i="4"/>
  <c r="G9" i="26"/>
  <c r="F10" i="7"/>
  <c r="F9" i="7"/>
  <c r="J9" i="4"/>
  <c r="I15" i="16"/>
  <c r="I19" i="16"/>
  <c r="H37" i="5"/>
  <c r="K30" i="18"/>
  <c r="J30" i="18"/>
  <c r="E9" i="18"/>
  <c r="G9" i="18"/>
  <c r="G32" i="18"/>
  <c r="E31" i="18"/>
  <c r="K32" i="18"/>
  <c r="G30" i="18"/>
  <c r="K11" i="18"/>
  <c r="H22" i="18"/>
  <c r="J22" i="18" s="1"/>
  <c r="K20" i="18"/>
  <c r="H15" i="18"/>
  <c r="J15" i="18" s="1"/>
  <c r="K34" i="18"/>
  <c r="K31" i="18"/>
  <c r="H34" i="18"/>
  <c r="J34" i="18" s="1"/>
  <c r="U82" i="16"/>
  <c r="U565" i="16"/>
  <c r="U569" i="16"/>
  <c r="U573" i="16"/>
  <c r="U586" i="16"/>
  <c r="U590" i="16"/>
  <c r="U594" i="16"/>
  <c r="U598" i="16"/>
  <c r="U602" i="16"/>
  <c r="U606" i="16"/>
  <c r="U611" i="16"/>
  <c r="U615" i="16"/>
  <c r="U619" i="16"/>
  <c r="U623" i="16"/>
  <c r="U665" i="16"/>
  <c r="U669" i="16"/>
  <c r="U673" i="16"/>
  <c r="U681" i="16"/>
  <c r="U685" i="16"/>
  <c r="U690" i="16"/>
  <c r="U70" i="16"/>
  <c r="U86" i="16"/>
  <c r="U577" i="16"/>
  <c r="K33" i="18"/>
  <c r="K9" i="18"/>
  <c r="U221" i="16"/>
  <c r="U233" i="16"/>
  <c r="U250" i="16"/>
  <c r="U258" i="16"/>
  <c r="U275" i="16"/>
  <c r="U287" i="16"/>
  <c r="U300" i="16"/>
  <c r="U312" i="16"/>
  <c r="U325" i="16"/>
  <c r="U337" i="16"/>
  <c r="U345" i="16"/>
  <c r="U354" i="16"/>
  <c r="U358" i="16"/>
  <c r="U362" i="16"/>
  <c r="U366" i="16"/>
  <c r="U370" i="16"/>
  <c r="U379" i="16"/>
  <c r="U383" i="16"/>
  <c r="U387" i="16"/>
  <c r="U391" i="16"/>
  <c r="U395" i="16"/>
  <c r="U399" i="16"/>
  <c r="U404" i="16"/>
  <c r="U408" i="16"/>
  <c r="U412" i="16"/>
  <c r="U416" i="16"/>
  <c r="U420" i="16"/>
  <c r="U424" i="16"/>
  <c r="U429" i="16"/>
  <c r="U433" i="16"/>
  <c r="U437" i="16"/>
  <c r="U441" i="16"/>
  <c r="U445" i="16"/>
  <c r="U449" i="16"/>
  <c r="U454" i="16"/>
  <c r="U466" i="16"/>
  <c r="U470" i="16"/>
  <c r="U474" i="16"/>
  <c r="U483" i="16"/>
  <c r="U487" i="16"/>
  <c r="U491" i="16"/>
  <c r="U495" i="16"/>
  <c r="U499" i="16"/>
  <c r="U503" i="16"/>
  <c r="U508" i="16"/>
  <c r="U512" i="16"/>
  <c r="U516" i="16"/>
  <c r="U520" i="16"/>
  <c r="U524" i="16"/>
  <c r="U528" i="16"/>
  <c r="U533" i="16"/>
  <c r="U537" i="16"/>
  <c r="U541" i="16"/>
  <c r="U545" i="16"/>
  <c r="U549" i="16"/>
  <c r="U553" i="16"/>
  <c r="U558" i="16"/>
  <c r="U562" i="16"/>
  <c r="U566" i="16"/>
  <c r="U570" i="16"/>
  <c r="U574" i="16"/>
  <c r="U578" i="16"/>
  <c r="U587" i="16"/>
  <c r="U591" i="16"/>
  <c r="U595" i="16"/>
  <c r="U599" i="16"/>
  <c r="U603" i="16"/>
  <c r="U607" i="16"/>
  <c r="U612" i="16"/>
  <c r="U616" i="16"/>
  <c r="U620" i="16"/>
  <c r="U624" i="16"/>
  <c r="U628" i="16"/>
  <c r="U632" i="16"/>
  <c r="U637" i="16"/>
  <c r="U641" i="16"/>
  <c r="U645" i="16"/>
  <c r="U649" i="16"/>
  <c r="U653" i="16"/>
  <c r="U657" i="16"/>
  <c r="U662" i="16"/>
  <c r="U666" i="16"/>
  <c r="U670" i="16"/>
  <c r="U674" i="16"/>
  <c r="U678" i="16"/>
  <c r="U682" i="16"/>
  <c r="U691" i="16"/>
  <c r="U695" i="16"/>
  <c r="U74" i="16"/>
  <c r="U561" i="16"/>
  <c r="U581" i="16"/>
  <c r="U225" i="16"/>
  <c r="U237" i="16"/>
  <c r="U246" i="16"/>
  <c r="U266" i="16"/>
  <c r="U283" i="16"/>
  <c r="U291" i="16"/>
  <c r="U308" i="16"/>
  <c r="U320" i="16"/>
  <c r="U329" i="16"/>
  <c r="U341" i="16"/>
  <c r="U350" i="16"/>
  <c r="U462" i="16"/>
  <c r="K14" i="18"/>
  <c r="K26" i="18"/>
  <c r="I28" i="18"/>
  <c r="K28" i="18" s="1"/>
  <c r="I13" i="18"/>
  <c r="K13" i="18" s="1"/>
  <c r="E21" i="18"/>
  <c r="U66" i="16"/>
  <c r="U78" i="16"/>
  <c r="U694" i="16"/>
  <c r="U229" i="16"/>
  <c r="U241" i="16"/>
  <c r="U254" i="16"/>
  <c r="U262" i="16"/>
  <c r="U279" i="16"/>
  <c r="U295" i="16"/>
  <c r="U304" i="16"/>
  <c r="U316" i="16"/>
  <c r="U333" i="16"/>
  <c r="U458" i="16"/>
  <c r="J21" i="18"/>
  <c r="K27" i="18"/>
  <c r="K24" i="18"/>
  <c r="K22" i="18"/>
  <c r="J24" i="18"/>
  <c r="K17" i="18"/>
  <c r="K21" i="18"/>
  <c r="U698" i="16"/>
  <c r="U702" i="16"/>
  <c r="U706" i="16"/>
  <c r="U710" i="16"/>
  <c r="U715" i="16"/>
  <c r="U719" i="16"/>
  <c r="U723" i="16"/>
  <c r="U727" i="16"/>
  <c r="U731" i="16"/>
  <c r="U735" i="16"/>
  <c r="U740" i="16"/>
  <c r="U744" i="16"/>
  <c r="U748" i="16"/>
  <c r="U752" i="16"/>
  <c r="U756" i="16"/>
  <c r="U760" i="16"/>
  <c r="U769" i="16"/>
  <c r="U773" i="16"/>
  <c r="U777" i="16"/>
  <c r="U781" i="16"/>
  <c r="U785" i="16"/>
  <c r="U789" i="16"/>
  <c r="U794" i="16"/>
  <c r="E5" i="4"/>
  <c r="E5" i="7" s="1"/>
  <c r="E5" i="18" s="1"/>
  <c r="J7" i="20"/>
  <c r="U145" i="16"/>
  <c r="U149" i="16"/>
  <c r="U153" i="16"/>
  <c r="U157" i="16"/>
  <c r="U161" i="16"/>
  <c r="U165" i="16"/>
  <c r="U170" i="16"/>
  <c r="U174" i="16"/>
  <c r="U178" i="16"/>
  <c r="U182" i="16"/>
  <c r="U186" i="16"/>
  <c r="U190" i="16"/>
  <c r="U195" i="16"/>
  <c r="U199" i="16"/>
  <c r="U203" i="16"/>
  <c r="U207" i="16"/>
  <c r="U211" i="16"/>
  <c r="U215" i="16"/>
  <c r="U220" i="16"/>
  <c r="U224" i="16"/>
  <c r="U228" i="16"/>
  <c r="U232" i="16"/>
  <c r="U240" i="16"/>
  <c r="U249" i="16"/>
  <c r="U253" i="16"/>
  <c r="U257" i="16"/>
  <c r="U261" i="16"/>
  <c r="U265" i="16"/>
  <c r="U269" i="16"/>
  <c r="I607" i="16"/>
  <c r="I612" i="16"/>
  <c r="I616" i="16"/>
  <c r="I620" i="16"/>
  <c r="I624" i="16"/>
  <c r="I628" i="16"/>
  <c r="I632" i="16"/>
  <c r="I637" i="16"/>
  <c r="I641" i="16"/>
  <c r="I645" i="16"/>
  <c r="I649" i="16"/>
  <c r="I653" i="16"/>
  <c r="I657" i="16"/>
  <c r="I662" i="16"/>
  <c r="I666" i="16"/>
  <c r="I670" i="16"/>
  <c r="I674" i="16"/>
  <c r="I22" i="16"/>
  <c r="I26" i="16"/>
  <c r="I30" i="16"/>
  <c r="I34" i="16"/>
  <c r="K277" i="16"/>
  <c r="O277" i="16" s="1"/>
  <c r="K144" i="16"/>
  <c r="I144" i="15" s="1"/>
  <c r="I135" i="15"/>
  <c r="U274" i="16"/>
  <c r="U278" i="16"/>
  <c r="U282" i="16"/>
  <c r="U286" i="16"/>
  <c r="U290" i="16"/>
  <c r="U294" i="16"/>
  <c r="U299" i="16"/>
  <c r="U303" i="16"/>
  <c r="U307" i="16"/>
  <c r="U336" i="16"/>
  <c r="U340" i="16"/>
  <c r="U344" i="16"/>
  <c r="U353" i="16"/>
  <c r="U357" i="16"/>
  <c r="U361" i="16"/>
  <c r="U365" i="16"/>
  <c r="U369" i="16"/>
  <c r="U373" i="16"/>
  <c r="U378" i="16"/>
  <c r="U382" i="16"/>
  <c r="U386" i="16"/>
  <c r="U390" i="16"/>
  <c r="U394" i="16"/>
  <c r="U398" i="16"/>
  <c r="U403" i="16"/>
  <c r="U407" i="16"/>
  <c r="U411" i="16"/>
  <c r="U415" i="16"/>
  <c r="U419" i="16"/>
  <c r="U423" i="16"/>
  <c r="U428" i="16"/>
  <c r="U432" i="16"/>
  <c r="U436" i="16"/>
  <c r="U440" i="16"/>
  <c r="U444" i="16"/>
  <c r="U448" i="16"/>
  <c r="U457" i="16"/>
  <c r="U461" i="16"/>
  <c r="U465" i="16"/>
  <c r="U469" i="16"/>
  <c r="U473" i="16"/>
  <c r="U519" i="16"/>
  <c r="U523" i="16"/>
  <c r="U527" i="16"/>
  <c r="U631" i="16"/>
  <c r="I471" i="16"/>
  <c r="I671" i="16"/>
  <c r="U65" i="16"/>
  <c r="U69" i="16"/>
  <c r="I21" i="16"/>
  <c r="I24" i="16"/>
  <c r="I28" i="16"/>
  <c r="I32" i="16"/>
  <c r="I16" i="16"/>
  <c r="I20" i="16"/>
  <c r="I23" i="16"/>
  <c r="I27" i="16"/>
  <c r="I31" i="16"/>
  <c r="I35" i="16"/>
  <c r="K430" i="16"/>
  <c r="I430" i="15" s="1"/>
  <c r="K421" i="16"/>
  <c r="O421" i="16" s="1"/>
  <c r="U73" i="16"/>
  <c r="U77" i="16"/>
  <c r="U81" i="16"/>
  <c r="U85" i="16"/>
  <c r="U144" i="16"/>
  <c r="U148" i="16"/>
  <c r="U152" i="16"/>
  <c r="U156" i="16"/>
  <c r="U160" i="16"/>
  <c r="U164" i="16"/>
  <c r="U169" i="16"/>
  <c r="U173" i="16"/>
  <c r="U177" i="16"/>
  <c r="U181" i="16"/>
  <c r="U185" i="16"/>
  <c r="U189" i="16"/>
  <c r="U194" i="16"/>
  <c r="U198" i="16"/>
  <c r="U202" i="16"/>
  <c r="U206" i="16"/>
  <c r="U210" i="16"/>
  <c r="U214" i="16"/>
  <c r="U223" i="16"/>
  <c r="U227" i="16"/>
  <c r="U231" i="16"/>
  <c r="U235" i="16"/>
  <c r="U239" i="16"/>
  <c r="U243" i="16"/>
  <c r="U248" i="16"/>
  <c r="U252" i="16"/>
  <c r="U256" i="16"/>
  <c r="U260" i="16"/>
  <c r="U264" i="16"/>
  <c r="U268" i="16"/>
  <c r="U273" i="16"/>
  <c r="U277" i="16"/>
  <c r="U281" i="16"/>
  <c r="U285" i="16"/>
  <c r="U289" i="16"/>
  <c r="U293" i="16"/>
  <c r="U298" i="16"/>
  <c r="U302" i="16"/>
  <c r="U306" i="16"/>
  <c r="U310" i="16"/>
  <c r="U314" i="16"/>
  <c r="U813" i="16"/>
  <c r="U236" i="16"/>
  <c r="U311" i="16"/>
  <c r="U315" i="16"/>
  <c r="U319" i="16"/>
  <c r="U324" i="16"/>
  <c r="U328" i="16"/>
  <c r="U332" i="16"/>
  <c r="U477" i="16"/>
  <c r="U482" i="16"/>
  <c r="U486" i="16"/>
  <c r="U490" i="16"/>
  <c r="U494" i="16"/>
  <c r="U498" i="16"/>
  <c r="U502" i="16"/>
  <c r="U507" i="16"/>
  <c r="U511" i="16"/>
  <c r="U515" i="16"/>
  <c r="U532" i="16"/>
  <c r="U536" i="16"/>
  <c r="U540" i="16"/>
  <c r="U544" i="16"/>
  <c r="U548" i="16"/>
  <c r="U552" i="16"/>
  <c r="U627" i="16"/>
  <c r="U636" i="16"/>
  <c r="U640" i="16"/>
  <c r="U644" i="16"/>
  <c r="U648" i="16"/>
  <c r="U652" i="16"/>
  <c r="U656" i="16"/>
  <c r="U677" i="16"/>
  <c r="I678" i="16"/>
  <c r="I682" i="16"/>
  <c r="I691" i="16"/>
  <c r="I695" i="16"/>
  <c r="I699" i="16"/>
  <c r="I703" i="16"/>
  <c r="I707" i="16"/>
  <c r="I711" i="16"/>
  <c r="I716" i="16"/>
  <c r="I720" i="16"/>
  <c r="I724" i="16"/>
  <c r="I728" i="16"/>
  <c r="I732" i="16"/>
  <c r="I736" i="16"/>
  <c r="I741" i="16"/>
  <c r="I745" i="16"/>
  <c r="I749" i="16"/>
  <c r="I753" i="16"/>
  <c r="I757" i="16"/>
  <c r="I761" i="16"/>
  <c r="I766" i="16"/>
  <c r="I770" i="16"/>
  <c r="I774" i="16"/>
  <c r="I778" i="16"/>
  <c r="I782" i="16"/>
  <c r="I786" i="16"/>
  <c r="I795" i="16"/>
  <c r="I799" i="16"/>
  <c r="I803" i="16"/>
  <c r="I807" i="16"/>
  <c r="I811" i="16"/>
  <c r="I815" i="16"/>
  <c r="S171" i="16"/>
  <c r="S175" i="16"/>
  <c r="S179" i="16"/>
  <c r="S183" i="16"/>
  <c r="S187" i="16"/>
  <c r="S221" i="16"/>
  <c r="S225" i="16"/>
  <c r="S229" i="16"/>
  <c r="S233" i="16"/>
  <c r="S237" i="16"/>
  <c r="S275" i="16"/>
  <c r="S279" i="16"/>
  <c r="S283" i="16"/>
  <c r="S287" i="16"/>
  <c r="S291" i="16"/>
  <c r="S325" i="16"/>
  <c r="S329" i="16"/>
  <c r="S333" i="16"/>
  <c r="S337" i="16"/>
  <c r="S341" i="16"/>
  <c r="S345" i="16"/>
  <c r="S379" i="16"/>
  <c r="S383" i="16"/>
  <c r="S387" i="16"/>
  <c r="S391" i="16"/>
  <c r="S395" i="16"/>
  <c r="S408" i="16"/>
  <c r="S412" i="16"/>
  <c r="S416" i="16"/>
  <c r="S420" i="16"/>
  <c r="S424" i="16"/>
  <c r="S429" i="16"/>
  <c r="S433" i="16"/>
  <c r="S508" i="16"/>
  <c r="S512" i="16"/>
  <c r="S516" i="16"/>
  <c r="S520" i="16"/>
  <c r="S524" i="16"/>
  <c r="S716" i="16"/>
  <c r="S720" i="16"/>
  <c r="S724" i="16"/>
  <c r="S728" i="16"/>
  <c r="S795" i="16"/>
  <c r="S799" i="16"/>
  <c r="S803" i="16"/>
  <c r="S807" i="16"/>
  <c r="I463" i="16"/>
  <c r="I529" i="16"/>
  <c r="I538" i="16"/>
  <c r="I596" i="16"/>
  <c r="I604" i="16"/>
  <c r="I663" i="16"/>
  <c r="I729" i="16"/>
  <c r="I796" i="16"/>
  <c r="I808" i="16"/>
  <c r="S455" i="16"/>
  <c r="S459" i="16"/>
  <c r="S480" i="16"/>
  <c r="S484" i="16"/>
  <c r="S488" i="16"/>
  <c r="S534" i="16"/>
  <c r="S538" i="16"/>
  <c r="S542" i="16"/>
  <c r="S546" i="16"/>
  <c r="S550" i="16"/>
  <c r="S584" i="16"/>
  <c r="S588" i="16"/>
  <c r="S592" i="16"/>
  <c r="S688" i="16"/>
  <c r="S692" i="16"/>
  <c r="S696" i="16"/>
  <c r="I182" i="16"/>
  <c r="I286" i="16"/>
  <c r="I290" i="16"/>
  <c r="I365" i="16"/>
  <c r="I373" i="16"/>
  <c r="I428" i="16"/>
  <c r="U67" i="16"/>
  <c r="U71" i="16"/>
  <c r="U75" i="16"/>
  <c r="U79" i="16"/>
  <c r="U83" i="16"/>
  <c r="U87" i="16"/>
  <c r="U142" i="16"/>
  <c r="U146" i="16"/>
  <c r="U150" i="16"/>
  <c r="U154" i="16"/>
  <c r="U158" i="16"/>
  <c r="U162" i="16"/>
  <c r="U171" i="16"/>
  <c r="U175" i="16"/>
  <c r="U179" i="16"/>
  <c r="U183" i="16"/>
  <c r="U187" i="16"/>
  <c r="U191" i="16"/>
  <c r="U196" i="16"/>
  <c r="U200" i="16"/>
  <c r="U204" i="16"/>
  <c r="U208" i="16"/>
  <c r="U212" i="16"/>
  <c r="U216" i="16"/>
  <c r="I67" i="16"/>
  <c r="I71" i="16"/>
  <c r="I75" i="16"/>
  <c r="I79" i="16"/>
  <c r="I83" i="16"/>
  <c r="I87" i="16"/>
  <c r="I142" i="16"/>
  <c r="I146" i="16"/>
  <c r="I150" i="16"/>
  <c r="I14" i="16"/>
  <c r="I18" i="16"/>
  <c r="I64" i="16"/>
  <c r="I25" i="16"/>
  <c r="I29" i="16"/>
  <c r="I13" i="16"/>
  <c r="I17" i="16"/>
  <c r="I154" i="16"/>
  <c r="I158" i="16"/>
  <c r="I162" i="16"/>
  <c r="I171" i="16"/>
  <c r="I175" i="16"/>
  <c r="I179" i="16"/>
  <c r="I183" i="16"/>
  <c r="I187" i="16"/>
  <c r="I191" i="16"/>
  <c r="I196" i="16"/>
  <c r="I200" i="16"/>
  <c r="I204" i="16"/>
  <c r="I208" i="16"/>
  <c r="I212" i="16"/>
  <c r="I216" i="16"/>
  <c r="I221" i="16"/>
  <c r="I225" i="16"/>
  <c r="I229" i="16"/>
  <c r="I233" i="16"/>
  <c r="I237" i="16"/>
  <c r="I241" i="16"/>
  <c r="I246" i="16"/>
  <c r="I250" i="16"/>
  <c r="I254" i="16"/>
  <c r="I258" i="16"/>
  <c r="I262" i="16"/>
  <c r="I266" i="16"/>
  <c r="I275" i="16"/>
  <c r="I279" i="16"/>
  <c r="I283" i="16"/>
  <c r="I287" i="16"/>
  <c r="I291" i="16"/>
  <c r="I295" i="16"/>
  <c r="I300" i="16"/>
  <c r="I304" i="16"/>
  <c r="I308" i="16"/>
  <c r="I312" i="16"/>
  <c r="I316" i="16"/>
  <c r="I320" i="16"/>
  <c r="I325" i="16"/>
  <c r="I329" i="16"/>
  <c r="I333" i="16"/>
  <c r="I337" i="16"/>
  <c r="I341" i="16"/>
  <c r="I345" i="16"/>
  <c r="I350" i="16"/>
  <c r="I354" i="16"/>
  <c r="I358" i="16"/>
  <c r="I362" i="16"/>
  <c r="I366" i="16"/>
  <c r="I370" i="16"/>
  <c r="I379" i="16"/>
  <c r="I383" i="16"/>
  <c r="I387" i="16"/>
  <c r="I391" i="16"/>
  <c r="I395" i="16"/>
  <c r="I399" i="16"/>
  <c r="I404" i="16"/>
  <c r="I408" i="16"/>
  <c r="I68" i="16"/>
  <c r="I72" i="16"/>
  <c r="I76" i="16"/>
  <c r="I80" i="16"/>
  <c r="I84" i="16"/>
  <c r="I143" i="16"/>
  <c r="I147" i="16"/>
  <c r="I151" i="16"/>
  <c r="I155" i="16"/>
  <c r="I159" i="16"/>
  <c r="I163" i="16"/>
  <c r="I168" i="16"/>
  <c r="I172" i="16"/>
  <c r="I176" i="16"/>
  <c r="I180" i="16"/>
  <c r="I184" i="16"/>
  <c r="I188" i="16"/>
  <c r="I197" i="16"/>
  <c r="I201" i="16"/>
  <c r="I205" i="16"/>
  <c r="I209" i="16"/>
  <c r="I213" i="16"/>
  <c r="I217" i="16"/>
  <c r="I222" i="16"/>
  <c r="I226" i="16"/>
  <c r="I230" i="16"/>
  <c r="I234" i="16"/>
  <c r="I238" i="16"/>
  <c r="I242" i="16"/>
  <c r="I247" i="16"/>
  <c r="I251" i="16"/>
  <c r="I255" i="16"/>
  <c r="I259" i="16"/>
  <c r="I263" i="16"/>
  <c r="I267" i="16"/>
  <c r="I272" i="16"/>
  <c r="I276" i="16"/>
  <c r="I280" i="16"/>
  <c r="I284" i="16"/>
  <c r="I288" i="16"/>
  <c r="I292" i="16"/>
  <c r="I301" i="16"/>
  <c r="I305" i="16"/>
  <c r="I309" i="16"/>
  <c r="I313" i="16"/>
  <c r="I317" i="16"/>
  <c r="I321" i="16"/>
  <c r="I326" i="16"/>
  <c r="I330" i="16"/>
  <c r="I334" i="16"/>
  <c r="I338" i="16"/>
  <c r="I342" i="16"/>
  <c r="I346" i="16"/>
  <c r="I351" i="16"/>
  <c r="I355" i="16"/>
  <c r="I359" i="16"/>
  <c r="I363" i="16"/>
  <c r="I367" i="16"/>
  <c r="I371" i="16"/>
  <c r="I396" i="16"/>
  <c r="U721" i="16"/>
  <c r="I144" i="16"/>
  <c r="I148" i="16"/>
  <c r="I152" i="16"/>
  <c r="I156" i="16"/>
  <c r="I160" i="16"/>
  <c r="I164" i="16"/>
  <c r="E169" i="16"/>
  <c r="E169" i="15" s="1"/>
  <c r="H169" i="15" s="1"/>
  <c r="I169" i="16"/>
  <c r="E173" i="16"/>
  <c r="E173" i="15" s="1"/>
  <c r="H173" i="15" s="1"/>
  <c r="I173" i="16"/>
  <c r="E177" i="16"/>
  <c r="E177" i="15" s="1"/>
  <c r="H177" i="15" s="1"/>
  <c r="I177" i="16"/>
  <c r="I181" i="16"/>
  <c r="E185" i="16"/>
  <c r="E185" i="15" s="1"/>
  <c r="H185" i="15" s="1"/>
  <c r="I185" i="16"/>
  <c r="E189" i="16"/>
  <c r="E189" i="15" s="1"/>
  <c r="H189" i="15" s="1"/>
  <c r="I189" i="16"/>
  <c r="E194" i="16"/>
  <c r="I194" i="16"/>
  <c r="E198" i="16"/>
  <c r="E198" i="15" s="1"/>
  <c r="G198" i="15" s="1"/>
  <c r="I198" i="16"/>
  <c r="E202" i="16"/>
  <c r="E202" i="15" s="1"/>
  <c r="H202" i="15" s="1"/>
  <c r="I202" i="16"/>
  <c r="E206" i="16"/>
  <c r="E206" i="15" s="1"/>
  <c r="H206" i="15" s="1"/>
  <c r="I206" i="16"/>
  <c r="E210" i="16"/>
  <c r="E210" i="15" s="1"/>
  <c r="H210" i="15" s="1"/>
  <c r="I210" i="16"/>
  <c r="E214" i="16"/>
  <c r="E214" i="15" s="1"/>
  <c r="G214" i="15" s="1"/>
  <c r="I214" i="16"/>
  <c r="E248" i="16"/>
  <c r="E248" i="15" s="1"/>
  <c r="H248" i="15" s="1"/>
  <c r="I248" i="16"/>
  <c r="E252" i="16"/>
  <c r="E252" i="15" s="1"/>
  <c r="H252" i="15" s="1"/>
  <c r="I252" i="16"/>
  <c r="E256" i="16"/>
  <c r="E256" i="15" s="1"/>
  <c r="H256" i="15" s="1"/>
  <c r="I256" i="16"/>
  <c r="E260" i="16"/>
  <c r="E260" i="15" s="1"/>
  <c r="G260" i="15" s="1"/>
  <c r="I260" i="16"/>
  <c r="E264" i="16"/>
  <c r="E264" i="15" s="1"/>
  <c r="H264" i="15" s="1"/>
  <c r="I264" i="16"/>
  <c r="E268" i="16"/>
  <c r="E268" i="15" s="1"/>
  <c r="H268" i="15" s="1"/>
  <c r="I268" i="16"/>
  <c r="E482" i="16"/>
  <c r="E482" i="15" s="1"/>
  <c r="H482" i="15" s="1"/>
  <c r="I482" i="16"/>
  <c r="I523" i="16"/>
  <c r="I611" i="16"/>
  <c r="I740" i="16"/>
  <c r="I744" i="16"/>
  <c r="I794" i="16"/>
  <c r="M616" i="16"/>
  <c r="I412" i="16"/>
  <c r="I416" i="16"/>
  <c r="I420" i="16"/>
  <c r="I424" i="16"/>
  <c r="I429" i="16"/>
  <c r="I433" i="16"/>
  <c r="I437" i="16"/>
  <c r="I441" i="16"/>
  <c r="I445" i="16"/>
  <c r="I449" i="16"/>
  <c r="I454" i="16"/>
  <c r="I458" i="16"/>
  <c r="I462" i="16"/>
  <c r="I466" i="16"/>
  <c r="I470" i="16"/>
  <c r="I474" i="16"/>
  <c r="I483" i="16"/>
  <c r="I487" i="16"/>
  <c r="I491" i="16"/>
  <c r="I495" i="16"/>
  <c r="I499" i="16"/>
  <c r="I503" i="16"/>
  <c r="I508" i="16"/>
  <c r="I512" i="16"/>
  <c r="I516" i="16"/>
  <c r="I520" i="16"/>
  <c r="I524" i="16"/>
  <c r="I528" i="16"/>
  <c r="I533" i="16"/>
  <c r="I537" i="16"/>
  <c r="I541" i="16"/>
  <c r="I545" i="16"/>
  <c r="I549" i="16"/>
  <c r="I553" i="16"/>
  <c r="I558" i="16"/>
  <c r="I562" i="16"/>
  <c r="I566" i="16"/>
  <c r="I570" i="16"/>
  <c r="I574" i="16"/>
  <c r="I578" i="16"/>
  <c r="I587" i="16"/>
  <c r="I591" i="16"/>
  <c r="I595" i="16"/>
  <c r="I599" i="16"/>
  <c r="I603" i="16"/>
  <c r="M568" i="16"/>
  <c r="M576" i="16"/>
  <c r="M768" i="16"/>
  <c r="M776" i="16"/>
  <c r="M784" i="16"/>
  <c r="S612" i="16"/>
  <c r="S616" i="16"/>
  <c r="S620" i="16"/>
  <c r="S624" i="16"/>
  <c r="S628" i="16"/>
  <c r="S666" i="16"/>
  <c r="S670" i="16"/>
  <c r="U64" i="16"/>
  <c r="U68" i="16"/>
  <c r="U72" i="16"/>
  <c r="U76" i="16"/>
  <c r="U80" i="16"/>
  <c r="U84" i="16"/>
  <c r="M97" i="15"/>
  <c r="O97" i="15" s="1"/>
  <c r="M118" i="15"/>
  <c r="P118" i="15" s="1"/>
  <c r="M122" i="15"/>
  <c r="P122" i="15" s="1"/>
  <c r="M126" i="15"/>
  <c r="P126" i="15" s="1"/>
  <c r="Q143" i="16"/>
  <c r="M143" i="15" s="1"/>
  <c r="P143" i="15" s="1"/>
  <c r="U143" i="16"/>
  <c r="U147" i="16"/>
  <c r="Q151" i="16"/>
  <c r="M151" i="15" s="1"/>
  <c r="O151" i="15" s="1"/>
  <c r="U151" i="16"/>
  <c r="U155" i="16"/>
  <c r="U159" i="16"/>
  <c r="U163" i="16"/>
  <c r="U168" i="16"/>
  <c r="U172" i="16"/>
  <c r="U176" i="16"/>
  <c r="U180" i="16"/>
  <c r="U184" i="16"/>
  <c r="U188" i="16"/>
  <c r="U197" i="16"/>
  <c r="U201" i="16"/>
  <c r="Q205" i="16"/>
  <c r="M205" i="15" s="1"/>
  <c r="P205" i="15" s="1"/>
  <c r="U205" i="16"/>
  <c r="U209" i="16"/>
  <c r="Q213" i="16"/>
  <c r="M213" i="15" s="1"/>
  <c r="P213" i="15" s="1"/>
  <c r="U213" i="16"/>
  <c r="U217" i="16"/>
  <c r="U222" i="16"/>
  <c r="U226" i="16"/>
  <c r="U230" i="16"/>
  <c r="U234" i="16"/>
  <c r="U238" i="16"/>
  <c r="U242" i="16"/>
  <c r="Q247" i="16"/>
  <c r="M247" i="15" s="1"/>
  <c r="O247" i="15" s="1"/>
  <c r="U247" i="16"/>
  <c r="Q251" i="16"/>
  <c r="M251" i="15" s="1"/>
  <c r="P251" i="15" s="1"/>
  <c r="U251" i="16"/>
  <c r="Q255" i="16"/>
  <c r="M255" i="15" s="1"/>
  <c r="P255" i="15" s="1"/>
  <c r="U255" i="16"/>
  <c r="U259" i="16"/>
  <c r="Q263" i="16"/>
  <c r="M263" i="15" s="1"/>
  <c r="O263" i="15" s="1"/>
  <c r="U263" i="16"/>
  <c r="Q267" i="16"/>
  <c r="M267" i="15" s="1"/>
  <c r="P267" i="15" s="1"/>
  <c r="U267" i="16"/>
  <c r="U272" i="16"/>
  <c r="U276" i="16"/>
  <c r="U280" i="16"/>
  <c r="U284" i="16"/>
  <c r="U288" i="16"/>
  <c r="U292" i="16"/>
  <c r="U301" i="16"/>
  <c r="U305" i="16"/>
  <c r="U309" i="16"/>
  <c r="U313" i="16"/>
  <c r="U317" i="16"/>
  <c r="U321" i="16"/>
  <c r="U326" i="16"/>
  <c r="U330" i="16"/>
  <c r="U334" i="16"/>
  <c r="U338" i="16"/>
  <c r="U342" i="16"/>
  <c r="U346" i="16"/>
  <c r="Q351" i="16"/>
  <c r="M351" i="15" s="1"/>
  <c r="P351" i="15" s="1"/>
  <c r="U351" i="16"/>
  <c r="Q355" i="16"/>
  <c r="M355" i="15" s="1"/>
  <c r="P355" i="15" s="1"/>
  <c r="U355" i="16"/>
  <c r="U359" i="16"/>
  <c r="Q363" i="16"/>
  <c r="M363" i="15" s="1"/>
  <c r="P363" i="15" s="1"/>
  <c r="U363" i="16"/>
  <c r="U367" i="16"/>
  <c r="U371" i="16"/>
  <c r="Q376" i="16"/>
  <c r="U376" i="16"/>
  <c r="U380" i="16"/>
  <c r="U384" i="16"/>
  <c r="U388" i="16"/>
  <c r="U392" i="16"/>
  <c r="U396" i="16"/>
  <c r="Q405" i="16"/>
  <c r="M405" i="15" s="1"/>
  <c r="P405" i="15" s="1"/>
  <c r="U405" i="16"/>
  <c r="U409" i="16"/>
  <c r="Q413" i="16"/>
  <c r="M413" i="15" s="1"/>
  <c r="P413" i="15" s="1"/>
  <c r="U413" i="16"/>
  <c r="Q417" i="16"/>
  <c r="M417" i="15" s="1"/>
  <c r="U417" i="16"/>
  <c r="Q421" i="16"/>
  <c r="M421" i="15" s="1"/>
  <c r="P421" i="15" s="1"/>
  <c r="U421" i="16"/>
  <c r="U425" i="16"/>
  <c r="Q430" i="16"/>
  <c r="M430" i="15" s="1"/>
  <c r="P430" i="15" s="1"/>
  <c r="U430" i="16"/>
  <c r="Q434" i="16"/>
  <c r="M434" i="15" s="1"/>
  <c r="P434" i="15" s="1"/>
  <c r="U434" i="16"/>
  <c r="Q438" i="16"/>
  <c r="M438" i="15" s="1"/>
  <c r="P438" i="15" s="1"/>
  <c r="U438" i="16"/>
  <c r="Q442" i="16"/>
  <c r="M442" i="15" s="1"/>
  <c r="P442" i="15" s="1"/>
  <c r="U442" i="16"/>
  <c r="Q446" i="16"/>
  <c r="M446" i="15" s="1"/>
  <c r="P446" i="15" s="1"/>
  <c r="U446" i="16"/>
  <c r="Q450" i="16"/>
  <c r="M450" i="15" s="1"/>
  <c r="U450" i="16"/>
  <c r="U455" i="16"/>
  <c r="U459" i="16"/>
  <c r="U463" i="16"/>
  <c r="U467" i="16"/>
  <c r="U471" i="16"/>
  <c r="U475" i="16"/>
  <c r="U480" i="16"/>
  <c r="U484" i="16"/>
  <c r="U488" i="16"/>
  <c r="U492" i="16"/>
  <c r="U496" i="16"/>
  <c r="U500" i="16"/>
  <c r="Q509" i="16"/>
  <c r="M509" i="15" s="1"/>
  <c r="P509" i="15" s="1"/>
  <c r="U509" i="16"/>
  <c r="Q513" i="16"/>
  <c r="M513" i="15" s="1"/>
  <c r="U513" i="16"/>
  <c r="Q517" i="16"/>
  <c r="M517" i="15" s="1"/>
  <c r="P517" i="15" s="1"/>
  <c r="U517" i="16"/>
  <c r="Q521" i="16"/>
  <c r="M521" i="15" s="1"/>
  <c r="P521" i="15" s="1"/>
  <c r="U521" i="16"/>
  <c r="Q525" i="16"/>
  <c r="M525" i="15" s="1"/>
  <c r="P525" i="15" s="1"/>
  <c r="U525" i="16"/>
  <c r="U529" i="16"/>
  <c r="Q534" i="16"/>
  <c r="M534" i="15" s="1"/>
  <c r="P534" i="15" s="1"/>
  <c r="U534" i="16"/>
  <c r="Q538" i="16"/>
  <c r="M538" i="15" s="1"/>
  <c r="P538" i="15" s="1"/>
  <c r="U538" i="16"/>
  <c r="Q542" i="16"/>
  <c r="M542" i="15" s="1"/>
  <c r="P542" i="15" s="1"/>
  <c r="U542" i="16"/>
  <c r="Q546" i="16"/>
  <c r="M546" i="15" s="1"/>
  <c r="P546" i="15" s="1"/>
  <c r="U546" i="16"/>
  <c r="Q550" i="16"/>
  <c r="M550" i="15" s="1"/>
  <c r="P550" i="15" s="1"/>
  <c r="U550" i="16"/>
  <c r="Q554" i="16"/>
  <c r="M554" i="15" s="1"/>
  <c r="P554" i="15" s="1"/>
  <c r="U554" i="16"/>
  <c r="U559" i="16"/>
  <c r="U563" i="16"/>
  <c r="U567" i="16"/>
  <c r="U571" i="16"/>
  <c r="U575" i="16"/>
  <c r="U579" i="16"/>
  <c r="U584" i="16"/>
  <c r="U588" i="16"/>
  <c r="U592" i="16"/>
  <c r="U596" i="16"/>
  <c r="U600" i="16"/>
  <c r="U604" i="16"/>
  <c r="U613" i="16"/>
  <c r="Q617" i="16"/>
  <c r="M617" i="15" s="1"/>
  <c r="P617" i="15" s="1"/>
  <c r="U617" i="16"/>
  <c r="Q621" i="16"/>
  <c r="M621" i="15" s="1"/>
  <c r="P621" i="15" s="1"/>
  <c r="U621" i="16"/>
  <c r="Q625" i="16"/>
  <c r="M625" i="15" s="1"/>
  <c r="P625" i="15" s="1"/>
  <c r="U625" i="16"/>
  <c r="Q629" i="16"/>
  <c r="M629" i="15" s="1"/>
  <c r="P629" i="15" s="1"/>
  <c r="U629" i="16"/>
  <c r="U633" i="16"/>
  <c r="U638" i="16"/>
  <c r="Q642" i="16"/>
  <c r="M642" i="15" s="1"/>
  <c r="P642" i="15" s="1"/>
  <c r="U642" i="16"/>
  <c r="Q646" i="16"/>
  <c r="M646" i="15" s="1"/>
  <c r="P646" i="15" s="1"/>
  <c r="U646" i="16"/>
  <c r="Q650" i="16"/>
  <c r="U650" i="16"/>
  <c r="Q654" i="16"/>
  <c r="M654" i="15" s="1"/>
  <c r="P654" i="15" s="1"/>
  <c r="Q658" i="16"/>
  <c r="M658" i="15" s="1"/>
  <c r="P658" i="15" s="1"/>
  <c r="U658" i="16"/>
  <c r="U663" i="16"/>
  <c r="U667" i="16"/>
  <c r="U671" i="16"/>
  <c r="U675" i="16"/>
  <c r="U679" i="16"/>
  <c r="U683" i="16"/>
  <c r="U688" i="16"/>
  <c r="U692" i="16"/>
  <c r="U696" i="16"/>
  <c r="U700" i="16"/>
  <c r="U704" i="16"/>
  <c r="U708" i="16"/>
  <c r="Q717" i="16"/>
  <c r="M717" i="15" s="1"/>
  <c r="P717" i="15" s="1"/>
  <c r="U717" i="16"/>
  <c r="Q721" i="16"/>
  <c r="M721" i="15" s="1"/>
  <c r="P721" i="15" s="1"/>
  <c r="Q725" i="16"/>
  <c r="M725" i="15" s="1"/>
  <c r="P725" i="15" s="1"/>
  <c r="U725" i="16"/>
  <c r="U729" i="16"/>
  <c r="Q733" i="16"/>
  <c r="M733" i="15" s="1"/>
  <c r="P733" i="15" s="1"/>
  <c r="U733" i="16"/>
  <c r="U737" i="16"/>
  <c r="Q742" i="16"/>
  <c r="M742" i="15" s="1"/>
  <c r="P742" i="15" s="1"/>
  <c r="U742" i="16"/>
  <c r="Q746" i="16"/>
  <c r="M746" i="15" s="1"/>
  <c r="P746" i="15" s="1"/>
  <c r="U746" i="16"/>
  <c r="Q750" i="16"/>
  <c r="M750" i="15" s="1"/>
  <c r="P750" i="15" s="1"/>
  <c r="U750" i="16"/>
  <c r="Q754" i="16"/>
  <c r="M754" i="15" s="1"/>
  <c r="P754" i="15" s="1"/>
  <c r="U754" i="16"/>
  <c r="Q758" i="16"/>
  <c r="M758" i="15" s="1"/>
  <c r="P758" i="15" s="1"/>
  <c r="U758" i="16"/>
  <c r="Q762" i="16"/>
  <c r="M762" i="15" s="1"/>
  <c r="P762" i="15" s="1"/>
  <c r="U762" i="16"/>
  <c r="U767" i="16"/>
  <c r="U771" i="16"/>
  <c r="U775" i="16"/>
  <c r="U779" i="16"/>
  <c r="U783" i="16"/>
  <c r="U787" i="16"/>
  <c r="U792" i="16"/>
  <c r="Q796" i="16"/>
  <c r="M796" i="15" s="1"/>
  <c r="P796" i="15" s="1"/>
  <c r="U796" i="16"/>
  <c r="Q804" i="16"/>
  <c r="M804" i="15" s="1"/>
  <c r="P804" i="15" s="1"/>
  <c r="U804" i="16"/>
  <c r="Q808" i="16"/>
  <c r="M808" i="15" s="1"/>
  <c r="P808" i="15" s="1"/>
  <c r="U808" i="16"/>
  <c r="Q812" i="16"/>
  <c r="M812" i="15" s="1"/>
  <c r="P812" i="15" s="1"/>
  <c r="U812" i="16"/>
  <c r="I376" i="16"/>
  <c r="I380" i="16"/>
  <c r="I384" i="16"/>
  <c r="I388" i="16"/>
  <c r="I392" i="16"/>
  <c r="I409" i="16"/>
  <c r="I413" i="16"/>
  <c r="I417" i="16"/>
  <c r="I421" i="16"/>
  <c r="I425" i="16"/>
  <c r="I430" i="16"/>
  <c r="I434" i="16"/>
  <c r="I438" i="16"/>
  <c r="I442" i="16"/>
  <c r="I446" i="16"/>
  <c r="I450" i="16"/>
  <c r="I455" i="16"/>
  <c r="I459" i="16"/>
  <c r="I467" i="16"/>
  <c r="I475" i="16"/>
  <c r="I480" i="16"/>
  <c r="I484" i="16"/>
  <c r="I488" i="16"/>
  <c r="I492" i="16"/>
  <c r="I496" i="16"/>
  <c r="I500" i="16"/>
  <c r="I509" i="16"/>
  <c r="I513" i="16"/>
  <c r="I517" i="16"/>
  <c r="I521" i="16"/>
  <c r="I525" i="16"/>
  <c r="I534" i="16"/>
  <c r="I542" i="16"/>
  <c r="I546" i="16"/>
  <c r="I550" i="16"/>
  <c r="I554" i="16"/>
  <c r="I559" i="16"/>
  <c r="I563" i="16"/>
  <c r="I567" i="16"/>
  <c r="I571" i="16"/>
  <c r="I575" i="16"/>
  <c r="I579" i="16"/>
  <c r="I584" i="16"/>
  <c r="I588" i="16"/>
  <c r="I592" i="16"/>
  <c r="I600" i="16"/>
  <c r="I613" i="16"/>
  <c r="I617" i="16"/>
  <c r="I621" i="16"/>
  <c r="I625" i="16"/>
  <c r="I629" i="16"/>
  <c r="I633" i="16"/>
  <c r="I638" i="16"/>
  <c r="I642" i="16"/>
  <c r="I646" i="16"/>
  <c r="I650" i="16"/>
  <c r="I654" i="16"/>
  <c r="I658" i="16"/>
  <c r="I667" i="16"/>
  <c r="I675" i="16"/>
  <c r="I679" i="16"/>
  <c r="I683" i="16"/>
  <c r="I688" i="16"/>
  <c r="I692" i="16"/>
  <c r="I696" i="16"/>
  <c r="I700" i="16"/>
  <c r="I704" i="16"/>
  <c r="I708" i="16"/>
  <c r="I717" i="16"/>
  <c r="I721" i="16"/>
  <c r="I725" i="16"/>
  <c r="I733" i="16"/>
  <c r="I742" i="16"/>
  <c r="I746" i="16"/>
  <c r="I750" i="16"/>
  <c r="I754" i="16"/>
  <c r="I758" i="16"/>
  <c r="I762" i="16"/>
  <c r="I767" i="16"/>
  <c r="I771" i="16"/>
  <c r="I775" i="16"/>
  <c r="I779" i="16"/>
  <c r="I783" i="16"/>
  <c r="I787" i="16"/>
  <c r="I792" i="16"/>
  <c r="I800" i="16"/>
  <c r="I804" i="16"/>
  <c r="I812" i="16"/>
  <c r="M736" i="16"/>
  <c r="I797" i="16"/>
  <c r="I801" i="16"/>
  <c r="I805" i="16"/>
  <c r="I809" i="16"/>
  <c r="I813" i="16"/>
  <c r="M664" i="16"/>
  <c r="M672" i="16"/>
  <c r="M680" i="16"/>
  <c r="U654" i="16"/>
  <c r="L35" i="22"/>
  <c r="M47" i="27" s="1"/>
  <c r="L28" i="23"/>
  <c r="N40" i="27" s="1"/>
  <c r="L28" i="21"/>
  <c r="L40" i="27" s="1"/>
  <c r="L29" i="22"/>
  <c r="M41" i="27" s="1"/>
  <c r="L35" i="21"/>
  <c r="L47" i="27" s="1"/>
  <c r="L34" i="21"/>
  <c r="L46" i="27" s="1"/>
  <c r="L34" i="23"/>
  <c r="N46" i="27" s="1"/>
  <c r="L33" i="21"/>
  <c r="L45" i="27" s="1"/>
  <c r="L33" i="23"/>
  <c r="N45" i="27" s="1"/>
  <c r="L32" i="22"/>
  <c r="M44" i="27" s="1"/>
  <c r="L32" i="21"/>
  <c r="L44" i="27" s="1"/>
  <c r="L32" i="23"/>
  <c r="N44" i="27" s="1"/>
  <c r="L31" i="22"/>
  <c r="M43" i="27" s="1"/>
  <c r="L31" i="21"/>
  <c r="L43" i="27" s="1"/>
  <c r="L31" i="23"/>
  <c r="N43" i="27" s="1"/>
  <c r="L30" i="21"/>
  <c r="L42" i="27" s="1"/>
  <c r="L30" i="23"/>
  <c r="N42" i="27" s="1"/>
  <c r="L29" i="21"/>
  <c r="L41" i="27" s="1"/>
  <c r="L29" i="23"/>
  <c r="N41" i="27" s="1"/>
  <c r="L28" i="22"/>
  <c r="M40" i="27" s="1"/>
  <c r="L27" i="22"/>
  <c r="M39" i="27" s="1"/>
  <c r="L27" i="21"/>
  <c r="L39" i="27" s="1"/>
  <c r="L27" i="23"/>
  <c r="N39" i="27" s="1"/>
  <c r="L26" i="21"/>
  <c r="L38" i="27" s="1"/>
  <c r="L26" i="23"/>
  <c r="N38" i="27" s="1"/>
  <c r="L25" i="22"/>
  <c r="M37" i="27" s="1"/>
  <c r="L25" i="21"/>
  <c r="L37" i="27" s="1"/>
  <c r="L24" i="21"/>
  <c r="L36" i="27" s="1"/>
  <c r="L23" i="21"/>
  <c r="L35" i="27" s="1"/>
  <c r="L22" i="21"/>
  <c r="L34" i="27" s="1"/>
  <c r="L22" i="23"/>
  <c r="N34" i="27" s="1"/>
  <c r="L21" i="21"/>
  <c r="L33" i="27" s="1"/>
  <c r="L21" i="23"/>
  <c r="N33" i="27" s="1"/>
  <c r="L20" i="21"/>
  <c r="L32" i="27" s="1"/>
  <c r="L20" i="23"/>
  <c r="N32" i="27" s="1"/>
  <c r="L19" i="21"/>
  <c r="L31" i="27" s="1"/>
  <c r="L19" i="23"/>
  <c r="N31" i="27" s="1"/>
  <c r="L18" i="21"/>
  <c r="L30" i="27" s="1"/>
  <c r="L17" i="21"/>
  <c r="L29" i="27" s="1"/>
  <c r="L17" i="23"/>
  <c r="N29" i="27" s="1"/>
  <c r="L16" i="21"/>
  <c r="L28" i="27" s="1"/>
  <c r="L15" i="21"/>
  <c r="L27" i="27" s="1"/>
  <c r="L15" i="23"/>
  <c r="N27" i="27" s="1"/>
  <c r="L14" i="21"/>
  <c r="L26" i="27" s="1"/>
  <c r="L14" i="23"/>
  <c r="N26" i="27" s="1"/>
  <c r="L13" i="21"/>
  <c r="L25" i="27" s="1"/>
  <c r="L13" i="23"/>
  <c r="N25" i="27" s="1"/>
  <c r="L11" i="21"/>
  <c r="L23" i="27" s="1"/>
  <c r="L11" i="23"/>
  <c r="N23" i="27" s="1"/>
  <c r="L10" i="21"/>
  <c r="L22" i="27" s="1"/>
  <c r="L10" i="23"/>
  <c r="L9" i="22"/>
  <c r="M21" i="27" s="1"/>
  <c r="L9" i="21"/>
  <c r="L21" i="27" s="1"/>
  <c r="L8" i="21"/>
  <c r="L20" i="27" s="1"/>
  <c r="L7" i="22"/>
  <c r="M19" i="27" s="1"/>
  <c r="L6" i="22"/>
  <c r="M18" i="27" s="1"/>
  <c r="L6" i="21"/>
  <c r="L18" i="27" s="1"/>
  <c r="L5" i="21"/>
  <c r="G20" i="7"/>
  <c r="E9" i="7"/>
  <c r="D10" i="7"/>
  <c r="J24" i="7"/>
  <c r="K24" i="7" s="1"/>
  <c r="J23" i="7"/>
  <c r="K23" i="7" s="1"/>
  <c r="J35" i="7"/>
  <c r="K35" i="7" s="1"/>
  <c r="J26" i="7"/>
  <c r="K26" i="7" s="1"/>
  <c r="I36" i="7"/>
  <c r="J36" i="7" s="1"/>
  <c r="K36" i="7" s="1"/>
  <c r="J16" i="7"/>
  <c r="K16" i="7" s="1"/>
  <c r="J14" i="7"/>
  <c r="K14" i="7" s="1"/>
  <c r="J32" i="7"/>
  <c r="K32" i="7" s="1"/>
  <c r="F35" i="7"/>
  <c r="G35" i="7" s="1"/>
  <c r="F33" i="7"/>
  <c r="G33" i="7" s="1"/>
  <c r="M382" i="16"/>
  <c r="M390" i="16"/>
  <c r="M398" i="16"/>
  <c r="M510" i="16"/>
  <c r="M518" i="16"/>
  <c r="N11" i="16"/>
  <c r="J21" i="7"/>
  <c r="K21" i="7" s="1"/>
  <c r="J9" i="7"/>
  <c r="K233" i="16"/>
  <c r="K308" i="16"/>
  <c r="K301" i="16"/>
  <c r="S454" i="16"/>
  <c r="Q13" i="16"/>
  <c r="M402" i="16"/>
  <c r="M458" i="16"/>
  <c r="Q14" i="16"/>
  <c r="K17" i="16"/>
  <c r="Q18" i="16"/>
  <c r="K21" i="16"/>
  <c r="S22" i="16"/>
  <c r="S26" i="16"/>
  <c r="S30" i="16"/>
  <c r="S34" i="16"/>
  <c r="S169" i="16"/>
  <c r="S173" i="16"/>
  <c r="S177" i="16"/>
  <c r="S181" i="16"/>
  <c r="S185" i="16"/>
  <c r="S223" i="16"/>
  <c r="S227" i="16"/>
  <c r="S231" i="16"/>
  <c r="S235" i="16"/>
  <c r="S273" i="16"/>
  <c r="K722" i="16"/>
  <c r="K225" i="16"/>
  <c r="K208" i="16"/>
  <c r="K200" i="16"/>
  <c r="Q333" i="16"/>
  <c r="Q387" i="16"/>
  <c r="Q391" i="16"/>
  <c r="Q395" i="16"/>
  <c r="Q412" i="16"/>
  <c r="Q416" i="16"/>
  <c r="Q420" i="16"/>
  <c r="Q424" i="16"/>
  <c r="Q433" i="16"/>
  <c r="Q437" i="16"/>
  <c r="M437" i="15" s="1"/>
  <c r="Q454" i="16"/>
  <c r="Q470" i="16"/>
  <c r="M470" i="15" s="1"/>
  <c r="Q474" i="16"/>
  <c r="M474" i="15" s="1"/>
  <c r="Q537" i="16"/>
  <c r="M537" i="15" s="1"/>
  <c r="Q716" i="16"/>
  <c r="Q720" i="16"/>
  <c r="Q724" i="16"/>
  <c r="Q728" i="16"/>
  <c r="Q732" i="16"/>
  <c r="M732" i="15" s="1"/>
  <c r="Q736" i="16"/>
  <c r="M736" i="15" s="1"/>
  <c r="Q741" i="16"/>
  <c r="M741" i="15" s="1"/>
  <c r="O741" i="15" s="1"/>
  <c r="Q745" i="16"/>
  <c r="M745" i="15" s="1"/>
  <c r="Q749" i="16"/>
  <c r="M749" i="15" s="1"/>
  <c r="Q753" i="16"/>
  <c r="M753" i="15" s="1"/>
  <c r="K730" i="16"/>
  <c r="K157" i="16"/>
  <c r="M212" i="16"/>
  <c r="M220" i="16"/>
  <c r="K408" i="16"/>
  <c r="K399" i="16"/>
  <c r="I399" i="15" s="1"/>
  <c r="K359" i="16"/>
  <c r="K351" i="16"/>
  <c r="K342" i="16"/>
  <c r="M526" i="16"/>
  <c r="K396" i="16"/>
  <c r="K388" i="16"/>
  <c r="K371" i="16"/>
  <c r="K364" i="16"/>
  <c r="K356" i="16"/>
  <c r="E638" i="16"/>
  <c r="E638" i="15" s="1"/>
  <c r="G638" i="15" s="1"/>
  <c r="E642" i="16"/>
  <c r="E642" i="15" s="1"/>
  <c r="G642" i="15" s="1"/>
  <c r="E646" i="16"/>
  <c r="E646" i="15" s="1"/>
  <c r="G646" i="15" s="1"/>
  <c r="E650" i="16"/>
  <c r="E650" i="15" s="1"/>
  <c r="G650" i="15" s="1"/>
  <c r="E654" i="16"/>
  <c r="E654" i="15" s="1"/>
  <c r="G654" i="15" s="1"/>
  <c r="K183" i="16"/>
  <c r="S403" i="16"/>
  <c r="S407" i="16"/>
  <c r="S411" i="16"/>
  <c r="S415" i="16"/>
  <c r="S461" i="16"/>
  <c r="S586" i="16"/>
  <c r="S590" i="16"/>
  <c r="S594" i="16"/>
  <c r="S598" i="16"/>
  <c r="S602" i="16"/>
  <c r="S636" i="16"/>
  <c r="S690" i="16"/>
  <c r="S694" i="16"/>
  <c r="S698" i="16"/>
  <c r="S702" i="16"/>
  <c r="S756" i="16"/>
  <c r="S760" i="16"/>
  <c r="S769" i="16"/>
  <c r="S773" i="16"/>
  <c r="S777" i="16"/>
  <c r="M298" i="16"/>
  <c r="K273" i="16"/>
  <c r="Q26" i="16"/>
  <c r="M380" i="16"/>
  <c r="M388" i="16"/>
  <c r="M396" i="16"/>
  <c r="M404" i="16"/>
  <c r="M804" i="16"/>
  <c r="M358" i="16"/>
  <c r="M365" i="16"/>
  <c r="Q69" i="16"/>
  <c r="M69" i="15" s="1"/>
  <c r="S277" i="16"/>
  <c r="S281" i="16"/>
  <c r="S285" i="16"/>
  <c r="S289" i="16"/>
  <c r="S293" i="16"/>
  <c r="S327" i="16"/>
  <c r="S331" i="16"/>
  <c r="S335" i="16"/>
  <c r="S377" i="16"/>
  <c r="S560" i="16"/>
  <c r="M175" i="16"/>
  <c r="M303" i="16"/>
  <c r="M311" i="16"/>
  <c r="M327" i="16"/>
  <c r="M335" i="16"/>
  <c r="M12" i="16"/>
  <c r="K334" i="16"/>
  <c r="K327" i="16"/>
  <c r="S437" i="16"/>
  <c r="S441" i="16"/>
  <c r="S445" i="16"/>
  <c r="S562" i="16"/>
  <c r="K681" i="16"/>
  <c r="K665" i="16"/>
  <c r="K656" i="16"/>
  <c r="K640" i="16"/>
  <c r="K566" i="16"/>
  <c r="K732" i="16"/>
  <c r="M366" i="16"/>
  <c r="K759" i="16"/>
  <c r="K751" i="16"/>
  <c r="K695" i="16"/>
  <c r="K517" i="16"/>
  <c r="E52" i="15"/>
  <c r="G52" i="15" s="1"/>
  <c r="G85" i="16"/>
  <c r="K625" i="16"/>
  <c r="K610" i="16"/>
  <c r="K443" i="16"/>
  <c r="K299" i="16"/>
  <c r="K203" i="16"/>
  <c r="K195" i="16"/>
  <c r="K178" i="16"/>
  <c r="I113" i="15"/>
  <c r="E41" i="15"/>
  <c r="G41" i="15" s="1"/>
  <c r="E45" i="15"/>
  <c r="G45" i="15" s="1"/>
  <c r="E86" i="16"/>
  <c r="E86" i="15" s="1"/>
  <c r="G86" i="15" s="1"/>
  <c r="E120" i="15"/>
  <c r="G120" i="15" s="1"/>
  <c r="E124" i="15"/>
  <c r="G124" i="15" s="1"/>
  <c r="E658" i="16"/>
  <c r="E658" i="15" s="1"/>
  <c r="G658" i="15" s="1"/>
  <c r="E692" i="16"/>
  <c r="E692" i="15" s="1"/>
  <c r="G692" i="15" s="1"/>
  <c r="E708" i="16"/>
  <c r="E708" i="15" s="1"/>
  <c r="G708" i="15" s="1"/>
  <c r="M294" i="16"/>
  <c r="M541" i="16"/>
  <c r="M653" i="16"/>
  <c r="M669" i="16"/>
  <c r="M677" i="16"/>
  <c r="M685" i="16"/>
  <c r="M749" i="16"/>
  <c r="M757" i="16"/>
  <c r="M773" i="16"/>
  <c r="M781" i="16"/>
  <c r="M789" i="16"/>
  <c r="M812" i="16"/>
  <c r="S73" i="16"/>
  <c r="S654" i="16"/>
  <c r="S700" i="16"/>
  <c r="M144" i="16"/>
  <c r="M152" i="16"/>
  <c r="M176" i="16"/>
  <c r="M536" i="16"/>
  <c r="S564" i="16"/>
  <c r="G144" i="16"/>
  <c r="G148" i="16"/>
  <c r="G152" i="16"/>
  <c r="G156" i="16"/>
  <c r="G160" i="16"/>
  <c r="G164" i="16"/>
  <c r="G169" i="16"/>
  <c r="G173" i="16"/>
  <c r="G177" i="16"/>
  <c r="G181" i="16"/>
  <c r="G185" i="16"/>
  <c r="G189" i="16"/>
  <c r="G194" i="16"/>
  <c r="G289" i="16"/>
  <c r="G293" i="16"/>
  <c r="G298" i="16"/>
  <c r="G302" i="16"/>
  <c r="G306" i="16"/>
  <c r="G310" i="16"/>
  <c r="G352" i="16"/>
  <c r="G356" i="16"/>
  <c r="G360" i="16"/>
  <c r="G364" i="16"/>
  <c r="G368" i="16"/>
  <c r="G385" i="16"/>
  <c r="G485" i="16"/>
  <c r="Q82" i="16"/>
  <c r="M82" i="15" s="1"/>
  <c r="Q86" i="16"/>
  <c r="M86" i="15" s="1"/>
  <c r="Q153" i="16"/>
  <c r="M153" i="15" s="1"/>
  <c r="Q157" i="16"/>
  <c r="M157" i="15" s="1"/>
  <c r="Q161" i="16"/>
  <c r="M161" i="15" s="1"/>
  <c r="Q195" i="16"/>
  <c r="M195" i="15" s="1"/>
  <c r="Q207" i="16"/>
  <c r="M207" i="15" s="1"/>
  <c r="Q211" i="16"/>
  <c r="M211" i="15" s="1"/>
  <c r="Q220" i="16"/>
  <c r="Q249" i="16"/>
  <c r="M249" i="15" s="1"/>
  <c r="Q253" i="16"/>
  <c r="M253" i="15" s="1"/>
  <c r="P253" i="15" s="1"/>
  <c r="Q261" i="16"/>
  <c r="M261" i="15" s="1"/>
  <c r="Q265" i="16"/>
  <c r="M265" i="15" s="1"/>
  <c r="O265" i="15" s="1"/>
  <c r="Q307" i="16"/>
  <c r="M307" i="15" s="1"/>
  <c r="Q324" i="16"/>
  <c r="Q403" i="16"/>
  <c r="M403" i="15" s="1"/>
  <c r="Q407" i="16"/>
  <c r="M407" i="15" s="1"/>
  <c r="Q561" i="16"/>
  <c r="M561" i="15" s="1"/>
  <c r="Q577" i="16"/>
  <c r="M577" i="15" s="1"/>
  <c r="Q586" i="16"/>
  <c r="M586" i="15" s="1"/>
  <c r="P586" i="15" s="1"/>
  <c r="Q590" i="16"/>
  <c r="M590" i="15" s="1"/>
  <c r="Q594" i="16"/>
  <c r="M594" i="15" s="1"/>
  <c r="Q598" i="16"/>
  <c r="M598" i="15" s="1"/>
  <c r="Q602" i="16"/>
  <c r="M602" i="15" s="1"/>
  <c r="Q606" i="16"/>
  <c r="M606" i="15" s="1"/>
  <c r="Q681" i="16"/>
  <c r="M681" i="15" s="1"/>
  <c r="Q690" i="16"/>
  <c r="M690" i="15" s="1"/>
  <c r="Q744" i="16"/>
  <c r="M744" i="15" s="1"/>
  <c r="Q748" i="16"/>
  <c r="M748" i="15" s="1"/>
  <c r="Q785" i="16"/>
  <c r="M785" i="15" s="1"/>
  <c r="Q794" i="16"/>
  <c r="M794" i="15" s="1"/>
  <c r="Q798" i="16"/>
  <c r="M798" i="15" s="1"/>
  <c r="Q802" i="16"/>
  <c r="M802" i="15" s="1"/>
  <c r="Q806" i="16"/>
  <c r="M806" i="15" s="1"/>
  <c r="Q810" i="16"/>
  <c r="M810" i="15" s="1"/>
  <c r="Q814" i="16"/>
  <c r="M814" i="15" s="1"/>
  <c r="M314" i="16"/>
  <c r="M330" i="16"/>
  <c r="M338" i="16"/>
  <c r="M346" i="16"/>
  <c r="M354" i="16"/>
  <c r="M362" i="16"/>
  <c r="M449" i="16"/>
  <c r="M513" i="16"/>
  <c r="M521" i="16"/>
  <c r="M529" i="16"/>
  <c r="S71" i="16"/>
  <c r="S87" i="16"/>
  <c r="S89" i="16" s="1"/>
  <c r="S640" i="16"/>
  <c r="M227" i="16"/>
  <c r="M251" i="16"/>
  <c r="M259" i="16"/>
  <c r="M267" i="16"/>
  <c r="M275" i="16"/>
  <c r="Q67" i="16"/>
  <c r="M67" i="15" s="1"/>
  <c r="Q757" i="16"/>
  <c r="M757" i="15" s="1"/>
  <c r="O757" i="15" s="1"/>
  <c r="M604" i="16"/>
  <c r="S566" i="16"/>
  <c r="S570" i="16"/>
  <c r="S732" i="16"/>
  <c r="S761" i="16"/>
  <c r="K14" i="16"/>
  <c r="Q15" i="16"/>
  <c r="K18" i="16"/>
  <c r="Q19" i="16"/>
  <c r="M30" i="16"/>
  <c r="S35" i="16"/>
  <c r="S37" i="16" s="1"/>
  <c r="K808" i="16"/>
  <c r="K802" i="16"/>
  <c r="K794" i="16"/>
  <c r="K771" i="16"/>
  <c r="K748" i="16"/>
  <c r="K705" i="16"/>
  <c r="E128" i="15"/>
  <c r="G128" i="15" s="1"/>
  <c r="E132" i="15"/>
  <c r="G132" i="15" s="1"/>
  <c r="E136" i="15"/>
  <c r="G136" i="15" s="1"/>
  <c r="E669" i="16"/>
  <c r="E669" i="15" s="1"/>
  <c r="G669" i="15" s="1"/>
  <c r="E673" i="16"/>
  <c r="E673" i="15" s="1"/>
  <c r="G673" i="15" s="1"/>
  <c r="E677" i="16"/>
  <c r="E677" i="15" s="1"/>
  <c r="G677" i="15" s="1"/>
  <c r="E681" i="16"/>
  <c r="E681" i="15" s="1"/>
  <c r="G681" i="15" s="1"/>
  <c r="M313" i="16"/>
  <c r="M424" i="16"/>
  <c r="M432" i="16"/>
  <c r="M456" i="16"/>
  <c r="M464" i="16"/>
  <c r="M472" i="16"/>
  <c r="M623" i="16"/>
  <c r="M631" i="16"/>
  <c r="M639" i="16"/>
  <c r="M814" i="16"/>
  <c r="S74" i="16"/>
  <c r="S143" i="16"/>
  <c r="S147" i="16"/>
  <c r="S151" i="16"/>
  <c r="S155" i="16"/>
  <c r="S197" i="16"/>
  <c r="S247" i="16"/>
  <c r="S251" i="16"/>
  <c r="S492" i="16"/>
  <c r="S554" i="16"/>
  <c r="S792" i="16"/>
  <c r="Q70" i="16"/>
  <c r="M70" i="15" s="1"/>
  <c r="K559" i="16"/>
  <c r="K575" i="16"/>
  <c r="M164" i="16"/>
  <c r="M483" i="16"/>
  <c r="M491" i="16"/>
  <c r="M499" i="16"/>
  <c r="S381" i="16"/>
  <c r="S385" i="16"/>
  <c r="S389" i="16"/>
  <c r="S431" i="16"/>
  <c r="S568" i="16"/>
  <c r="S572" i="16"/>
  <c r="S614" i="16"/>
  <c r="S618" i="16"/>
  <c r="S664" i="16"/>
  <c r="S668" i="16"/>
  <c r="S714" i="16"/>
  <c r="S718" i="16"/>
  <c r="S722" i="16"/>
  <c r="S726" i="16"/>
  <c r="S747" i="16"/>
  <c r="K813" i="16"/>
  <c r="M47" i="15"/>
  <c r="P47" i="15" s="1"/>
  <c r="M59" i="15"/>
  <c r="E64" i="16"/>
  <c r="E72" i="16"/>
  <c r="E72" i="15" s="1"/>
  <c r="G72" i="15" s="1"/>
  <c r="E76" i="16"/>
  <c r="E76" i="15" s="1"/>
  <c r="G76" i="15" s="1"/>
  <c r="M420" i="16"/>
  <c r="M428" i="16"/>
  <c r="M436" i="16"/>
  <c r="M539" i="16"/>
  <c r="M563" i="16"/>
  <c r="M571" i="16"/>
  <c r="M579" i="16"/>
  <c r="M587" i="16"/>
  <c r="M611" i="16"/>
  <c r="M619" i="16"/>
  <c r="M627" i="16"/>
  <c r="M667" i="16"/>
  <c r="M723" i="16"/>
  <c r="M755" i="16"/>
  <c r="M771" i="16"/>
  <c r="M779" i="16"/>
  <c r="M787" i="16"/>
  <c r="M795" i="16"/>
  <c r="S68" i="16"/>
  <c r="S145" i="16"/>
  <c r="S149" i="16"/>
  <c r="S195" i="16"/>
  <c r="S249" i="16"/>
  <c r="S253" i="16"/>
  <c r="S257" i="16"/>
  <c r="S299" i="16"/>
  <c r="S303" i="16"/>
  <c r="S307" i="16"/>
  <c r="S353" i="16"/>
  <c r="S532" i="16"/>
  <c r="S536" i="16"/>
  <c r="S540" i="16"/>
  <c r="S544" i="16"/>
  <c r="S548" i="16"/>
  <c r="S706" i="16"/>
  <c r="S740" i="16"/>
  <c r="M55" i="15"/>
  <c r="K67" i="16"/>
  <c r="K75" i="16"/>
  <c r="K83" i="16"/>
  <c r="M445" i="16"/>
  <c r="S75" i="16"/>
  <c r="S79" i="16"/>
  <c r="Q545" i="16"/>
  <c r="M545" i="15" s="1"/>
  <c r="Q549" i="16"/>
  <c r="M549" i="15" s="1"/>
  <c r="Q558" i="16"/>
  <c r="Q637" i="16"/>
  <c r="M637" i="15" s="1"/>
  <c r="Q641" i="16"/>
  <c r="M641" i="15" s="1"/>
  <c r="Q761" i="16"/>
  <c r="M761" i="15" s="1"/>
  <c r="M40" i="15"/>
  <c r="M44" i="15"/>
  <c r="M48" i="15"/>
  <c r="M52" i="15"/>
  <c r="M56" i="15"/>
  <c r="M60" i="15"/>
  <c r="K684" i="16"/>
  <c r="K676" i="16"/>
  <c r="K659" i="16"/>
  <c r="I659" i="15" s="1"/>
  <c r="K626" i="16"/>
  <c r="K618" i="16"/>
  <c r="M344" i="16"/>
  <c r="S449" i="16"/>
  <c r="S674" i="16"/>
  <c r="S678" i="16"/>
  <c r="K569" i="16"/>
  <c r="G70" i="16"/>
  <c r="G78" i="16"/>
  <c r="G82" i="16"/>
  <c r="G145" i="16"/>
  <c r="G149" i="16"/>
  <c r="G153" i="16"/>
  <c r="G157" i="16"/>
  <c r="G161" i="16"/>
  <c r="G220" i="16"/>
  <c r="G249" i="16"/>
  <c r="G253" i="16"/>
  <c r="G257" i="16"/>
  <c r="G261" i="16"/>
  <c r="G265" i="16"/>
  <c r="G561" i="16"/>
  <c r="G565" i="16"/>
  <c r="G569" i="16"/>
  <c r="G573" i="16"/>
  <c r="G665" i="16"/>
  <c r="G669" i="16"/>
  <c r="G673" i="16"/>
  <c r="G677" i="16"/>
  <c r="G681" i="16"/>
  <c r="G690" i="16"/>
  <c r="G694" i="16"/>
  <c r="G698" i="16"/>
  <c r="G702" i="16"/>
  <c r="G706" i="16"/>
  <c r="G710" i="16"/>
  <c r="G715" i="16"/>
  <c r="M53" i="15"/>
  <c r="K78" i="16"/>
  <c r="K86" i="16"/>
  <c r="G12" i="16"/>
  <c r="S14" i="16"/>
  <c r="K261" i="16"/>
  <c r="E75" i="16"/>
  <c r="E75" i="15" s="1"/>
  <c r="H75" i="15" s="1"/>
  <c r="E79" i="16"/>
  <c r="E79" i="15" s="1"/>
  <c r="G79" i="15" s="1"/>
  <c r="E83" i="16"/>
  <c r="E83" i="15" s="1"/>
  <c r="G83" i="15" s="1"/>
  <c r="E92" i="15"/>
  <c r="G92" i="15" s="1"/>
  <c r="E96" i="15"/>
  <c r="G96" i="15" s="1"/>
  <c r="E100" i="15"/>
  <c r="G100" i="15" s="1"/>
  <c r="E108" i="15"/>
  <c r="G108" i="15" s="1"/>
  <c r="E112" i="15"/>
  <c r="G112" i="15" s="1"/>
  <c r="E142" i="16"/>
  <c r="E146" i="16"/>
  <c r="E146" i="15" s="1"/>
  <c r="G146" i="15" s="1"/>
  <c r="E150" i="16"/>
  <c r="E150" i="15" s="1"/>
  <c r="G150" i="15" s="1"/>
  <c r="E404" i="16"/>
  <c r="E404" i="15" s="1"/>
  <c r="G404" i="15" s="1"/>
  <c r="M41" i="15"/>
  <c r="Q17" i="16"/>
  <c r="K20" i="16"/>
  <c r="S25" i="16"/>
  <c r="S29" i="16"/>
  <c r="K599" i="16"/>
  <c r="K156" i="16"/>
  <c r="G79" i="16"/>
  <c r="G83" i="16"/>
  <c r="G379" i="16"/>
  <c r="G383" i="16"/>
  <c r="G387" i="16"/>
  <c r="G395" i="16"/>
  <c r="M57" i="15"/>
  <c r="S13" i="16"/>
  <c r="M16" i="16"/>
  <c r="S17" i="16"/>
  <c r="M20" i="16"/>
  <c r="Q24" i="16"/>
  <c r="Q28" i="16"/>
  <c r="Q32" i="16"/>
  <c r="M49" i="15"/>
  <c r="Q20" i="16"/>
  <c r="S24" i="16"/>
  <c r="S32" i="16"/>
  <c r="K612" i="16"/>
  <c r="K592" i="16"/>
  <c r="K161" i="16"/>
  <c r="K154" i="16"/>
  <c r="K146" i="16"/>
  <c r="G81" i="16"/>
  <c r="M45" i="15"/>
  <c r="M11" i="15"/>
  <c r="S16" i="16"/>
  <c r="Q23" i="16"/>
  <c r="Q27" i="16"/>
  <c r="Q31" i="16"/>
  <c r="K803" i="16"/>
  <c r="K795" i="16"/>
  <c r="K700" i="16"/>
  <c r="K693" i="16"/>
  <c r="K542" i="16"/>
  <c r="K534" i="16"/>
  <c r="K519" i="16"/>
  <c r="K376" i="16"/>
  <c r="K242" i="16"/>
  <c r="K234" i="16"/>
  <c r="K217" i="16"/>
  <c r="I217" i="15" s="1"/>
  <c r="K176" i="16"/>
  <c r="E273" i="16"/>
  <c r="E273" i="15" s="1"/>
  <c r="G273" i="15" s="1"/>
  <c r="E277" i="16"/>
  <c r="E277" i="15" s="1"/>
  <c r="G277" i="15" s="1"/>
  <c r="E281" i="16"/>
  <c r="E281" i="15" s="1"/>
  <c r="G281" i="15" s="1"/>
  <c r="E285" i="16"/>
  <c r="E285" i="15" s="1"/>
  <c r="G285" i="15" s="1"/>
  <c r="E289" i="16"/>
  <c r="E289" i="15" s="1"/>
  <c r="H289" i="15" s="1"/>
  <c r="M67" i="16"/>
  <c r="M83" i="16"/>
  <c r="M201" i="16"/>
  <c r="M209" i="16"/>
  <c r="M217" i="16"/>
  <c r="M265" i="16"/>
  <c r="Q71" i="16"/>
  <c r="M71" i="15" s="1"/>
  <c r="Q74" i="16"/>
  <c r="M74" i="15" s="1"/>
  <c r="S159" i="16"/>
  <c r="S163" i="16"/>
  <c r="S201" i="16"/>
  <c r="S205" i="16"/>
  <c r="S209" i="16"/>
  <c r="S213" i="16"/>
  <c r="S255" i="16"/>
  <c r="S259" i="16"/>
  <c r="S263" i="16"/>
  <c r="S267" i="16"/>
  <c r="S301" i="16"/>
  <c r="S305" i="16"/>
  <c r="S309" i="16"/>
  <c r="S313" i="16"/>
  <c r="S317" i="16"/>
  <c r="S351" i="16"/>
  <c r="S355" i="16"/>
  <c r="S359" i="16"/>
  <c r="S363" i="16"/>
  <c r="S367" i="16"/>
  <c r="S371" i="16"/>
  <c r="S405" i="16"/>
  <c r="S409" i="16"/>
  <c r="S413" i="16"/>
  <c r="S417" i="16"/>
  <c r="S421" i="16"/>
  <c r="S438" i="16"/>
  <c r="S496" i="16"/>
  <c r="S500" i="16"/>
  <c r="S509" i="16"/>
  <c r="S513" i="16"/>
  <c r="S596" i="16"/>
  <c r="S600" i="16"/>
  <c r="S604" i="16"/>
  <c r="S658" i="16"/>
  <c r="S704" i="16"/>
  <c r="S708" i="16"/>
  <c r="G719" i="16"/>
  <c r="G723" i="16"/>
  <c r="G727" i="16"/>
  <c r="M84" i="16"/>
  <c r="Q64" i="16"/>
  <c r="S67" i="16"/>
  <c r="Q78" i="16"/>
  <c r="M78" i="15" s="1"/>
  <c r="Q169" i="16"/>
  <c r="M169" i="15" s="1"/>
  <c r="Q173" i="16"/>
  <c r="M173" i="15" s="1"/>
  <c r="Q177" i="16"/>
  <c r="M177" i="15" s="1"/>
  <c r="Q194" i="16"/>
  <c r="Q223" i="16"/>
  <c r="M223" i="15" s="1"/>
  <c r="Q227" i="16"/>
  <c r="M227" i="15" s="1"/>
  <c r="Q235" i="16"/>
  <c r="M235" i="15" s="1"/>
  <c r="Q239" i="16"/>
  <c r="M239" i="15" s="1"/>
  <c r="Q273" i="16"/>
  <c r="M273" i="15" s="1"/>
  <c r="Q277" i="16"/>
  <c r="M277" i="15" s="1"/>
  <c r="Q285" i="16"/>
  <c r="M285" i="15" s="1"/>
  <c r="Q289" i="16"/>
  <c r="M289" i="15" s="1"/>
  <c r="O289" i="15" s="1"/>
  <c r="Q293" i="16"/>
  <c r="M293" i="15" s="1"/>
  <c r="Q298" i="16"/>
  <c r="Q327" i="16"/>
  <c r="M327" i="15" s="1"/>
  <c r="Q331" i="16"/>
  <c r="M331" i="15" s="1"/>
  <c r="Q335" i="16"/>
  <c r="M335" i="15" s="1"/>
  <c r="Q343" i="16"/>
  <c r="M343" i="15" s="1"/>
  <c r="Q377" i="16"/>
  <c r="M377" i="15" s="1"/>
  <c r="Q389" i="16"/>
  <c r="M389" i="15" s="1"/>
  <c r="Q393" i="16"/>
  <c r="M393" i="15" s="1"/>
  <c r="Q481" i="16"/>
  <c r="M481" i="15" s="1"/>
  <c r="Q485" i="16"/>
  <c r="M485" i="15" s="1"/>
  <c r="Q497" i="16"/>
  <c r="M497" i="15" s="1"/>
  <c r="Q501" i="16"/>
  <c r="M501" i="15" s="1"/>
  <c r="Q506" i="16"/>
  <c r="Q510" i="16"/>
  <c r="M510" i="15" s="1"/>
  <c r="Q514" i="16"/>
  <c r="M514" i="15" s="1"/>
  <c r="Q518" i="16"/>
  <c r="M518" i="15" s="1"/>
  <c r="Q522" i="16"/>
  <c r="M522" i="15" s="1"/>
  <c r="Q526" i="16"/>
  <c r="M526" i="15" s="1"/>
  <c r="Q589" i="16"/>
  <c r="M589" i="15" s="1"/>
  <c r="Q593" i="16"/>
  <c r="M593" i="15" s="1"/>
  <c r="Q610" i="16"/>
  <c r="Q614" i="16"/>
  <c r="M614" i="15" s="1"/>
  <c r="Q618" i="16"/>
  <c r="M618" i="15" s="1"/>
  <c r="Q622" i="16"/>
  <c r="M622" i="15" s="1"/>
  <c r="Q626" i="16"/>
  <c r="M626" i="15" s="1"/>
  <c r="Q630" i="16"/>
  <c r="M630" i="15" s="1"/>
  <c r="Q689" i="16"/>
  <c r="M689" i="15" s="1"/>
  <c r="Q693" i="16"/>
  <c r="M693" i="15" s="1"/>
  <c r="Q697" i="16"/>
  <c r="M697" i="15" s="1"/>
  <c r="Q701" i="16"/>
  <c r="M701" i="15" s="1"/>
  <c r="Q709" i="16"/>
  <c r="M709" i="15" s="1"/>
  <c r="P709" i="15" s="1"/>
  <c r="Q714" i="16"/>
  <c r="Q718" i="16"/>
  <c r="M718" i="15" s="1"/>
  <c r="Q722" i="16"/>
  <c r="M722" i="15" s="1"/>
  <c r="P722" i="15" s="1"/>
  <c r="Q726" i="16"/>
  <c r="M726" i="15" s="1"/>
  <c r="P726" i="15" s="1"/>
  <c r="Q730" i="16"/>
  <c r="M730" i="15" s="1"/>
  <c r="Q734" i="16"/>
  <c r="M734" i="15" s="1"/>
  <c r="Q768" i="16"/>
  <c r="M768" i="15" s="1"/>
  <c r="Q772" i="16"/>
  <c r="M772" i="15" s="1"/>
  <c r="Q776" i="16"/>
  <c r="M776" i="15" s="1"/>
  <c r="Q780" i="16"/>
  <c r="M780" i="15" s="1"/>
  <c r="Q784" i="16"/>
  <c r="M784" i="15" s="1"/>
  <c r="Q788" i="16"/>
  <c r="M788" i="15" s="1"/>
  <c r="Q793" i="16"/>
  <c r="M793" i="15" s="1"/>
  <c r="Q801" i="16"/>
  <c r="M801" i="15" s="1"/>
  <c r="Q805" i="16"/>
  <c r="M805" i="15" s="1"/>
  <c r="Q809" i="16"/>
  <c r="M809" i="15" s="1"/>
  <c r="M792" i="16"/>
  <c r="S189" i="16"/>
  <c r="S239" i="16"/>
  <c r="S339" i="16"/>
  <c r="S343" i="16"/>
  <c r="S393" i="16"/>
  <c r="S397" i="16"/>
  <c r="S435" i="16"/>
  <c r="S439" i="16"/>
  <c r="S443" i="16"/>
  <c r="S447" i="16"/>
  <c r="S460" i="16"/>
  <c r="S472" i="16"/>
  <c r="S476" i="16"/>
  <c r="S481" i="16"/>
  <c r="S485" i="16"/>
  <c r="S489" i="16"/>
  <c r="S493" i="16"/>
  <c r="S497" i="16"/>
  <c r="S501" i="16"/>
  <c r="S526" i="16"/>
  <c r="S576" i="16"/>
  <c r="S580" i="16"/>
  <c r="S622" i="16"/>
  <c r="S626" i="16"/>
  <c r="S630" i="16"/>
  <c r="S672" i="16"/>
  <c r="S676" i="16"/>
  <c r="S680" i="16"/>
  <c r="S684" i="16"/>
  <c r="S730" i="16"/>
  <c r="S734" i="16"/>
  <c r="S751" i="16"/>
  <c r="S755" i="16"/>
  <c r="S759" i="16"/>
  <c r="S768" i="16"/>
  <c r="S772" i="16"/>
  <c r="S776" i="16"/>
  <c r="S780" i="16"/>
  <c r="S784" i="16"/>
  <c r="S788" i="16"/>
  <c r="S793" i="16"/>
  <c r="T793" i="16" s="1"/>
  <c r="S797" i="16"/>
  <c r="S801" i="16"/>
  <c r="S805" i="16"/>
  <c r="S809" i="16"/>
  <c r="S813" i="16"/>
  <c r="M70" i="16"/>
  <c r="M78" i="16"/>
  <c r="Q432" i="16"/>
  <c r="M432" i="15" s="1"/>
  <c r="Q436" i="16"/>
  <c r="M436" i="15" s="1"/>
  <c r="Q461" i="16"/>
  <c r="M461" i="15" s="1"/>
  <c r="Q465" i="16"/>
  <c r="M465" i="15" s="1"/>
  <c r="Q469" i="16"/>
  <c r="M469" i="15" s="1"/>
  <c r="Q473" i="16"/>
  <c r="M473" i="15" s="1"/>
  <c r="Q482" i="16"/>
  <c r="M482" i="15" s="1"/>
  <c r="P482" i="15" s="1"/>
  <c r="Q486" i="16"/>
  <c r="M486" i="15" s="1"/>
  <c r="Q490" i="16"/>
  <c r="M490" i="15" s="1"/>
  <c r="Q494" i="16"/>
  <c r="M494" i="15" s="1"/>
  <c r="Q498" i="16"/>
  <c r="M498" i="15" s="1"/>
  <c r="Q502" i="16"/>
  <c r="M502" i="15" s="1"/>
  <c r="Q694" i="16"/>
  <c r="M694" i="15" s="1"/>
  <c r="Q698" i="16"/>
  <c r="M698" i="15" s="1"/>
  <c r="Q702" i="16"/>
  <c r="M702" i="15" s="1"/>
  <c r="Q706" i="16"/>
  <c r="M706" i="15" s="1"/>
  <c r="Q710" i="16"/>
  <c r="M710" i="15" s="1"/>
  <c r="Q752" i="16"/>
  <c r="M752" i="15" s="1"/>
  <c r="Q756" i="16"/>
  <c r="M756" i="15" s="1"/>
  <c r="Q760" i="16"/>
  <c r="M760" i="15" s="1"/>
  <c r="Q769" i="16"/>
  <c r="M769" i="15" s="1"/>
  <c r="E729" i="16"/>
  <c r="E729" i="15" s="1"/>
  <c r="H729" i="15" s="1"/>
  <c r="E733" i="16"/>
  <c r="E733" i="15" s="1"/>
  <c r="G733" i="15" s="1"/>
  <c r="E742" i="16"/>
  <c r="E742" i="15" s="1"/>
  <c r="H742" i="15" s="1"/>
  <c r="E746" i="16"/>
  <c r="E746" i="15" s="1"/>
  <c r="G746" i="15" s="1"/>
  <c r="E754" i="16"/>
  <c r="E754" i="15" s="1"/>
  <c r="G754" i="15" s="1"/>
  <c r="E758" i="16"/>
  <c r="E758" i="15" s="1"/>
  <c r="H758" i="15" s="1"/>
  <c r="E762" i="16"/>
  <c r="E762" i="15" s="1"/>
  <c r="G762" i="15" s="1"/>
  <c r="M182" i="16"/>
  <c r="M190" i="16"/>
  <c r="S153" i="16"/>
  <c r="S157" i="16"/>
  <c r="S161" i="16"/>
  <c r="S199" i="16"/>
  <c r="S203" i="16"/>
  <c r="S207" i="16"/>
  <c r="S211" i="16"/>
  <c r="S215" i="16"/>
  <c r="S261" i="16"/>
  <c r="S265" i="16"/>
  <c r="T265" i="16" s="1"/>
  <c r="S311" i="16"/>
  <c r="S315" i="16"/>
  <c r="S319" i="16"/>
  <c r="S357" i="16"/>
  <c r="S361" i="16"/>
  <c r="S365" i="16"/>
  <c r="S369" i="16"/>
  <c r="S419" i="16"/>
  <c r="S423" i="16"/>
  <c r="S457" i="16"/>
  <c r="S465" i="16"/>
  <c r="S469" i="16"/>
  <c r="S473" i="16"/>
  <c r="S552" i="16"/>
  <c r="S606" i="16"/>
  <c r="T606" i="16" s="1"/>
  <c r="S644" i="16"/>
  <c r="S648" i="16"/>
  <c r="S652" i="16"/>
  <c r="S656" i="16"/>
  <c r="S710" i="16"/>
  <c r="S744" i="16"/>
  <c r="S748" i="16"/>
  <c r="S752" i="16"/>
  <c r="S781" i="16"/>
  <c r="S785" i="16"/>
  <c r="S789" i="16"/>
  <c r="M810" i="16"/>
  <c r="Q73" i="16"/>
  <c r="M73" i="15" s="1"/>
  <c r="M96" i="15"/>
  <c r="M100" i="15"/>
  <c r="M137" i="15"/>
  <c r="Q142" i="16"/>
  <c r="Q179" i="16"/>
  <c r="Q183" i="16"/>
  <c r="Q187" i="16"/>
  <c r="Q221" i="16"/>
  <c r="Q225" i="16"/>
  <c r="Q229" i="16"/>
  <c r="Q233" i="16"/>
  <c r="Q237" i="16"/>
  <c r="Q246" i="16"/>
  <c r="Q275" i="16"/>
  <c r="Q279" i="16"/>
  <c r="Q291" i="16"/>
  <c r="Q341" i="16"/>
  <c r="Q345" i="16"/>
  <c r="Q562" i="16"/>
  <c r="M562" i="15" s="1"/>
  <c r="Q566" i="16"/>
  <c r="M566" i="15" s="1"/>
  <c r="Q570" i="16"/>
  <c r="M570" i="15" s="1"/>
  <c r="Q574" i="16"/>
  <c r="M574" i="15" s="1"/>
  <c r="Q578" i="16"/>
  <c r="M578" i="15" s="1"/>
  <c r="Q645" i="16"/>
  <c r="M645" i="15" s="1"/>
  <c r="Q649" i="16"/>
  <c r="M649" i="15" s="1"/>
  <c r="Q653" i="16"/>
  <c r="M653" i="15" s="1"/>
  <c r="Q657" i="16"/>
  <c r="M657" i="15" s="1"/>
  <c r="P657" i="15" s="1"/>
  <c r="Q662" i="16"/>
  <c r="Q666" i="16"/>
  <c r="M666" i="15" s="1"/>
  <c r="Q670" i="16"/>
  <c r="M670" i="15" s="1"/>
  <c r="Q674" i="16"/>
  <c r="M674" i="15" s="1"/>
  <c r="Q678" i="16"/>
  <c r="M678" i="15" s="1"/>
  <c r="Q682" i="16"/>
  <c r="M682" i="15" s="1"/>
  <c r="Q766" i="16"/>
  <c r="Q770" i="16"/>
  <c r="M770" i="15" s="1"/>
  <c r="P770" i="15" s="1"/>
  <c r="Q774" i="16"/>
  <c r="M774" i="15" s="1"/>
  <c r="Q778" i="16"/>
  <c r="M778" i="15" s="1"/>
  <c r="Q782" i="16"/>
  <c r="M782" i="15" s="1"/>
  <c r="Q786" i="16"/>
  <c r="M786" i="15" s="1"/>
  <c r="M160" i="16"/>
  <c r="M183" i="16"/>
  <c r="M191" i="16"/>
  <c r="M200" i="16"/>
  <c r="M208" i="16"/>
  <c r="S241" i="16"/>
  <c r="S528" i="16"/>
  <c r="S574" i="16"/>
  <c r="S578" i="16"/>
  <c r="S632" i="16"/>
  <c r="S682" i="16"/>
  <c r="S736" i="16"/>
  <c r="S811" i="16"/>
  <c r="K164" i="16"/>
  <c r="G489" i="16"/>
  <c r="M42" i="15"/>
  <c r="M46" i="15"/>
  <c r="M50" i="15"/>
  <c r="M54" i="15"/>
  <c r="M58" i="15"/>
  <c r="K331" i="16"/>
  <c r="M178" i="16"/>
  <c r="M249" i="16"/>
  <c r="M257" i="16"/>
  <c r="S21" i="16"/>
  <c r="K545" i="16"/>
  <c r="G165" i="16"/>
  <c r="Q638" i="16"/>
  <c r="K68" i="16"/>
  <c r="K76" i="16"/>
  <c r="K84" i="16"/>
  <c r="M39" i="15"/>
  <c r="M43" i="15"/>
  <c r="M51" i="15"/>
  <c r="K23" i="16"/>
  <c r="K27" i="16"/>
  <c r="K31" i="16"/>
  <c r="K35" i="16"/>
  <c r="I35" i="15" s="1"/>
  <c r="K186" i="16"/>
  <c r="G142" i="16"/>
  <c r="G146" i="16"/>
  <c r="G150" i="16"/>
  <c r="G154" i="16"/>
  <c r="G158" i="16"/>
  <c r="G162" i="16"/>
  <c r="G491" i="16"/>
  <c r="S12" i="16"/>
  <c r="S20" i="16"/>
  <c r="Q35" i="16"/>
  <c r="Q37" i="16" s="1"/>
  <c r="K71" i="16"/>
  <c r="K79" i="16"/>
  <c r="K87" i="16"/>
  <c r="Q12" i="16"/>
  <c r="Q16" i="16"/>
  <c r="S28" i="16"/>
  <c r="K787" i="16"/>
  <c r="K743" i="16"/>
  <c r="K645" i="16"/>
  <c r="K586" i="16"/>
  <c r="K537" i="16"/>
  <c r="K528" i="16"/>
  <c r="K475" i="16"/>
  <c r="K291" i="16"/>
  <c r="K268" i="16"/>
  <c r="K253" i="16"/>
  <c r="K237" i="16"/>
  <c r="K229" i="16"/>
  <c r="K221" i="16"/>
  <c r="K204" i="16"/>
  <c r="K196" i="16"/>
  <c r="K187" i="16"/>
  <c r="K179" i="16"/>
  <c r="K568" i="16"/>
  <c r="I568" i="15" s="1"/>
  <c r="K717" i="16"/>
  <c r="E154" i="16"/>
  <c r="E154" i="15" s="1"/>
  <c r="G154" i="15" s="1"/>
  <c r="E158" i="16"/>
  <c r="E158" i="15" s="1"/>
  <c r="G158" i="15" s="1"/>
  <c r="E162" i="16"/>
  <c r="E162" i="15" s="1"/>
  <c r="G162" i="15" s="1"/>
  <c r="G274" i="16"/>
  <c r="G278" i="16"/>
  <c r="G282" i="16"/>
  <c r="G286" i="16"/>
  <c r="G290" i="16"/>
  <c r="G294" i="16"/>
  <c r="S23" i="16"/>
  <c r="S27" i="16"/>
  <c r="S31" i="16"/>
  <c r="K651" i="16"/>
  <c r="K643" i="16"/>
  <c r="K550" i="16"/>
  <c r="K520" i="16"/>
  <c r="K507" i="16"/>
  <c r="K498" i="16"/>
  <c r="K490" i="16"/>
  <c r="K435" i="16"/>
  <c r="K418" i="16"/>
  <c r="K410" i="16"/>
  <c r="K393" i="16"/>
  <c r="K385" i="16"/>
  <c r="K369" i="16"/>
  <c r="K361" i="16"/>
  <c r="K353" i="16"/>
  <c r="K344" i="16"/>
  <c r="K336" i="16"/>
  <c r="K329" i="16"/>
  <c r="K320" i="16"/>
  <c r="K298" i="16"/>
  <c r="K289" i="16"/>
  <c r="K275" i="16"/>
  <c r="K251" i="16"/>
  <c r="K210" i="16"/>
  <c r="K202" i="16"/>
  <c r="K170" i="16"/>
  <c r="K162" i="16"/>
  <c r="K719" i="16"/>
  <c r="K727" i="16"/>
  <c r="K735" i="16"/>
  <c r="S15" i="16"/>
  <c r="S19" i="16"/>
  <c r="Q34" i="16"/>
  <c r="K571" i="16"/>
  <c r="K579" i="16"/>
  <c r="G65" i="16"/>
  <c r="E172" i="16"/>
  <c r="E172" i="15" s="1"/>
  <c r="G172" i="15" s="1"/>
  <c r="G454" i="16"/>
  <c r="G458" i="16"/>
  <c r="G462" i="16"/>
  <c r="G466" i="16"/>
  <c r="G483" i="16"/>
  <c r="G487" i="16"/>
  <c r="E495" i="16"/>
  <c r="E495" i="15" s="1"/>
  <c r="G495" i="15" s="1"/>
  <c r="E533" i="16"/>
  <c r="E533" i="15" s="1"/>
  <c r="G533" i="15" s="1"/>
  <c r="E537" i="16"/>
  <c r="E537" i="15" s="1"/>
  <c r="G537" i="15" s="1"/>
  <c r="E541" i="16"/>
  <c r="E541" i="15" s="1"/>
  <c r="G541" i="15" s="1"/>
  <c r="E545" i="16"/>
  <c r="E545" i="15" s="1"/>
  <c r="G545" i="15" s="1"/>
  <c r="E549" i="16"/>
  <c r="E549" i="15" s="1"/>
  <c r="G549" i="15" s="1"/>
  <c r="E553" i="16"/>
  <c r="E553" i="15" s="1"/>
  <c r="G553" i="15" s="1"/>
  <c r="E558" i="16"/>
  <c r="E562" i="16"/>
  <c r="E562" i="15" s="1"/>
  <c r="G562" i="15" s="1"/>
  <c r="E566" i="16"/>
  <c r="E566" i="15" s="1"/>
  <c r="G566" i="15" s="1"/>
  <c r="E570" i="16"/>
  <c r="E570" i="15" s="1"/>
  <c r="G570" i="15" s="1"/>
  <c r="E574" i="16"/>
  <c r="E574" i="15" s="1"/>
  <c r="G574" i="15" s="1"/>
  <c r="E578" i="16"/>
  <c r="E578" i="15" s="1"/>
  <c r="G578" i="15" s="1"/>
  <c r="Q30" i="16"/>
  <c r="K807" i="16"/>
  <c r="K776" i="16"/>
  <c r="K525" i="16"/>
  <c r="K512" i="16"/>
  <c r="K383" i="16"/>
  <c r="K303" i="16"/>
  <c r="K168" i="16"/>
  <c r="K564" i="16"/>
  <c r="K580" i="16"/>
  <c r="E42" i="15"/>
  <c r="G42" i="15" s="1"/>
  <c r="E46" i="15"/>
  <c r="G46" i="15" s="1"/>
  <c r="E50" i="15"/>
  <c r="G50" i="15" s="1"/>
  <c r="E94" i="15"/>
  <c r="G94" i="15" s="1"/>
  <c r="E98" i="15"/>
  <c r="G98" i="15" s="1"/>
  <c r="E102" i="15"/>
  <c r="G102" i="15" s="1"/>
  <c r="E110" i="15"/>
  <c r="G110" i="15" s="1"/>
  <c r="G197" i="16"/>
  <c r="G201" i="16"/>
  <c r="G205" i="16"/>
  <c r="G209" i="16"/>
  <c r="G213" i="16"/>
  <c r="G284" i="16"/>
  <c r="G288" i="16"/>
  <c r="G292" i="16"/>
  <c r="G376" i="16"/>
  <c r="G380" i="16"/>
  <c r="G384" i="16"/>
  <c r="G392" i="16"/>
  <c r="E396" i="16"/>
  <c r="E396" i="15" s="1"/>
  <c r="H396" i="15" s="1"/>
  <c r="E455" i="16"/>
  <c r="E455" i="15" s="1"/>
  <c r="G455" i="15" s="1"/>
  <c r="E463" i="16"/>
  <c r="E463" i="15" s="1"/>
  <c r="G463" i="15" s="1"/>
  <c r="E471" i="16"/>
  <c r="E471" i="15" s="1"/>
  <c r="G471" i="15" s="1"/>
  <c r="E475" i="16"/>
  <c r="E475" i="15" s="1"/>
  <c r="G475" i="15" s="1"/>
  <c r="E480" i="16"/>
  <c r="G495" i="16"/>
  <c r="G533" i="16"/>
  <c r="G537" i="16"/>
  <c r="G541" i="16"/>
  <c r="G545" i="16"/>
  <c r="G549" i="16"/>
  <c r="G553" i="16"/>
  <c r="G587" i="16"/>
  <c r="G591" i="16"/>
  <c r="G595" i="16"/>
  <c r="G599" i="16"/>
  <c r="G603" i="16"/>
  <c r="G637" i="16"/>
  <c r="G641" i="16"/>
  <c r="G645" i="16"/>
  <c r="G649" i="16"/>
  <c r="G653" i="16"/>
  <c r="G657" i="16"/>
  <c r="G662" i="16"/>
  <c r="G666" i="16"/>
  <c r="G670" i="16"/>
  <c r="G674" i="16"/>
  <c r="G678" i="16"/>
  <c r="G691" i="16"/>
  <c r="G695" i="16"/>
  <c r="G741" i="16"/>
  <c r="G745" i="16"/>
  <c r="G749" i="16"/>
  <c r="G753" i="16"/>
  <c r="G757" i="16"/>
  <c r="G761" i="16"/>
  <c r="G795" i="16"/>
  <c r="G799" i="16"/>
  <c r="M284" i="16"/>
  <c r="S18" i="16"/>
  <c r="Q21" i="16"/>
  <c r="Q25" i="16"/>
  <c r="Q29" i="16"/>
  <c r="Q33" i="16"/>
  <c r="K317" i="16"/>
  <c r="K309" i="16"/>
  <c r="E293" i="16"/>
  <c r="E293" i="15" s="1"/>
  <c r="G293" i="15" s="1"/>
  <c r="E298" i="16"/>
  <c r="E302" i="16"/>
  <c r="E302" i="15" s="1"/>
  <c r="G302" i="15" s="1"/>
  <c r="E306" i="16"/>
  <c r="E306" i="15" s="1"/>
  <c r="G306" i="15" s="1"/>
  <c r="E310" i="16"/>
  <c r="E310" i="15" s="1"/>
  <c r="G310" i="15" s="1"/>
  <c r="E314" i="16"/>
  <c r="E314" i="15" s="1"/>
  <c r="G314" i="15" s="1"/>
  <c r="E318" i="16"/>
  <c r="E318" i="15" s="1"/>
  <c r="G318" i="15" s="1"/>
  <c r="E327" i="16"/>
  <c r="E327" i="15" s="1"/>
  <c r="G327" i="15" s="1"/>
  <c r="E335" i="16"/>
  <c r="E335" i="15" s="1"/>
  <c r="G335" i="15" s="1"/>
  <c r="E339" i="16"/>
  <c r="E339" i="15" s="1"/>
  <c r="G339" i="15" s="1"/>
  <c r="E343" i="16"/>
  <c r="E343" i="15" s="1"/>
  <c r="G343" i="15" s="1"/>
  <c r="E377" i="16"/>
  <c r="E377" i="15" s="1"/>
  <c r="G377" i="15" s="1"/>
  <c r="E393" i="16"/>
  <c r="E393" i="15" s="1"/>
  <c r="G393" i="15" s="1"/>
  <c r="G396" i="16"/>
  <c r="G430" i="16"/>
  <c r="G434" i="16"/>
  <c r="G438" i="16"/>
  <c r="G442" i="16"/>
  <c r="G446" i="16"/>
  <c r="G450" i="16"/>
  <c r="G480" i="16"/>
  <c r="G488" i="16"/>
  <c r="E492" i="16"/>
  <c r="E492" i="15" s="1"/>
  <c r="G492" i="15" s="1"/>
  <c r="E509" i="16"/>
  <c r="E509" i="15" s="1"/>
  <c r="G509" i="15" s="1"/>
  <c r="E513" i="16"/>
  <c r="E513" i="15" s="1"/>
  <c r="G513" i="15" s="1"/>
  <c r="E517" i="16"/>
  <c r="E517" i="15" s="1"/>
  <c r="G517" i="15" s="1"/>
  <c r="E521" i="16"/>
  <c r="E521" i="15" s="1"/>
  <c r="G521" i="15" s="1"/>
  <c r="E525" i="16"/>
  <c r="E525" i="15" s="1"/>
  <c r="G525" i="15" s="1"/>
  <c r="E534" i="16"/>
  <c r="E534" i="15" s="1"/>
  <c r="G534" i="15" s="1"/>
  <c r="E538" i="16"/>
  <c r="E538" i="15" s="1"/>
  <c r="G538" i="15" s="1"/>
  <c r="E542" i="16"/>
  <c r="E542" i="15" s="1"/>
  <c r="G542" i="15" s="1"/>
  <c r="E546" i="16"/>
  <c r="E546" i="15" s="1"/>
  <c r="G546" i="15" s="1"/>
  <c r="E550" i="16"/>
  <c r="E550" i="15" s="1"/>
  <c r="G550" i="15" s="1"/>
  <c r="E554" i="16"/>
  <c r="E554" i="15" s="1"/>
  <c r="G554" i="15" s="1"/>
  <c r="Q22" i="16"/>
  <c r="S64" i="16"/>
  <c r="S33" i="16"/>
  <c r="K812" i="16"/>
  <c r="K781" i="16"/>
  <c r="K768" i="16"/>
  <c r="K594" i="16"/>
  <c r="K431" i="16"/>
  <c r="K381" i="16"/>
  <c r="K365" i="16"/>
  <c r="K357" i="16"/>
  <c r="K293" i="16"/>
  <c r="K278" i="16"/>
  <c r="K231" i="16"/>
  <c r="K223" i="16"/>
  <c r="K206" i="16"/>
  <c r="K198" i="16"/>
  <c r="K189" i="16"/>
  <c r="K181" i="16"/>
  <c r="K174" i="16"/>
  <c r="K151" i="16"/>
  <c r="K143" i="16"/>
  <c r="K574" i="16"/>
  <c r="G198" i="16"/>
  <c r="H198" i="16" s="1"/>
  <c r="G202" i="16"/>
  <c r="G206" i="16"/>
  <c r="G372" i="16"/>
  <c r="G377" i="16"/>
  <c r="G389" i="16"/>
  <c r="E431" i="16"/>
  <c r="E431" i="15" s="1"/>
  <c r="G431" i="15" s="1"/>
  <c r="E439" i="16"/>
  <c r="E439" i="15" s="1"/>
  <c r="G439" i="15" s="1"/>
  <c r="E443" i="16"/>
  <c r="E443" i="15" s="1"/>
  <c r="G443" i="15" s="1"/>
  <c r="E447" i="16"/>
  <c r="E447" i="15" s="1"/>
  <c r="G447" i="15" s="1"/>
  <c r="E489" i="16"/>
  <c r="E489" i="15" s="1"/>
  <c r="G489" i="15" s="1"/>
  <c r="G492" i="16"/>
  <c r="G509" i="16"/>
  <c r="G513" i="16"/>
  <c r="G517" i="16"/>
  <c r="G521" i="16"/>
  <c r="G525" i="16"/>
  <c r="G559" i="16"/>
  <c r="G563" i="16"/>
  <c r="G567" i="16"/>
  <c r="G571" i="16"/>
  <c r="G575" i="16"/>
  <c r="G579" i="16"/>
  <c r="G613" i="16"/>
  <c r="G617" i="16"/>
  <c r="G621" i="16"/>
  <c r="S82" i="16"/>
  <c r="S81" i="16"/>
  <c r="S86" i="16"/>
  <c r="S85" i="16"/>
  <c r="E641" i="16"/>
  <c r="E641" i="15" s="1"/>
  <c r="G641" i="15" s="1"/>
  <c r="E645" i="16"/>
  <c r="E645" i="15" s="1"/>
  <c r="G645" i="15" s="1"/>
  <c r="E649" i="16"/>
  <c r="E649" i="15" s="1"/>
  <c r="G649" i="15" s="1"/>
  <c r="E653" i="16"/>
  <c r="E653" i="15" s="1"/>
  <c r="G653" i="15" s="1"/>
  <c r="E657" i="16"/>
  <c r="E657" i="15" s="1"/>
  <c r="H657" i="15" s="1"/>
  <c r="E662" i="16"/>
  <c r="E666" i="16"/>
  <c r="E666" i="15" s="1"/>
  <c r="G666" i="15" s="1"/>
  <c r="E670" i="16"/>
  <c r="E670" i="15" s="1"/>
  <c r="G670" i="15" s="1"/>
  <c r="E674" i="16"/>
  <c r="E674" i="15" s="1"/>
  <c r="E678" i="16"/>
  <c r="E678" i="15" s="1"/>
  <c r="E682" i="16"/>
  <c r="E682" i="15" s="1"/>
  <c r="G682" i="15" s="1"/>
  <c r="E716" i="16"/>
  <c r="E716" i="15" s="1"/>
  <c r="E720" i="16"/>
  <c r="E720" i="15" s="1"/>
  <c r="G720" i="15" s="1"/>
  <c r="E724" i="16"/>
  <c r="E724" i="15" s="1"/>
  <c r="G724" i="15" s="1"/>
  <c r="E741" i="16"/>
  <c r="E741" i="15" s="1"/>
  <c r="G741" i="15" s="1"/>
  <c r="E749" i="16"/>
  <c r="E749" i="15" s="1"/>
  <c r="G749" i="15" s="1"/>
  <c r="E753" i="16"/>
  <c r="E753" i="15" s="1"/>
  <c r="G753" i="15" s="1"/>
  <c r="M77" i="16"/>
  <c r="M194" i="16"/>
  <c r="M282" i="16"/>
  <c r="M360" i="16"/>
  <c r="M383" i="16"/>
  <c r="M391" i="16"/>
  <c r="M399" i="16"/>
  <c r="M440" i="16"/>
  <c r="M566" i="16"/>
  <c r="M574" i="16"/>
  <c r="M590" i="16"/>
  <c r="M598" i="16"/>
  <c r="M606" i="16"/>
  <c r="M694" i="16"/>
  <c r="M702" i="16"/>
  <c r="M710" i="16"/>
  <c r="M718" i="16"/>
  <c r="M726" i="16"/>
  <c r="S78" i="16"/>
  <c r="S77" i="16"/>
  <c r="G625" i="16"/>
  <c r="G629" i="16"/>
  <c r="G638" i="16"/>
  <c r="G642" i="16"/>
  <c r="G646" i="16"/>
  <c r="G650" i="16"/>
  <c r="G654" i="16"/>
  <c r="G658" i="16"/>
  <c r="G663" i="16"/>
  <c r="G667" i="16"/>
  <c r="G671" i="16"/>
  <c r="G675" i="16"/>
  <c r="G679" i="16"/>
  <c r="G683" i="16"/>
  <c r="G717" i="16"/>
  <c r="G721" i="16"/>
  <c r="G725" i="16"/>
  <c r="G729" i="16"/>
  <c r="G733" i="16"/>
  <c r="G771" i="16"/>
  <c r="G775" i="16"/>
  <c r="G783" i="16"/>
  <c r="G787" i="16"/>
  <c r="G796" i="16"/>
  <c r="G800" i="16"/>
  <c r="G804" i="16"/>
  <c r="G808" i="16"/>
  <c r="G812" i="16"/>
  <c r="M64" i="16"/>
  <c r="M142" i="16"/>
  <c r="M158" i="16"/>
  <c r="M197" i="16"/>
  <c r="M205" i="16"/>
  <c r="M213" i="16"/>
  <c r="M221" i="16"/>
  <c r="M229" i="16"/>
  <c r="M237" i="16"/>
  <c r="M253" i="16"/>
  <c r="M261" i="16"/>
  <c r="M269" i="16"/>
  <c r="M363" i="16"/>
  <c r="M370" i="16"/>
  <c r="M378" i="16"/>
  <c r="M386" i="16"/>
  <c r="M394" i="16"/>
  <c r="M418" i="16"/>
  <c r="M434" i="16"/>
  <c r="M561" i="16"/>
  <c r="M569" i="16"/>
  <c r="M577" i="16"/>
  <c r="M769" i="16"/>
  <c r="M777" i="16"/>
  <c r="M785" i="16"/>
  <c r="M793" i="16"/>
  <c r="Q65" i="16"/>
  <c r="M65" i="15" s="1"/>
  <c r="M94" i="15"/>
  <c r="M98" i="15"/>
  <c r="P98" i="15" s="1"/>
  <c r="M102" i="15"/>
  <c r="M106" i="15"/>
  <c r="M110" i="15"/>
  <c r="M119" i="15"/>
  <c r="P119" i="15" s="1"/>
  <c r="M285" i="16"/>
  <c r="M300" i="16"/>
  <c r="M324" i="16"/>
  <c r="M332" i="16"/>
  <c r="M532" i="16"/>
  <c r="M642" i="16"/>
  <c r="M650" i="16"/>
  <c r="M658" i="16"/>
  <c r="M690" i="16"/>
  <c r="M698" i="16"/>
  <c r="M706" i="16"/>
  <c r="M714" i="16"/>
  <c r="M747" i="16"/>
  <c r="S66" i="16"/>
  <c r="S65" i="16"/>
  <c r="Q66" i="16"/>
  <c r="M66" i="15" s="1"/>
  <c r="S70" i="16"/>
  <c r="S69" i="16"/>
  <c r="S84" i="16"/>
  <c r="M91" i="15"/>
  <c r="M95" i="15"/>
  <c r="M99" i="15"/>
  <c r="M240" i="16"/>
  <c r="M272" i="16"/>
  <c r="M280" i="16"/>
  <c r="M288" i="16"/>
  <c r="M302" i="16"/>
  <c r="M310" i="16"/>
  <c r="M318" i="16"/>
  <c r="M326" i="16"/>
  <c r="M334" i="16"/>
  <c r="M405" i="16"/>
  <c r="M462" i="16"/>
  <c r="M470" i="16"/>
  <c r="M477" i="16"/>
  <c r="M509" i="16"/>
  <c r="M517" i="16"/>
  <c r="M525" i="16"/>
  <c r="M533" i="16"/>
  <c r="M540" i="16"/>
  <c r="M548" i="16"/>
  <c r="M588" i="16"/>
  <c r="M596" i="16"/>
  <c r="M644" i="16"/>
  <c r="M716" i="16"/>
  <c r="M724" i="16"/>
  <c r="M748" i="16"/>
  <c r="M796" i="16"/>
  <c r="M811" i="16"/>
  <c r="Q80" i="16"/>
  <c r="M80" i="15" s="1"/>
  <c r="S83" i="16"/>
  <c r="M130" i="15"/>
  <c r="M134" i="15"/>
  <c r="M138" i="15"/>
  <c r="Q146" i="16"/>
  <c r="M146" i="15" s="1"/>
  <c r="Q150" i="16"/>
  <c r="M150" i="15" s="1"/>
  <c r="Q154" i="16"/>
  <c r="M154" i="15" s="1"/>
  <c r="Q158" i="16"/>
  <c r="M158" i="15" s="1"/>
  <c r="Q162" i="16"/>
  <c r="M162" i="15" s="1"/>
  <c r="Q170" i="16"/>
  <c r="M170" i="15" s="1"/>
  <c r="Q174" i="16"/>
  <c r="M174" i="15" s="1"/>
  <c r="Q178" i="16"/>
  <c r="M178" i="15" s="1"/>
  <c r="Q182" i="16"/>
  <c r="M182" i="15" s="1"/>
  <c r="Q186" i="16"/>
  <c r="M186" i="15" s="1"/>
  <c r="Q190" i="16"/>
  <c r="M190" i="15" s="1"/>
  <c r="Q198" i="16"/>
  <c r="M198" i="15" s="1"/>
  <c r="Q202" i="16"/>
  <c r="M202" i="15" s="1"/>
  <c r="Q206" i="16"/>
  <c r="M206" i="15" s="1"/>
  <c r="Q210" i="16"/>
  <c r="M210" i="15" s="1"/>
  <c r="Q214" i="16"/>
  <c r="M214" i="15" s="1"/>
  <c r="Q222" i="16"/>
  <c r="M222" i="15" s="1"/>
  <c r="Q226" i="16"/>
  <c r="M226" i="15" s="1"/>
  <c r="Q230" i="16"/>
  <c r="M230" i="15" s="1"/>
  <c r="P230" i="15" s="1"/>
  <c r="Q234" i="16"/>
  <c r="M234" i="15" s="1"/>
  <c r="Q238" i="16"/>
  <c r="M238" i="15" s="1"/>
  <c r="Q242" i="16"/>
  <c r="M242" i="15" s="1"/>
  <c r="Q250" i="16"/>
  <c r="M250" i="15" s="1"/>
  <c r="Q254" i="16"/>
  <c r="M254" i="15" s="1"/>
  <c r="Q258" i="16"/>
  <c r="M258" i="15" s="1"/>
  <c r="Q262" i="16"/>
  <c r="M262" i="15" s="1"/>
  <c r="Q266" i="16"/>
  <c r="M266" i="15" s="1"/>
  <c r="Q274" i="16"/>
  <c r="M274" i="15" s="1"/>
  <c r="Q278" i="16"/>
  <c r="M278" i="15" s="1"/>
  <c r="Q282" i="16"/>
  <c r="M282" i="15" s="1"/>
  <c r="Q286" i="16"/>
  <c r="M286" i="15" s="1"/>
  <c r="Q290" i="16"/>
  <c r="M290" i="15" s="1"/>
  <c r="Q294" i="16"/>
  <c r="M294" i="15" s="1"/>
  <c r="Q302" i="16"/>
  <c r="M302" i="15" s="1"/>
  <c r="Q306" i="16"/>
  <c r="M306" i="15" s="1"/>
  <c r="Q310" i="16"/>
  <c r="M310" i="15" s="1"/>
  <c r="Q314" i="16"/>
  <c r="M314" i="15" s="1"/>
  <c r="P314" i="15" s="1"/>
  <c r="Q318" i="16"/>
  <c r="M318" i="15" s="1"/>
  <c r="Q326" i="16"/>
  <c r="M326" i="15" s="1"/>
  <c r="Q330" i="16"/>
  <c r="M330" i="15" s="1"/>
  <c r="Q334" i="16"/>
  <c r="M334" i="15" s="1"/>
  <c r="Q338" i="16"/>
  <c r="M338" i="15" s="1"/>
  <c r="P338" i="15" s="1"/>
  <c r="Q342" i="16"/>
  <c r="M342" i="15" s="1"/>
  <c r="Q346" i="16"/>
  <c r="M346" i="15" s="1"/>
  <c r="Q350" i="16"/>
  <c r="Q354" i="16"/>
  <c r="M354" i="15" s="1"/>
  <c r="Q358" i="16"/>
  <c r="M358" i="15" s="1"/>
  <c r="Q362" i="16"/>
  <c r="M362" i="15" s="1"/>
  <c r="Q366" i="16"/>
  <c r="M366" i="15" s="1"/>
  <c r="Q370" i="16"/>
  <c r="M370" i="15" s="1"/>
  <c r="Q378" i="16"/>
  <c r="M378" i="15" s="1"/>
  <c r="Q382" i="16"/>
  <c r="M382" i="15" s="1"/>
  <c r="P382" i="15" s="1"/>
  <c r="Q386" i="16"/>
  <c r="M386" i="15" s="1"/>
  <c r="Q390" i="16"/>
  <c r="M390" i="15" s="1"/>
  <c r="Q394" i="16"/>
  <c r="M394" i="15" s="1"/>
  <c r="Q398" i="16"/>
  <c r="M398" i="15" s="1"/>
  <c r="Q402" i="16"/>
  <c r="Q406" i="16"/>
  <c r="M406" i="15" s="1"/>
  <c r="Q410" i="16"/>
  <c r="M410" i="15" s="1"/>
  <c r="Q414" i="16"/>
  <c r="M414" i="15" s="1"/>
  <c r="Q418" i="16"/>
  <c r="M418" i="15" s="1"/>
  <c r="Q422" i="16"/>
  <c r="M422" i="15" s="1"/>
  <c r="Q68" i="16"/>
  <c r="M68" i="15" s="1"/>
  <c r="S72" i="16"/>
  <c r="Q84" i="16"/>
  <c r="M84" i="15" s="1"/>
  <c r="S142" i="16"/>
  <c r="S146" i="16"/>
  <c r="S150" i="16"/>
  <c r="S154" i="16"/>
  <c r="S158" i="16"/>
  <c r="S162" i="16"/>
  <c r="S170" i="16"/>
  <c r="S174" i="16"/>
  <c r="S178" i="16"/>
  <c r="S182" i="16"/>
  <c r="S186" i="16"/>
  <c r="S190" i="16"/>
  <c r="S194" i="16"/>
  <c r="S198" i="16"/>
  <c r="S202" i="16"/>
  <c r="S206" i="16"/>
  <c r="S210" i="16"/>
  <c r="S214" i="16"/>
  <c r="T214" i="16" s="1"/>
  <c r="S222" i="16"/>
  <c r="S226" i="16"/>
  <c r="S230" i="16"/>
  <c r="S234" i="16"/>
  <c r="S238" i="16"/>
  <c r="S242" i="16"/>
  <c r="S246" i="16"/>
  <c r="S250" i="16"/>
  <c r="S254" i="16"/>
  <c r="S258" i="16"/>
  <c r="S262" i="16"/>
  <c r="S266" i="16"/>
  <c r="S274" i="16"/>
  <c r="S278" i="16"/>
  <c r="S282" i="16"/>
  <c r="S286" i="16"/>
  <c r="S290" i="16"/>
  <c r="S294" i="16"/>
  <c r="S298" i="16"/>
  <c r="S302" i="16"/>
  <c r="S306" i="16"/>
  <c r="S310" i="16"/>
  <c r="S314" i="16"/>
  <c r="S318" i="16"/>
  <c r="S326" i="16"/>
  <c r="S330" i="16"/>
  <c r="S334" i="16"/>
  <c r="S338" i="16"/>
  <c r="S342" i="16"/>
  <c r="S346" i="16"/>
  <c r="S350" i="16"/>
  <c r="S354" i="16"/>
  <c r="S358" i="16"/>
  <c r="S362" i="16"/>
  <c r="S366" i="16"/>
  <c r="S370" i="16"/>
  <c r="S378" i="16"/>
  <c r="S382" i="16"/>
  <c r="S386" i="16"/>
  <c r="S390" i="16"/>
  <c r="S394" i="16"/>
  <c r="S398" i="16"/>
  <c r="S402" i="16"/>
  <c r="S406" i="16"/>
  <c r="Q72" i="16"/>
  <c r="M72" i="15" s="1"/>
  <c r="S76" i="16"/>
  <c r="M104" i="15"/>
  <c r="M108" i="15"/>
  <c r="M112" i="15"/>
  <c r="M120" i="15"/>
  <c r="M124" i="15"/>
  <c r="M128" i="15"/>
  <c r="M132" i="15"/>
  <c r="M136" i="15"/>
  <c r="Q144" i="16"/>
  <c r="M144" i="15" s="1"/>
  <c r="Q148" i="16"/>
  <c r="M148" i="15" s="1"/>
  <c r="Q152" i="16"/>
  <c r="M152" i="15" s="1"/>
  <c r="Q156" i="16"/>
  <c r="M156" i="15" s="1"/>
  <c r="Q160" i="16"/>
  <c r="M160" i="15" s="1"/>
  <c r="Q164" i="16"/>
  <c r="M164" i="15" s="1"/>
  <c r="Q168" i="16"/>
  <c r="Q172" i="16"/>
  <c r="M172" i="15" s="1"/>
  <c r="Q176" i="16"/>
  <c r="M176" i="15" s="1"/>
  <c r="Q180" i="16"/>
  <c r="M180" i="15" s="1"/>
  <c r="Q184" i="16"/>
  <c r="M184" i="15" s="1"/>
  <c r="Q188" i="16"/>
  <c r="M188" i="15" s="1"/>
  <c r="Q196" i="16"/>
  <c r="M196" i="15" s="1"/>
  <c r="Q200" i="16"/>
  <c r="M200" i="15" s="1"/>
  <c r="Q204" i="16"/>
  <c r="M204" i="15" s="1"/>
  <c r="Q208" i="16"/>
  <c r="M208" i="15" s="1"/>
  <c r="Q212" i="16"/>
  <c r="M212" i="15" s="1"/>
  <c r="Q216" i="16"/>
  <c r="M216" i="15" s="1"/>
  <c r="P216" i="15" s="1"/>
  <c r="Q224" i="16"/>
  <c r="M224" i="15" s="1"/>
  <c r="Q228" i="16"/>
  <c r="M228" i="15" s="1"/>
  <c r="Q232" i="16"/>
  <c r="M232" i="15" s="1"/>
  <c r="Q236" i="16"/>
  <c r="M236" i="15" s="1"/>
  <c r="P236" i="15" s="1"/>
  <c r="Q240" i="16"/>
  <c r="M240" i="15" s="1"/>
  <c r="Q248" i="16"/>
  <c r="M248" i="15" s="1"/>
  <c r="Q252" i="16"/>
  <c r="M252" i="15" s="1"/>
  <c r="Q256" i="16"/>
  <c r="M256" i="15" s="1"/>
  <c r="Q260" i="16"/>
  <c r="M260" i="15" s="1"/>
  <c r="Q264" i="16"/>
  <c r="M264" i="15" s="1"/>
  <c r="Q268" i="16"/>
  <c r="M268" i="15" s="1"/>
  <c r="Q272" i="16"/>
  <c r="Q276" i="16"/>
  <c r="M276" i="15" s="1"/>
  <c r="Q280" i="16"/>
  <c r="M280" i="15" s="1"/>
  <c r="Q284" i="16"/>
  <c r="M284" i="15" s="1"/>
  <c r="Q288" i="16"/>
  <c r="M288" i="15" s="1"/>
  <c r="Q292" i="16"/>
  <c r="M292" i="15" s="1"/>
  <c r="Q300" i="16"/>
  <c r="M300" i="15" s="1"/>
  <c r="Q304" i="16"/>
  <c r="M304" i="15" s="1"/>
  <c r="Q308" i="16"/>
  <c r="M308" i="15" s="1"/>
  <c r="Q312" i="16"/>
  <c r="M312" i="15" s="1"/>
  <c r="Q316" i="16"/>
  <c r="M316" i="15" s="1"/>
  <c r="Q320" i="16"/>
  <c r="M320" i="15" s="1"/>
  <c r="Q328" i="16"/>
  <c r="M328" i="15" s="1"/>
  <c r="Q332" i="16"/>
  <c r="M332" i="15" s="1"/>
  <c r="Q336" i="16"/>
  <c r="M336" i="15" s="1"/>
  <c r="Q340" i="16"/>
  <c r="M340" i="15" s="1"/>
  <c r="Q344" i="16"/>
  <c r="M344" i="15" s="1"/>
  <c r="Q352" i="16"/>
  <c r="M352" i="15" s="1"/>
  <c r="Q356" i="16"/>
  <c r="M356" i="15" s="1"/>
  <c r="Q360" i="16"/>
  <c r="M360" i="15" s="1"/>
  <c r="Q364" i="16"/>
  <c r="M364" i="15" s="1"/>
  <c r="Q368" i="16"/>
  <c r="M368" i="15" s="1"/>
  <c r="Q372" i="16"/>
  <c r="M372" i="15" s="1"/>
  <c r="Q380" i="16"/>
  <c r="M380" i="15" s="1"/>
  <c r="Q384" i="16"/>
  <c r="M384" i="15" s="1"/>
  <c r="Q388" i="16"/>
  <c r="M388" i="15" s="1"/>
  <c r="Q392" i="16"/>
  <c r="M392" i="15" s="1"/>
  <c r="Q396" i="16"/>
  <c r="M396" i="15" s="1"/>
  <c r="Q404" i="16"/>
  <c r="M404" i="15" s="1"/>
  <c r="Q408" i="16"/>
  <c r="Q458" i="16"/>
  <c r="M458" i="15" s="1"/>
  <c r="Q462" i="16"/>
  <c r="M462" i="15" s="1"/>
  <c r="Q466" i="16"/>
  <c r="M466" i="15" s="1"/>
  <c r="Q76" i="16"/>
  <c r="M76" i="15" s="1"/>
  <c r="S80" i="16"/>
  <c r="S144" i="16"/>
  <c r="S148" i="16"/>
  <c r="S152" i="16"/>
  <c r="S156" i="16"/>
  <c r="S160" i="16"/>
  <c r="S164" i="16"/>
  <c r="S168" i="16"/>
  <c r="S172" i="16"/>
  <c r="S176" i="16"/>
  <c r="S180" i="16"/>
  <c r="S184" i="16"/>
  <c r="S188" i="16"/>
  <c r="S196" i="16"/>
  <c r="S200" i="16"/>
  <c r="S204" i="16"/>
  <c r="S208" i="16"/>
  <c r="S212" i="16"/>
  <c r="S216" i="16"/>
  <c r="S220" i="16"/>
  <c r="S224" i="16"/>
  <c r="S228" i="16"/>
  <c r="T228" i="16" s="1"/>
  <c r="S232" i="16"/>
  <c r="S236" i="16"/>
  <c r="S240" i="16"/>
  <c r="S248" i="16"/>
  <c r="S252" i="16"/>
  <c r="S256" i="16"/>
  <c r="T256" i="16" s="1"/>
  <c r="S260" i="16"/>
  <c r="S264" i="16"/>
  <c r="T264" i="16" s="1"/>
  <c r="S268" i="16"/>
  <c r="S272" i="16"/>
  <c r="S276" i="16"/>
  <c r="S280" i="16"/>
  <c r="S284" i="16"/>
  <c r="S288" i="16"/>
  <c r="T288" i="16" s="1"/>
  <c r="S292" i="16"/>
  <c r="S300" i="16"/>
  <c r="T300" i="16" s="1"/>
  <c r="S304" i="16"/>
  <c r="S308" i="16"/>
  <c r="S312" i="16"/>
  <c r="S316" i="16"/>
  <c r="S320" i="16"/>
  <c r="S324" i="16"/>
  <c r="S328" i="16"/>
  <c r="S332" i="16"/>
  <c r="S336" i="16"/>
  <c r="S340" i="16"/>
  <c r="S344" i="16"/>
  <c r="S352" i="16"/>
  <c r="S356" i="16"/>
  <c r="S360" i="16"/>
  <c r="S364" i="16"/>
  <c r="S368" i="16"/>
  <c r="S372" i="16"/>
  <c r="S376" i="16"/>
  <c r="S380" i="16"/>
  <c r="S384" i="16"/>
  <c r="S388" i="16"/>
  <c r="S392" i="16"/>
  <c r="S396" i="16"/>
  <c r="S404" i="16"/>
  <c r="Q428" i="16"/>
  <c r="Q440" i="16"/>
  <c r="M440" i="15" s="1"/>
  <c r="Q444" i="16"/>
  <c r="M444" i="15" s="1"/>
  <c r="Q448" i="16"/>
  <c r="M448" i="15" s="1"/>
  <c r="P448" i="15" s="1"/>
  <c r="Q456" i="16"/>
  <c r="M456" i="15" s="1"/>
  <c r="Q460" i="16"/>
  <c r="M460" i="15" s="1"/>
  <c r="Q464" i="16"/>
  <c r="M464" i="15" s="1"/>
  <c r="Q468" i="16"/>
  <c r="M468" i="15" s="1"/>
  <c r="Q472" i="16"/>
  <c r="M472" i="15" s="1"/>
  <c r="Q476" i="16"/>
  <c r="M476" i="15" s="1"/>
  <c r="Q480" i="16"/>
  <c r="Q484" i="16"/>
  <c r="Q488" i="16"/>
  <c r="Q492" i="16"/>
  <c r="M492" i="15" s="1"/>
  <c r="Q496" i="16"/>
  <c r="M496" i="15" s="1"/>
  <c r="Q500" i="16"/>
  <c r="M500" i="15" s="1"/>
  <c r="Q508" i="16"/>
  <c r="Q512" i="16"/>
  <c r="Q516" i="16"/>
  <c r="Q520" i="16"/>
  <c r="Q524" i="16"/>
  <c r="Q528" i="16"/>
  <c r="M528" i="15" s="1"/>
  <c r="Q532" i="16"/>
  <c r="Q536" i="16"/>
  <c r="M536" i="15" s="1"/>
  <c r="Q540" i="16"/>
  <c r="M540" i="15" s="1"/>
  <c r="Q544" i="16"/>
  <c r="M544" i="15" s="1"/>
  <c r="Q548" i="16"/>
  <c r="M548" i="15" s="1"/>
  <c r="Q552" i="16"/>
  <c r="M552" i="15" s="1"/>
  <c r="Q560" i="16"/>
  <c r="M560" i="15" s="1"/>
  <c r="Q564" i="16"/>
  <c r="M564" i="15" s="1"/>
  <c r="Q568" i="16"/>
  <c r="M568" i="15" s="1"/>
  <c r="Q572" i="16"/>
  <c r="M572" i="15" s="1"/>
  <c r="Q576" i="16"/>
  <c r="M576" i="15" s="1"/>
  <c r="Q580" i="16"/>
  <c r="M580" i="15" s="1"/>
  <c r="Q584" i="16"/>
  <c r="Q588" i="16"/>
  <c r="Q592" i="16"/>
  <c r="Q596" i="16"/>
  <c r="M596" i="15" s="1"/>
  <c r="P596" i="15" s="1"/>
  <c r="Q600" i="16"/>
  <c r="M600" i="15" s="1"/>
  <c r="Q604" i="16"/>
  <c r="M604" i="15" s="1"/>
  <c r="Q612" i="16"/>
  <c r="M612" i="15" s="1"/>
  <c r="Q616" i="16"/>
  <c r="M616" i="15" s="1"/>
  <c r="Q620" i="16"/>
  <c r="M620" i="15" s="1"/>
  <c r="Q624" i="16"/>
  <c r="M624" i="15" s="1"/>
  <c r="Q628" i="16"/>
  <c r="M628" i="15" s="1"/>
  <c r="Q632" i="16"/>
  <c r="M632" i="15" s="1"/>
  <c r="Q636" i="16"/>
  <c r="Q640" i="16"/>
  <c r="M640" i="15" s="1"/>
  <c r="Q644" i="16"/>
  <c r="M644" i="15" s="1"/>
  <c r="Q648" i="16"/>
  <c r="M648" i="15" s="1"/>
  <c r="Q652" i="16"/>
  <c r="M652" i="15" s="1"/>
  <c r="Q656" i="16"/>
  <c r="M656" i="15" s="1"/>
  <c r="Q664" i="16"/>
  <c r="M664" i="15" s="1"/>
  <c r="Q668" i="16"/>
  <c r="M668" i="15" s="1"/>
  <c r="Q672" i="16"/>
  <c r="M672" i="15" s="1"/>
  <c r="Q676" i="16"/>
  <c r="M676" i="15" s="1"/>
  <c r="Q680" i="16"/>
  <c r="M680" i="15" s="1"/>
  <c r="Q684" i="16"/>
  <c r="M684" i="15" s="1"/>
  <c r="P684" i="15" s="1"/>
  <c r="Q688" i="16"/>
  <c r="Q692" i="16"/>
  <c r="Q696" i="16"/>
  <c r="Q700" i="16"/>
  <c r="M700" i="15" s="1"/>
  <c r="Q704" i="16"/>
  <c r="M704" i="15" s="1"/>
  <c r="P704" i="15" s="1"/>
  <c r="Q708" i="16"/>
  <c r="M708" i="15" s="1"/>
  <c r="P708" i="15" s="1"/>
  <c r="Q740" i="16"/>
  <c r="Q792" i="16"/>
  <c r="S428" i="16"/>
  <c r="S432" i="16"/>
  <c r="S436" i="16"/>
  <c r="S440" i="16"/>
  <c r="S444" i="16"/>
  <c r="S448" i="16"/>
  <c r="S456" i="16"/>
  <c r="S464" i="16"/>
  <c r="S468" i="16"/>
  <c r="S517" i="16"/>
  <c r="S521" i="16"/>
  <c r="S533" i="16"/>
  <c r="S537" i="16"/>
  <c r="S541" i="16"/>
  <c r="S545" i="16"/>
  <c r="S549" i="16"/>
  <c r="S553" i="16"/>
  <c r="S561" i="16"/>
  <c r="S565" i="16"/>
  <c r="S569" i="16"/>
  <c r="S573" i="16"/>
  <c r="S577" i="16"/>
  <c r="S585" i="16"/>
  <c r="S589" i="16"/>
  <c r="S593" i="16"/>
  <c r="S597" i="16"/>
  <c r="S601" i="16"/>
  <c r="S605" i="16"/>
  <c r="S613" i="16"/>
  <c r="S617" i="16"/>
  <c r="S621" i="16"/>
  <c r="S625" i="16"/>
  <c r="S629" i="16"/>
  <c r="S637" i="16"/>
  <c r="S641" i="16"/>
  <c r="S645" i="16"/>
  <c r="S649" i="16"/>
  <c r="S653" i="16"/>
  <c r="S657" i="16"/>
  <c r="S665" i="16"/>
  <c r="S669" i="16"/>
  <c r="S673" i="16"/>
  <c r="S677" i="16"/>
  <c r="S681" i="16"/>
  <c r="S689" i="16"/>
  <c r="S693" i="16"/>
  <c r="S697" i="16"/>
  <c r="S701" i="16"/>
  <c r="S705" i="16"/>
  <c r="S709" i="16"/>
  <c r="S717" i="16"/>
  <c r="S721" i="16"/>
  <c r="S725" i="16"/>
  <c r="S729" i="16"/>
  <c r="S733" i="16"/>
  <c r="S741" i="16"/>
  <c r="S745" i="16"/>
  <c r="S749" i="16"/>
  <c r="S753" i="16"/>
  <c r="S757" i="16"/>
  <c r="S410" i="16"/>
  <c r="S414" i="16"/>
  <c r="S418" i="16"/>
  <c r="S422" i="16"/>
  <c r="S430" i="16"/>
  <c r="S434" i="16"/>
  <c r="S442" i="16"/>
  <c r="S446" i="16"/>
  <c r="S450" i="16"/>
  <c r="S458" i="16"/>
  <c r="S462" i="16"/>
  <c r="S466" i="16"/>
  <c r="S470" i="16"/>
  <c r="S474" i="16"/>
  <c r="S482" i="16"/>
  <c r="T482" i="16" s="1"/>
  <c r="S486" i="16"/>
  <c r="T486" i="16" s="1"/>
  <c r="S490" i="16"/>
  <c r="S494" i="16"/>
  <c r="S498" i="16"/>
  <c r="T498" i="16" s="1"/>
  <c r="S502" i="16"/>
  <c r="T502" i="16" s="1"/>
  <c r="S506" i="16"/>
  <c r="S510" i="16"/>
  <c r="S514" i="16"/>
  <c r="S518" i="16"/>
  <c r="S522" i="16"/>
  <c r="S558" i="16"/>
  <c r="S610" i="16"/>
  <c r="S662" i="16"/>
  <c r="S746" i="16"/>
  <c r="S750" i="16"/>
  <c r="S754" i="16"/>
  <c r="S758" i="16"/>
  <c r="S762" i="16"/>
  <c r="S766" i="16"/>
  <c r="S790" i="16" s="1"/>
  <c r="S770" i="16"/>
  <c r="S774" i="16"/>
  <c r="S778" i="16"/>
  <c r="S782" i="16"/>
  <c r="S786" i="16"/>
  <c r="S794" i="16"/>
  <c r="S798" i="16"/>
  <c r="S802" i="16"/>
  <c r="S806" i="16"/>
  <c r="S810" i="16"/>
  <c r="S814" i="16"/>
  <c r="Q415" i="16"/>
  <c r="M415" i="15" s="1"/>
  <c r="P415" i="15" s="1"/>
  <c r="Q419" i="16"/>
  <c r="M419" i="15" s="1"/>
  <c r="P419" i="15" s="1"/>
  <c r="Q431" i="16"/>
  <c r="M431" i="15" s="1"/>
  <c r="Q439" i="16"/>
  <c r="M439" i="15" s="1"/>
  <c r="Q447" i="16"/>
  <c r="M447" i="15" s="1"/>
  <c r="Q459" i="16"/>
  <c r="Q463" i="16"/>
  <c r="M463" i="15" s="1"/>
  <c r="Q467" i="16"/>
  <c r="M467" i="15" s="1"/>
  <c r="Q487" i="16"/>
  <c r="M487" i="15" s="1"/>
  <c r="Q499" i="16"/>
  <c r="M499" i="15" s="1"/>
  <c r="Q507" i="16"/>
  <c r="M507" i="15" s="1"/>
  <c r="Q511" i="16"/>
  <c r="M511" i="15" s="1"/>
  <c r="Q515" i="16"/>
  <c r="M515" i="15" s="1"/>
  <c r="Q519" i="16"/>
  <c r="M519" i="15" s="1"/>
  <c r="Q523" i="16"/>
  <c r="M523" i="15" s="1"/>
  <c r="Q527" i="16"/>
  <c r="M527" i="15" s="1"/>
  <c r="Q539" i="16"/>
  <c r="M539" i="15" s="1"/>
  <c r="Q543" i="16"/>
  <c r="M543" i="15" s="1"/>
  <c r="Q547" i="16"/>
  <c r="M547" i="15" s="1"/>
  <c r="Q563" i="16"/>
  <c r="M563" i="15" s="1"/>
  <c r="Q571" i="16"/>
  <c r="M571" i="15" s="1"/>
  <c r="Q575" i="16"/>
  <c r="M575" i="15" s="1"/>
  <c r="Q579" i="16"/>
  <c r="M579" i="15" s="1"/>
  <c r="P579" i="15" s="1"/>
  <c r="Q591" i="16"/>
  <c r="M591" i="15" s="1"/>
  <c r="Q599" i="16"/>
  <c r="M599" i="15" s="1"/>
  <c r="Q615" i="16"/>
  <c r="M615" i="15" s="1"/>
  <c r="P615" i="15" s="1"/>
  <c r="Q619" i="16"/>
  <c r="M619" i="15" s="1"/>
  <c r="Q623" i="16"/>
  <c r="M623" i="15" s="1"/>
  <c r="Q627" i="16"/>
  <c r="M627" i="15" s="1"/>
  <c r="Q631" i="16"/>
  <c r="M631" i="15" s="1"/>
  <c r="Q639" i="16"/>
  <c r="M639" i="15" s="1"/>
  <c r="Q643" i="16"/>
  <c r="M643" i="15" s="1"/>
  <c r="Q647" i="16"/>
  <c r="M647" i="15" s="1"/>
  <c r="Q651" i="16"/>
  <c r="M651" i="15" s="1"/>
  <c r="Q655" i="16"/>
  <c r="M655" i="15" s="1"/>
  <c r="Q667" i="16"/>
  <c r="M667" i="15" s="1"/>
  <c r="P667" i="15" s="1"/>
  <c r="Q675" i="16"/>
  <c r="M675" i="15" s="1"/>
  <c r="P675" i="15" s="1"/>
  <c r="Q679" i="16"/>
  <c r="M679" i="15" s="1"/>
  <c r="Q683" i="16"/>
  <c r="M683" i="15" s="1"/>
  <c r="O683" i="15" s="1"/>
  <c r="Q691" i="16"/>
  <c r="M691" i="15" s="1"/>
  <c r="Q695" i="16"/>
  <c r="M695" i="15" s="1"/>
  <c r="Q699" i="16"/>
  <c r="M699" i="15" s="1"/>
  <c r="Q703" i="16"/>
  <c r="M703" i="15" s="1"/>
  <c r="Q707" i="16"/>
  <c r="M707" i="15" s="1"/>
  <c r="Q719" i="16"/>
  <c r="M719" i="15" s="1"/>
  <c r="Q723" i="16"/>
  <c r="M723" i="15" s="1"/>
  <c r="Q727" i="16"/>
  <c r="M727" i="15" s="1"/>
  <c r="Q743" i="16"/>
  <c r="M743" i="15" s="1"/>
  <c r="Q747" i="16"/>
  <c r="M747" i="15" s="1"/>
  <c r="Q751" i="16"/>
  <c r="M751" i="15" s="1"/>
  <c r="Q755" i="16"/>
  <c r="M755" i="15" s="1"/>
  <c r="Q759" i="16"/>
  <c r="M759" i="15" s="1"/>
  <c r="Q767" i="16"/>
  <c r="Q779" i="16"/>
  <c r="Q787" i="16"/>
  <c r="Q811" i="16"/>
  <c r="M811" i="15" s="1"/>
  <c r="P811" i="15" s="1"/>
  <c r="S463" i="16"/>
  <c r="S467" i="16"/>
  <c r="S471" i="16"/>
  <c r="S475" i="16"/>
  <c r="S483" i="16"/>
  <c r="S487" i="16"/>
  <c r="S491" i="16"/>
  <c r="S495" i="16"/>
  <c r="S499" i="16"/>
  <c r="S507" i="16"/>
  <c r="S511" i="16"/>
  <c r="S515" i="16"/>
  <c r="S519" i="16"/>
  <c r="S523" i="16"/>
  <c r="S527" i="16"/>
  <c r="S535" i="16"/>
  <c r="S539" i="16"/>
  <c r="S543" i="16"/>
  <c r="S547" i="16"/>
  <c r="S551" i="16"/>
  <c r="S559" i="16"/>
  <c r="S563" i="16"/>
  <c r="S567" i="16"/>
  <c r="S571" i="16"/>
  <c r="S575" i="16"/>
  <c r="S579" i="16"/>
  <c r="S587" i="16"/>
  <c r="S591" i="16"/>
  <c r="S595" i="16"/>
  <c r="S599" i="16"/>
  <c r="S603" i="16"/>
  <c r="S611" i="16"/>
  <c r="S615" i="16"/>
  <c r="S619" i="16"/>
  <c r="S623" i="16"/>
  <c r="S627" i="16"/>
  <c r="S631" i="16"/>
  <c r="S639" i="16"/>
  <c r="S643" i="16"/>
  <c r="S647" i="16"/>
  <c r="S651" i="16"/>
  <c r="S655" i="16"/>
  <c r="S663" i="16"/>
  <c r="S667" i="16"/>
  <c r="S671" i="16"/>
  <c r="S675" i="16"/>
  <c r="S679" i="16"/>
  <c r="S683" i="16"/>
  <c r="S691" i="16"/>
  <c r="S695" i="16"/>
  <c r="S699" i="16"/>
  <c r="T699" i="16" s="1"/>
  <c r="S703" i="16"/>
  <c r="S707" i="16"/>
  <c r="S715" i="16"/>
  <c r="S719" i="16"/>
  <c r="S723" i="16"/>
  <c r="S727" i="16"/>
  <c r="S731" i="16"/>
  <c r="S735" i="16"/>
  <c r="S743" i="16"/>
  <c r="Q795" i="16"/>
  <c r="Q797" i="16"/>
  <c r="M797" i="15" s="1"/>
  <c r="Q803" i="16"/>
  <c r="Q807" i="16"/>
  <c r="Q813" i="16"/>
  <c r="M813" i="15" s="1"/>
  <c r="Q815" i="16"/>
  <c r="M815" i="15" s="1"/>
  <c r="P815" i="15" s="1"/>
  <c r="S815" i="16"/>
  <c r="Q771" i="16"/>
  <c r="Q773" i="16"/>
  <c r="M773" i="15" s="1"/>
  <c r="Q775" i="16"/>
  <c r="Q777" i="16"/>
  <c r="M777" i="15" s="1"/>
  <c r="Q781" i="16"/>
  <c r="M781" i="15" s="1"/>
  <c r="Q783" i="16"/>
  <c r="Q789" i="16"/>
  <c r="Q763" i="16"/>
  <c r="M763" i="15" s="1"/>
  <c r="P763" i="15" s="1"/>
  <c r="S763" i="16"/>
  <c r="Q715" i="16"/>
  <c r="M715" i="15" s="1"/>
  <c r="Q729" i="16"/>
  <c r="M729" i="15" s="1"/>
  <c r="Q731" i="16"/>
  <c r="M731" i="15" s="1"/>
  <c r="Q735" i="16"/>
  <c r="M735" i="15" s="1"/>
  <c r="P735" i="15" s="1"/>
  <c r="Q737" i="16"/>
  <c r="S737" i="16"/>
  <c r="Q705" i="16"/>
  <c r="M705" i="15" s="1"/>
  <c r="Q711" i="16"/>
  <c r="S711" i="16"/>
  <c r="Q663" i="16"/>
  <c r="M663" i="15" s="1"/>
  <c r="O663" i="15" s="1"/>
  <c r="Q665" i="16"/>
  <c r="M665" i="15" s="1"/>
  <c r="Q669" i="16"/>
  <c r="M669" i="15" s="1"/>
  <c r="Q671" i="16"/>
  <c r="M671" i="15" s="1"/>
  <c r="O671" i="15" s="1"/>
  <c r="Q673" i="16"/>
  <c r="M673" i="15" s="1"/>
  <c r="O673" i="15" s="1"/>
  <c r="Q677" i="16"/>
  <c r="M677" i="15" s="1"/>
  <c r="Q685" i="16"/>
  <c r="S685" i="16"/>
  <c r="Q659" i="16"/>
  <c r="M659" i="15" s="1"/>
  <c r="S659" i="16"/>
  <c r="Q611" i="16"/>
  <c r="M611" i="15" s="1"/>
  <c r="Q613" i="16"/>
  <c r="M613" i="15" s="1"/>
  <c r="Q633" i="16"/>
  <c r="S633" i="16"/>
  <c r="Q585" i="16"/>
  <c r="M585" i="15" s="1"/>
  <c r="Q587" i="16"/>
  <c r="M587" i="15" s="1"/>
  <c r="Q595" i="16"/>
  <c r="M595" i="15" s="1"/>
  <c r="Q597" i="16"/>
  <c r="M597" i="15" s="1"/>
  <c r="Q601" i="16"/>
  <c r="M601" i="15" s="1"/>
  <c r="Q603" i="16"/>
  <c r="M603" i="15" s="1"/>
  <c r="Q605" i="16"/>
  <c r="M605" i="15" s="1"/>
  <c r="Q607" i="16"/>
  <c r="S607" i="16"/>
  <c r="Q559" i="16"/>
  <c r="M559" i="15" s="1"/>
  <c r="Q565" i="16"/>
  <c r="M565" i="15" s="1"/>
  <c r="Q567" i="16"/>
  <c r="M567" i="15" s="1"/>
  <c r="Q569" i="16"/>
  <c r="M569" i="15" s="1"/>
  <c r="Q573" i="16"/>
  <c r="M573" i="15" s="1"/>
  <c r="Q581" i="16"/>
  <c r="S581" i="16"/>
  <c r="Q533" i="16"/>
  <c r="M533" i="15" s="1"/>
  <c r="Q535" i="16"/>
  <c r="M535" i="15" s="1"/>
  <c r="Q541" i="16"/>
  <c r="M541" i="15" s="1"/>
  <c r="Q551" i="16"/>
  <c r="M551" i="15" s="1"/>
  <c r="Q553" i="16"/>
  <c r="M553" i="15" s="1"/>
  <c r="Q555" i="16"/>
  <c r="S555" i="16"/>
  <c r="Q529" i="16"/>
  <c r="M529" i="15" s="1"/>
  <c r="S525" i="16"/>
  <c r="S529" i="16"/>
  <c r="Q483" i="16"/>
  <c r="M483" i="15" s="1"/>
  <c r="Q489" i="16"/>
  <c r="M489" i="15" s="1"/>
  <c r="Q491" i="16"/>
  <c r="M491" i="15" s="1"/>
  <c r="Q493" i="16"/>
  <c r="M493" i="15" s="1"/>
  <c r="Q495" i="16"/>
  <c r="M495" i="15" s="1"/>
  <c r="Q503" i="16"/>
  <c r="S503" i="16"/>
  <c r="Q455" i="16"/>
  <c r="Q457" i="16"/>
  <c r="M457" i="15" s="1"/>
  <c r="Q477" i="16"/>
  <c r="Q475" i="16"/>
  <c r="M475" i="15" s="1"/>
  <c r="S477" i="16"/>
  <c r="Q471" i="16"/>
  <c r="M471" i="15" s="1"/>
  <c r="Q429" i="16"/>
  <c r="Q435" i="16"/>
  <c r="M435" i="15" s="1"/>
  <c r="P435" i="15" s="1"/>
  <c r="Q441" i="16"/>
  <c r="M441" i="15" s="1"/>
  <c r="Q443" i="16"/>
  <c r="M443" i="15" s="1"/>
  <c r="Q445" i="16"/>
  <c r="M445" i="15" s="1"/>
  <c r="P445" i="15" s="1"/>
  <c r="Q449" i="16"/>
  <c r="M449" i="15" s="1"/>
  <c r="Q451" i="16"/>
  <c r="S451" i="16"/>
  <c r="Q409" i="16"/>
  <c r="M409" i="15" s="1"/>
  <c r="Q411" i="16"/>
  <c r="M411" i="15" s="1"/>
  <c r="Q423" i="16"/>
  <c r="M423" i="15" s="1"/>
  <c r="Q425" i="16"/>
  <c r="S425" i="16"/>
  <c r="Q379" i="16"/>
  <c r="Q381" i="16"/>
  <c r="M381" i="15" s="1"/>
  <c r="Q383" i="16"/>
  <c r="Q385" i="16"/>
  <c r="M385" i="15" s="1"/>
  <c r="Q397" i="16"/>
  <c r="M397" i="15" s="1"/>
  <c r="Q399" i="16"/>
  <c r="S399" i="16"/>
  <c r="Q353" i="16"/>
  <c r="M353" i="15" s="1"/>
  <c r="Q357" i="16"/>
  <c r="M357" i="15" s="1"/>
  <c r="Q359" i="16"/>
  <c r="M359" i="15" s="1"/>
  <c r="Q361" i="16"/>
  <c r="M361" i="15" s="1"/>
  <c r="Q365" i="16"/>
  <c r="M365" i="15" s="1"/>
  <c r="Q367" i="16"/>
  <c r="M367" i="15" s="1"/>
  <c r="Q369" i="16"/>
  <c r="M369" i="15" s="1"/>
  <c r="Q371" i="16"/>
  <c r="M371" i="15" s="1"/>
  <c r="Q373" i="16"/>
  <c r="S373" i="16"/>
  <c r="Q325" i="16"/>
  <c r="Q329" i="16"/>
  <c r="Q337" i="16"/>
  <c r="Q339" i="16"/>
  <c r="M339" i="15" s="1"/>
  <c r="Q347" i="16"/>
  <c r="S347" i="16"/>
  <c r="Q299" i="16"/>
  <c r="M299" i="15" s="1"/>
  <c r="Q301" i="16"/>
  <c r="M301" i="15" s="1"/>
  <c r="Q303" i="16"/>
  <c r="M303" i="15" s="1"/>
  <c r="Q305" i="16"/>
  <c r="M305" i="15" s="1"/>
  <c r="Q309" i="16"/>
  <c r="M309" i="15" s="1"/>
  <c r="Q311" i="16"/>
  <c r="M311" i="15" s="1"/>
  <c r="Q313" i="16"/>
  <c r="M313" i="15" s="1"/>
  <c r="Q315" i="16"/>
  <c r="M315" i="15" s="1"/>
  <c r="Q317" i="16"/>
  <c r="M317" i="15" s="1"/>
  <c r="Q319" i="16"/>
  <c r="M319" i="15" s="1"/>
  <c r="Q321" i="16"/>
  <c r="S321" i="16"/>
  <c r="Q295" i="16"/>
  <c r="S295" i="16"/>
  <c r="Q287" i="16"/>
  <c r="Q281" i="16"/>
  <c r="M281" i="15" s="1"/>
  <c r="Q283" i="16"/>
  <c r="Q257" i="16"/>
  <c r="M257" i="15" s="1"/>
  <c r="P257" i="15" s="1"/>
  <c r="Q259" i="16"/>
  <c r="M259" i="15" s="1"/>
  <c r="P259" i="15" s="1"/>
  <c r="Q269" i="16"/>
  <c r="S269" i="16"/>
  <c r="Q231" i="16"/>
  <c r="M231" i="15" s="1"/>
  <c r="Q241" i="16"/>
  <c r="M241" i="15" s="1"/>
  <c r="P241" i="15" s="1"/>
  <c r="Q243" i="16"/>
  <c r="S243" i="16"/>
  <c r="Q197" i="16"/>
  <c r="M197" i="15" s="1"/>
  <c r="Q199" i="16"/>
  <c r="M199" i="15" s="1"/>
  <c r="Q201" i="16"/>
  <c r="M201" i="15" s="1"/>
  <c r="Q203" i="16"/>
  <c r="M203" i="15" s="1"/>
  <c r="Q209" i="16"/>
  <c r="M209" i="15" s="1"/>
  <c r="Q215" i="16"/>
  <c r="M215" i="15" s="1"/>
  <c r="Q217" i="16"/>
  <c r="S217" i="16"/>
  <c r="Q171" i="16"/>
  <c r="Q175" i="16"/>
  <c r="Q181" i="16"/>
  <c r="M181" i="15" s="1"/>
  <c r="Q185" i="16"/>
  <c r="M185" i="15" s="1"/>
  <c r="Q189" i="16"/>
  <c r="M189" i="15" s="1"/>
  <c r="Q191" i="16"/>
  <c r="S191" i="16"/>
  <c r="Q145" i="16"/>
  <c r="M145" i="15" s="1"/>
  <c r="Q147" i="16"/>
  <c r="M147" i="15" s="1"/>
  <c r="P147" i="15" s="1"/>
  <c r="Q149" i="16"/>
  <c r="M149" i="15" s="1"/>
  <c r="Q155" i="16"/>
  <c r="M155" i="15" s="1"/>
  <c r="Q159" i="16"/>
  <c r="M159" i="15" s="1"/>
  <c r="Q163" i="16"/>
  <c r="M163" i="15" s="1"/>
  <c r="Q165" i="16"/>
  <c r="S165" i="16"/>
  <c r="M123" i="15"/>
  <c r="M127" i="15"/>
  <c r="M131" i="15"/>
  <c r="M135" i="15"/>
  <c r="M93" i="15"/>
  <c r="M101" i="15"/>
  <c r="M103" i="15"/>
  <c r="M105" i="15"/>
  <c r="M107" i="15"/>
  <c r="M109" i="15"/>
  <c r="M111" i="15"/>
  <c r="Q75" i="16"/>
  <c r="M75" i="15" s="1"/>
  <c r="Q77" i="16"/>
  <c r="M77" i="15" s="1"/>
  <c r="Q79" i="16"/>
  <c r="M79" i="15" s="1"/>
  <c r="Q81" i="16"/>
  <c r="M81" i="15" s="1"/>
  <c r="Q83" i="16"/>
  <c r="M83" i="15" s="1"/>
  <c r="Q85" i="16"/>
  <c r="M85" i="15" s="1"/>
  <c r="P85" i="15" s="1"/>
  <c r="Q87" i="16"/>
  <c r="Q89" i="16" s="1"/>
  <c r="E104" i="15"/>
  <c r="G104" i="15" s="1"/>
  <c r="M15" i="16"/>
  <c r="K555" i="16"/>
  <c r="I555" i="15" s="1"/>
  <c r="K482" i="16"/>
  <c r="K413" i="16"/>
  <c r="K402" i="16"/>
  <c r="K69" i="16"/>
  <c r="K85" i="16"/>
  <c r="I61" i="15"/>
  <c r="K70" i="16"/>
  <c r="K678" i="16"/>
  <c r="K637" i="16"/>
  <c r="K628" i="16"/>
  <c r="K620" i="16"/>
  <c r="K606" i="16"/>
  <c r="K601" i="16"/>
  <c r="K589" i="16"/>
  <c r="K584" i="16"/>
  <c r="K552" i="16"/>
  <c r="K539" i="16"/>
  <c r="K500" i="16"/>
  <c r="K492" i="16"/>
  <c r="K484" i="16"/>
  <c r="K467" i="16"/>
  <c r="K459" i="16"/>
  <c r="M13" i="16"/>
  <c r="M17" i="16"/>
  <c r="K28" i="16"/>
  <c r="E31" i="15"/>
  <c r="G31" i="15" s="1"/>
  <c r="K32" i="16"/>
  <c r="K815" i="16"/>
  <c r="K797" i="16"/>
  <c r="K788" i="16"/>
  <c r="K780" i="16"/>
  <c r="K775" i="16"/>
  <c r="K770" i="16"/>
  <c r="K761" i="16"/>
  <c r="K753" i="16"/>
  <c r="K745" i="16"/>
  <c r="K710" i="16"/>
  <c r="K692" i="16"/>
  <c r="K683" i="16"/>
  <c r="K675" i="16"/>
  <c r="K667" i="16"/>
  <c r="K658" i="16"/>
  <c r="K650" i="16"/>
  <c r="K642" i="16"/>
  <c r="K633" i="16"/>
  <c r="I633" i="15" s="1"/>
  <c r="K617" i="16"/>
  <c r="K598" i="16"/>
  <c r="K554" i="16"/>
  <c r="K549" i="16"/>
  <c r="K544" i="16"/>
  <c r="K527" i="16"/>
  <c r="K450" i="16"/>
  <c r="K442" i="16"/>
  <c r="G69" i="16"/>
  <c r="K12" i="16"/>
  <c r="M24" i="16"/>
  <c r="M28" i="16"/>
  <c r="M32" i="16"/>
  <c r="K767" i="16"/>
  <c r="K742" i="16"/>
  <c r="K533" i="16"/>
  <c r="K511" i="16"/>
  <c r="K494" i="16"/>
  <c r="K486" i="16"/>
  <c r="K461" i="16"/>
  <c r="K477" i="16"/>
  <c r="I477" i="15" s="1"/>
  <c r="K417" i="16"/>
  <c r="K409" i="16"/>
  <c r="K392" i="16"/>
  <c r="K804" i="16"/>
  <c r="K799" i="16"/>
  <c r="K782" i="16"/>
  <c r="K691" i="16"/>
  <c r="K677" i="16"/>
  <c r="K652" i="16"/>
  <c r="K636" i="16"/>
  <c r="K600" i="16"/>
  <c r="K551" i="16"/>
  <c r="K521" i="16"/>
  <c r="K508" i="16"/>
  <c r="K499" i="16"/>
  <c r="K491" i="16"/>
  <c r="K483" i="16"/>
  <c r="K471" i="16"/>
  <c r="K466" i="16"/>
  <c r="K458" i="16"/>
  <c r="K444" i="16"/>
  <c r="K436" i="16"/>
  <c r="K422" i="16"/>
  <c r="K414" i="16"/>
  <c r="K406" i="16"/>
  <c r="K397" i="16"/>
  <c r="K389" i="16"/>
  <c r="E750" i="16"/>
  <c r="E750" i="15" s="1"/>
  <c r="G750" i="15" s="1"/>
  <c r="K15" i="16"/>
  <c r="K814" i="16"/>
  <c r="K706" i="16"/>
  <c r="K666" i="16"/>
  <c r="K641" i="16"/>
  <c r="K624" i="16"/>
  <c r="K611" i="16"/>
  <c r="K597" i="16"/>
  <c r="K595" i="16"/>
  <c r="K585" i="16"/>
  <c r="K548" i="16"/>
  <c r="K543" i="16"/>
  <c r="K535" i="16"/>
  <c r="K526" i="16"/>
  <c r="K518" i="16"/>
  <c r="K513" i="16"/>
  <c r="K476" i="16"/>
  <c r="K463" i="16"/>
  <c r="K428" i="16"/>
  <c r="K419" i="16"/>
  <c r="K411" i="16"/>
  <c r="K403" i="16"/>
  <c r="K394" i="16"/>
  <c r="K386" i="16"/>
  <c r="K367" i="16"/>
  <c r="E39" i="15"/>
  <c r="G39" i="15" s="1"/>
  <c r="E43" i="15"/>
  <c r="G43" i="15" s="1"/>
  <c r="K22" i="16"/>
  <c r="K30" i="16"/>
  <c r="K766" i="16"/>
  <c r="K749" i="16"/>
  <c r="K701" i="16"/>
  <c r="K696" i="16"/>
  <c r="K688" i="16"/>
  <c r="K679" i="16"/>
  <c r="K671" i="16"/>
  <c r="K663" i="16"/>
  <c r="K654" i="16"/>
  <c r="K646" i="16"/>
  <c r="K629" i="16"/>
  <c r="K621" i="16"/>
  <c r="K607" i="16"/>
  <c r="I607" i="15" s="1"/>
  <c r="L607" i="15" s="1"/>
  <c r="K602" i="16"/>
  <c r="K590" i="16"/>
  <c r="K540" i="16"/>
  <c r="K510" i="16"/>
  <c r="K501" i="16"/>
  <c r="K493" i="16"/>
  <c r="K485" i="16"/>
  <c r="K473" i="16"/>
  <c r="K468" i="16"/>
  <c r="K460" i="16"/>
  <c r="K446" i="16"/>
  <c r="K438" i="16"/>
  <c r="K433" i="16"/>
  <c r="K424" i="16"/>
  <c r="K416" i="16"/>
  <c r="K343" i="16"/>
  <c r="E170" i="16"/>
  <c r="E170" i="15" s="1"/>
  <c r="G170" i="15" s="1"/>
  <c r="E174" i="16"/>
  <c r="E174" i="15" s="1"/>
  <c r="G174" i="15" s="1"/>
  <c r="E178" i="16"/>
  <c r="E178" i="15" s="1"/>
  <c r="G178" i="15" s="1"/>
  <c r="E182" i="16"/>
  <c r="E182" i="15" s="1"/>
  <c r="G182" i="15" s="1"/>
  <c r="E186" i="16"/>
  <c r="E186" i="15" s="1"/>
  <c r="H186" i="15" s="1"/>
  <c r="E224" i="16"/>
  <c r="E224" i="15" s="1"/>
  <c r="G224" i="15" s="1"/>
  <c r="E228" i="16"/>
  <c r="E228" i="15" s="1"/>
  <c r="G228" i="15" s="1"/>
  <c r="E232" i="16"/>
  <c r="E232" i="15" s="1"/>
  <c r="G232" i="15" s="1"/>
  <c r="E236" i="16"/>
  <c r="E236" i="15" s="1"/>
  <c r="G236" i="15" s="1"/>
  <c r="E240" i="16"/>
  <c r="E240" i="15" s="1"/>
  <c r="G240" i="15" s="1"/>
  <c r="E249" i="16"/>
  <c r="E249" i="15" s="1"/>
  <c r="H249" i="15" s="1"/>
  <c r="E253" i="16"/>
  <c r="E253" i="15" s="1"/>
  <c r="G253" i="15" s="1"/>
  <c r="E257" i="16"/>
  <c r="E257" i="15" s="1"/>
  <c r="G257" i="15" s="1"/>
  <c r="E261" i="16"/>
  <c r="E261" i="15" s="1"/>
  <c r="G261" i="15" s="1"/>
  <c r="E265" i="16"/>
  <c r="E265" i="15" s="1"/>
  <c r="G265" i="15" s="1"/>
  <c r="E274" i="16"/>
  <c r="E274" i="15" s="1"/>
  <c r="G274" i="15" s="1"/>
  <c r="E278" i="16"/>
  <c r="E278" i="15" s="1"/>
  <c r="G278" i="15" s="1"/>
  <c r="E282" i="16"/>
  <c r="E282" i="15" s="1"/>
  <c r="H282" i="15" s="1"/>
  <c r="E286" i="16"/>
  <c r="E286" i="15" s="1"/>
  <c r="G286" i="15" s="1"/>
  <c r="E290" i="16"/>
  <c r="E290" i="15" s="1"/>
  <c r="G290" i="15" s="1"/>
  <c r="E294" i="16"/>
  <c r="E294" i="15" s="1"/>
  <c r="G294" i="15" s="1"/>
  <c r="E299" i="16"/>
  <c r="E299" i="15" s="1"/>
  <c r="G299" i="15" s="1"/>
  <c r="E319" i="16"/>
  <c r="E319" i="15" s="1"/>
  <c r="G319" i="15" s="1"/>
  <c r="E357" i="16"/>
  <c r="E357" i="15" s="1"/>
  <c r="G357" i="15" s="1"/>
  <c r="E361" i="16"/>
  <c r="E361" i="15" s="1"/>
  <c r="G361" i="15" s="1"/>
  <c r="K326" i="16"/>
  <c r="K572" i="16"/>
  <c r="K725" i="16"/>
  <c r="K733" i="16"/>
  <c r="G86" i="16"/>
  <c r="G210" i="16"/>
  <c r="G214" i="16"/>
  <c r="G273" i="16"/>
  <c r="G277" i="16"/>
  <c r="G285" i="16"/>
  <c r="G314" i="16"/>
  <c r="G318" i="16"/>
  <c r="M613" i="16"/>
  <c r="M621" i="16"/>
  <c r="M629" i="16"/>
  <c r="K377" i="16"/>
  <c r="K328" i="16"/>
  <c r="E80" i="16"/>
  <c r="E80" i="15" s="1"/>
  <c r="G80" i="15" s="1"/>
  <c r="M766" i="16"/>
  <c r="M798" i="16"/>
  <c r="K368" i="16"/>
  <c r="K360" i="16"/>
  <c r="K276" i="16"/>
  <c r="K249" i="16"/>
  <c r="K227" i="16"/>
  <c r="K194" i="16"/>
  <c r="K185" i="16"/>
  <c r="K172" i="16"/>
  <c r="K163" i="16"/>
  <c r="K153" i="16"/>
  <c r="K718" i="16"/>
  <c r="E54" i="15"/>
  <c r="H54" i="15" s="1"/>
  <c r="E58" i="15"/>
  <c r="G58" i="15" s="1"/>
  <c r="E73" i="16"/>
  <c r="E73" i="15" s="1"/>
  <c r="G73" i="15" s="1"/>
  <c r="E77" i="16"/>
  <c r="E77" i="15" s="1"/>
  <c r="G77" i="15" s="1"/>
  <c r="E84" i="16"/>
  <c r="E84" i="15" s="1"/>
  <c r="G84" i="15" s="1"/>
  <c r="E118" i="15"/>
  <c r="G118" i="15" s="1"/>
  <c r="E122" i="15"/>
  <c r="G122" i="15" s="1"/>
  <c r="E126" i="15"/>
  <c r="G126" i="15" s="1"/>
  <c r="E130" i="15"/>
  <c r="H130" i="15" s="1"/>
  <c r="E134" i="15"/>
  <c r="G134" i="15" s="1"/>
  <c r="E138" i="15"/>
  <c r="G138" i="15" s="1"/>
  <c r="E196" i="16"/>
  <c r="E196" i="15" s="1"/>
  <c r="G196" i="15" s="1"/>
  <c r="E200" i="16"/>
  <c r="E200" i="15" s="1"/>
  <c r="G200" i="15" s="1"/>
  <c r="E204" i="16"/>
  <c r="E204" i="15" s="1"/>
  <c r="G204" i="15" s="1"/>
  <c r="E208" i="16"/>
  <c r="E208" i="15" s="1"/>
  <c r="G208" i="15" s="1"/>
  <c r="E212" i="16"/>
  <c r="E212" i="15" s="1"/>
  <c r="G212" i="15" s="1"/>
  <c r="E216" i="16"/>
  <c r="E216" i="15" s="1"/>
  <c r="G216" i="15" s="1"/>
  <c r="E221" i="16"/>
  <c r="E221" i="15" s="1"/>
  <c r="G221" i="15" s="1"/>
  <c r="E225" i="16"/>
  <c r="E225" i="15" s="1"/>
  <c r="H225" i="15" s="1"/>
  <c r="E229" i="16"/>
  <c r="E229" i="15" s="1"/>
  <c r="G229" i="15" s="1"/>
  <c r="E233" i="16"/>
  <c r="E233" i="15" s="1"/>
  <c r="G233" i="15" s="1"/>
  <c r="E241" i="16"/>
  <c r="E241" i="15" s="1"/>
  <c r="G241" i="15" s="1"/>
  <c r="E246" i="16"/>
  <c r="E250" i="16"/>
  <c r="E250" i="15" s="1"/>
  <c r="G250" i="15" s="1"/>
  <c r="E254" i="16"/>
  <c r="E254" i="15" s="1"/>
  <c r="H254" i="15" s="1"/>
  <c r="E258" i="16"/>
  <c r="E258" i="15" s="1"/>
  <c r="G258" i="15" s="1"/>
  <c r="E262" i="16"/>
  <c r="E262" i="15" s="1"/>
  <c r="G262" i="15" s="1"/>
  <c r="E266" i="16"/>
  <c r="E266" i="15" s="1"/>
  <c r="G266" i="15" s="1"/>
  <c r="E325" i="16"/>
  <c r="E325" i="15" s="1"/>
  <c r="G325" i="15" s="1"/>
  <c r="E329" i="16"/>
  <c r="E329" i="15" s="1"/>
  <c r="G329" i="15" s="1"/>
  <c r="E333" i="16"/>
  <c r="E333" i="15" s="1"/>
  <c r="G333" i="15" s="1"/>
  <c r="E337" i="16"/>
  <c r="E337" i="15" s="1"/>
  <c r="G337" i="15" s="1"/>
  <c r="E345" i="16"/>
  <c r="E345" i="15" s="1"/>
  <c r="H345" i="15" s="1"/>
  <c r="E350" i="16"/>
  <c r="E386" i="16"/>
  <c r="E386" i="15" s="1"/>
  <c r="G386" i="15" s="1"/>
  <c r="E390" i="16"/>
  <c r="E390" i="15" s="1"/>
  <c r="H390" i="15" s="1"/>
  <c r="G402" i="16"/>
  <c r="G406" i="16"/>
  <c r="G410" i="16"/>
  <c r="G414" i="16"/>
  <c r="G418" i="16"/>
  <c r="G422" i="16"/>
  <c r="G431" i="16"/>
  <c r="G435" i="16"/>
  <c r="G439" i="16"/>
  <c r="G443" i="16"/>
  <c r="G447" i="16"/>
  <c r="G456" i="16"/>
  <c r="G460" i="16"/>
  <c r="G464" i="16"/>
  <c r="G468" i="16"/>
  <c r="G472" i="16"/>
  <c r="G476" i="16"/>
  <c r="M466" i="16"/>
  <c r="M474" i="16"/>
  <c r="M600" i="16"/>
  <c r="K384" i="16"/>
  <c r="K352" i="16"/>
  <c r="K330" i="16"/>
  <c r="K321" i="16"/>
  <c r="I321" i="15" s="1"/>
  <c r="K294" i="16"/>
  <c r="K286" i="16"/>
  <c r="K267" i="16"/>
  <c r="K254" i="16"/>
  <c r="K240" i="16"/>
  <c r="K232" i="16"/>
  <c r="K224" i="16"/>
  <c r="K215" i="16"/>
  <c r="K207" i="16"/>
  <c r="K190" i="16"/>
  <c r="K177" i="16"/>
  <c r="K169" i="16"/>
  <c r="K150" i="16"/>
  <c r="K145" i="16"/>
  <c r="K576" i="16"/>
  <c r="K721" i="16"/>
  <c r="G73" i="16"/>
  <c r="G221" i="16"/>
  <c r="G225" i="16"/>
  <c r="G229" i="16"/>
  <c r="G233" i="16"/>
  <c r="G237" i="16"/>
  <c r="G241" i="16"/>
  <c r="G246" i="16"/>
  <c r="G250" i="16"/>
  <c r="G254" i="16"/>
  <c r="G258" i="16"/>
  <c r="G262" i="16"/>
  <c r="G266" i="16"/>
  <c r="G300" i="16"/>
  <c r="G325" i="16"/>
  <c r="G329" i="16"/>
  <c r="G333" i="16"/>
  <c r="G337" i="16"/>
  <c r="G341" i="16"/>
  <c r="G345" i="16"/>
  <c r="G350" i="16"/>
  <c r="G354" i="16"/>
  <c r="G358" i="16"/>
  <c r="G362" i="16"/>
  <c r="G366" i="16"/>
  <c r="G370" i="16"/>
  <c r="G386" i="16"/>
  <c r="E403" i="16"/>
  <c r="E403" i="15" s="1"/>
  <c r="G403" i="15" s="1"/>
  <c r="E407" i="16"/>
  <c r="E407" i="15" s="1"/>
  <c r="G407" i="15" s="1"/>
  <c r="E411" i="16"/>
  <c r="E411" i="15" s="1"/>
  <c r="G411" i="15" s="1"/>
  <c r="E415" i="16"/>
  <c r="E415" i="15" s="1"/>
  <c r="G415" i="15" s="1"/>
  <c r="E419" i="16"/>
  <c r="E419" i="15" s="1"/>
  <c r="G419" i="15" s="1"/>
  <c r="E423" i="16"/>
  <c r="E423" i="15" s="1"/>
  <c r="G423" i="15" s="1"/>
  <c r="E428" i="16"/>
  <c r="E432" i="16"/>
  <c r="E432" i="15" s="1"/>
  <c r="G432" i="15" s="1"/>
  <c r="E436" i="16"/>
  <c r="E436" i="15" s="1"/>
  <c r="G436" i="15" s="1"/>
  <c r="G501" i="16"/>
  <c r="M442" i="16"/>
  <c r="M506" i="16"/>
  <c r="M545" i="16"/>
  <c r="K310" i="16"/>
  <c r="K160" i="16"/>
  <c r="K724" i="16"/>
  <c r="M21" i="16"/>
  <c r="G66" i="16"/>
  <c r="E70" i="16"/>
  <c r="E70" i="15" s="1"/>
  <c r="G70" i="15" s="1"/>
  <c r="E106" i="15"/>
  <c r="G106" i="15" s="1"/>
  <c r="E176" i="16"/>
  <c r="E176" i="15" s="1"/>
  <c r="G176" i="15" s="1"/>
  <c r="E180" i="16"/>
  <c r="E180" i="15" s="1"/>
  <c r="G180" i="15" s="1"/>
  <c r="E184" i="16"/>
  <c r="E184" i="15" s="1"/>
  <c r="G184" i="15" s="1"/>
  <c r="E188" i="16"/>
  <c r="E188" i="15" s="1"/>
  <c r="G188" i="15" s="1"/>
  <c r="E201" i="16"/>
  <c r="E201" i="15" s="1"/>
  <c r="G201" i="15" s="1"/>
  <c r="E205" i="16"/>
  <c r="E205" i="15" s="1"/>
  <c r="G205" i="15" s="1"/>
  <c r="E209" i="16"/>
  <c r="E209" i="15" s="1"/>
  <c r="G209" i="15" s="1"/>
  <c r="E213" i="16"/>
  <c r="E213" i="15" s="1"/>
  <c r="G213" i="15" s="1"/>
  <c r="E222" i="16"/>
  <c r="E222" i="15" s="1"/>
  <c r="G222" i="15" s="1"/>
  <c r="E226" i="16"/>
  <c r="E226" i="15" s="1"/>
  <c r="G226" i="15" s="1"/>
  <c r="E230" i="16"/>
  <c r="E230" i="15" s="1"/>
  <c r="G230" i="15" s="1"/>
  <c r="E234" i="16"/>
  <c r="E234" i="15" s="1"/>
  <c r="G234" i="15" s="1"/>
  <c r="E238" i="16"/>
  <c r="E238" i="15" s="1"/>
  <c r="G238" i="15" s="1"/>
  <c r="E242" i="16"/>
  <c r="E242" i="15" s="1"/>
  <c r="G242" i="15" s="1"/>
  <c r="E301" i="16"/>
  <c r="E301" i="15" s="1"/>
  <c r="G301" i="15" s="1"/>
  <c r="E305" i="16"/>
  <c r="E305" i="15" s="1"/>
  <c r="G305" i="15" s="1"/>
  <c r="G403" i="16"/>
  <c r="G407" i="16"/>
  <c r="G411" i="16"/>
  <c r="G415" i="16"/>
  <c r="G419" i="16"/>
  <c r="G423" i="16"/>
  <c r="G428" i="16"/>
  <c r="G432" i="16"/>
  <c r="G482" i="16"/>
  <c r="M198" i="16"/>
  <c r="M206" i="16"/>
  <c r="M214" i="16"/>
  <c r="M246" i="16"/>
  <c r="M254" i="16"/>
  <c r="M262" i="16"/>
  <c r="M278" i="16"/>
  <c r="M721" i="16"/>
  <c r="M729" i="16"/>
  <c r="M730" i="16"/>
  <c r="K345" i="16"/>
  <c r="K324" i="16"/>
  <c r="K315" i="16"/>
  <c r="K307" i="16"/>
  <c r="K302" i="16"/>
  <c r="K288" i="16"/>
  <c r="K226" i="16"/>
  <c r="K209" i="16"/>
  <c r="K201" i="16"/>
  <c r="K184" i="16"/>
  <c r="K147" i="16"/>
  <c r="G168" i="16"/>
  <c r="G222" i="16"/>
  <c r="G226" i="16"/>
  <c r="G230" i="16"/>
  <c r="G234" i="16"/>
  <c r="G238" i="16"/>
  <c r="G242" i="16"/>
  <c r="G301" i="16"/>
  <c r="G305" i="16"/>
  <c r="G309" i="16"/>
  <c r="G313" i="16"/>
  <c r="G317" i="16"/>
  <c r="G326" i="16"/>
  <c r="G330" i="16"/>
  <c r="G334" i="16"/>
  <c r="G338" i="16"/>
  <c r="G342" i="16"/>
  <c r="G346" i="16"/>
  <c r="E380" i="16"/>
  <c r="E380" i="15" s="1"/>
  <c r="G380" i="15" s="1"/>
  <c r="E408" i="16"/>
  <c r="E408" i="15" s="1"/>
  <c r="G408" i="15" s="1"/>
  <c r="E412" i="16"/>
  <c r="E412" i="15" s="1"/>
  <c r="G412" i="15" s="1"/>
  <c r="E416" i="16"/>
  <c r="E416" i="15" s="1"/>
  <c r="G416" i="15" s="1"/>
  <c r="E420" i="16"/>
  <c r="E420" i="15" s="1"/>
  <c r="G420" i="15" s="1"/>
  <c r="E424" i="16"/>
  <c r="E424" i="15" s="1"/>
  <c r="G424" i="15" s="1"/>
  <c r="M145" i="16"/>
  <c r="M184" i="16"/>
  <c r="M651" i="16"/>
  <c r="M675" i="16"/>
  <c r="M683" i="16"/>
  <c r="N683" i="16" s="1"/>
  <c r="E761" i="16"/>
  <c r="E761" i="15" s="1"/>
  <c r="G761" i="15" s="1"/>
  <c r="E766" i="16"/>
  <c r="M433" i="16"/>
  <c r="M463" i="16"/>
  <c r="M535" i="16"/>
  <c r="M558" i="16"/>
  <c r="M610" i="16"/>
  <c r="M704" i="16"/>
  <c r="G558" i="16"/>
  <c r="G682" i="16"/>
  <c r="H682" i="16" s="1"/>
  <c r="G699" i="16"/>
  <c r="G703" i="16"/>
  <c r="G707" i="16"/>
  <c r="G811" i="16"/>
  <c r="M68" i="16"/>
  <c r="M151" i="16"/>
  <c r="M228" i="16"/>
  <c r="M236" i="16"/>
  <c r="M276" i="16"/>
  <c r="M320" i="16"/>
  <c r="M352" i="16"/>
  <c r="M373" i="16"/>
  <c r="M480" i="16"/>
  <c r="M551" i="16"/>
  <c r="M649" i="16"/>
  <c r="M657" i="16"/>
  <c r="M665" i="16"/>
  <c r="M673" i="16"/>
  <c r="M681" i="16"/>
  <c r="M719" i="16"/>
  <c r="M734" i="16"/>
  <c r="M756" i="16"/>
  <c r="E486" i="16"/>
  <c r="E486" i="15" s="1"/>
  <c r="H486" i="15" s="1"/>
  <c r="E506" i="16"/>
  <c r="E510" i="16"/>
  <c r="E510" i="15" s="1"/>
  <c r="G510" i="15" s="1"/>
  <c r="E514" i="16"/>
  <c r="E514" i="15" s="1"/>
  <c r="G514" i="15" s="1"/>
  <c r="E518" i="16"/>
  <c r="E518" i="15" s="1"/>
  <c r="G518" i="15" s="1"/>
  <c r="E522" i="16"/>
  <c r="E522" i="15" s="1"/>
  <c r="G522" i="15" s="1"/>
  <c r="E526" i="16"/>
  <c r="E526" i="15" s="1"/>
  <c r="G526" i="15" s="1"/>
  <c r="E535" i="16"/>
  <c r="E535" i="15" s="1"/>
  <c r="G535" i="15" s="1"/>
  <c r="E539" i="16"/>
  <c r="E539" i="15" s="1"/>
  <c r="G539" i="15" s="1"/>
  <c r="E543" i="16"/>
  <c r="E543" i="15" s="1"/>
  <c r="G543" i="15" s="1"/>
  <c r="E547" i="16"/>
  <c r="E547" i="15" s="1"/>
  <c r="G547" i="15" s="1"/>
  <c r="E551" i="16"/>
  <c r="E551" i="15" s="1"/>
  <c r="G551" i="15" s="1"/>
  <c r="E585" i="16"/>
  <c r="E585" i="15" s="1"/>
  <c r="G585" i="15" s="1"/>
  <c r="E593" i="16"/>
  <c r="E593" i="15" s="1"/>
  <c r="G593" i="15" s="1"/>
  <c r="E597" i="16"/>
  <c r="E597" i="15" s="1"/>
  <c r="H597" i="15" s="1"/>
  <c r="E601" i="16"/>
  <c r="E601" i="15" s="1"/>
  <c r="H601" i="15" s="1"/>
  <c r="E610" i="16"/>
  <c r="E614" i="16"/>
  <c r="E614" i="15" s="1"/>
  <c r="G614" i="15" s="1"/>
  <c r="E618" i="16"/>
  <c r="E618" i="15" s="1"/>
  <c r="G618" i="15" s="1"/>
  <c r="E622" i="16"/>
  <c r="E622" i="15" s="1"/>
  <c r="G622" i="15" s="1"/>
  <c r="E626" i="16"/>
  <c r="E626" i="15" s="1"/>
  <c r="G626" i="15" s="1"/>
  <c r="E630" i="16"/>
  <c r="E630" i="15" s="1"/>
  <c r="G630" i="15" s="1"/>
  <c r="E689" i="16"/>
  <c r="E689" i="15" s="1"/>
  <c r="G689" i="15" s="1"/>
  <c r="E693" i="16"/>
  <c r="E693" i="15" s="1"/>
  <c r="G693" i="15" s="1"/>
  <c r="E697" i="16"/>
  <c r="E697" i="15" s="1"/>
  <c r="G697" i="15" s="1"/>
  <c r="E701" i="16"/>
  <c r="E701" i="15" s="1"/>
  <c r="G701" i="15" s="1"/>
  <c r="E714" i="16"/>
  <c r="E718" i="16"/>
  <c r="E718" i="15" s="1"/>
  <c r="G718" i="15" s="1"/>
  <c r="E722" i="16"/>
  <c r="E722" i="15" s="1"/>
  <c r="G722" i="15" s="1"/>
  <c r="E726" i="16"/>
  <c r="E726" i="15" s="1"/>
  <c r="G726" i="15" s="1"/>
  <c r="E730" i="16"/>
  <c r="E730" i="15" s="1"/>
  <c r="G730" i="15" s="1"/>
  <c r="E734" i="16"/>
  <c r="E734" i="15" s="1"/>
  <c r="G734" i="15" s="1"/>
  <c r="E793" i="16"/>
  <c r="E793" i="15" s="1"/>
  <c r="G793" i="15" s="1"/>
  <c r="E797" i="16"/>
  <c r="E797" i="15" s="1"/>
  <c r="G797" i="15" s="1"/>
  <c r="E801" i="16"/>
  <c r="E801" i="15" s="1"/>
  <c r="E805" i="16"/>
  <c r="E805" i="15" s="1"/>
  <c r="H805" i="15" s="1"/>
  <c r="E809" i="16"/>
  <c r="E809" i="15" s="1"/>
  <c r="G809" i="15" s="1"/>
  <c r="E813" i="16"/>
  <c r="E813" i="15" s="1"/>
  <c r="G813" i="15" s="1"/>
  <c r="M71" i="16"/>
  <c r="M86" i="16"/>
  <c r="M146" i="16"/>
  <c r="M154" i="16"/>
  <c r="M162" i="16"/>
  <c r="M239" i="16"/>
  <c r="M286" i="16"/>
  <c r="M307" i="16"/>
  <c r="M368" i="16"/>
  <c r="M376" i="16"/>
  <c r="M406" i="16"/>
  <c r="N406" i="16" s="1"/>
  <c r="M414" i="16"/>
  <c r="M422" i="16"/>
  <c r="N422" i="16" s="1"/>
  <c r="M430" i="16"/>
  <c r="M443" i="16"/>
  <c r="M459" i="16"/>
  <c r="M467" i="16"/>
  <c r="M507" i="16"/>
  <c r="M515" i="16"/>
  <c r="M523" i="16"/>
  <c r="M538" i="16"/>
  <c r="M554" i="16"/>
  <c r="M594" i="16"/>
  <c r="M607" i="16"/>
  <c r="M614" i="16"/>
  <c r="M638" i="16"/>
  <c r="M652" i="16"/>
  <c r="N652" i="16" s="1"/>
  <c r="M692" i="16"/>
  <c r="M700" i="16"/>
  <c r="M708" i="16"/>
  <c r="M737" i="16"/>
  <c r="M752" i="16"/>
  <c r="M759" i="16"/>
  <c r="M767" i="16"/>
  <c r="M806" i="16"/>
  <c r="M813" i="16"/>
  <c r="E498" i="16"/>
  <c r="E498" i="15" s="1"/>
  <c r="H498" i="15" s="1"/>
  <c r="G585" i="16"/>
  <c r="G589" i="16"/>
  <c r="G593" i="16"/>
  <c r="G597" i="16"/>
  <c r="G601" i="16"/>
  <c r="G605" i="16"/>
  <c r="G610" i="16"/>
  <c r="G614" i="16"/>
  <c r="G618" i="16"/>
  <c r="G622" i="16"/>
  <c r="G626" i="16"/>
  <c r="G630" i="16"/>
  <c r="G689" i="16"/>
  <c r="G693" i="16"/>
  <c r="G697" i="16"/>
  <c r="G701" i="16"/>
  <c r="G705" i="16"/>
  <c r="G709" i="16"/>
  <c r="G714" i="16"/>
  <c r="G743" i="16"/>
  <c r="G747" i="16"/>
  <c r="G751" i="16"/>
  <c r="G755" i="16"/>
  <c r="G759" i="16"/>
  <c r="G768" i="16"/>
  <c r="G772" i="16"/>
  <c r="G780" i="16"/>
  <c r="G784" i="16"/>
  <c r="G788" i="16"/>
  <c r="G793" i="16"/>
  <c r="G797" i="16"/>
  <c r="G801" i="16"/>
  <c r="G805" i="16"/>
  <c r="G809" i="16"/>
  <c r="G813" i="16"/>
  <c r="M80" i="16"/>
  <c r="M147" i="16"/>
  <c r="M155" i="16"/>
  <c r="M171" i="16"/>
  <c r="M340" i="16"/>
  <c r="M356" i="16"/>
  <c r="M369" i="16"/>
  <c r="M407" i="16"/>
  <c r="M415" i="16"/>
  <c r="M437" i="16"/>
  <c r="M444" i="16"/>
  <c r="M484" i="16"/>
  <c r="M492" i="16"/>
  <c r="M645" i="16"/>
  <c r="M800" i="16"/>
  <c r="G470" i="16"/>
  <c r="G474" i="16"/>
  <c r="E487" i="16"/>
  <c r="E487" i="15" s="1"/>
  <c r="G487" i="15" s="1"/>
  <c r="G498" i="16"/>
  <c r="E502" i="16"/>
  <c r="E502" i="15" s="1"/>
  <c r="G502" i="15" s="1"/>
  <c r="E561" i="16"/>
  <c r="E561" i="15" s="1"/>
  <c r="G561" i="15" s="1"/>
  <c r="E565" i="16"/>
  <c r="E565" i="15" s="1"/>
  <c r="G565" i="15" s="1"/>
  <c r="E569" i="16"/>
  <c r="E569" i="15" s="1"/>
  <c r="E573" i="16"/>
  <c r="E573" i="15" s="1"/>
  <c r="H573" i="15" s="1"/>
  <c r="E577" i="16"/>
  <c r="E577" i="15" s="1"/>
  <c r="G577" i="15" s="1"/>
  <c r="E586" i="16"/>
  <c r="E586" i="15" s="1"/>
  <c r="H586" i="15" s="1"/>
  <c r="E590" i="16"/>
  <c r="E590" i="15" s="1"/>
  <c r="G590" i="15" s="1"/>
  <c r="E594" i="16"/>
  <c r="E594" i="15" s="1"/>
  <c r="G594" i="15" s="1"/>
  <c r="E598" i="16"/>
  <c r="E598" i="15" s="1"/>
  <c r="G598" i="15" s="1"/>
  <c r="E602" i="16"/>
  <c r="E602" i="15" s="1"/>
  <c r="G602" i="15" s="1"/>
  <c r="E606" i="16"/>
  <c r="E606" i="15" s="1"/>
  <c r="G606" i="15" s="1"/>
  <c r="E690" i="16"/>
  <c r="E690" i="15" s="1"/>
  <c r="G690" i="15" s="1"/>
  <c r="E694" i="16"/>
  <c r="E694" i="15" s="1"/>
  <c r="G694" i="15" s="1"/>
  <c r="E698" i="16"/>
  <c r="E698" i="15" s="1"/>
  <c r="G698" i="15" s="1"/>
  <c r="E702" i="16"/>
  <c r="E702" i="15" s="1"/>
  <c r="G702" i="15" s="1"/>
  <c r="E706" i="16"/>
  <c r="E706" i="15" s="1"/>
  <c r="G706" i="15" s="1"/>
  <c r="E710" i="16"/>
  <c r="E710" i="15" s="1"/>
  <c r="G710" i="15" s="1"/>
  <c r="E769" i="16"/>
  <c r="E769" i="15" s="1"/>
  <c r="E773" i="16"/>
  <c r="E773" i="15" s="1"/>
  <c r="E777" i="16"/>
  <c r="E777" i="15" s="1"/>
  <c r="G777" i="15" s="1"/>
  <c r="E781" i="16"/>
  <c r="E781" i="15" s="1"/>
  <c r="G781" i="15" s="1"/>
  <c r="M65" i="16"/>
  <c r="M295" i="16"/>
  <c r="M301" i="16"/>
  <c r="M808" i="16"/>
  <c r="G577" i="16"/>
  <c r="G731" i="16"/>
  <c r="G735" i="16"/>
  <c r="G769" i="16"/>
  <c r="G773" i="16"/>
  <c r="G777" i="16"/>
  <c r="G781" i="16"/>
  <c r="G785" i="16"/>
  <c r="M157" i="16"/>
  <c r="M174" i="16"/>
  <c r="M226" i="16"/>
  <c r="M242" i="16"/>
  <c r="M342" i="16"/>
  <c r="M350" i="16"/>
  <c r="M371" i="16"/>
  <c r="M417" i="16"/>
  <c r="M439" i="16"/>
  <c r="M565" i="16"/>
  <c r="M573" i="16"/>
  <c r="M581" i="16"/>
  <c r="M603" i="16"/>
  <c r="M617" i="16"/>
  <c r="M625" i="16"/>
  <c r="M633" i="16"/>
  <c r="M655" i="16"/>
  <c r="M663" i="16"/>
  <c r="M671" i="16"/>
  <c r="M679" i="16"/>
  <c r="M695" i="16"/>
  <c r="M703" i="16"/>
  <c r="M711" i="16"/>
  <c r="M717" i="16"/>
  <c r="M732" i="16"/>
  <c r="M754" i="16"/>
  <c r="M762" i="16"/>
  <c r="K264" i="16"/>
  <c r="K80" i="16"/>
  <c r="G76" i="16"/>
  <c r="G77" i="16"/>
  <c r="K65" i="16"/>
  <c r="K73" i="16"/>
  <c r="K81" i="16"/>
  <c r="M22" i="16"/>
  <c r="M26" i="16"/>
  <c r="M34" i="16"/>
  <c r="K798" i="16"/>
  <c r="K789" i="16"/>
  <c r="I789" i="15" s="1"/>
  <c r="K762" i="16"/>
  <c r="K754" i="16"/>
  <c r="K746" i="16"/>
  <c r="K711" i="16"/>
  <c r="I711" i="15" s="1"/>
  <c r="K708" i="16"/>
  <c r="K391" i="16"/>
  <c r="K378" i="16"/>
  <c r="K211" i="16"/>
  <c r="K529" i="16"/>
  <c r="I529" i="15" s="1"/>
  <c r="K259" i="16"/>
  <c r="M75" i="16"/>
  <c r="M76" i="16"/>
  <c r="K638" i="16"/>
  <c r="K337" i="16"/>
  <c r="K319" i="16"/>
  <c r="K66" i="16"/>
  <c r="K74" i="16"/>
  <c r="K82" i="16"/>
  <c r="K33" i="16"/>
  <c r="K236" i="16"/>
  <c r="K228" i="16"/>
  <c r="K220" i="16"/>
  <c r="K159" i="16"/>
  <c r="K64" i="16"/>
  <c r="K561" i="16"/>
  <c r="K670" i="16"/>
  <c r="K662" i="16"/>
  <c r="K653" i="16"/>
  <c r="K567" i="16"/>
  <c r="K72" i="16"/>
  <c r="K613" i="16"/>
  <c r="K24" i="16"/>
  <c r="K536" i="16"/>
  <c r="K509" i="16"/>
  <c r="K311" i="16"/>
  <c r="K292" i="16"/>
  <c r="K260" i="16"/>
  <c r="K731" i="16"/>
  <c r="K283" i="16"/>
  <c r="K77" i="16"/>
  <c r="K702" i="16"/>
  <c r="K469" i="16"/>
  <c r="K284" i="16"/>
  <c r="K243" i="16"/>
  <c r="I243" i="15" s="1"/>
  <c r="K235" i="16"/>
  <c r="K560" i="16"/>
  <c r="K434" i="16"/>
  <c r="K318" i="16"/>
  <c r="K502" i="16"/>
  <c r="K785" i="16"/>
  <c r="K758" i="16"/>
  <c r="K591" i="16"/>
  <c r="K503" i="16"/>
  <c r="I503" i="15" s="1"/>
  <c r="K470" i="16"/>
  <c r="K465" i="16"/>
  <c r="K462" i="16"/>
  <c r="K457" i="16"/>
  <c r="K405" i="16"/>
  <c r="K380" i="16"/>
  <c r="K347" i="16"/>
  <c r="I347" i="15" s="1"/>
  <c r="K304" i="16"/>
  <c r="K199" i="16"/>
  <c r="K188" i="16"/>
  <c r="K180" i="16"/>
  <c r="K175" i="16"/>
  <c r="K714" i="16"/>
  <c r="G399" i="16"/>
  <c r="M543" i="16"/>
  <c r="M544" i="16"/>
  <c r="K809" i="16"/>
  <c r="K777" i="16"/>
  <c r="K772" i="16"/>
  <c r="K763" i="16"/>
  <c r="I763" i="15" s="1"/>
  <c r="K755" i="16"/>
  <c r="K747" i="16"/>
  <c r="K697" i="16"/>
  <c r="K689" i="16"/>
  <c r="K680" i="16"/>
  <c r="K672" i="16"/>
  <c r="K664" i="16"/>
  <c r="I664" i="15" s="1"/>
  <c r="K655" i="16"/>
  <c r="K647" i="16"/>
  <c r="K644" i="16"/>
  <c r="K639" i="16"/>
  <c r="K630" i="16"/>
  <c r="K622" i="16"/>
  <c r="K614" i="16"/>
  <c r="K603" i="16"/>
  <c r="K593" i="16"/>
  <c r="K546" i="16"/>
  <c r="K541" i="16"/>
  <c r="K522" i="16"/>
  <c r="K514" i="16"/>
  <c r="K495" i="16"/>
  <c r="K487" i="16"/>
  <c r="K454" i="16"/>
  <c r="K448" i="16"/>
  <c r="K440" i="16"/>
  <c r="K432" i="16"/>
  <c r="K366" i="16"/>
  <c r="K339" i="16"/>
  <c r="K312" i="16"/>
  <c r="K280" i="16"/>
  <c r="K266" i="16"/>
  <c r="K256" i="16"/>
  <c r="K246" i="16"/>
  <c r="K212" i="16"/>
  <c r="K728" i="16"/>
  <c r="K736" i="16"/>
  <c r="K783" i="16"/>
  <c r="K19" i="16"/>
  <c r="M23" i="16"/>
  <c r="M27" i="16"/>
  <c r="M31" i="16"/>
  <c r="M35" i="16"/>
  <c r="K796" i="16"/>
  <c r="K779" i="16"/>
  <c r="K774" i="16"/>
  <c r="K769" i="16"/>
  <c r="K760" i="16"/>
  <c r="K752" i="16"/>
  <c r="K744" i="16"/>
  <c r="K709" i="16"/>
  <c r="K704" i="16"/>
  <c r="K694" i="16"/>
  <c r="K685" i="16"/>
  <c r="I685" i="15" s="1"/>
  <c r="K682" i="16"/>
  <c r="K674" i="16"/>
  <c r="K669" i="16"/>
  <c r="K627" i="16"/>
  <c r="K619" i="16"/>
  <c r="K605" i="16"/>
  <c r="K588" i="16"/>
  <c r="K538" i="16"/>
  <c r="K506" i="16"/>
  <c r="K472" i="16"/>
  <c r="K445" i="16"/>
  <c r="K437" i="16"/>
  <c r="K423" i="16"/>
  <c r="K415" i="16"/>
  <c r="K407" i="16"/>
  <c r="K398" i="16"/>
  <c r="I398" i="15" s="1"/>
  <c r="K390" i="16"/>
  <c r="I390" i="15" s="1"/>
  <c r="K382" i="16"/>
  <c r="I382" i="15" s="1"/>
  <c r="K358" i="16"/>
  <c r="K350" i="16"/>
  <c r="K290" i="16"/>
  <c r="K272" i="16"/>
  <c r="K263" i="16"/>
  <c r="K248" i="16"/>
  <c r="K182" i="16"/>
  <c r="K158" i="16"/>
  <c r="K148" i="16"/>
  <c r="I139" i="15"/>
  <c r="K562" i="16"/>
  <c r="K720" i="16"/>
  <c r="K152" i="16"/>
  <c r="K285" i="16"/>
  <c r="K707" i="16"/>
  <c r="G763" i="16"/>
  <c r="M19" i="16"/>
  <c r="K26" i="16"/>
  <c r="K34" i="16"/>
  <c r="K811" i="16"/>
  <c r="K806" i="16"/>
  <c r="K801" i="16"/>
  <c r="K793" i="16"/>
  <c r="K786" i="16"/>
  <c r="K784" i="16"/>
  <c r="K757" i="16"/>
  <c r="K741" i="16"/>
  <c r="K699" i="16"/>
  <c r="K657" i="16"/>
  <c r="K649" i="16"/>
  <c r="K632" i="16"/>
  <c r="K616" i="16"/>
  <c r="K553" i="16"/>
  <c r="K524" i="16"/>
  <c r="K516" i="16"/>
  <c r="K497" i="16"/>
  <c r="K489" i="16"/>
  <c r="K481" i="16"/>
  <c r="K464" i="16"/>
  <c r="K456" i="16"/>
  <c r="K429" i="16"/>
  <c r="K420" i="16"/>
  <c r="K412" i="16"/>
  <c r="K404" i="16"/>
  <c r="K395" i="16"/>
  <c r="K387" i="16"/>
  <c r="K373" i="16"/>
  <c r="I373" i="15" s="1"/>
  <c r="K370" i="16"/>
  <c r="K363" i="16"/>
  <c r="K355" i="16"/>
  <c r="K341" i="16"/>
  <c r="K333" i="16"/>
  <c r="K314" i="16"/>
  <c r="K306" i="16"/>
  <c r="K295" i="16"/>
  <c r="I295" i="15" s="1"/>
  <c r="K287" i="16"/>
  <c r="K282" i="16"/>
  <c r="K258" i="16"/>
  <c r="K239" i="16"/>
  <c r="K214" i="16"/>
  <c r="K165" i="16"/>
  <c r="I165" i="15" s="1"/>
  <c r="K565" i="16"/>
  <c r="K570" i="16"/>
  <c r="K578" i="16"/>
  <c r="K715" i="16"/>
  <c r="K723" i="16"/>
  <c r="K734" i="16"/>
  <c r="K16" i="16"/>
  <c r="K25" i="16"/>
  <c r="K750" i="16"/>
  <c r="K474" i="16"/>
  <c r="K447" i="16"/>
  <c r="K439" i="16"/>
  <c r="K379" i="16"/>
  <c r="K346" i="16"/>
  <c r="K338" i="16"/>
  <c r="K325" i="16"/>
  <c r="K279" i="16"/>
  <c r="K274" i="16"/>
  <c r="K265" i="16"/>
  <c r="K255" i="16"/>
  <c r="K250" i="16"/>
  <c r="K241" i="16"/>
  <c r="K216" i="16"/>
  <c r="K171" i="16"/>
  <c r="K155" i="16"/>
  <c r="K142" i="16"/>
  <c r="K573" i="16"/>
  <c r="K581" i="16"/>
  <c r="I581" i="15" s="1"/>
  <c r="K726" i="16"/>
  <c r="K335" i="16"/>
  <c r="K425" i="16"/>
  <c r="I425" i="15" s="1"/>
  <c r="K577" i="16"/>
  <c r="K800" i="16"/>
  <c r="M14" i="16"/>
  <c r="M18" i="16"/>
  <c r="K29" i="16"/>
  <c r="K778" i="16"/>
  <c r="K668" i="16"/>
  <c r="K604" i="16"/>
  <c r="K587" i="16"/>
  <c r="K316" i="16"/>
  <c r="K262" i="16"/>
  <c r="K247" i="16"/>
  <c r="K558" i="16"/>
  <c r="K563" i="16"/>
  <c r="K729" i="16"/>
  <c r="K737" i="16"/>
  <c r="I737" i="15" s="1"/>
  <c r="K269" i="16"/>
  <c r="I269" i="15" s="1"/>
  <c r="K615" i="16"/>
  <c r="M25" i="16"/>
  <c r="M29" i="16"/>
  <c r="M33" i="16"/>
  <c r="K810" i="16"/>
  <c r="K805" i="16"/>
  <c r="K792" i="16"/>
  <c r="K773" i="16"/>
  <c r="K756" i="16"/>
  <c r="K740" i="16"/>
  <c r="K703" i="16"/>
  <c r="K698" i="16"/>
  <c r="K690" i="16"/>
  <c r="K673" i="16"/>
  <c r="K648" i="16"/>
  <c r="K631" i="16"/>
  <c r="K623" i="16"/>
  <c r="K596" i="16"/>
  <c r="K547" i="16"/>
  <c r="K532" i="16"/>
  <c r="K523" i="16"/>
  <c r="K515" i="16"/>
  <c r="K496" i="16"/>
  <c r="K488" i="16"/>
  <c r="K480" i="16"/>
  <c r="K455" i="16"/>
  <c r="K449" i="16"/>
  <c r="K441" i="16"/>
  <c r="K372" i="16"/>
  <c r="K362" i="16"/>
  <c r="K354" i="16"/>
  <c r="K340" i="16"/>
  <c r="K332" i="16"/>
  <c r="K313" i="16"/>
  <c r="K305" i="16"/>
  <c r="K300" i="16"/>
  <c r="K281" i="16"/>
  <c r="K257" i="16"/>
  <c r="K238" i="16"/>
  <c r="K230" i="16"/>
  <c r="K222" i="16"/>
  <c r="K213" i="16"/>
  <c r="K205" i="16"/>
  <c r="K197" i="16"/>
  <c r="K191" i="16"/>
  <c r="I191" i="15" s="1"/>
  <c r="K173" i="16"/>
  <c r="K149" i="16"/>
  <c r="K716" i="16"/>
  <c r="K13" i="16"/>
  <c r="K252" i="16"/>
  <c r="K451" i="16"/>
  <c r="I451" i="15" s="1"/>
  <c r="E190" i="16"/>
  <c r="E190" i="15" s="1"/>
  <c r="G190" i="15" s="1"/>
  <c r="E81" i="16"/>
  <c r="E81" i="15" s="1"/>
  <c r="G81" i="15" s="1"/>
  <c r="E143" i="16"/>
  <c r="E143" i="15" s="1"/>
  <c r="G143" i="15" s="1"/>
  <c r="E147" i="16"/>
  <c r="E147" i="15" s="1"/>
  <c r="G147" i="15" s="1"/>
  <c r="E151" i="16"/>
  <c r="E151" i="15" s="1"/>
  <c r="G151" i="15" s="1"/>
  <c r="E155" i="16"/>
  <c r="E155" i="15" s="1"/>
  <c r="G155" i="15" s="1"/>
  <c r="E159" i="16"/>
  <c r="E159" i="15" s="1"/>
  <c r="G159" i="15" s="1"/>
  <c r="E163" i="16"/>
  <c r="E163" i="15" s="1"/>
  <c r="G163" i="15" s="1"/>
  <c r="G170" i="16"/>
  <c r="G174" i="16"/>
  <c r="G178" i="16"/>
  <c r="G182" i="16"/>
  <c r="G186" i="16"/>
  <c r="G190" i="16"/>
  <c r="G247" i="16"/>
  <c r="G251" i="16"/>
  <c r="G255" i="16"/>
  <c r="G259" i="16"/>
  <c r="G263" i="16"/>
  <c r="G267" i="16"/>
  <c r="G404" i="16"/>
  <c r="G408" i="16"/>
  <c r="G412" i="16"/>
  <c r="G416" i="16"/>
  <c r="G420" i="16"/>
  <c r="G424" i="16"/>
  <c r="G67" i="16"/>
  <c r="G74" i="16"/>
  <c r="G75" i="16"/>
  <c r="H75" i="16" s="1"/>
  <c r="G195" i="16"/>
  <c r="G199" i="16"/>
  <c r="G203" i="16"/>
  <c r="G207" i="16"/>
  <c r="G211" i="16"/>
  <c r="G215" i="16"/>
  <c r="G223" i="16"/>
  <c r="G227" i="16"/>
  <c r="G231" i="16"/>
  <c r="G235" i="16"/>
  <c r="G239" i="16"/>
  <c r="E68" i="16"/>
  <c r="E68" i="15" s="1"/>
  <c r="G68" i="15" s="1"/>
  <c r="G71" i="16"/>
  <c r="E119" i="15"/>
  <c r="G119" i="15" s="1"/>
  <c r="E135" i="15"/>
  <c r="G135" i="15" s="1"/>
  <c r="E144" i="16"/>
  <c r="E144" i="15" s="1"/>
  <c r="H144" i="15" s="1"/>
  <c r="E148" i="16"/>
  <c r="E148" i="15" s="1"/>
  <c r="G148" i="15" s="1"/>
  <c r="E152" i="16"/>
  <c r="E152" i="15" s="1"/>
  <c r="G152" i="15" s="1"/>
  <c r="E156" i="16"/>
  <c r="E156" i="15" s="1"/>
  <c r="G156" i="15" s="1"/>
  <c r="E160" i="16"/>
  <c r="E160" i="15" s="1"/>
  <c r="G160" i="15" s="1"/>
  <c r="E164" i="16"/>
  <c r="E164" i="15" s="1"/>
  <c r="G164" i="15" s="1"/>
  <c r="G171" i="16"/>
  <c r="G175" i="16"/>
  <c r="G179" i="16"/>
  <c r="G183" i="16"/>
  <c r="G187" i="16"/>
  <c r="G393" i="16"/>
  <c r="E65" i="16"/>
  <c r="E65" i="15" s="1"/>
  <c r="G65" i="15" s="1"/>
  <c r="E91" i="15"/>
  <c r="G91" i="15" s="1"/>
  <c r="E95" i="15"/>
  <c r="G95" i="15" s="1"/>
  <c r="E99" i="15"/>
  <c r="G99" i="15" s="1"/>
  <c r="E103" i="15"/>
  <c r="G103" i="15" s="1"/>
  <c r="E107" i="15"/>
  <c r="G107" i="15" s="1"/>
  <c r="E111" i="15"/>
  <c r="G111" i="15" s="1"/>
  <c r="E394" i="16"/>
  <c r="E394" i="15" s="1"/>
  <c r="G394" i="15" s="1"/>
  <c r="G397" i="16"/>
  <c r="G390" i="16"/>
  <c r="G499" i="16"/>
  <c r="G436" i="16"/>
  <c r="G440" i="16"/>
  <c r="G444" i="16"/>
  <c r="G448" i="16"/>
  <c r="E499" i="16"/>
  <c r="E499" i="15" s="1"/>
  <c r="G499" i="15" s="1"/>
  <c r="M291" i="16"/>
  <c r="M292" i="16"/>
  <c r="E40" i="15"/>
  <c r="G40" i="15" s="1"/>
  <c r="E53" i="15"/>
  <c r="G53" i="15" s="1"/>
  <c r="E56" i="15"/>
  <c r="G56" i="15" s="1"/>
  <c r="G64" i="16"/>
  <c r="E71" i="16"/>
  <c r="E71" i="15" s="1"/>
  <c r="G71" i="15" s="1"/>
  <c r="E74" i="16"/>
  <c r="E74" i="15" s="1"/>
  <c r="G74" i="15" s="1"/>
  <c r="G80" i="16"/>
  <c r="G143" i="16"/>
  <c r="H143" i="16" s="1"/>
  <c r="G147" i="16"/>
  <c r="G151" i="16"/>
  <c r="G155" i="16"/>
  <c r="G159" i="16"/>
  <c r="G163" i="16"/>
  <c r="E171" i="16"/>
  <c r="E171" i="15" s="1"/>
  <c r="G171" i="15" s="1"/>
  <c r="E175" i="16"/>
  <c r="E175" i="15" s="1"/>
  <c r="G175" i="15" s="1"/>
  <c r="E195" i="16"/>
  <c r="E195" i="15" s="1"/>
  <c r="G195" i="15" s="1"/>
  <c r="E211" i="16"/>
  <c r="E211" i="15" s="1"/>
  <c r="G211" i="15" s="1"/>
  <c r="E215" i="16"/>
  <c r="E215" i="15" s="1"/>
  <c r="G215" i="15" s="1"/>
  <c r="E223" i="16"/>
  <c r="E223" i="15" s="1"/>
  <c r="G223" i="15" s="1"/>
  <c r="E231" i="16"/>
  <c r="E231" i="15" s="1"/>
  <c r="G231" i="15" s="1"/>
  <c r="E235" i="16"/>
  <c r="E235" i="15" s="1"/>
  <c r="G235" i="15" s="1"/>
  <c r="E239" i="16"/>
  <c r="E239" i="15" s="1"/>
  <c r="G239" i="15" s="1"/>
  <c r="E247" i="16"/>
  <c r="E247" i="15" s="1"/>
  <c r="G247" i="15" s="1"/>
  <c r="E251" i="16"/>
  <c r="E251" i="15" s="1"/>
  <c r="G251" i="15" s="1"/>
  <c r="E263" i="16"/>
  <c r="E263" i="15" s="1"/>
  <c r="G263" i="15" s="1"/>
  <c r="E267" i="16"/>
  <c r="E267" i="15" s="1"/>
  <c r="G267" i="15" s="1"/>
  <c r="E275" i="16"/>
  <c r="E275" i="15" s="1"/>
  <c r="G275" i="15" s="1"/>
  <c r="E279" i="16"/>
  <c r="E279" i="15" s="1"/>
  <c r="G279" i="15" s="1"/>
  <c r="E283" i="16"/>
  <c r="E283" i="15" s="1"/>
  <c r="G283" i="15" s="1"/>
  <c r="E287" i="16"/>
  <c r="E287" i="15" s="1"/>
  <c r="G287" i="15" s="1"/>
  <c r="E291" i="16"/>
  <c r="E291" i="15" s="1"/>
  <c r="G291" i="15" s="1"/>
  <c r="E397" i="16"/>
  <c r="E397" i="15" s="1"/>
  <c r="G397" i="15" s="1"/>
  <c r="G481" i="16"/>
  <c r="E507" i="16"/>
  <c r="E507" i="15" s="1"/>
  <c r="G507" i="15" s="1"/>
  <c r="E511" i="16"/>
  <c r="E511" i="15" s="1"/>
  <c r="G511" i="15" s="1"/>
  <c r="E515" i="16"/>
  <c r="E515" i="15" s="1"/>
  <c r="G515" i="15" s="1"/>
  <c r="E523" i="16"/>
  <c r="E523" i="15" s="1"/>
  <c r="G523" i="15" s="1"/>
  <c r="E527" i="16"/>
  <c r="E527" i="15" s="1"/>
  <c r="G527" i="15" s="1"/>
  <c r="E44" i="15"/>
  <c r="G44" i="15" s="1"/>
  <c r="E60" i="15"/>
  <c r="G60" i="15" s="1"/>
  <c r="G68" i="16"/>
  <c r="E78" i="16"/>
  <c r="E78" i="15" s="1"/>
  <c r="G78" i="15" s="1"/>
  <c r="G84" i="16"/>
  <c r="E168" i="16"/>
  <c r="E220" i="16"/>
  <c r="E384" i="16"/>
  <c r="E384" i="15" s="1"/>
  <c r="G384" i="15" s="1"/>
  <c r="G496" i="16"/>
  <c r="M72" i="16"/>
  <c r="E85" i="16"/>
  <c r="E85" i="15" s="1"/>
  <c r="G85" i="15" s="1"/>
  <c r="E93" i="15"/>
  <c r="G93" i="15" s="1"/>
  <c r="E97" i="15"/>
  <c r="G97" i="15" s="1"/>
  <c r="E101" i="15"/>
  <c r="G101" i="15" s="1"/>
  <c r="E105" i="15"/>
  <c r="G105" i="15" s="1"/>
  <c r="E109" i="15"/>
  <c r="G109" i="15" s="1"/>
  <c r="E117" i="15"/>
  <c r="G117" i="15" s="1"/>
  <c r="E121" i="15"/>
  <c r="G121" i="15" s="1"/>
  <c r="E125" i="15"/>
  <c r="G125" i="15" s="1"/>
  <c r="E129" i="15"/>
  <c r="G129" i="15" s="1"/>
  <c r="E133" i="15"/>
  <c r="G133" i="15" s="1"/>
  <c r="E137" i="15"/>
  <c r="G137" i="15" s="1"/>
  <c r="E145" i="16"/>
  <c r="E145" i="15" s="1"/>
  <c r="G145" i="15" s="1"/>
  <c r="E149" i="16"/>
  <c r="E149" i="15" s="1"/>
  <c r="G149" i="15" s="1"/>
  <c r="E153" i="16"/>
  <c r="E153" i="15" s="1"/>
  <c r="G153" i="15" s="1"/>
  <c r="E157" i="16"/>
  <c r="E157" i="15" s="1"/>
  <c r="G157" i="15" s="1"/>
  <c r="E161" i="16"/>
  <c r="E161" i="15" s="1"/>
  <c r="G161" i="15" s="1"/>
  <c r="G172" i="16"/>
  <c r="G176" i="16"/>
  <c r="G180" i="16"/>
  <c r="G184" i="16"/>
  <c r="G188" i="16"/>
  <c r="G196" i="16"/>
  <c r="G200" i="16"/>
  <c r="G204" i="16"/>
  <c r="G208" i="16"/>
  <c r="G212" i="16"/>
  <c r="G216" i="16"/>
  <c r="G224" i="16"/>
  <c r="G228" i="16"/>
  <c r="G232" i="16"/>
  <c r="G236" i="16"/>
  <c r="G240" i="16"/>
  <c r="G248" i="16"/>
  <c r="G252" i="16"/>
  <c r="G256" i="16"/>
  <c r="G260" i="16"/>
  <c r="G264" i="16"/>
  <c r="G268" i="16"/>
  <c r="G353" i="16"/>
  <c r="G357" i="16"/>
  <c r="G361" i="16"/>
  <c r="G365" i="16"/>
  <c r="G369" i="16"/>
  <c r="E381" i="16"/>
  <c r="E381" i="15" s="1"/>
  <c r="G381" i="15" s="1"/>
  <c r="G391" i="16"/>
  <c r="E483" i="16"/>
  <c r="E483" i="15" s="1"/>
  <c r="G483" i="15" s="1"/>
  <c r="E490" i="16"/>
  <c r="E490" i="15" s="1"/>
  <c r="G490" i="15" s="1"/>
  <c r="G493" i="16"/>
  <c r="M73" i="16"/>
  <c r="M81" i="16"/>
  <c r="E48" i="15"/>
  <c r="G48" i="15" s="1"/>
  <c r="E66" i="16"/>
  <c r="E66" i="15" s="1"/>
  <c r="G66" i="15" s="1"/>
  <c r="G72" i="16"/>
  <c r="E82" i="16"/>
  <c r="E82" i="15" s="1"/>
  <c r="G82" i="15" s="1"/>
  <c r="E326" i="16"/>
  <c r="E326" i="15" s="1"/>
  <c r="G326" i="15" s="1"/>
  <c r="E330" i="16"/>
  <c r="E330" i="15" s="1"/>
  <c r="G330" i="15" s="1"/>
  <c r="E334" i="16"/>
  <c r="E334" i="15" s="1"/>
  <c r="G334" i="15" s="1"/>
  <c r="E338" i="16"/>
  <c r="E338" i="15" s="1"/>
  <c r="G338" i="15" s="1"/>
  <c r="E342" i="16"/>
  <c r="E342" i="15" s="1"/>
  <c r="G342" i="15" s="1"/>
  <c r="E346" i="16"/>
  <c r="E346" i="15" s="1"/>
  <c r="G346" i="15" s="1"/>
  <c r="E354" i="16"/>
  <c r="E354" i="15" s="1"/>
  <c r="G354" i="15" s="1"/>
  <c r="E358" i="16"/>
  <c r="E358" i="15" s="1"/>
  <c r="G358" i="15" s="1"/>
  <c r="E362" i="16"/>
  <c r="E362" i="15" s="1"/>
  <c r="G362" i="15" s="1"/>
  <c r="E366" i="16"/>
  <c r="E366" i="15" s="1"/>
  <c r="G366" i="15" s="1"/>
  <c r="E370" i="16"/>
  <c r="E370" i="15" s="1"/>
  <c r="G370" i="15" s="1"/>
  <c r="E378" i="16"/>
  <c r="E378" i="15" s="1"/>
  <c r="G378" i="15" s="1"/>
  <c r="G381" i="16"/>
  <c r="G455" i="16"/>
  <c r="G459" i="16"/>
  <c r="G463" i="16"/>
  <c r="G467" i="16"/>
  <c r="G471" i="16"/>
  <c r="G475" i="16"/>
  <c r="G497" i="16"/>
  <c r="G562" i="16"/>
  <c r="G566" i="16"/>
  <c r="G570" i="16"/>
  <c r="G574" i="16"/>
  <c r="G578" i="16"/>
  <c r="G586" i="16"/>
  <c r="G590" i="16"/>
  <c r="G594" i="16"/>
  <c r="G598" i="16"/>
  <c r="G602" i="16"/>
  <c r="G606" i="16"/>
  <c r="M305" i="16"/>
  <c r="M306" i="16"/>
  <c r="M636" i="16"/>
  <c r="E440" i="16"/>
  <c r="E440" i="15" s="1"/>
  <c r="G440" i="15" s="1"/>
  <c r="E444" i="16"/>
  <c r="E444" i="15" s="1"/>
  <c r="G444" i="15" s="1"/>
  <c r="E448" i="16"/>
  <c r="E448" i="15" s="1"/>
  <c r="G448" i="15" s="1"/>
  <c r="E456" i="16"/>
  <c r="E456" i="15" s="1"/>
  <c r="G456" i="15" s="1"/>
  <c r="E460" i="16"/>
  <c r="E460" i="15" s="1"/>
  <c r="G460" i="15" s="1"/>
  <c r="E464" i="16"/>
  <c r="E464" i="15" s="1"/>
  <c r="G464" i="15" s="1"/>
  <c r="E468" i="16"/>
  <c r="E468" i="15" s="1"/>
  <c r="G468" i="15" s="1"/>
  <c r="E472" i="16"/>
  <c r="E472" i="15" s="1"/>
  <c r="G472" i="15" s="1"/>
  <c r="E476" i="16"/>
  <c r="E476" i="15" s="1"/>
  <c r="G476" i="15" s="1"/>
  <c r="G486" i="16"/>
  <c r="E493" i="16"/>
  <c r="E493" i="15" s="1"/>
  <c r="G493" i="15" s="1"/>
  <c r="E496" i="16"/>
  <c r="E496" i="15" s="1"/>
  <c r="G496" i="15" s="1"/>
  <c r="G502" i="16"/>
  <c r="G506" i="16"/>
  <c r="G510" i="16"/>
  <c r="G514" i="16"/>
  <c r="G518" i="16"/>
  <c r="G522" i="16"/>
  <c r="G526" i="16"/>
  <c r="G534" i="16"/>
  <c r="G538" i="16"/>
  <c r="G542" i="16"/>
  <c r="G546" i="16"/>
  <c r="G550" i="16"/>
  <c r="G554" i="16"/>
  <c r="E559" i="16"/>
  <c r="E559" i="15" s="1"/>
  <c r="G559" i="15" s="1"/>
  <c r="E563" i="16"/>
  <c r="E563" i="15" s="1"/>
  <c r="G563" i="15" s="1"/>
  <c r="E567" i="16"/>
  <c r="E567" i="15" s="1"/>
  <c r="G567" i="15" s="1"/>
  <c r="E571" i="16"/>
  <c r="E571" i="15" s="1"/>
  <c r="G571" i="15" s="1"/>
  <c r="E575" i="16"/>
  <c r="E575" i="15" s="1"/>
  <c r="G575" i="15" s="1"/>
  <c r="E579" i="16"/>
  <c r="E579" i="15" s="1"/>
  <c r="G579" i="15" s="1"/>
  <c r="E587" i="16"/>
  <c r="E587" i="15" s="1"/>
  <c r="G587" i="15" s="1"/>
  <c r="E591" i="16"/>
  <c r="E591" i="15" s="1"/>
  <c r="G591" i="15" s="1"/>
  <c r="E595" i="16"/>
  <c r="E595" i="15" s="1"/>
  <c r="G595" i="15" s="1"/>
  <c r="E599" i="16"/>
  <c r="E599" i="15" s="1"/>
  <c r="G599" i="15" s="1"/>
  <c r="G611" i="16"/>
  <c r="G615" i="16"/>
  <c r="G619" i="16"/>
  <c r="G623" i="16"/>
  <c r="G627" i="16"/>
  <c r="G631" i="16"/>
  <c r="G639" i="16"/>
  <c r="G643" i="16"/>
  <c r="G647" i="16"/>
  <c r="G651" i="16"/>
  <c r="G655" i="16"/>
  <c r="E794" i="16"/>
  <c r="E794" i="15" s="1"/>
  <c r="G794" i="15" s="1"/>
  <c r="E798" i="16"/>
  <c r="E798" i="15" s="1"/>
  <c r="G798" i="15" s="1"/>
  <c r="E802" i="16"/>
  <c r="E802" i="15" s="1"/>
  <c r="G802" i="15" s="1"/>
  <c r="E806" i="16"/>
  <c r="E806" i="15" s="1"/>
  <c r="G806" i="15" s="1"/>
  <c r="E810" i="16"/>
  <c r="E810" i="15" s="1"/>
  <c r="G810" i="15" s="1"/>
  <c r="E814" i="16"/>
  <c r="E814" i="15" s="1"/>
  <c r="G814" i="15" s="1"/>
  <c r="M223" i="16"/>
  <c r="M224" i="16"/>
  <c r="M231" i="16"/>
  <c r="M232" i="16"/>
  <c r="G275" i="16"/>
  <c r="G279" i="16"/>
  <c r="G283" i="16"/>
  <c r="G287" i="16"/>
  <c r="G291" i="16"/>
  <c r="G299" i="16"/>
  <c r="G303" i="16"/>
  <c r="G307" i="16"/>
  <c r="G311" i="16"/>
  <c r="G315" i="16"/>
  <c r="G319" i="16"/>
  <c r="G327" i="16"/>
  <c r="G331" i="16"/>
  <c r="G335" i="16"/>
  <c r="G339" i="16"/>
  <c r="G343" i="16"/>
  <c r="G347" i="16"/>
  <c r="E363" i="16"/>
  <c r="E363" i="15" s="1"/>
  <c r="G363" i="15" s="1"/>
  <c r="G378" i="16"/>
  <c r="E385" i="16"/>
  <c r="E385" i="15" s="1"/>
  <c r="G385" i="15" s="1"/>
  <c r="E388" i="16"/>
  <c r="E388" i="15" s="1"/>
  <c r="G388" i="15" s="1"/>
  <c r="G394" i="16"/>
  <c r="E405" i="16"/>
  <c r="E405" i="15" s="1"/>
  <c r="G405" i="15" s="1"/>
  <c r="E417" i="16"/>
  <c r="E417" i="15" s="1"/>
  <c r="G417" i="15" s="1"/>
  <c r="E429" i="16"/>
  <c r="E429" i="15" s="1"/>
  <c r="G429" i="15" s="1"/>
  <c r="E433" i="16"/>
  <c r="E433" i="15" s="1"/>
  <c r="G433" i="15" s="1"/>
  <c r="E437" i="16"/>
  <c r="E437" i="15" s="1"/>
  <c r="G437" i="15" s="1"/>
  <c r="E445" i="16"/>
  <c r="E445" i="15" s="1"/>
  <c r="G445" i="15" s="1"/>
  <c r="E461" i="16"/>
  <c r="E461" i="15" s="1"/>
  <c r="G461" i="15" s="1"/>
  <c r="E465" i="16"/>
  <c r="E465" i="15" s="1"/>
  <c r="G465" i="15" s="1"/>
  <c r="E469" i="16"/>
  <c r="E469" i="15" s="1"/>
  <c r="G469" i="15" s="1"/>
  <c r="E473" i="16"/>
  <c r="E473" i="15" s="1"/>
  <c r="E481" i="16"/>
  <c r="E481" i="15" s="1"/>
  <c r="G481" i="15" s="1"/>
  <c r="E484" i="16"/>
  <c r="E484" i="15" s="1"/>
  <c r="G484" i="15" s="1"/>
  <c r="G490" i="16"/>
  <c r="E497" i="16"/>
  <c r="E497" i="15" s="1"/>
  <c r="G497" i="15" s="1"/>
  <c r="E500" i="16"/>
  <c r="E500" i="15" s="1"/>
  <c r="G500" i="15" s="1"/>
  <c r="G507" i="16"/>
  <c r="G511" i="16"/>
  <c r="G515" i="16"/>
  <c r="G519" i="16"/>
  <c r="G523" i="16"/>
  <c r="G527" i="16"/>
  <c r="G535" i="16"/>
  <c r="G539" i="16"/>
  <c r="G543" i="16"/>
  <c r="G547" i="16"/>
  <c r="G551" i="16"/>
  <c r="E770" i="16"/>
  <c r="E770" i="15" s="1"/>
  <c r="G770" i="15" s="1"/>
  <c r="E774" i="16"/>
  <c r="E774" i="15" s="1"/>
  <c r="G774" i="15" s="1"/>
  <c r="E778" i="16"/>
  <c r="E778" i="15" s="1"/>
  <c r="G778" i="15" s="1"/>
  <c r="E782" i="16"/>
  <c r="E782" i="15" s="1"/>
  <c r="G782" i="15" s="1"/>
  <c r="E786" i="16"/>
  <c r="E786" i="15" s="1"/>
  <c r="G786" i="15" s="1"/>
  <c r="E795" i="16"/>
  <c r="E795" i="15" s="1"/>
  <c r="G795" i="15" s="1"/>
  <c r="E799" i="16"/>
  <c r="E799" i="15" s="1"/>
  <c r="G799" i="15" s="1"/>
  <c r="E803" i="16"/>
  <c r="E803" i="15" s="1"/>
  <c r="G803" i="15" s="1"/>
  <c r="E807" i="16"/>
  <c r="E807" i="15" s="1"/>
  <c r="G807" i="15" s="1"/>
  <c r="E811" i="16"/>
  <c r="E811" i="15" s="1"/>
  <c r="G811" i="15" s="1"/>
  <c r="M172" i="16"/>
  <c r="M179" i="16"/>
  <c r="M180" i="16"/>
  <c r="M187" i="16"/>
  <c r="E272" i="16"/>
  <c r="E276" i="16"/>
  <c r="E276" i="15" s="1"/>
  <c r="G276" i="15" s="1"/>
  <c r="E280" i="16"/>
  <c r="E280" i="15" s="1"/>
  <c r="G280" i="15" s="1"/>
  <c r="E284" i="16"/>
  <c r="E284" i="15" s="1"/>
  <c r="G284" i="15" s="1"/>
  <c r="E288" i="16"/>
  <c r="E288" i="15" s="1"/>
  <c r="G288" i="15" s="1"/>
  <c r="E292" i="16"/>
  <c r="E292" i="15" s="1"/>
  <c r="G292" i="15" s="1"/>
  <c r="E300" i="16"/>
  <c r="E300" i="15" s="1"/>
  <c r="G300" i="15" s="1"/>
  <c r="E304" i="16"/>
  <c r="E304" i="15" s="1"/>
  <c r="G304" i="15" s="1"/>
  <c r="E308" i="16"/>
  <c r="E308" i="15" s="1"/>
  <c r="G308" i="15" s="1"/>
  <c r="E312" i="16"/>
  <c r="E312" i="15" s="1"/>
  <c r="G312" i="15" s="1"/>
  <c r="E316" i="16"/>
  <c r="E316" i="15" s="1"/>
  <c r="G316" i="15" s="1"/>
  <c r="E320" i="16"/>
  <c r="E320" i="15" s="1"/>
  <c r="G320" i="15" s="1"/>
  <c r="E324" i="16"/>
  <c r="E328" i="16"/>
  <c r="E328" i="15" s="1"/>
  <c r="G328" i="15" s="1"/>
  <c r="E332" i="16"/>
  <c r="E332" i="15" s="1"/>
  <c r="G332" i="15" s="1"/>
  <c r="E336" i="16"/>
  <c r="E336" i="15" s="1"/>
  <c r="G336" i="15" s="1"/>
  <c r="E340" i="16"/>
  <c r="E340" i="15" s="1"/>
  <c r="G340" i="15" s="1"/>
  <c r="E344" i="16"/>
  <c r="E344" i="15" s="1"/>
  <c r="G344" i="15" s="1"/>
  <c r="G351" i="16"/>
  <c r="G355" i="16"/>
  <c r="G359" i="16"/>
  <c r="G363" i="16"/>
  <c r="G367" i="16"/>
  <c r="G371" i="16"/>
  <c r="E379" i="16"/>
  <c r="E379" i="15" s="1"/>
  <c r="G379" i="15" s="1"/>
  <c r="E382" i="16"/>
  <c r="E382" i="15" s="1"/>
  <c r="G382" i="15" s="1"/>
  <c r="G388" i="16"/>
  <c r="E398" i="16"/>
  <c r="E398" i="15" s="1"/>
  <c r="G398" i="15" s="1"/>
  <c r="G405" i="16"/>
  <c r="G409" i="16"/>
  <c r="G413" i="16"/>
  <c r="G417" i="16"/>
  <c r="H417" i="16" s="1"/>
  <c r="G421" i="16"/>
  <c r="G429" i="16"/>
  <c r="G433" i="16"/>
  <c r="G437" i="16"/>
  <c r="G441" i="16"/>
  <c r="G445" i="16"/>
  <c r="G449" i="16"/>
  <c r="G457" i="16"/>
  <c r="G461" i="16"/>
  <c r="H461" i="16" s="1"/>
  <c r="G465" i="16"/>
  <c r="H465" i="16" s="1"/>
  <c r="G469" i="16"/>
  <c r="G473" i="16"/>
  <c r="H473" i="16" s="1"/>
  <c r="G477" i="16"/>
  <c r="G484" i="16"/>
  <c r="E491" i="16"/>
  <c r="E491" i="15" s="1"/>
  <c r="G491" i="15" s="1"/>
  <c r="E494" i="16"/>
  <c r="E494" i="15" s="1"/>
  <c r="G494" i="15" s="1"/>
  <c r="G500" i="16"/>
  <c r="E508" i="16"/>
  <c r="E508" i="15" s="1"/>
  <c r="G508" i="15" s="1"/>
  <c r="E512" i="16"/>
  <c r="E512" i="15" s="1"/>
  <c r="G512" i="15" s="1"/>
  <c r="M149" i="16"/>
  <c r="M150" i="16"/>
  <c r="M165" i="16"/>
  <c r="G272" i="16"/>
  <c r="G276" i="16"/>
  <c r="H276" i="16" s="1"/>
  <c r="G280" i="16"/>
  <c r="H280" i="16" s="1"/>
  <c r="G304" i="16"/>
  <c r="G308" i="16"/>
  <c r="G312" i="16"/>
  <c r="G316" i="16"/>
  <c r="G320" i="16"/>
  <c r="G324" i="16"/>
  <c r="G328" i="16"/>
  <c r="G332" i="16"/>
  <c r="G336" i="16"/>
  <c r="G340" i="16"/>
  <c r="G344" i="16"/>
  <c r="E352" i="16"/>
  <c r="E352" i="15" s="1"/>
  <c r="G352" i="15" s="1"/>
  <c r="E356" i="16"/>
  <c r="E356" i="15" s="1"/>
  <c r="G356" i="15" s="1"/>
  <c r="E360" i="16"/>
  <c r="E360" i="15" s="1"/>
  <c r="G360" i="15" s="1"/>
  <c r="E364" i="16"/>
  <c r="E364" i="15" s="1"/>
  <c r="G364" i="15" s="1"/>
  <c r="E368" i="16"/>
  <c r="E368" i="15" s="1"/>
  <c r="G368" i="15" s="1"/>
  <c r="E372" i="16"/>
  <c r="E372" i="15" s="1"/>
  <c r="G372" i="15" s="1"/>
  <c r="E376" i="16"/>
  <c r="G382" i="16"/>
  <c r="E389" i="16"/>
  <c r="E389" i="15" s="1"/>
  <c r="G389" i="15" s="1"/>
  <c r="E392" i="16"/>
  <c r="E392" i="15" s="1"/>
  <c r="G392" i="15" s="1"/>
  <c r="G398" i="16"/>
  <c r="E402" i="16"/>
  <c r="E406" i="16"/>
  <c r="E406" i="15" s="1"/>
  <c r="G406" i="15" s="1"/>
  <c r="E410" i="16"/>
  <c r="E410" i="15" s="1"/>
  <c r="G410" i="15" s="1"/>
  <c r="E414" i="16"/>
  <c r="E414" i="15" s="1"/>
  <c r="G414" i="15" s="1"/>
  <c r="E418" i="16"/>
  <c r="E418" i="15" s="1"/>
  <c r="G418" i="15" s="1"/>
  <c r="E422" i="16"/>
  <c r="E422" i="15" s="1"/>
  <c r="G422" i="15" s="1"/>
  <c r="E430" i="16"/>
  <c r="E430" i="15" s="1"/>
  <c r="G430" i="15" s="1"/>
  <c r="E434" i="16"/>
  <c r="E434" i="15" s="1"/>
  <c r="G434" i="15" s="1"/>
  <c r="E438" i="16"/>
  <c r="E438" i="15" s="1"/>
  <c r="G438" i="15" s="1"/>
  <c r="E442" i="16"/>
  <c r="E442" i="15" s="1"/>
  <c r="G442" i="15" s="1"/>
  <c r="E446" i="16"/>
  <c r="E446" i="15" s="1"/>
  <c r="G446" i="15" s="1"/>
  <c r="E450" i="16"/>
  <c r="E450" i="15" s="1"/>
  <c r="G450" i="15" s="1"/>
  <c r="E454" i="16"/>
  <c r="E458" i="16"/>
  <c r="E458" i="15" s="1"/>
  <c r="G458" i="15" s="1"/>
  <c r="E462" i="16"/>
  <c r="E462" i="15" s="1"/>
  <c r="G462" i="15" s="1"/>
  <c r="E466" i="16"/>
  <c r="E466" i="15" s="1"/>
  <c r="G466" i="15" s="1"/>
  <c r="E470" i="16"/>
  <c r="E470" i="15" s="1"/>
  <c r="G470" i="15" s="1"/>
  <c r="E474" i="16"/>
  <c r="E474" i="15" s="1"/>
  <c r="G474" i="15" s="1"/>
  <c r="E485" i="16"/>
  <c r="E485" i="15" s="1"/>
  <c r="G485" i="15" s="1"/>
  <c r="E488" i="16"/>
  <c r="E488" i="15" s="1"/>
  <c r="G488" i="15" s="1"/>
  <c r="G494" i="16"/>
  <c r="E501" i="16"/>
  <c r="E501" i="15" s="1"/>
  <c r="G501" i="15" s="1"/>
  <c r="G508" i="16"/>
  <c r="G512" i="16"/>
  <c r="G718" i="16"/>
  <c r="G722" i="16"/>
  <c r="G726" i="16"/>
  <c r="G730" i="16"/>
  <c r="G734" i="16"/>
  <c r="G742" i="16"/>
  <c r="G746" i="16"/>
  <c r="G750" i="16"/>
  <c r="G754" i="16"/>
  <c r="G758" i="16"/>
  <c r="G762" i="16"/>
  <c r="E767" i="16"/>
  <c r="E767" i="15" s="1"/>
  <c r="G767" i="15" s="1"/>
  <c r="E771" i="16"/>
  <c r="E771" i="15" s="1"/>
  <c r="G771" i="15" s="1"/>
  <c r="E775" i="16"/>
  <c r="E775" i="15" s="1"/>
  <c r="G775" i="15" s="1"/>
  <c r="E779" i="16"/>
  <c r="E779" i="15" s="1"/>
  <c r="G779" i="15" s="1"/>
  <c r="E783" i="16"/>
  <c r="E783" i="15" s="1"/>
  <c r="G783" i="15" s="1"/>
  <c r="E787" i="16"/>
  <c r="E787" i="15" s="1"/>
  <c r="G787" i="15" s="1"/>
  <c r="E639" i="16"/>
  <c r="E639" i="15" s="1"/>
  <c r="G639" i="15" s="1"/>
  <c r="E655" i="16"/>
  <c r="E655" i="15" s="1"/>
  <c r="G655" i="15" s="1"/>
  <c r="E663" i="16"/>
  <c r="E663" i="15" s="1"/>
  <c r="G663" i="15" s="1"/>
  <c r="E671" i="16"/>
  <c r="E671" i="15" s="1"/>
  <c r="G671" i="15" s="1"/>
  <c r="E675" i="16"/>
  <c r="E675" i="15" s="1"/>
  <c r="G675" i="15" s="1"/>
  <c r="E679" i="16"/>
  <c r="E679" i="15" s="1"/>
  <c r="G679" i="15" s="1"/>
  <c r="E683" i="16"/>
  <c r="E683" i="15" s="1"/>
  <c r="G683" i="15" s="1"/>
  <c r="E691" i="16"/>
  <c r="E691" i="15" s="1"/>
  <c r="G691" i="15" s="1"/>
  <c r="E695" i="16"/>
  <c r="E695" i="15" s="1"/>
  <c r="G695" i="15" s="1"/>
  <c r="E699" i="16"/>
  <c r="E699" i="15" s="1"/>
  <c r="G699" i="15" s="1"/>
  <c r="E703" i="16"/>
  <c r="E703" i="15" s="1"/>
  <c r="G703" i="15" s="1"/>
  <c r="E707" i="16"/>
  <c r="E707" i="15" s="1"/>
  <c r="G707" i="15" s="1"/>
  <c r="E715" i="16"/>
  <c r="E715" i="15" s="1"/>
  <c r="G715" i="15" s="1"/>
  <c r="E719" i="16"/>
  <c r="E719" i="15" s="1"/>
  <c r="G719" i="15" s="1"/>
  <c r="E723" i="16"/>
  <c r="E723" i="15" s="1"/>
  <c r="G723" i="15" s="1"/>
  <c r="E727" i="16"/>
  <c r="E727" i="15" s="1"/>
  <c r="G727" i="15" s="1"/>
  <c r="E731" i="16"/>
  <c r="E731" i="15" s="1"/>
  <c r="G731" i="15" s="1"/>
  <c r="E735" i="16"/>
  <c r="E735" i="15" s="1"/>
  <c r="G735" i="15" s="1"/>
  <c r="E743" i="16"/>
  <c r="E743" i="15" s="1"/>
  <c r="G743" i="15" s="1"/>
  <c r="E747" i="16"/>
  <c r="E747" i="15" s="1"/>
  <c r="G747" i="15" s="1"/>
  <c r="E751" i="16"/>
  <c r="E751" i="15" s="1"/>
  <c r="G751" i="15" s="1"/>
  <c r="G766" i="16"/>
  <c r="G770" i="16"/>
  <c r="G774" i="16"/>
  <c r="G778" i="16"/>
  <c r="G782" i="16"/>
  <c r="G786" i="16"/>
  <c r="G794" i="16"/>
  <c r="H794" i="16" s="1"/>
  <c r="G798" i="16"/>
  <c r="G802" i="16"/>
  <c r="G806" i="16"/>
  <c r="G810" i="16"/>
  <c r="G814" i="16"/>
  <c r="M74" i="16"/>
  <c r="M87" i="16"/>
  <c r="M89" i="16" s="1"/>
  <c r="M188" i="16"/>
  <c r="E516" i="16"/>
  <c r="E516" i="15" s="1"/>
  <c r="G516" i="15" s="1"/>
  <c r="E520" i="16"/>
  <c r="E520" i="15" s="1"/>
  <c r="G520" i="15" s="1"/>
  <c r="E524" i="16"/>
  <c r="E524" i="15" s="1"/>
  <c r="G524" i="15" s="1"/>
  <c r="E528" i="16"/>
  <c r="E528" i="15" s="1"/>
  <c r="G528" i="15" s="1"/>
  <c r="E532" i="16"/>
  <c r="E556" i="16" s="1"/>
  <c r="I556" i="16" s="1"/>
  <c r="E536" i="16"/>
  <c r="E536" i="15" s="1"/>
  <c r="G536" i="15" s="1"/>
  <c r="E540" i="16"/>
  <c r="E540" i="15" s="1"/>
  <c r="G540" i="15" s="1"/>
  <c r="E544" i="16"/>
  <c r="E544" i="15" s="1"/>
  <c r="G544" i="15" s="1"/>
  <c r="E548" i="16"/>
  <c r="E548" i="15" s="1"/>
  <c r="G548" i="15" s="1"/>
  <c r="E552" i="16"/>
  <c r="E552" i="15" s="1"/>
  <c r="G552" i="15" s="1"/>
  <c r="E560" i="16"/>
  <c r="E560" i="15" s="1"/>
  <c r="G560" i="15" s="1"/>
  <c r="E564" i="16"/>
  <c r="E564" i="15" s="1"/>
  <c r="G564" i="15" s="1"/>
  <c r="E568" i="16"/>
  <c r="E568" i="15" s="1"/>
  <c r="G568" i="15" s="1"/>
  <c r="E572" i="16"/>
  <c r="E572" i="15" s="1"/>
  <c r="G572" i="15" s="1"/>
  <c r="E576" i="16"/>
  <c r="E576" i="15" s="1"/>
  <c r="G576" i="15" s="1"/>
  <c r="E580" i="16"/>
  <c r="E580" i="15" s="1"/>
  <c r="G580" i="15" s="1"/>
  <c r="E584" i="16"/>
  <c r="E588" i="16"/>
  <c r="E588" i="15" s="1"/>
  <c r="G588" i="15" s="1"/>
  <c r="E592" i="16"/>
  <c r="E592" i="15" s="1"/>
  <c r="G592" i="15" s="1"/>
  <c r="E596" i="16"/>
  <c r="E596" i="15" s="1"/>
  <c r="G596" i="15" s="1"/>
  <c r="E600" i="16"/>
  <c r="E600" i="15" s="1"/>
  <c r="G600" i="15" s="1"/>
  <c r="E604" i="16"/>
  <c r="E604" i="15" s="1"/>
  <c r="G604" i="15" s="1"/>
  <c r="E612" i="16"/>
  <c r="E612" i="15" s="1"/>
  <c r="G612" i="15" s="1"/>
  <c r="E616" i="16"/>
  <c r="E616" i="15" s="1"/>
  <c r="G616" i="15" s="1"/>
  <c r="E620" i="16"/>
  <c r="E620" i="15" s="1"/>
  <c r="G620" i="15" s="1"/>
  <c r="E624" i="16"/>
  <c r="E624" i="15" s="1"/>
  <c r="G624" i="15" s="1"/>
  <c r="E628" i="16"/>
  <c r="E628" i="15" s="1"/>
  <c r="G628" i="15" s="1"/>
  <c r="E632" i="16"/>
  <c r="E632" i="15" s="1"/>
  <c r="G632" i="15" s="1"/>
  <c r="E636" i="16"/>
  <c r="E640" i="16"/>
  <c r="E640" i="15" s="1"/>
  <c r="G640" i="15" s="1"/>
  <c r="E644" i="16"/>
  <c r="E644" i="15" s="1"/>
  <c r="G644" i="15" s="1"/>
  <c r="E648" i="16"/>
  <c r="E648" i="15" s="1"/>
  <c r="G648" i="15" s="1"/>
  <c r="E652" i="16"/>
  <c r="E652" i="15" s="1"/>
  <c r="G652" i="15" s="1"/>
  <c r="E656" i="16"/>
  <c r="E656" i="15" s="1"/>
  <c r="G656" i="15" s="1"/>
  <c r="E664" i="16"/>
  <c r="E664" i="15" s="1"/>
  <c r="G664" i="15" s="1"/>
  <c r="E668" i="16"/>
  <c r="E668" i="15" s="1"/>
  <c r="G668" i="15" s="1"/>
  <c r="E672" i="16"/>
  <c r="E672" i="15" s="1"/>
  <c r="G672" i="15" s="1"/>
  <c r="E676" i="16"/>
  <c r="E676" i="15" s="1"/>
  <c r="G676" i="15" s="1"/>
  <c r="E680" i="16"/>
  <c r="E680" i="15" s="1"/>
  <c r="G680" i="15" s="1"/>
  <c r="E684" i="16"/>
  <c r="E684" i="15" s="1"/>
  <c r="G684" i="15" s="1"/>
  <c r="E688" i="16"/>
  <c r="E696" i="16"/>
  <c r="E696" i="15" s="1"/>
  <c r="G696" i="15" s="1"/>
  <c r="E700" i="16"/>
  <c r="E700" i="15" s="1"/>
  <c r="G700" i="15" s="1"/>
  <c r="E704" i="16"/>
  <c r="E704" i="15" s="1"/>
  <c r="G704" i="15" s="1"/>
  <c r="E728" i="16"/>
  <c r="E728" i="15" s="1"/>
  <c r="G728" i="15" s="1"/>
  <c r="E732" i="16"/>
  <c r="E732" i="15" s="1"/>
  <c r="G732" i="15" s="1"/>
  <c r="E736" i="16"/>
  <c r="E736" i="15" s="1"/>
  <c r="G736" i="15" s="1"/>
  <c r="E740" i="16"/>
  <c r="E744" i="16"/>
  <c r="E744" i="15" s="1"/>
  <c r="G744" i="15" s="1"/>
  <c r="E748" i="16"/>
  <c r="E748" i="15" s="1"/>
  <c r="E752" i="16"/>
  <c r="E752" i="15" s="1"/>
  <c r="G752" i="15" s="1"/>
  <c r="E756" i="16"/>
  <c r="E756" i="15" s="1"/>
  <c r="G756" i="15" s="1"/>
  <c r="E760" i="16"/>
  <c r="E760" i="15" s="1"/>
  <c r="G760" i="15" s="1"/>
  <c r="G767" i="16"/>
  <c r="G779" i="16"/>
  <c r="G803" i="16"/>
  <c r="G807" i="16"/>
  <c r="M168" i="16"/>
  <c r="G516" i="16"/>
  <c r="G520" i="16"/>
  <c r="G524" i="16"/>
  <c r="G528" i="16"/>
  <c r="G532" i="16"/>
  <c r="G536" i="16"/>
  <c r="G540" i="16"/>
  <c r="G544" i="16"/>
  <c r="G548" i="16"/>
  <c r="G552" i="16"/>
  <c r="G560" i="16"/>
  <c r="G564" i="16"/>
  <c r="G568" i="16"/>
  <c r="G572" i="16"/>
  <c r="G576" i="16"/>
  <c r="G580" i="16"/>
  <c r="G584" i="16"/>
  <c r="G588" i="16"/>
  <c r="G592" i="16"/>
  <c r="G596" i="16"/>
  <c r="G600" i="16"/>
  <c r="G604" i="16"/>
  <c r="G612" i="16"/>
  <c r="G616" i="16"/>
  <c r="G620" i="16"/>
  <c r="G624" i="16"/>
  <c r="G628" i="16"/>
  <c r="G632" i="16"/>
  <c r="G636" i="16"/>
  <c r="G640" i="16"/>
  <c r="G644" i="16"/>
  <c r="G648" i="16"/>
  <c r="G652" i="16"/>
  <c r="G656" i="16"/>
  <c r="G664" i="16"/>
  <c r="G668" i="16"/>
  <c r="G672" i="16"/>
  <c r="G676" i="16"/>
  <c r="G680" i="16"/>
  <c r="G684" i="16"/>
  <c r="G688" i="16"/>
  <c r="G692" i="16"/>
  <c r="G696" i="16"/>
  <c r="G700" i="16"/>
  <c r="G704" i="16"/>
  <c r="G708" i="16"/>
  <c r="G716" i="16"/>
  <c r="G720" i="16"/>
  <c r="G724" i="16"/>
  <c r="G728" i="16"/>
  <c r="H728" i="16" s="1"/>
  <c r="G732" i="16"/>
  <c r="H732" i="16" s="1"/>
  <c r="G736" i="16"/>
  <c r="H736" i="16" s="1"/>
  <c r="G740" i="16"/>
  <c r="G744" i="16"/>
  <c r="H744" i="16" s="1"/>
  <c r="G748" i="16"/>
  <c r="H748" i="16" s="1"/>
  <c r="G752" i="16"/>
  <c r="G756" i="16"/>
  <c r="G760" i="16"/>
  <c r="H760" i="16" s="1"/>
  <c r="E768" i="16"/>
  <c r="E768" i="15" s="1"/>
  <c r="G768" i="15" s="1"/>
  <c r="E772" i="16"/>
  <c r="E772" i="15" s="1"/>
  <c r="G772" i="15" s="1"/>
  <c r="E776" i="16"/>
  <c r="E776" i="15" s="1"/>
  <c r="G776" i="15" s="1"/>
  <c r="E780" i="16"/>
  <c r="E780" i="15" s="1"/>
  <c r="G780" i="15" s="1"/>
  <c r="E784" i="16"/>
  <c r="E784" i="15" s="1"/>
  <c r="G784" i="15" s="1"/>
  <c r="E788" i="16"/>
  <c r="E788" i="15" s="1"/>
  <c r="G788" i="15" s="1"/>
  <c r="E792" i="16"/>
  <c r="E796" i="16"/>
  <c r="E796" i="15" s="1"/>
  <c r="G796" i="15" s="1"/>
  <c r="E800" i="16"/>
  <c r="E800" i="15" s="1"/>
  <c r="G800" i="15" s="1"/>
  <c r="E804" i="16"/>
  <c r="E804" i="15" s="1"/>
  <c r="G804" i="15" s="1"/>
  <c r="E808" i="16"/>
  <c r="E808" i="15" s="1"/>
  <c r="G808" i="15" s="1"/>
  <c r="E812" i="16"/>
  <c r="E812" i="15" s="1"/>
  <c r="G812" i="15" s="1"/>
  <c r="M409" i="16"/>
  <c r="M410" i="16"/>
  <c r="N410" i="16" s="1"/>
  <c r="E665" i="16"/>
  <c r="E665" i="15" s="1"/>
  <c r="G665" i="15" s="1"/>
  <c r="E705" i="16"/>
  <c r="E705" i="15" s="1"/>
  <c r="G705" i="15" s="1"/>
  <c r="E709" i="16"/>
  <c r="E709" i="15" s="1"/>
  <c r="G709" i="15" s="1"/>
  <c r="E721" i="16"/>
  <c r="E721" i="15" s="1"/>
  <c r="G721" i="15" s="1"/>
  <c r="E725" i="16"/>
  <c r="E725" i="15" s="1"/>
  <c r="G725" i="15" s="1"/>
  <c r="E757" i="16"/>
  <c r="E757" i="15" s="1"/>
  <c r="G757" i="15" s="1"/>
  <c r="G776" i="16"/>
  <c r="G792" i="16"/>
  <c r="M447" i="16"/>
  <c r="M448" i="16"/>
  <c r="M647" i="16"/>
  <c r="M648" i="16"/>
  <c r="M740" i="16"/>
  <c r="M66" i="16"/>
  <c r="M79" i="16"/>
  <c r="M85" i="16"/>
  <c r="M153" i="16"/>
  <c r="M159" i="16"/>
  <c r="M222" i="16"/>
  <c r="M235" i="16"/>
  <c r="M241" i="16"/>
  <c r="M248" i="16"/>
  <c r="M256" i="16"/>
  <c r="M264" i="16"/>
  <c r="M277" i="16"/>
  <c r="M290" i="16"/>
  <c r="M309" i="16"/>
  <c r="M315" i="16"/>
  <c r="M329" i="16"/>
  <c r="M337" i="16"/>
  <c r="M345" i="16"/>
  <c r="M364" i="16"/>
  <c r="M393" i="16"/>
  <c r="M413" i="16"/>
  <c r="M419" i="16"/>
  <c r="N419" i="16" s="1"/>
  <c r="M438" i="16"/>
  <c r="M451" i="16"/>
  <c r="M481" i="16"/>
  <c r="M489" i="16"/>
  <c r="M497" i="16"/>
  <c r="M512" i="16"/>
  <c r="M520" i="16"/>
  <c r="M528" i="16"/>
  <c r="M534" i="16"/>
  <c r="M547" i="16"/>
  <c r="M553" i="16"/>
  <c r="M560" i="16"/>
  <c r="M589" i="16"/>
  <c r="M743" i="16"/>
  <c r="M797" i="16"/>
  <c r="M148" i="16"/>
  <c r="M161" i="16"/>
  <c r="M202" i="16"/>
  <c r="M210" i="16"/>
  <c r="M230" i="16"/>
  <c r="M243" i="16"/>
  <c r="M250" i="16"/>
  <c r="M258" i="16"/>
  <c r="M266" i="16"/>
  <c r="M279" i="16"/>
  <c r="M304" i="16"/>
  <c r="M317" i="16"/>
  <c r="M331" i="16"/>
  <c r="M339" i="16"/>
  <c r="M347" i="16"/>
  <c r="M353" i="16"/>
  <c r="M372" i="16"/>
  <c r="M379" i="16"/>
  <c r="M387" i="16"/>
  <c r="M395" i="16"/>
  <c r="M408" i="16"/>
  <c r="M421" i="16"/>
  <c r="M446" i="16"/>
  <c r="M460" i="16"/>
  <c r="M468" i="16"/>
  <c r="M476" i="16"/>
  <c r="M500" i="16"/>
  <c r="M514" i="16"/>
  <c r="M522" i="16"/>
  <c r="M542" i="16"/>
  <c r="M555" i="16"/>
  <c r="M562" i="16"/>
  <c r="M570" i="16"/>
  <c r="M578" i="16"/>
  <c r="M591" i="16"/>
  <c r="M618" i="16"/>
  <c r="M626" i="16"/>
  <c r="M646" i="16"/>
  <c r="M659" i="16"/>
  <c r="M666" i="16"/>
  <c r="M674" i="16"/>
  <c r="M682" i="16"/>
  <c r="M697" i="16"/>
  <c r="M725" i="16"/>
  <c r="M751" i="16"/>
  <c r="M763" i="16"/>
  <c r="M770" i="16"/>
  <c r="M778" i="16"/>
  <c r="M786" i="16"/>
  <c r="M799" i="16"/>
  <c r="M805" i="16"/>
  <c r="M69" i="16"/>
  <c r="M82" i="16"/>
  <c r="M143" i="16"/>
  <c r="M156" i="16"/>
  <c r="M196" i="16"/>
  <c r="M238" i="16"/>
  <c r="M252" i="16"/>
  <c r="M260" i="16"/>
  <c r="M268" i="16"/>
  <c r="M274" i="16"/>
  <c r="M287" i="16"/>
  <c r="M293" i="16"/>
  <c r="M299" i="16"/>
  <c r="M312" i="16"/>
  <c r="M325" i="16"/>
  <c r="M333" i="16"/>
  <c r="N333" i="16" s="1"/>
  <c r="M341" i="16"/>
  <c r="M361" i="16"/>
  <c r="M381" i="16"/>
  <c r="M389" i="16"/>
  <c r="M403" i="16"/>
  <c r="M416" i="16"/>
  <c r="N416" i="16" s="1"/>
  <c r="M435" i="16"/>
  <c r="M441" i="16"/>
  <c r="M454" i="16"/>
  <c r="M485" i="16"/>
  <c r="M493" i="16"/>
  <c r="M501" i="16"/>
  <c r="M508" i="16"/>
  <c r="M516" i="16"/>
  <c r="M524" i="16"/>
  <c r="M537" i="16"/>
  <c r="M550" i="16"/>
  <c r="M564" i="16"/>
  <c r="M572" i="16"/>
  <c r="M580" i="16"/>
  <c r="M586" i="16"/>
  <c r="M599" i="16"/>
  <c r="M641" i="16"/>
  <c r="M654" i="16"/>
  <c r="M668" i="16"/>
  <c r="M676" i="16"/>
  <c r="M684" i="16"/>
  <c r="M691" i="16"/>
  <c r="M699" i="16"/>
  <c r="M707" i="16"/>
  <c r="M720" i="16"/>
  <c r="M733" i="16"/>
  <c r="M758" i="16"/>
  <c r="M772" i="16"/>
  <c r="M780" i="16"/>
  <c r="M788" i="16"/>
  <c r="M794" i="16"/>
  <c r="M807" i="16"/>
  <c r="M163" i="16"/>
  <c r="M170" i="16"/>
  <c r="M186" i="16"/>
  <c r="M281" i="16"/>
  <c r="M319" i="16"/>
  <c r="M355" i="16"/>
  <c r="M423" i="16"/>
  <c r="M429" i="16"/>
  <c r="M487" i="16"/>
  <c r="M495" i="16"/>
  <c r="M503" i="16"/>
  <c r="M593" i="16"/>
  <c r="M801" i="16"/>
  <c r="M622" i="16"/>
  <c r="M630" i="16"/>
  <c r="M643" i="16"/>
  <c r="M662" i="16"/>
  <c r="M670" i="16"/>
  <c r="M678" i="16"/>
  <c r="M693" i="16"/>
  <c r="M701" i="16"/>
  <c r="M709" i="16"/>
  <c r="M715" i="16"/>
  <c r="M728" i="16"/>
  <c r="M753" i="16"/>
  <c r="M774" i="16"/>
  <c r="M782" i="16"/>
  <c r="M802" i="16"/>
  <c r="M815" i="16"/>
  <c r="M234" i="16"/>
  <c r="M247" i="16"/>
  <c r="M255" i="16"/>
  <c r="M263" i="16"/>
  <c r="M283" i="16"/>
  <c r="M308" i="16"/>
  <c r="M321" i="16"/>
  <c r="M328" i="16"/>
  <c r="M336" i="16"/>
  <c r="M357" i="16"/>
  <c r="M384" i="16"/>
  <c r="M392" i="16"/>
  <c r="M412" i="16"/>
  <c r="M425" i="16"/>
  <c r="M431" i="16"/>
  <c r="M450" i="16"/>
  <c r="M488" i="16"/>
  <c r="M496" i="16"/>
  <c r="M511" i="16"/>
  <c r="M519" i="16"/>
  <c r="M546" i="16"/>
  <c r="M559" i="16"/>
  <c r="M567" i="16"/>
  <c r="M575" i="16"/>
  <c r="M595" i="16"/>
  <c r="M601" i="16"/>
  <c r="M615" i="16"/>
  <c r="M637" i="16"/>
  <c r="M722" i="16"/>
  <c r="M775" i="16"/>
  <c r="M783" i="16"/>
  <c r="M803" i="16"/>
  <c r="M809" i="16"/>
  <c r="M741" i="16"/>
  <c r="M745" i="16"/>
  <c r="M761" i="16"/>
  <c r="M742" i="16"/>
  <c r="M746" i="16"/>
  <c r="M750" i="16"/>
  <c r="M727" i="16"/>
  <c r="M731" i="16"/>
  <c r="M735" i="16"/>
  <c r="M689" i="16"/>
  <c r="M705" i="16"/>
  <c r="M612" i="16"/>
  <c r="M620" i="16"/>
  <c r="M624" i="16"/>
  <c r="M628" i="16"/>
  <c r="M632" i="16"/>
  <c r="M585" i="16"/>
  <c r="M597" i="16"/>
  <c r="M605" i="16"/>
  <c r="M549" i="16"/>
  <c r="M527" i="16"/>
  <c r="M482" i="16"/>
  <c r="M486" i="16"/>
  <c r="M490" i="16"/>
  <c r="M494" i="16"/>
  <c r="M498" i="16"/>
  <c r="M502" i="16"/>
  <c r="M455" i="16"/>
  <c r="M471" i="16"/>
  <c r="M475" i="16"/>
  <c r="M457" i="16"/>
  <c r="M461" i="16"/>
  <c r="M465" i="16"/>
  <c r="M469" i="16"/>
  <c r="M473" i="16"/>
  <c r="M411" i="16"/>
  <c r="M377" i="16"/>
  <c r="M385" i="16"/>
  <c r="M397" i="16"/>
  <c r="M351" i="16"/>
  <c r="M359" i="16"/>
  <c r="M367" i="16"/>
  <c r="M343" i="16"/>
  <c r="M316" i="16"/>
  <c r="M273" i="16"/>
  <c r="M289" i="16"/>
  <c r="M225" i="16"/>
  <c r="M233" i="16"/>
  <c r="M199" i="16"/>
  <c r="M203" i="16"/>
  <c r="M207" i="16"/>
  <c r="M211" i="16"/>
  <c r="M215" i="16"/>
  <c r="M204" i="16"/>
  <c r="M216" i="16"/>
  <c r="M169" i="16"/>
  <c r="M173" i="16"/>
  <c r="M177" i="16"/>
  <c r="M181" i="16"/>
  <c r="M185" i="16"/>
  <c r="M189" i="16"/>
  <c r="E815" i="16"/>
  <c r="E815" i="15" s="1"/>
  <c r="G815" i="15" s="1"/>
  <c r="G815" i="16"/>
  <c r="E785" i="16"/>
  <c r="E785" i="15" s="1"/>
  <c r="G785" i="15" s="1"/>
  <c r="E789" i="16"/>
  <c r="G789" i="16"/>
  <c r="E745" i="16"/>
  <c r="E745" i="15" s="1"/>
  <c r="G745" i="15" s="1"/>
  <c r="E755" i="16"/>
  <c r="E755" i="15" s="1"/>
  <c r="G755" i="15" s="1"/>
  <c r="E759" i="16"/>
  <c r="E759" i="15" s="1"/>
  <c r="G759" i="15" s="1"/>
  <c r="E763" i="16"/>
  <c r="E717" i="16"/>
  <c r="E717" i="15" s="1"/>
  <c r="G717" i="15" s="1"/>
  <c r="E737" i="16"/>
  <c r="G737" i="16"/>
  <c r="E711" i="16"/>
  <c r="E711" i="15" s="1"/>
  <c r="G711" i="15" s="1"/>
  <c r="G711" i="16"/>
  <c r="E685" i="16"/>
  <c r="E667" i="16"/>
  <c r="E667" i="15" s="1"/>
  <c r="G667" i="15" s="1"/>
  <c r="G685" i="16"/>
  <c r="E637" i="16"/>
  <c r="E637" i="15" s="1"/>
  <c r="G637" i="15" s="1"/>
  <c r="E643" i="16"/>
  <c r="E643" i="15" s="1"/>
  <c r="G643" i="15" s="1"/>
  <c r="E647" i="16"/>
  <c r="E647" i="15" s="1"/>
  <c r="G647" i="15" s="1"/>
  <c r="E651" i="16"/>
  <c r="E651" i="15" s="1"/>
  <c r="G651" i="15" s="1"/>
  <c r="E659" i="16"/>
  <c r="G659" i="16"/>
  <c r="E611" i="16"/>
  <c r="E611" i="15" s="1"/>
  <c r="G611" i="15" s="1"/>
  <c r="E613" i="16"/>
  <c r="E613" i="15" s="1"/>
  <c r="G613" i="15" s="1"/>
  <c r="E615" i="16"/>
  <c r="E615" i="15" s="1"/>
  <c r="G615" i="15" s="1"/>
  <c r="E617" i="16"/>
  <c r="E617" i="15" s="1"/>
  <c r="G617" i="15" s="1"/>
  <c r="E619" i="16"/>
  <c r="E619" i="15" s="1"/>
  <c r="G619" i="15" s="1"/>
  <c r="E621" i="16"/>
  <c r="E621" i="15" s="1"/>
  <c r="G621" i="15" s="1"/>
  <c r="E623" i="16"/>
  <c r="E623" i="15" s="1"/>
  <c r="G623" i="15" s="1"/>
  <c r="E625" i="16"/>
  <c r="E625" i="15" s="1"/>
  <c r="G625" i="15" s="1"/>
  <c r="E627" i="16"/>
  <c r="E627" i="15" s="1"/>
  <c r="G627" i="15" s="1"/>
  <c r="E629" i="16"/>
  <c r="E629" i="15" s="1"/>
  <c r="G629" i="15" s="1"/>
  <c r="E631" i="16"/>
  <c r="E631" i="15" s="1"/>
  <c r="G631" i="15" s="1"/>
  <c r="E633" i="16"/>
  <c r="G633" i="16"/>
  <c r="E589" i="16"/>
  <c r="E589" i="15" s="1"/>
  <c r="G589" i="15" s="1"/>
  <c r="E603" i="16"/>
  <c r="E603" i="15" s="1"/>
  <c r="G603" i="15" s="1"/>
  <c r="E605" i="16"/>
  <c r="E605" i="15" s="1"/>
  <c r="G605" i="15" s="1"/>
  <c r="E607" i="16"/>
  <c r="G607" i="16"/>
  <c r="E581" i="16"/>
  <c r="E581" i="15" s="1"/>
  <c r="G581" i="15" s="1"/>
  <c r="G581" i="16"/>
  <c r="E555" i="16"/>
  <c r="G555" i="16"/>
  <c r="E519" i="16"/>
  <c r="E519" i="15" s="1"/>
  <c r="G519" i="15" s="1"/>
  <c r="E529" i="16"/>
  <c r="G529" i="16"/>
  <c r="E503" i="16"/>
  <c r="E503" i="15" s="1"/>
  <c r="G503" i="15" s="1"/>
  <c r="G503" i="16"/>
  <c r="E457" i="16"/>
  <c r="E457" i="15" s="1"/>
  <c r="G457" i="15" s="1"/>
  <c r="E459" i="16"/>
  <c r="E459" i="15" s="1"/>
  <c r="G459" i="15" s="1"/>
  <c r="E467" i="16"/>
  <c r="E467" i="15" s="1"/>
  <c r="G467" i="15" s="1"/>
  <c r="E477" i="16"/>
  <c r="E435" i="16"/>
  <c r="E435" i="15" s="1"/>
  <c r="G435" i="15" s="1"/>
  <c r="E441" i="16"/>
  <c r="E441" i="15" s="1"/>
  <c r="G441" i="15" s="1"/>
  <c r="E449" i="16"/>
  <c r="E449" i="15" s="1"/>
  <c r="G449" i="15" s="1"/>
  <c r="E451" i="16"/>
  <c r="G451" i="16"/>
  <c r="E409" i="16"/>
  <c r="E409" i="15" s="1"/>
  <c r="G409" i="15" s="1"/>
  <c r="E413" i="16"/>
  <c r="E413" i="15" s="1"/>
  <c r="G413" i="15" s="1"/>
  <c r="E421" i="16"/>
  <c r="E421" i="15" s="1"/>
  <c r="G421" i="15" s="1"/>
  <c r="E425" i="16"/>
  <c r="G425" i="16"/>
  <c r="E383" i="16"/>
  <c r="E383" i="15" s="1"/>
  <c r="G383" i="15" s="1"/>
  <c r="E387" i="16"/>
  <c r="E387" i="15" s="1"/>
  <c r="G387" i="15" s="1"/>
  <c r="E391" i="16"/>
  <c r="E391" i="15" s="1"/>
  <c r="G391" i="15" s="1"/>
  <c r="E395" i="16"/>
  <c r="E395" i="15" s="1"/>
  <c r="G395" i="15" s="1"/>
  <c r="E399" i="16"/>
  <c r="E351" i="16"/>
  <c r="E351" i="15" s="1"/>
  <c r="G351" i="15" s="1"/>
  <c r="E353" i="16"/>
  <c r="E353" i="15" s="1"/>
  <c r="G353" i="15" s="1"/>
  <c r="E355" i="16"/>
  <c r="E355" i="15" s="1"/>
  <c r="G355" i="15" s="1"/>
  <c r="E359" i="16"/>
  <c r="E359" i="15" s="1"/>
  <c r="G359" i="15" s="1"/>
  <c r="E365" i="16"/>
  <c r="E365" i="15" s="1"/>
  <c r="G365" i="15" s="1"/>
  <c r="E367" i="16"/>
  <c r="E367" i="15" s="1"/>
  <c r="G367" i="15" s="1"/>
  <c r="E369" i="16"/>
  <c r="E369" i="15" s="1"/>
  <c r="G369" i="15" s="1"/>
  <c r="E371" i="16"/>
  <c r="E371" i="15" s="1"/>
  <c r="G371" i="15" s="1"/>
  <c r="E373" i="16"/>
  <c r="G373" i="16"/>
  <c r="E331" i="16"/>
  <c r="E331" i="15" s="1"/>
  <c r="G331" i="15" s="1"/>
  <c r="E341" i="16"/>
  <c r="E341" i="15" s="1"/>
  <c r="G341" i="15" s="1"/>
  <c r="E347" i="16"/>
  <c r="E303" i="16"/>
  <c r="E303" i="15" s="1"/>
  <c r="G303" i="15" s="1"/>
  <c r="E307" i="16"/>
  <c r="E307" i="15" s="1"/>
  <c r="G307" i="15" s="1"/>
  <c r="E309" i="16"/>
  <c r="E309" i="15" s="1"/>
  <c r="G309" i="15" s="1"/>
  <c r="E311" i="16"/>
  <c r="E311" i="15" s="1"/>
  <c r="G311" i="15" s="1"/>
  <c r="E313" i="16"/>
  <c r="E313" i="15" s="1"/>
  <c r="G313" i="15" s="1"/>
  <c r="E315" i="16"/>
  <c r="E315" i="15" s="1"/>
  <c r="G315" i="15" s="1"/>
  <c r="E317" i="16"/>
  <c r="E317" i="15" s="1"/>
  <c r="G317" i="15" s="1"/>
  <c r="E321" i="16"/>
  <c r="G321" i="16"/>
  <c r="E295" i="16"/>
  <c r="G281" i="16"/>
  <c r="G295" i="16"/>
  <c r="E255" i="16"/>
  <c r="E255" i="15" s="1"/>
  <c r="G255" i="15" s="1"/>
  <c r="E269" i="16"/>
  <c r="G269" i="16"/>
  <c r="E259" i="16"/>
  <c r="E259" i="15" s="1"/>
  <c r="G259" i="15" s="1"/>
  <c r="E227" i="16"/>
  <c r="E227" i="15" s="1"/>
  <c r="G227" i="15" s="1"/>
  <c r="E237" i="16"/>
  <c r="E237" i="15" s="1"/>
  <c r="G237" i="15" s="1"/>
  <c r="E243" i="16"/>
  <c r="G243" i="16"/>
  <c r="E197" i="16"/>
  <c r="E197" i="15" s="1"/>
  <c r="G197" i="15" s="1"/>
  <c r="E199" i="16"/>
  <c r="E199" i="15" s="1"/>
  <c r="G199" i="15" s="1"/>
  <c r="E203" i="16"/>
  <c r="E203" i="15" s="1"/>
  <c r="G203" i="15" s="1"/>
  <c r="E207" i="16"/>
  <c r="E207" i="15" s="1"/>
  <c r="G207" i="15" s="1"/>
  <c r="E217" i="16"/>
  <c r="G217" i="16"/>
  <c r="E179" i="16"/>
  <c r="E179" i="15" s="1"/>
  <c r="G179" i="15" s="1"/>
  <c r="E181" i="16"/>
  <c r="E181" i="15" s="1"/>
  <c r="G181" i="15" s="1"/>
  <c r="E183" i="16"/>
  <c r="E183" i="15" s="1"/>
  <c r="G183" i="15" s="1"/>
  <c r="E187" i="16"/>
  <c r="E187" i="15" s="1"/>
  <c r="G187" i="15" s="1"/>
  <c r="E191" i="16"/>
  <c r="G191" i="16"/>
  <c r="E165" i="16"/>
  <c r="E123" i="15"/>
  <c r="G123" i="15" s="1"/>
  <c r="E127" i="15"/>
  <c r="G127" i="15" s="1"/>
  <c r="E131" i="15"/>
  <c r="G131" i="15" s="1"/>
  <c r="E67" i="16"/>
  <c r="E67" i="15" s="1"/>
  <c r="G67" i="15" s="1"/>
  <c r="E69" i="16"/>
  <c r="E69" i="15" s="1"/>
  <c r="G69" i="15" s="1"/>
  <c r="E87" i="16"/>
  <c r="E89" i="16" s="1"/>
  <c r="G87" i="16"/>
  <c r="G89" i="16" s="1"/>
  <c r="E59" i="15"/>
  <c r="G59" i="15" s="1"/>
  <c r="E51" i="15"/>
  <c r="G51" i="15" s="1"/>
  <c r="E47" i="15"/>
  <c r="G47" i="15" s="1"/>
  <c r="E55" i="15"/>
  <c r="G55" i="15" s="1"/>
  <c r="E57" i="15"/>
  <c r="G57" i="15" s="1"/>
  <c r="E49" i="15"/>
  <c r="G49" i="15" s="1"/>
  <c r="E27" i="15"/>
  <c r="G27" i="15" s="1"/>
  <c r="E13" i="16"/>
  <c r="E13" i="15" s="1"/>
  <c r="G13" i="15" s="1"/>
  <c r="E17" i="16"/>
  <c r="E17" i="15" s="1"/>
  <c r="G17" i="15" s="1"/>
  <c r="E21" i="16"/>
  <c r="E21" i="15" s="1"/>
  <c r="H21" i="15" s="1"/>
  <c r="E25" i="15"/>
  <c r="G25" i="15" s="1"/>
  <c r="E29" i="15"/>
  <c r="G29" i="15" s="1"/>
  <c r="E33" i="15"/>
  <c r="G33" i="15" s="1"/>
  <c r="G22" i="16"/>
  <c r="G15" i="16"/>
  <c r="G19" i="16"/>
  <c r="G23" i="16"/>
  <c r="G27" i="16"/>
  <c r="G31" i="16"/>
  <c r="G35" i="16"/>
  <c r="E14" i="16"/>
  <c r="E14" i="15" s="1"/>
  <c r="G14" i="15" s="1"/>
  <c r="E18" i="16"/>
  <c r="E18" i="15" s="1"/>
  <c r="G18" i="15" s="1"/>
  <c r="E30" i="15"/>
  <c r="G30" i="15" s="1"/>
  <c r="E22" i="15"/>
  <c r="G22" i="15" s="1"/>
  <c r="E26" i="15"/>
  <c r="G26" i="15" s="1"/>
  <c r="E34" i="15"/>
  <c r="H34" i="15" s="1"/>
  <c r="G13" i="16"/>
  <c r="G17" i="16"/>
  <c r="G21" i="16"/>
  <c r="G25" i="16"/>
  <c r="G29" i="16"/>
  <c r="G33" i="16"/>
  <c r="E16" i="16"/>
  <c r="E16" i="15" s="1"/>
  <c r="G16" i="15" s="1"/>
  <c r="E20" i="16"/>
  <c r="E20" i="15" s="1"/>
  <c r="G20" i="15" s="1"/>
  <c r="E28" i="15"/>
  <c r="G28" i="15" s="1"/>
  <c r="E32" i="15"/>
  <c r="G32" i="15" s="1"/>
  <c r="G16" i="16"/>
  <c r="G20" i="16"/>
  <c r="G24" i="16"/>
  <c r="G28" i="16"/>
  <c r="G32" i="16"/>
  <c r="E15" i="16"/>
  <c r="E15" i="15" s="1"/>
  <c r="G15" i="15" s="1"/>
  <c r="E19" i="16"/>
  <c r="E19" i="15" s="1"/>
  <c r="H19" i="15" s="1"/>
  <c r="E23" i="15"/>
  <c r="G23" i="15" s="1"/>
  <c r="G14" i="16"/>
  <c r="G18" i="16"/>
  <c r="G26" i="16"/>
  <c r="G30" i="16"/>
  <c r="G34" i="16"/>
  <c r="G556" i="16" l="1"/>
  <c r="H535" i="16"/>
  <c r="N537" i="16"/>
  <c r="H556" i="16"/>
  <c r="G530" i="16"/>
  <c r="E530" i="16"/>
  <c r="I530" i="16" s="1"/>
  <c r="L9" i="27"/>
  <c r="T494" i="16"/>
  <c r="T490" i="16"/>
  <c r="T790" i="16"/>
  <c r="Q790" i="16"/>
  <c r="U790" i="16" s="1"/>
  <c r="Q582" i="16"/>
  <c r="U582" i="16" s="1"/>
  <c r="S556" i="16"/>
  <c r="S738" i="16"/>
  <c r="T738" i="16" s="1"/>
  <c r="S660" i="16"/>
  <c r="S608" i="16"/>
  <c r="Q556" i="16"/>
  <c r="U556" i="16" s="1"/>
  <c r="Q634" i="16"/>
  <c r="U634" i="16" s="1"/>
  <c r="Q530" i="16"/>
  <c r="U530" i="16" s="1"/>
  <c r="S712" i="16"/>
  <c r="Q712" i="16"/>
  <c r="U712" i="16" s="1"/>
  <c r="Q608" i="16"/>
  <c r="U608" i="16" s="1"/>
  <c r="S686" i="16"/>
  <c r="T202" i="16"/>
  <c r="Q686" i="16"/>
  <c r="U686" i="16" s="1"/>
  <c r="Q738" i="16"/>
  <c r="U738" i="16" s="1"/>
  <c r="S764" i="16"/>
  <c r="S816" i="16"/>
  <c r="S582" i="16"/>
  <c r="T582" i="16" s="1"/>
  <c r="S530" i="16"/>
  <c r="I24" i="23" s="1"/>
  <c r="F36" i="27" s="1"/>
  <c r="Q660" i="16"/>
  <c r="U660" i="16" s="1"/>
  <c r="T675" i="16"/>
  <c r="S634" i="16"/>
  <c r="T634" i="16" s="1"/>
  <c r="Q764" i="16"/>
  <c r="U764" i="16" s="1"/>
  <c r="T320" i="16"/>
  <c r="T284" i="16"/>
  <c r="T252" i="16"/>
  <c r="T752" i="16"/>
  <c r="N9" i="27"/>
  <c r="N10" i="27"/>
  <c r="L35" i="23"/>
  <c r="N47" i="27" s="1"/>
  <c r="Q504" i="16"/>
  <c r="U504" i="16" s="1"/>
  <c r="S504" i="16"/>
  <c r="I23" i="23" s="1"/>
  <c r="F35" i="27" s="1"/>
  <c r="G504" i="16"/>
  <c r="I23" i="21" s="1"/>
  <c r="D35" i="27" s="1"/>
  <c r="E504" i="16"/>
  <c r="I504" i="16" s="1"/>
  <c r="Q478" i="16"/>
  <c r="U478" i="16" s="1"/>
  <c r="S478" i="16"/>
  <c r="G478" i="16"/>
  <c r="E478" i="16"/>
  <c r="Q452" i="16"/>
  <c r="U452" i="16" s="1"/>
  <c r="S452" i="16"/>
  <c r="I21" i="23" s="1"/>
  <c r="F33" i="27" s="1"/>
  <c r="G452" i="16"/>
  <c r="E452" i="16"/>
  <c r="I452" i="16" s="1"/>
  <c r="N417" i="16"/>
  <c r="S426" i="16"/>
  <c r="Q426" i="16"/>
  <c r="U426" i="16" s="1"/>
  <c r="E426" i="16"/>
  <c r="I426" i="16" s="1"/>
  <c r="G426" i="16"/>
  <c r="H426" i="16" s="1"/>
  <c r="Q400" i="16"/>
  <c r="U400" i="16" s="1"/>
  <c r="S400" i="16"/>
  <c r="G400" i="16"/>
  <c r="H400" i="16" s="1"/>
  <c r="E400" i="16"/>
  <c r="I400" i="16" s="1"/>
  <c r="S374" i="16"/>
  <c r="E374" i="16"/>
  <c r="I374" i="16" s="1"/>
  <c r="G374" i="16"/>
  <c r="H374" i="16"/>
  <c r="Q374" i="16"/>
  <c r="U374" i="16" s="1"/>
  <c r="S348" i="16"/>
  <c r="T348" i="16" s="1"/>
  <c r="Q348" i="16"/>
  <c r="U348" i="16" s="1"/>
  <c r="E348" i="16"/>
  <c r="I348" i="16" s="1"/>
  <c r="G348" i="16"/>
  <c r="N8" i="27"/>
  <c r="H348" i="16"/>
  <c r="L8" i="27"/>
  <c r="S322" i="16"/>
  <c r="Q322" i="16"/>
  <c r="U322" i="16" s="1"/>
  <c r="E322" i="16"/>
  <c r="I322" i="16" s="1"/>
  <c r="G322" i="16"/>
  <c r="H322" i="16" s="1"/>
  <c r="T292" i="16"/>
  <c r="E296" i="16"/>
  <c r="I296" i="16" s="1"/>
  <c r="S296" i="16"/>
  <c r="Q296" i="16"/>
  <c r="U296" i="16" s="1"/>
  <c r="H272" i="16"/>
  <c r="G296" i="16"/>
  <c r="H296" i="16" s="1"/>
  <c r="H258" i="16"/>
  <c r="E270" i="16"/>
  <c r="I270" i="16" s="1"/>
  <c r="H268" i="16"/>
  <c r="T260" i="16"/>
  <c r="S270" i="16"/>
  <c r="Q270" i="16"/>
  <c r="U270" i="16" s="1"/>
  <c r="H252" i="16"/>
  <c r="G270" i="16"/>
  <c r="T238" i="16"/>
  <c r="G244" i="16"/>
  <c r="E244" i="16"/>
  <c r="I244" i="16" s="1"/>
  <c r="T224" i="16"/>
  <c r="Q244" i="16"/>
  <c r="U244" i="16" s="1"/>
  <c r="T220" i="16"/>
  <c r="S244" i="16"/>
  <c r="T244" i="16" s="1"/>
  <c r="H15" i="26"/>
  <c r="Q218" i="16"/>
  <c r="U218" i="16" s="1"/>
  <c r="S218" i="16"/>
  <c r="T218" i="16" s="1"/>
  <c r="E218" i="16"/>
  <c r="I218" i="16" s="1"/>
  <c r="G218" i="16"/>
  <c r="N170" i="16"/>
  <c r="E192" i="16"/>
  <c r="I192" i="16" s="1"/>
  <c r="G192" i="16"/>
  <c r="S192" i="16"/>
  <c r="Q192" i="16"/>
  <c r="U192" i="16" s="1"/>
  <c r="N148" i="16"/>
  <c r="Q166" i="16"/>
  <c r="U166" i="16" s="1"/>
  <c r="S166" i="16"/>
  <c r="T166" i="16" s="1"/>
  <c r="E166" i="16"/>
  <c r="I166" i="16" s="1"/>
  <c r="G166" i="16"/>
  <c r="L7" i="27"/>
  <c r="H13" i="26"/>
  <c r="N357" i="16"/>
  <c r="N413" i="16"/>
  <c r="N809" i="16"/>
  <c r="N622" i="16"/>
  <c r="N495" i="16"/>
  <c r="K816" i="16"/>
  <c r="O816" i="16" s="1"/>
  <c r="N414" i="16"/>
  <c r="E24" i="26"/>
  <c r="N229" i="16"/>
  <c r="N803" i="16"/>
  <c r="N421" i="16"/>
  <c r="N589" i="16"/>
  <c r="N146" i="16"/>
  <c r="M764" i="16"/>
  <c r="M686" i="16"/>
  <c r="M192" i="16"/>
  <c r="M660" i="16"/>
  <c r="K764" i="16"/>
  <c r="K166" i="16"/>
  <c r="O166" i="16" s="1"/>
  <c r="K530" i="16"/>
  <c r="O530" i="16" s="1"/>
  <c r="K686" i="16"/>
  <c r="O686" i="16" s="1"/>
  <c r="M374" i="16"/>
  <c r="I18" i="22" s="1"/>
  <c r="E30" i="27" s="1"/>
  <c r="M530" i="16"/>
  <c r="K218" i="16"/>
  <c r="O218" i="16" s="1"/>
  <c r="K608" i="16"/>
  <c r="O608" i="16" s="1"/>
  <c r="K426" i="16"/>
  <c r="O426" i="16" s="1"/>
  <c r="M556" i="16"/>
  <c r="M166" i="16"/>
  <c r="M218" i="16"/>
  <c r="M816" i="16"/>
  <c r="N816" i="16" s="1"/>
  <c r="M322" i="16"/>
  <c r="M7" i="27"/>
  <c r="H17" i="26"/>
  <c r="K296" i="16"/>
  <c r="O296" i="16" s="1"/>
  <c r="K478" i="16"/>
  <c r="K348" i="16"/>
  <c r="O348" i="16" s="1"/>
  <c r="K712" i="16"/>
  <c r="O712" i="16" s="1"/>
  <c r="K660" i="16"/>
  <c r="O660" i="16" s="1"/>
  <c r="M712" i="16"/>
  <c r="N712" i="16" s="1"/>
  <c r="N624" i="16"/>
  <c r="N292" i="16"/>
  <c r="K504" i="16"/>
  <c r="O504" i="16" s="1"/>
  <c r="K374" i="16"/>
  <c r="O374" i="16" s="1"/>
  <c r="K270" i="16"/>
  <c r="O270" i="16" s="1"/>
  <c r="K738" i="16"/>
  <c r="K244" i="16"/>
  <c r="O244" i="16" s="1"/>
  <c r="M400" i="16"/>
  <c r="M296" i="16"/>
  <c r="M738" i="16"/>
  <c r="K634" i="16"/>
  <c r="O634" i="16" s="1"/>
  <c r="M426" i="16"/>
  <c r="L34" i="22"/>
  <c r="M46" i="27" s="1"/>
  <c r="O46" i="27" s="1"/>
  <c r="L30" i="22"/>
  <c r="M42" i="27" s="1"/>
  <c r="M608" i="16"/>
  <c r="N608" i="16" s="1"/>
  <c r="M582" i="16"/>
  <c r="M270" i="16"/>
  <c r="M790" i="16"/>
  <c r="K790" i="16"/>
  <c r="O790" i="16" s="1"/>
  <c r="N273" i="16"/>
  <c r="M478" i="16"/>
  <c r="I22" i="22" s="1"/>
  <c r="E34" i="27" s="1"/>
  <c r="N317" i="16"/>
  <c r="K556" i="16"/>
  <c r="O556" i="16" s="1"/>
  <c r="K582" i="16"/>
  <c r="O582" i="16" s="1"/>
  <c r="M504" i="16"/>
  <c r="M634" i="16"/>
  <c r="N634" i="16" s="1"/>
  <c r="K452" i="16"/>
  <c r="O452" i="16" s="1"/>
  <c r="M348" i="16"/>
  <c r="K192" i="16"/>
  <c r="O192" i="16" s="1"/>
  <c r="K322" i="16"/>
  <c r="K400" i="16"/>
  <c r="O400" i="16" s="1"/>
  <c r="M452" i="16"/>
  <c r="M244" i="16"/>
  <c r="I13" i="22" s="1"/>
  <c r="E25" i="27" s="1"/>
  <c r="L22" i="22"/>
  <c r="M34" i="27" s="1"/>
  <c r="M8" i="27" s="1"/>
  <c r="L26" i="22"/>
  <c r="M38" i="27" s="1"/>
  <c r="M9" i="27" s="1"/>
  <c r="I87" i="15"/>
  <c r="K87" i="15" s="1"/>
  <c r="K89" i="16"/>
  <c r="N89" i="16" s="1"/>
  <c r="T89" i="16"/>
  <c r="H89" i="16"/>
  <c r="G88" i="16"/>
  <c r="E88" i="16"/>
  <c r="I88" i="16" s="1"/>
  <c r="K88" i="16"/>
  <c r="S88" i="16"/>
  <c r="Q88" i="16"/>
  <c r="U88" i="16" s="1"/>
  <c r="M88" i="16"/>
  <c r="I7" i="22" s="1"/>
  <c r="E19" i="27" s="1"/>
  <c r="N6" i="27"/>
  <c r="T37" i="16"/>
  <c r="Q36" i="16"/>
  <c r="K36" i="16"/>
  <c r="G36" i="16"/>
  <c r="S36" i="16"/>
  <c r="M36" i="16"/>
  <c r="I5" i="22" s="1"/>
  <c r="N37" i="16"/>
  <c r="L17" i="27"/>
  <c r="L6" i="27" s="1"/>
  <c r="L36" i="21"/>
  <c r="E24" i="15"/>
  <c r="G24" i="15" s="1"/>
  <c r="F40" i="18"/>
  <c r="G40" i="18" s="1"/>
  <c r="D36" i="23"/>
  <c r="H40" i="18"/>
  <c r="E40" i="18"/>
  <c r="N22" i="27"/>
  <c r="O22" i="27" s="1"/>
  <c r="L36" i="23"/>
  <c r="I40" i="18"/>
  <c r="J9" i="18"/>
  <c r="F8" i="26" s="1"/>
  <c r="K9" i="7"/>
  <c r="I40" i="4"/>
  <c r="F40" i="4"/>
  <c r="H40" i="4"/>
  <c r="J40" i="4"/>
  <c r="L40" i="4"/>
  <c r="A402" i="17"/>
  <c r="B402" i="6"/>
  <c r="B428" i="5"/>
  <c r="B24" i="4"/>
  <c r="B401" i="16"/>
  <c r="C401" i="15" s="1"/>
  <c r="M17" i="27"/>
  <c r="O47" i="27"/>
  <c r="O45" i="27"/>
  <c r="O44" i="27"/>
  <c r="O43" i="27"/>
  <c r="O42" i="27"/>
  <c r="O41" i="27"/>
  <c r="O39" i="27"/>
  <c r="O38" i="27"/>
  <c r="O37" i="27"/>
  <c r="O36" i="27"/>
  <c r="O35" i="27"/>
  <c r="O33" i="27"/>
  <c r="O32" i="27"/>
  <c r="O31" i="27"/>
  <c r="O30" i="27"/>
  <c r="O29" i="27"/>
  <c r="O28" i="27"/>
  <c r="O27" i="27"/>
  <c r="O26" i="27"/>
  <c r="O25" i="27"/>
  <c r="O24" i="27"/>
  <c r="O23" i="27"/>
  <c r="O21" i="27"/>
  <c r="O20" i="27"/>
  <c r="O19" i="27"/>
  <c r="O18" i="27"/>
  <c r="O40" i="27"/>
  <c r="N415" i="16"/>
  <c r="N420" i="16"/>
  <c r="N424" i="16"/>
  <c r="J17" i="7"/>
  <c r="K17" i="7" s="1"/>
  <c r="J12" i="7"/>
  <c r="K12" i="7" s="1"/>
  <c r="G9" i="7"/>
  <c r="B6" i="22"/>
  <c r="B6" i="23" s="1"/>
  <c r="B13" i="20" s="1"/>
  <c r="B18" i="27"/>
  <c r="B8" i="22"/>
  <c r="B8" i="23" s="1"/>
  <c r="B15" i="20" s="1"/>
  <c r="B20" i="27"/>
  <c r="C20" i="27" s="1"/>
  <c r="B19" i="22"/>
  <c r="B19" i="23" s="1"/>
  <c r="B26" i="20" s="1"/>
  <c r="B31" i="27"/>
  <c r="C31" i="27" s="1"/>
  <c r="B16" i="22"/>
  <c r="B16" i="23" s="1"/>
  <c r="B23" i="20" s="1"/>
  <c r="B28" i="27"/>
  <c r="C28" i="27" s="1"/>
  <c r="B7" i="22"/>
  <c r="B7" i="23" s="1"/>
  <c r="B14" i="20" s="1"/>
  <c r="B19" i="27"/>
  <c r="C19" i="27" s="1"/>
  <c r="B12" i="22"/>
  <c r="B12" i="23" s="1"/>
  <c r="B19" i="20" s="1"/>
  <c r="B24" i="27"/>
  <c r="C24" i="27" s="1"/>
  <c r="B15" i="22"/>
  <c r="B15" i="23" s="1"/>
  <c r="B22" i="20" s="1"/>
  <c r="B27" i="27"/>
  <c r="C27" i="27" s="1"/>
  <c r="B11" i="22"/>
  <c r="B11" i="23" s="1"/>
  <c r="B18" i="20" s="1"/>
  <c r="B23" i="27"/>
  <c r="C23" i="27" s="1"/>
  <c r="B5" i="22"/>
  <c r="B5" i="23" s="1"/>
  <c r="B12" i="20" s="1"/>
  <c r="B17" i="27"/>
  <c r="N727" i="16"/>
  <c r="H720" i="16"/>
  <c r="H716" i="16"/>
  <c r="F37" i="26"/>
  <c r="H28" i="26"/>
  <c r="N520" i="16"/>
  <c r="M427" i="16"/>
  <c r="N425" i="16"/>
  <c r="N423" i="16"/>
  <c r="N403" i="16"/>
  <c r="N411" i="16"/>
  <c r="N412" i="16"/>
  <c r="N408" i="16"/>
  <c r="N418" i="16"/>
  <c r="N402" i="16"/>
  <c r="N407" i="16"/>
  <c r="N409" i="16"/>
  <c r="N404" i="16"/>
  <c r="N405" i="16"/>
  <c r="C38" i="26"/>
  <c r="G39" i="7"/>
  <c r="N475" i="16"/>
  <c r="E28" i="7"/>
  <c r="E38" i="26"/>
  <c r="E39" i="7"/>
  <c r="C23" i="26"/>
  <c r="F38" i="26"/>
  <c r="K39" i="7"/>
  <c r="K37" i="18"/>
  <c r="F36" i="26"/>
  <c r="E37" i="26"/>
  <c r="E36" i="26"/>
  <c r="N761" i="16"/>
  <c r="H22" i="26"/>
  <c r="H20" i="26"/>
  <c r="N31" i="16"/>
  <c r="G38" i="4"/>
  <c r="C37" i="26"/>
  <c r="G37" i="4"/>
  <c r="C36" i="26"/>
  <c r="H35" i="26"/>
  <c r="H23" i="26"/>
  <c r="H404" i="16"/>
  <c r="H256" i="16"/>
  <c r="E11" i="26"/>
  <c r="H32" i="26"/>
  <c r="H12" i="26"/>
  <c r="H9" i="26"/>
  <c r="E20" i="7"/>
  <c r="H19" i="26"/>
  <c r="C8" i="26"/>
  <c r="C9" i="26"/>
  <c r="H11" i="26"/>
  <c r="H34" i="26"/>
  <c r="H27" i="26"/>
  <c r="H756" i="16"/>
  <c r="H740" i="16"/>
  <c r="H708" i="16"/>
  <c r="E34" i="7"/>
  <c r="H31" i="26"/>
  <c r="H542" i="16"/>
  <c r="H546" i="16"/>
  <c r="H475" i="16"/>
  <c r="H534" i="16"/>
  <c r="H26" i="26"/>
  <c r="H748" i="15"/>
  <c r="G748" i="15"/>
  <c r="H473" i="15"/>
  <c r="G473" i="15"/>
  <c r="H678" i="15"/>
  <c r="G678" i="15"/>
  <c r="G805" i="15"/>
  <c r="G597" i="15"/>
  <c r="G486" i="15"/>
  <c r="G573" i="15"/>
  <c r="H801" i="15"/>
  <c r="G801" i="15"/>
  <c r="H674" i="15"/>
  <c r="G674" i="15"/>
  <c r="G657" i="15"/>
  <c r="G758" i="15"/>
  <c r="G586" i="15"/>
  <c r="G482" i="15"/>
  <c r="H773" i="15"/>
  <c r="G773" i="15"/>
  <c r="H569" i="15"/>
  <c r="G569" i="15"/>
  <c r="H716" i="15"/>
  <c r="G716" i="15"/>
  <c r="G729" i="15"/>
  <c r="H769" i="15"/>
  <c r="G769" i="15"/>
  <c r="G19" i="15"/>
  <c r="G601" i="15"/>
  <c r="G742" i="15"/>
  <c r="G498" i="15"/>
  <c r="T421" i="16"/>
  <c r="N385" i="16"/>
  <c r="G23" i="7"/>
  <c r="G390" i="15"/>
  <c r="G396" i="15"/>
  <c r="H21" i="26"/>
  <c r="H339" i="16"/>
  <c r="G345" i="15"/>
  <c r="H285" i="16"/>
  <c r="G289" i="15"/>
  <c r="G282" i="15"/>
  <c r="N291" i="16"/>
  <c r="G256" i="15"/>
  <c r="G254" i="15"/>
  <c r="G268" i="15"/>
  <c r="G252" i="15"/>
  <c r="G264" i="15"/>
  <c r="G248" i="15"/>
  <c r="G249" i="15"/>
  <c r="H16" i="26"/>
  <c r="E15" i="26"/>
  <c r="T770" i="16"/>
  <c r="T753" i="16"/>
  <c r="T463" i="16"/>
  <c r="O363" i="15"/>
  <c r="H189" i="16"/>
  <c r="G189" i="15"/>
  <c r="G173" i="15"/>
  <c r="N143" i="16"/>
  <c r="G225" i="15"/>
  <c r="G206" i="15"/>
  <c r="G202" i="15"/>
  <c r="G210" i="15"/>
  <c r="G185" i="15"/>
  <c r="G169" i="15"/>
  <c r="G177" i="15"/>
  <c r="G186" i="15"/>
  <c r="G144" i="15"/>
  <c r="C11" i="26"/>
  <c r="N23" i="16"/>
  <c r="G34" i="15"/>
  <c r="G130" i="15"/>
  <c r="G75" i="15"/>
  <c r="G54" i="15"/>
  <c r="G21" i="15"/>
  <c r="N794" i="16"/>
  <c r="T785" i="16"/>
  <c r="H762" i="16"/>
  <c r="T697" i="16"/>
  <c r="N645" i="16"/>
  <c r="E33" i="7"/>
  <c r="T558" i="16"/>
  <c r="O143" i="15"/>
  <c r="T143" i="16"/>
  <c r="O255" i="15"/>
  <c r="T733" i="16"/>
  <c r="T255" i="16"/>
  <c r="N594" i="16"/>
  <c r="H554" i="16"/>
  <c r="T481" i="16"/>
  <c r="H469" i="16"/>
  <c r="H25" i="26"/>
  <c r="E21" i="26"/>
  <c r="T405" i="16"/>
  <c r="O746" i="15"/>
  <c r="T23" i="16"/>
  <c r="T542" i="16"/>
  <c r="T263" i="16"/>
  <c r="T772" i="16"/>
  <c r="O550" i="15"/>
  <c r="O517" i="15"/>
  <c r="H423" i="16"/>
  <c r="H407" i="16"/>
  <c r="E22" i="26"/>
  <c r="H343" i="16"/>
  <c r="C19" i="26"/>
  <c r="E21" i="7"/>
  <c r="N309" i="16"/>
  <c r="T802" i="16"/>
  <c r="O725" i="15"/>
  <c r="T654" i="16"/>
  <c r="T617" i="16"/>
  <c r="T438" i="16"/>
  <c r="T170" i="16"/>
  <c r="O118" i="15"/>
  <c r="N299" i="16"/>
  <c r="H463" i="16"/>
  <c r="H726" i="16"/>
  <c r="C21" i="26"/>
  <c r="H445" i="16"/>
  <c r="H511" i="16"/>
  <c r="H428" i="16"/>
  <c r="H411" i="16"/>
  <c r="H533" i="16"/>
  <c r="C26" i="26"/>
  <c r="C31" i="26"/>
  <c r="H281" i="16"/>
  <c r="E18" i="7"/>
  <c r="C20" i="26"/>
  <c r="H273" i="16"/>
  <c r="H264" i="16"/>
  <c r="H248" i="16"/>
  <c r="N233" i="16"/>
  <c r="N225" i="16"/>
  <c r="N161" i="16"/>
  <c r="H172" i="16"/>
  <c r="H80" i="16"/>
  <c r="F32" i="26"/>
  <c r="H14" i="26"/>
  <c r="E24" i="7"/>
  <c r="E34" i="26"/>
  <c r="E28" i="26"/>
  <c r="E32" i="7"/>
  <c r="E30" i="7"/>
  <c r="E26" i="26"/>
  <c r="C28" i="26"/>
  <c r="H18" i="26"/>
  <c r="E31" i="7"/>
  <c r="N163" i="16"/>
  <c r="N290" i="16"/>
  <c r="H77" i="16"/>
  <c r="H76" i="16"/>
  <c r="G26" i="7"/>
  <c r="C25" i="26"/>
  <c r="E17" i="7"/>
  <c r="N722" i="16"/>
  <c r="E36" i="7"/>
  <c r="O144" i="16"/>
  <c r="G21" i="7"/>
  <c r="N79" i="16"/>
  <c r="N14" i="16"/>
  <c r="N203" i="16"/>
  <c r="N693" i="16"/>
  <c r="N743" i="16"/>
  <c r="N76" i="16"/>
  <c r="N183" i="16"/>
  <c r="C35" i="26"/>
  <c r="N19" i="16"/>
  <c r="E25" i="26"/>
  <c r="G27" i="7"/>
  <c r="H8" i="26"/>
  <c r="O733" i="15"/>
  <c r="T717" i="16"/>
  <c r="N695" i="16"/>
  <c r="N684" i="16"/>
  <c r="C33" i="26"/>
  <c r="T657" i="16"/>
  <c r="K33" i="4"/>
  <c r="C29" i="26"/>
  <c r="T778" i="16"/>
  <c r="T762" i="16"/>
  <c r="T746" i="16"/>
  <c r="T725" i="16"/>
  <c r="T621" i="16"/>
  <c r="O762" i="15"/>
  <c r="T794" i="16"/>
  <c r="P97" i="15"/>
  <c r="T290" i="16"/>
  <c r="T809" i="16"/>
  <c r="K29" i="18"/>
  <c r="E38" i="20"/>
  <c r="T574" i="16"/>
  <c r="T639" i="16"/>
  <c r="N626" i="16"/>
  <c r="N618" i="16"/>
  <c r="T623" i="16"/>
  <c r="T610" i="16"/>
  <c r="T629" i="16"/>
  <c r="C30" i="26"/>
  <c r="H590" i="16"/>
  <c r="H558" i="16"/>
  <c r="H578" i="16"/>
  <c r="H562" i="16"/>
  <c r="O554" i="15"/>
  <c r="G29" i="4"/>
  <c r="H549" i="16"/>
  <c r="O538" i="15"/>
  <c r="C27" i="26"/>
  <c r="N181" i="16"/>
  <c r="N502" i="16"/>
  <c r="N628" i="16"/>
  <c r="N705" i="16"/>
  <c r="N637" i="16"/>
  <c r="N575" i="16"/>
  <c r="N801" i="16"/>
  <c r="N720" i="16"/>
  <c r="N641" i="16"/>
  <c r="N725" i="16"/>
  <c r="N248" i="16"/>
  <c r="N719" i="16"/>
  <c r="I277" i="15"/>
  <c r="F19" i="26"/>
  <c r="N177" i="16"/>
  <c r="N498" i="16"/>
  <c r="N615" i="16"/>
  <c r="N431" i="16"/>
  <c r="N802" i="16"/>
  <c r="N643" i="16"/>
  <c r="N564" i="16"/>
  <c r="N485" i="16"/>
  <c r="N500" i="16"/>
  <c r="N329" i="16"/>
  <c r="N20" i="16"/>
  <c r="F9" i="26"/>
  <c r="N494" i="16"/>
  <c r="N775" i="16"/>
  <c r="T517" i="16"/>
  <c r="T497" i="16"/>
  <c r="T469" i="16"/>
  <c r="J28" i="18"/>
  <c r="F27" i="26" s="1"/>
  <c r="E30" i="20"/>
  <c r="F28" i="26"/>
  <c r="N519" i="16"/>
  <c r="N524" i="16"/>
  <c r="N490" i="16"/>
  <c r="N457" i="16"/>
  <c r="N463" i="16"/>
  <c r="H455" i="16"/>
  <c r="H541" i="16"/>
  <c r="H517" i="16"/>
  <c r="H495" i="16"/>
  <c r="C24" i="26"/>
  <c r="N334" i="16"/>
  <c r="E14" i="7"/>
  <c r="C18" i="26"/>
  <c r="N585" i="16"/>
  <c r="N620" i="16"/>
  <c r="N279" i="16"/>
  <c r="N740" i="16"/>
  <c r="N151" i="16"/>
  <c r="N278" i="16"/>
  <c r="N731" i="16"/>
  <c r="N336" i="16"/>
  <c r="N570" i="16"/>
  <c r="N331" i="16"/>
  <c r="N168" i="16"/>
  <c r="D32" i="20"/>
  <c r="D33" i="20"/>
  <c r="G12" i="7"/>
  <c r="F29" i="26"/>
  <c r="F26" i="26"/>
  <c r="F25" i="26"/>
  <c r="F34" i="26"/>
  <c r="N647" i="16"/>
  <c r="D42" i="20"/>
  <c r="D37" i="20"/>
  <c r="N676" i="16"/>
  <c r="N599" i="16"/>
  <c r="N202" i="16"/>
  <c r="N241" i="16"/>
  <c r="D40" i="20"/>
  <c r="D31" i="20"/>
  <c r="D29" i="20"/>
  <c r="D38" i="20"/>
  <c r="D41" i="20"/>
  <c r="D34" i="20"/>
  <c r="D35" i="20"/>
  <c r="F35" i="26"/>
  <c r="D39" i="20"/>
  <c r="N189" i="16"/>
  <c r="N735" i="16"/>
  <c r="N559" i="16"/>
  <c r="N630" i="16"/>
  <c r="N586" i="16"/>
  <c r="N646" i="16"/>
  <c r="N578" i="16"/>
  <c r="N534" i="16"/>
  <c r="D30" i="20"/>
  <c r="N651" i="16"/>
  <c r="D36" i="20"/>
  <c r="E14" i="26"/>
  <c r="F33" i="26"/>
  <c r="C34" i="26"/>
  <c r="N569" i="16"/>
  <c r="F31" i="26"/>
  <c r="C32" i="26"/>
  <c r="F24" i="26"/>
  <c r="H447" i="16"/>
  <c r="H433" i="16"/>
  <c r="N430" i="16"/>
  <c r="D28" i="20"/>
  <c r="T417" i="16"/>
  <c r="H415" i="16"/>
  <c r="T404" i="16"/>
  <c r="G24" i="4"/>
  <c r="D27" i="20"/>
  <c r="F23" i="26"/>
  <c r="D26" i="20"/>
  <c r="N389" i="16"/>
  <c r="F22" i="26"/>
  <c r="T364" i="16"/>
  <c r="N359" i="16"/>
  <c r="N356" i="16"/>
  <c r="N355" i="16"/>
  <c r="N352" i="16"/>
  <c r="D25" i="20"/>
  <c r="T351" i="16"/>
  <c r="H394" i="16"/>
  <c r="N343" i="16"/>
  <c r="H327" i="16"/>
  <c r="K22" i="7"/>
  <c r="F21" i="26"/>
  <c r="N372" i="16"/>
  <c r="N353" i="16"/>
  <c r="N316" i="16"/>
  <c r="N325" i="16"/>
  <c r="D24" i="20"/>
  <c r="E18" i="26"/>
  <c r="D23" i="20"/>
  <c r="N277" i="16"/>
  <c r="F18" i="26"/>
  <c r="D22" i="20"/>
  <c r="N274" i="16"/>
  <c r="T328" i="16"/>
  <c r="T343" i="16"/>
  <c r="F20" i="26"/>
  <c r="C17" i="26"/>
  <c r="G18" i="4"/>
  <c r="T254" i="16"/>
  <c r="N263" i="16"/>
  <c r="K18" i="7"/>
  <c r="F17" i="26"/>
  <c r="D21" i="20"/>
  <c r="C16" i="26"/>
  <c r="N223" i="16"/>
  <c r="H221" i="16"/>
  <c r="C15" i="26"/>
  <c r="N216" i="16"/>
  <c r="G16" i="4"/>
  <c r="O213" i="15"/>
  <c r="N210" i="16"/>
  <c r="N196" i="16"/>
  <c r="D20" i="20"/>
  <c r="D19" i="20"/>
  <c r="F15" i="26"/>
  <c r="T180" i="16"/>
  <c r="T216" i="16"/>
  <c r="K16" i="4"/>
  <c r="H196" i="16"/>
  <c r="T178" i="16"/>
  <c r="H173" i="16"/>
  <c r="F14" i="26"/>
  <c r="H184" i="16"/>
  <c r="K28" i="4"/>
  <c r="K31" i="4"/>
  <c r="F30" i="26"/>
  <c r="H432" i="16"/>
  <c r="H669" i="16"/>
  <c r="H437" i="16"/>
  <c r="H507" i="16"/>
  <c r="H361" i="16"/>
  <c r="H393" i="16"/>
  <c r="H416" i="16"/>
  <c r="H182" i="16"/>
  <c r="H733" i="16"/>
  <c r="H638" i="16"/>
  <c r="H185" i="16"/>
  <c r="K35" i="4"/>
  <c r="H260" i="16"/>
  <c r="H224" i="16"/>
  <c r="H436" i="16"/>
  <c r="H419" i="16"/>
  <c r="H403" i="16"/>
  <c r="H214" i="16"/>
  <c r="H724" i="16"/>
  <c r="H746" i="16"/>
  <c r="H429" i="16"/>
  <c r="H515" i="16"/>
  <c r="H570" i="16"/>
  <c r="H408" i="16"/>
  <c r="H202" i="16"/>
  <c r="H553" i="16"/>
  <c r="H537" i="16"/>
  <c r="H150" i="16"/>
  <c r="E246" i="15"/>
  <c r="G246" i="15" s="1"/>
  <c r="C21" i="20"/>
  <c r="E662" i="15"/>
  <c r="G662" i="15" s="1"/>
  <c r="C37" i="20"/>
  <c r="E454" i="15"/>
  <c r="G454" i="15" s="1"/>
  <c r="C29" i="20"/>
  <c r="E402" i="15"/>
  <c r="C27" i="20"/>
  <c r="E220" i="15"/>
  <c r="C20" i="20"/>
  <c r="E506" i="15"/>
  <c r="G506" i="15" s="1"/>
  <c r="C31" i="20"/>
  <c r="E350" i="15"/>
  <c r="G350" i="15" s="1"/>
  <c r="C25" i="20"/>
  <c r="H545" i="16"/>
  <c r="E688" i="15"/>
  <c r="C38" i="20"/>
  <c r="E636" i="15"/>
  <c r="C36" i="20"/>
  <c r="E584" i="15"/>
  <c r="C34" i="20"/>
  <c r="E532" i="15"/>
  <c r="C32" i="20"/>
  <c r="E376" i="15"/>
  <c r="G376" i="15" s="1"/>
  <c r="C26" i="20"/>
  <c r="E324" i="15"/>
  <c r="G324" i="15" s="1"/>
  <c r="C24" i="20"/>
  <c r="E272" i="15"/>
  <c r="G272" i="15" s="1"/>
  <c r="C22" i="20"/>
  <c r="E168" i="15"/>
  <c r="G168" i="15" s="1"/>
  <c r="C18" i="20"/>
  <c r="E610" i="15"/>
  <c r="C35" i="20"/>
  <c r="E428" i="15"/>
  <c r="G428" i="15" s="1"/>
  <c r="C28" i="20"/>
  <c r="E480" i="15"/>
  <c r="C30" i="20"/>
  <c r="E194" i="15"/>
  <c r="C19" i="20"/>
  <c r="E298" i="15"/>
  <c r="C23" i="20"/>
  <c r="E558" i="15"/>
  <c r="G558" i="15" s="1"/>
  <c r="C33" i="20"/>
  <c r="D17" i="20"/>
  <c r="T146" i="16"/>
  <c r="E142" i="15"/>
  <c r="C17" i="20"/>
  <c r="O126" i="15"/>
  <c r="C12" i="26"/>
  <c r="N186" i="16"/>
  <c r="N184" i="16"/>
  <c r="D18" i="20"/>
  <c r="C14" i="26"/>
  <c r="L144" i="15"/>
  <c r="K144" i="15"/>
  <c r="N144" i="16"/>
  <c r="F13" i="26"/>
  <c r="N150" i="16"/>
  <c r="C13" i="26"/>
  <c r="E116" i="15"/>
  <c r="C16" i="20"/>
  <c r="T182" i="16"/>
  <c r="D16" i="20"/>
  <c r="E12" i="26"/>
  <c r="H86" i="16"/>
  <c r="H83" i="16"/>
  <c r="D14" i="20"/>
  <c r="H72" i="16"/>
  <c r="I110" i="15"/>
  <c r="D15" i="20"/>
  <c r="E90" i="15"/>
  <c r="G90" i="15" s="1"/>
  <c r="C15" i="20"/>
  <c r="E64" i="15"/>
  <c r="G64" i="15" s="1"/>
  <c r="C14" i="20"/>
  <c r="H68" i="16"/>
  <c r="T148" i="16"/>
  <c r="J13" i="18"/>
  <c r="F12" i="26" s="1"/>
  <c r="T66" i="16"/>
  <c r="E714" i="15"/>
  <c r="G714" i="15" s="1"/>
  <c r="C39" i="20"/>
  <c r="H729" i="16"/>
  <c r="E792" i="15"/>
  <c r="G792" i="15" s="1"/>
  <c r="C42" i="20"/>
  <c r="H754" i="16"/>
  <c r="E740" i="15"/>
  <c r="C40" i="20"/>
  <c r="H777" i="16"/>
  <c r="E766" i="15"/>
  <c r="G766" i="15" s="1"/>
  <c r="C41" i="20"/>
  <c r="T18" i="16"/>
  <c r="E12" i="20"/>
  <c r="E38" i="15"/>
  <c r="C13" i="20"/>
  <c r="E10" i="7"/>
  <c r="E9" i="26"/>
  <c r="D13" i="20"/>
  <c r="G10" i="7"/>
  <c r="D12" i="20"/>
  <c r="M766" i="15"/>
  <c r="P766" i="15" s="1"/>
  <c r="E41" i="20"/>
  <c r="M298" i="15"/>
  <c r="P298" i="15" s="1"/>
  <c r="E23" i="20"/>
  <c r="M194" i="15"/>
  <c r="P194" i="15" s="1"/>
  <c r="E19" i="20"/>
  <c r="P247" i="15"/>
  <c r="T162" i="16"/>
  <c r="T267" i="16"/>
  <c r="M38" i="15"/>
  <c r="P38" i="15" s="1"/>
  <c r="E13" i="20"/>
  <c r="T298" i="16"/>
  <c r="T436" i="16"/>
  <c r="T190" i="16"/>
  <c r="M610" i="15"/>
  <c r="O610" i="15" s="1"/>
  <c r="E35" i="20"/>
  <c r="M558" i="15"/>
  <c r="O558" i="15" s="1"/>
  <c r="E33" i="20"/>
  <c r="M350" i="15"/>
  <c r="O350" i="15" s="1"/>
  <c r="E25" i="20"/>
  <c r="M142" i="15"/>
  <c r="P142" i="15" s="1"/>
  <c r="E17" i="20"/>
  <c r="T450" i="16"/>
  <c r="T653" i="16"/>
  <c r="M272" i="15"/>
  <c r="O272" i="15" s="1"/>
  <c r="E22" i="20"/>
  <c r="T158" i="16"/>
  <c r="T518" i="16"/>
  <c r="T388" i="16"/>
  <c r="T154" i="16"/>
  <c r="M506" i="15"/>
  <c r="O506" i="15" s="1"/>
  <c r="E31" i="20"/>
  <c r="M220" i="15"/>
  <c r="P220" i="15" s="1"/>
  <c r="E20" i="20"/>
  <c r="M376" i="15"/>
  <c r="E26" i="20"/>
  <c r="T467" i="16"/>
  <c r="T754" i="16"/>
  <c r="T432" i="16"/>
  <c r="T352" i="16"/>
  <c r="T316" i="16"/>
  <c r="T280" i="16"/>
  <c r="T248" i="16"/>
  <c r="T394" i="16"/>
  <c r="T186" i="16"/>
  <c r="T150" i="16"/>
  <c r="M402" i="15"/>
  <c r="O402" i="15" s="1"/>
  <c r="E27" i="20"/>
  <c r="T261" i="16"/>
  <c r="T513" i="16"/>
  <c r="M454" i="15"/>
  <c r="O454" i="15" s="1"/>
  <c r="E29" i="20"/>
  <c r="O542" i="15"/>
  <c r="T312" i="16"/>
  <c r="T276" i="16"/>
  <c r="T240" i="16"/>
  <c r="M116" i="15"/>
  <c r="P116" i="15" s="1"/>
  <c r="E16" i="20"/>
  <c r="T153" i="16"/>
  <c r="T151" i="16"/>
  <c r="M324" i="15"/>
  <c r="P324" i="15" s="1"/>
  <c r="E24" i="20"/>
  <c r="O267" i="15"/>
  <c r="M90" i="15"/>
  <c r="P90" i="15" s="1"/>
  <c r="E15" i="20"/>
  <c r="M714" i="15"/>
  <c r="P714" i="15" s="1"/>
  <c r="E39" i="20"/>
  <c r="M64" i="15"/>
  <c r="P64" i="15" s="1"/>
  <c r="E14" i="20"/>
  <c r="T766" i="16"/>
  <c r="M636" i="15"/>
  <c r="O636" i="15" s="1"/>
  <c r="E36" i="20"/>
  <c r="M532" i="15"/>
  <c r="O532" i="15" s="1"/>
  <c r="E32" i="20"/>
  <c r="M168" i="15"/>
  <c r="P168" i="15" s="1"/>
  <c r="E18" i="20"/>
  <c r="T24" i="16"/>
  <c r="T547" i="16"/>
  <c r="T434" i="16"/>
  <c r="T749" i="16"/>
  <c r="T709" i="16"/>
  <c r="T641" i="16"/>
  <c r="T599" i="16"/>
  <c r="T637" i="16"/>
  <c r="M792" i="15"/>
  <c r="P792" i="15" s="1"/>
  <c r="T376" i="16"/>
  <c r="T308" i="16"/>
  <c r="T272" i="16"/>
  <c r="T236" i="16"/>
  <c r="M662" i="15"/>
  <c r="P662" i="15" s="1"/>
  <c r="E37" i="20"/>
  <c r="M246" i="15"/>
  <c r="P246" i="15" s="1"/>
  <c r="E21" i="20"/>
  <c r="P263" i="15"/>
  <c r="P151" i="15"/>
  <c r="M584" i="15"/>
  <c r="O584" i="15" s="1"/>
  <c r="E34" i="20"/>
  <c r="T466" i="16"/>
  <c r="M740" i="15"/>
  <c r="P740" i="15" s="1"/>
  <c r="E40" i="20"/>
  <c r="M428" i="15"/>
  <c r="P428" i="15" s="1"/>
  <c r="E28" i="20"/>
  <c r="T304" i="16"/>
  <c r="T268" i="16"/>
  <c r="T232" i="16"/>
  <c r="T382" i="16"/>
  <c r="T278" i="16"/>
  <c r="T174" i="16"/>
  <c r="H752" i="16"/>
  <c r="H363" i="16"/>
  <c r="H547" i="16"/>
  <c r="N72" i="16"/>
  <c r="N492" i="16"/>
  <c r="H238" i="16"/>
  <c r="H325" i="16"/>
  <c r="H210" i="16"/>
  <c r="T591" i="16"/>
  <c r="T430" i="16"/>
  <c r="T212" i="16"/>
  <c r="T176" i="16"/>
  <c r="T144" i="16"/>
  <c r="N517" i="16"/>
  <c r="T17" i="16"/>
  <c r="O509" i="15"/>
  <c r="H14" i="16"/>
  <c r="N473" i="16"/>
  <c r="N605" i="16"/>
  <c r="N487" i="16"/>
  <c r="N435" i="16"/>
  <c r="N778" i="16"/>
  <c r="H576" i="16"/>
  <c r="H540" i="16"/>
  <c r="H494" i="16"/>
  <c r="H344" i="16"/>
  <c r="H312" i="16"/>
  <c r="N149" i="16"/>
  <c r="H405" i="16"/>
  <c r="N232" i="16"/>
  <c r="H518" i="16"/>
  <c r="H208" i="16"/>
  <c r="H155" i="16"/>
  <c r="H234" i="16"/>
  <c r="N17" i="16"/>
  <c r="T525" i="16"/>
  <c r="T774" i="16"/>
  <c r="T662" i="16"/>
  <c r="T422" i="16"/>
  <c r="O796" i="15"/>
  <c r="N549" i="16"/>
  <c r="H33" i="16"/>
  <c r="N807" i="16"/>
  <c r="N770" i="16"/>
  <c r="N153" i="16"/>
  <c r="H676" i="16"/>
  <c r="H640" i="16"/>
  <c r="H807" i="16"/>
  <c r="H299" i="16"/>
  <c r="N231" i="16"/>
  <c r="H390" i="16"/>
  <c r="N444" i="16"/>
  <c r="N554" i="16"/>
  <c r="N675" i="16"/>
  <c r="H482" i="16"/>
  <c r="H233" i="16"/>
  <c r="T579" i="16"/>
  <c r="T462" i="16"/>
  <c r="T418" i="16"/>
  <c r="T448" i="16"/>
  <c r="T204" i="16"/>
  <c r="T168" i="16"/>
  <c r="T194" i="16"/>
  <c r="H525" i="16"/>
  <c r="T734" i="16"/>
  <c r="T413" i="16"/>
  <c r="T13" i="16"/>
  <c r="T307" i="16"/>
  <c r="H194" i="16"/>
  <c r="T646" i="16"/>
  <c r="H29" i="16"/>
  <c r="H31" i="16"/>
  <c r="H321" i="16"/>
  <c r="N465" i="16"/>
  <c r="N741" i="16"/>
  <c r="N542" i="16"/>
  <c r="N339" i="16"/>
  <c r="N497" i="16"/>
  <c r="N264" i="16"/>
  <c r="N74" i="16"/>
  <c r="H510" i="16"/>
  <c r="H236" i="16"/>
  <c r="H200" i="16"/>
  <c r="H781" i="16"/>
  <c r="H697" i="16"/>
  <c r="N535" i="16"/>
  <c r="H226" i="16"/>
  <c r="H386" i="16"/>
  <c r="H345" i="16"/>
  <c r="H262" i="16"/>
  <c r="H229" i="16"/>
  <c r="T321" i="16"/>
  <c r="T575" i="16"/>
  <c r="T543" i="16"/>
  <c r="T507" i="16"/>
  <c r="T414" i="16"/>
  <c r="T625" i="16"/>
  <c r="T444" i="16"/>
  <c r="T362" i="16"/>
  <c r="T330" i="16"/>
  <c r="H521" i="16"/>
  <c r="T33" i="16"/>
  <c r="T730" i="16"/>
  <c r="T622" i="16"/>
  <c r="T485" i="16"/>
  <c r="T642" i="16"/>
  <c r="H34" i="16"/>
  <c r="H32" i="16"/>
  <c r="H581" i="16"/>
  <c r="H711" i="16"/>
  <c r="N488" i="16"/>
  <c r="N691" i="16"/>
  <c r="N345" i="16"/>
  <c r="H700" i="16"/>
  <c r="H596" i="16"/>
  <c r="H564" i="16"/>
  <c r="H528" i="16"/>
  <c r="H814" i="16"/>
  <c r="H758" i="16"/>
  <c r="H332" i="16"/>
  <c r="H527" i="16"/>
  <c r="H291" i="16"/>
  <c r="H506" i="16"/>
  <c r="H420" i="16"/>
  <c r="H170" i="16"/>
  <c r="N808" i="16"/>
  <c r="H793" i="16"/>
  <c r="H693" i="16"/>
  <c r="H610" i="16"/>
  <c r="N154" i="16"/>
  <c r="T798" i="16"/>
  <c r="T69" i="16"/>
  <c r="T64" i="16"/>
  <c r="H146" i="16"/>
  <c r="T161" i="16"/>
  <c r="T538" i="16"/>
  <c r="N69" i="16"/>
  <c r="H228" i="16"/>
  <c r="N145" i="16"/>
  <c r="T757" i="16"/>
  <c r="T437" i="16"/>
  <c r="I127" i="15"/>
  <c r="L127" i="15" s="1"/>
  <c r="T534" i="16"/>
  <c r="N553" i="16"/>
  <c r="H607" i="16"/>
  <c r="H737" i="16"/>
  <c r="N482" i="16"/>
  <c r="N281" i="16"/>
  <c r="N304" i="16"/>
  <c r="H588" i="16"/>
  <c r="H552" i="16"/>
  <c r="H520" i="16"/>
  <c r="H806" i="16"/>
  <c r="H770" i="16"/>
  <c r="H750" i="16"/>
  <c r="H512" i="16"/>
  <c r="H398" i="16"/>
  <c r="H324" i="16"/>
  <c r="H283" i="16"/>
  <c r="H602" i="16"/>
  <c r="H566" i="16"/>
  <c r="H84" i="16"/>
  <c r="N671" i="16"/>
  <c r="N226" i="16"/>
  <c r="T451" i="16"/>
  <c r="T555" i="16"/>
  <c r="T527" i="16"/>
  <c r="T577" i="16"/>
  <c r="T350" i="16"/>
  <c r="T314" i="16"/>
  <c r="N237" i="16"/>
  <c r="H480" i="16"/>
  <c r="N178" i="16"/>
  <c r="T253" i="16"/>
  <c r="O812" i="15"/>
  <c r="O521" i="15"/>
  <c r="H174" i="16"/>
  <c r="H577" i="16"/>
  <c r="T719" i="16"/>
  <c r="T683" i="16"/>
  <c r="T647" i="16"/>
  <c r="T372" i="16"/>
  <c r="T336" i="16"/>
  <c r="T226" i="16"/>
  <c r="T780" i="16"/>
  <c r="T32" i="16"/>
  <c r="N381" i="16"/>
  <c r="H664" i="16"/>
  <c r="H628" i="16"/>
  <c r="H64" i="16"/>
  <c r="T758" i="16"/>
  <c r="T721" i="16"/>
  <c r="T545" i="16"/>
  <c r="T188" i="16"/>
  <c r="T156" i="16"/>
  <c r="T70" i="16"/>
  <c r="T15" i="16"/>
  <c r="O721" i="15"/>
  <c r="I102" i="15"/>
  <c r="N750" i="16"/>
  <c r="N567" i="16"/>
  <c r="H301" i="16"/>
  <c r="H333" i="16"/>
  <c r="T786" i="16"/>
  <c r="T442" i="16"/>
  <c r="T736" i="16"/>
  <c r="T205" i="16"/>
  <c r="T554" i="16"/>
  <c r="O717" i="15"/>
  <c r="O654" i="15"/>
  <c r="O205" i="15"/>
  <c r="O442" i="15"/>
  <c r="H789" i="16"/>
  <c r="N758" i="16"/>
  <c r="H802" i="16"/>
  <c r="H279" i="16"/>
  <c r="H598" i="16"/>
  <c r="H163" i="16"/>
  <c r="H813" i="16"/>
  <c r="H714" i="16"/>
  <c r="H630" i="16"/>
  <c r="H597" i="16"/>
  <c r="H246" i="16"/>
  <c r="T474" i="16"/>
  <c r="T468" i="16"/>
  <c r="H492" i="16"/>
  <c r="T31" i="16"/>
  <c r="T658" i="16"/>
  <c r="T363" i="16"/>
  <c r="O122" i="15"/>
  <c r="O658" i="15"/>
  <c r="T808" i="16"/>
  <c r="O430" i="16"/>
  <c r="H431" i="16"/>
  <c r="T477" i="16"/>
  <c r="T519" i="16"/>
  <c r="T487" i="16"/>
  <c r="T814" i="16"/>
  <c r="T506" i="16"/>
  <c r="T342" i="16"/>
  <c r="T306" i="16"/>
  <c r="T65" i="16"/>
  <c r="H206" i="16"/>
  <c r="T251" i="16"/>
  <c r="H169" i="16"/>
  <c r="O758" i="15"/>
  <c r="O438" i="15"/>
  <c r="T804" i="16"/>
  <c r="I421" i="15"/>
  <c r="L421" i="15" s="1"/>
  <c r="T550" i="16"/>
  <c r="H685" i="16"/>
  <c r="N207" i="16"/>
  <c r="N392" i="16"/>
  <c r="N662" i="16"/>
  <c r="N252" i="16"/>
  <c r="N562" i="16"/>
  <c r="N258" i="16"/>
  <c r="N797" i="16"/>
  <c r="H776" i="16"/>
  <c r="H680" i="16"/>
  <c r="H644" i="16"/>
  <c r="H612" i="16"/>
  <c r="H734" i="16"/>
  <c r="H382" i="16"/>
  <c r="H543" i="16"/>
  <c r="H627" i="16"/>
  <c r="H357" i="16"/>
  <c r="H496" i="16"/>
  <c r="H499" i="16"/>
  <c r="H187" i="16"/>
  <c r="H215" i="16"/>
  <c r="H74" i="16"/>
  <c r="H267" i="16"/>
  <c r="N18" i="16"/>
  <c r="H805" i="16"/>
  <c r="H622" i="16"/>
  <c r="N443" i="16"/>
  <c r="N71" i="16"/>
  <c r="H318" i="16"/>
  <c r="T515" i="16"/>
  <c r="T810" i="16"/>
  <c r="T370" i="16"/>
  <c r="T338" i="16"/>
  <c r="T302" i="16"/>
  <c r="H646" i="16"/>
  <c r="T630" i="16"/>
  <c r="O251" i="15"/>
  <c r="O808" i="15"/>
  <c r="O742" i="15"/>
  <c r="O621" i="15"/>
  <c r="O421" i="15"/>
  <c r="T742" i="16"/>
  <c r="N250" i="16"/>
  <c r="H151" i="16"/>
  <c r="H801" i="16"/>
  <c r="H618" i="16"/>
  <c r="H585" i="16"/>
  <c r="T723" i="16"/>
  <c r="T691" i="16"/>
  <c r="T651" i="16"/>
  <c r="T615" i="16"/>
  <c r="T593" i="16"/>
  <c r="T561" i="16"/>
  <c r="T521" i="16"/>
  <c r="T340" i="16"/>
  <c r="T402" i="16"/>
  <c r="T262" i="16"/>
  <c r="T230" i="16"/>
  <c r="T784" i="16"/>
  <c r="H677" i="16"/>
  <c r="O804" i="15"/>
  <c r="O617" i="15"/>
  <c r="O405" i="15"/>
  <c r="O642" i="15"/>
  <c r="L430" i="15"/>
  <c r="K430" i="15"/>
  <c r="H650" i="16"/>
  <c r="N574" i="16"/>
  <c r="T82" i="16"/>
  <c r="T465" i="16"/>
  <c r="T207" i="16"/>
  <c r="T239" i="16"/>
  <c r="O646" i="15"/>
  <c r="O351" i="15"/>
  <c r="O525" i="15"/>
  <c r="H303" i="16"/>
  <c r="T745" i="16"/>
  <c r="T384" i="16"/>
  <c r="T378" i="16"/>
  <c r="T274" i="16"/>
  <c r="H373" i="16"/>
  <c r="H451" i="16"/>
  <c r="H555" i="16"/>
  <c r="H815" i="16"/>
  <c r="N469" i="16"/>
  <c r="N689" i="16"/>
  <c r="N745" i="16"/>
  <c r="N384" i="16"/>
  <c r="N446" i="16"/>
  <c r="N512" i="16"/>
  <c r="N66" i="16"/>
  <c r="H730" i="16"/>
  <c r="N172" i="16"/>
  <c r="H539" i="16"/>
  <c r="H335" i="16"/>
  <c r="H550" i="16"/>
  <c r="N636" i="16"/>
  <c r="H586" i="16"/>
  <c r="H471" i="16"/>
  <c r="H240" i="16"/>
  <c r="H178" i="16"/>
  <c r="N371" i="16"/>
  <c r="H498" i="16"/>
  <c r="H230" i="16"/>
  <c r="N721" i="16"/>
  <c r="H350" i="16"/>
  <c r="H266" i="16"/>
  <c r="H73" i="16"/>
  <c r="T727" i="16"/>
  <c r="T695" i="16"/>
  <c r="T655" i="16"/>
  <c r="T619" i="16"/>
  <c r="T741" i="16"/>
  <c r="T701" i="16"/>
  <c r="T456" i="16"/>
  <c r="T380" i="16"/>
  <c r="T344" i="16"/>
  <c r="T208" i="16"/>
  <c r="T172" i="16"/>
  <c r="T406" i="16"/>
  <c r="T266" i="16"/>
  <c r="T234" i="16"/>
  <c r="T198" i="16"/>
  <c r="N566" i="16"/>
  <c r="T788" i="16"/>
  <c r="T355" i="16"/>
  <c r="H79" i="16"/>
  <c r="H681" i="16"/>
  <c r="T247" i="16"/>
  <c r="O815" i="15"/>
  <c r="O754" i="15"/>
  <c r="O546" i="15"/>
  <c r="T796" i="16"/>
  <c r="N169" i="16"/>
  <c r="N234" i="16"/>
  <c r="H500" i="16"/>
  <c r="N813" i="16"/>
  <c r="T458" i="16"/>
  <c r="T693" i="16"/>
  <c r="T200" i="16"/>
  <c r="T164" i="16"/>
  <c r="O230" i="15"/>
  <c r="N632" i="16"/>
  <c r="N156" i="16"/>
  <c r="N560" i="16"/>
  <c r="H222" i="16"/>
  <c r="H30" i="16"/>
  <c r="N397" i="16"/>
  <c r="N486" i="16"/>
  <c r="N450" i="16"/>
  <c r="N815" i="16"/>
  <c r="N319" i="16"/>
  <c r="N780" i="16"/>
  <c r="N493" i="16"/>
  <c r="N287" i="16"/>
  <c r="N514" i="16"/>
  <c r="H774" i="16"/>
  <c r="H718" i="16"/>
  <c r="H319" i="16"/>
  <c r="H502" i="16"/>
  <c r="H188" i="16"/>
  <c r="N679" i="16"/>
  <c r="N242" i="16"/>
  <c r="H773" i="16"/>
  <c r="H689" i="16"/>
  <c r="N681" i="16"/>
  <c r="N433" i="16"/>
  <c r="H305" i="16"/>
  <c r="N254" i="16"/>
  <c r="H337" i="16"/>
  <c r="H254" i="16"/>
  <c r="H443" i="16"/>
  <c r="N621" i="16"/>
  <c r="T503" i="16"/>
  <c r="T571" i="16"/>
  <c r="T539" i="16"/>
  <c r="T522" i="16"/>
  <c r="T410" i="16"/>
  <c r="T689" i="16"/>
  <c r="T549" i="16"/>
  <c r="T440" i="16"/>
  <c r="T196" i="16"/>
  <c r="T160" i="16"/>
  <c r="T80" i="16"/>
  <c r="T358" i="16"/>
  <c r="T326" i="16"/>
  <c r="N261" i="16"/>
  <c r="T19" i="16"/>
  <c r="T509" i="16"/>
  <c r="T213" i="16"/>
  <c r="T14" i="16"/>
  <c r="O446" i="15"/>
  <c r="O750" i="15"/>
  <c r="O413" i="15"/>
  <c r="N256" i="16"/>
  <c r="H24" i="16"/>
  <c r="H17" i="16"/>
  <c r="H19" i="16"/>
  <c r="H633" i="16"/>
  <c r="N289" i="16"/>
  <c r="N783" i="16"/>
  <c r="N772" i="16"/>
  <c r="N387" i="16"/>
  <c r="H692" i="16"/>
  <c r="H449" i="16"/>
  <c r="H371" i="16"/>
  <c r="H643" i="16"/>
  <c r="H444" i="16"/>
  <c r="H231" i="16"/>
  <c r="H195" i="16"/>
  <c r="H412" i="16"/>
  <c r="H247" i="16"/>
  <c r="N33" i="16"/>
  <c r="H769" i="16"/>
  <c r="N369" i="16"/>
  <c r="H743" i="16"/>
  <c r="H601" i="16"/>
  <c r="N767" i="16"/>
  <c r="N507" i="16"/>
  <c r="H168" i="16"/>
  <c r="H366" i="16"/>
  <c r="H250" i="16"/>
  <c r="H472" i="16"/>
  <c r="H439" i="16"/>
  <c r="H402" i="16"/>
  <c r="N28" i="16"/>
  <c r="T347" i="16"/>
  <c r="T399" i="16"/>
  <c r="T603" i="16"/>
  <c r="T567" i="16"/>
  <c r="T535" i="16"/>
  <c r="T499" i="16"/>
  <c r="T446" i="16"/>
  <c r="T649" i="16"/>
  <c r="T396" i="16"/>
  <c r="T390" i="16"/>
  <c r="T354" i="16"/>
  <c r="T318" i="16"/>
  <c r="T286" i="16"/>
  <c r="T250" i="16"/>
  <c r="T72" i="16"/>
  <c r="N253" i="16"/>
  <c r="H800" i="16"/>
  <c r="H725" i="16"/>
  <c r="T85" i="16"/>
  <c r="H575" i="16"/>
  <c r="H513" i="16"/>
  <c r="H389" i="16"/>
  <c r="H396" i="16"/>
  <c r="H749" i="16"/>
  <c r="H282" i="16"/>
  <c r="H142" i="16"/>
  <c r="T811" i="16"/>
  <c r="T748" i="16"/>
  <c r="T552" i="16"/>
  <c r="T365" i="16"/>
  <c r="T157" i="16"/>
  <c r="T805" i="16"/>
  <c r="T680" i="16"/>
  <c r="T576" i="16"/>
  <c r="T476" i="16"/>
  <c r="T393" i="16"/>
  <c r="T708" i="16"/>
  <c r="T500" i="16"/>
  <c r="T371" i="16"/>
  <c r="T309" i="16"/>
  <c r="T209" i="16"/>
  <c r="N83" i="16"/>
  <c r="T25" i="16"/>
  <c r="H702" i="16"/>
  <c r="H253" i="16"/>
  <c r="T79" i="16"/>
  <c r="T544" i="16"/>
  <c r="T257" i="16"/>
  <c r="T68" i="16"/>
  <c r="T389" i="16"/>
  <c r="T792" i="16"/>
  <c r="T147" i="16"/>
  <c r="T566" i="16"/>
  <c r="H306" i="16"/>
  <c r="T335" i="16"/>
  <c r="T760" i="16"/>
  <c r="T598" i="16"/>
  <c r="T177" i="16"/>
  <c r="O147" i="15"/>
  <c r="O625" i="15"/>
  <c r="P757" i="15"/>
  <c r="O430" i="15"/>
  <c r="H778" i="16"/>
  <c r="H18" i="16"/>
  <c r="H20" i="16"/>
  <c r="H13" i="16"/>
  <c r="H15" i="16"/>
  <c r="H529" i="16"/>
  <c r="N377" i="16"/>
  <c r="N746" i="16"/>
  <c r="N308" i="16"/>
  <c r="N782" i="16"/>
  <c r="N379" i="16"/>
  <c r="N315" i="16"/>
  <c r="N235" i="16"/>
  <c r="H584" i="16"/>
  <c r="H548" i="16"/>
  <c r="H516" i="16"/>
  <c r="H508" i="16"/>
  <c r="H320" i="16"/>
  <c r="N187" i="16"/>
  <c r="H526" i="16"/>
  <c r="N73" i="16"/>
  <c r="H216" i="16"/>
  <c r="H180" i="16"/>
  <c r="H397" i="16"/>
  <c r="H71" i="16"/>
  <c r="N665" i="16"/>
  <c r="T217" i="16"/>
  <c r="T743" i="16"/>
  <c r="T707" i="16"/>
  <c r="T631" i="16"/>
  <c r="T563" i="16"/>
  <c r="T514" i="16"/>
  <c r="T645" i="16"/>
  <c r="T392" i="16"/>
  <c r="T360" i="16"/>
  <c r="T324" i="16"/>
  <c r="T386" i="16"/>
  <c r="T282" i="16"/>
  <c r="T246" i="16"/>
  <c r="T210" i="16"/>
  <c r="T142" i="16"/>
  <c r="N748" i="16"/>
  <c r="H658" i="16"/>
  <c r="T86" i="16"/>
  <c r="H509" i="16"/>
  <c r="H377" i="16"/>
  <c r="T744" i="16"/>
  <c r="T473" i="16"/>
  <c r="T801" i="16"/>
  <c r="T768" i="16"/>
  <c r="T526" i="16"/>
  <c r="T67" i="16"/>
  <c r="H177" i="16"/>
  <c r="T812" i="16"/>
  <c r="N351" i="16"/>
  <c r="H722" i="16"/>
  <c r="H225" i="16"/>
  <c r="N466" i="16"/>
  <c r="H16" i="16"/>
  <c r="N211" i="16"/>
  <c r="N612" i="16"/>
  <c r="N546" i="16"/>
  <c r="N774" i="16"/>
  <c r="N670" i="16"/>
  <c r="N733" i="16"/>
  <c r="N441" i="16"/>
  <c r="N260" i="16"/>
  <c r="N674" i="16"/>
  <c r="N266" i="16"/>
  <c r="H684" i="16"/>
  <c r="H648" i="16"/>
  <c r="H616" i="16"/>
  <c r="H580" i="16"/>
  <c r="H544" i="16"/>
  <c r="H742" i="16"/>
  <c r="H316" i="16"/>
  <c r="N180" i="16"/>
  <c r="H522" i="16"/>
  <c r="H486" i="16"/>
  <c r="H594" i="16"/>
  <c r="H381" i="16"/>
  <c r="H212" i="16"/>
  <c r="H176" i="16"/>
  <c r="H186" i="16"/>
  <c r="H809" i="16"/>
  <c r="H626" i="16"/>
  <c r="H593" i="16"/>
  <c r="N459" i="16"/>
  <c r="N86" i="16"/>
  <c r="T425" i="16"/>
  <c r="T703" i="16"/>
  <c r="T667" i="16"/>
  <c r="T627" i="16"/>
  <c r="T523" i="16"/>
  <c r="T750" i="16"/>
  <c r="T510" i="16"/>
  <c r="T537" i="16"/>
  <c r="T428" i="16"/>
  <c r="T356" i="16"/>
  <c r="T346" i="16"/>
  <c r="T310" i="16"/>
  <c r="T242" i="16"/>
  <c r="T206" i="16"/>
  <c r="N525" i="16"/>
  <c r="H654" i="16"/>
  <c r="T682" i="16"/>
  <c r="T710" i="16"/>
  <c r="T211" i="16"/>
  <c r="T249" i="16"/>
  <c r="N388" i="16"/>
  <c r="O667" i="15"/>
  <c r="O355" i="15"/>
  <c r="O534" i="15"/>
  <c r="E219" i="16"/>
  <c r="E219" i="15" s="1"/>
  <c r="E217" i="15"/>
  <c r="G217" i="15" s="1"/>
  <c r="H331" i="15"/>
  <c r="H519" i="15"/>
  <c r="H623" i="15"/>
  <c r="H785" i="15"/>
  <c r="H705" i="15"/>
  <c r="H656" i="15"/>
  <c r="H560" i="15"/>
  <c r="H723" i="15"/>
  <c r="H786" i="15"/>
  <c r="H476" i="15"/>
  <c r="H378" i="15"/>
  <c r="H490" i="15"/>
  <c r="H239" i="15"/>
  <c r="H40" i="15"/>
  <c r="H147" i="15"/>
  <c r="O13" i="16"/>
  <c r="I13" i="15"/>
  <c r="O222" i="16"/>
  <c r="I222" i="15"/>
  <c r="O496" i="16"/>
  <c r="I496" i="15"/>
  <c r="I91" i="15"/>
  <c r="O155" i="16"/>
  <c r="I155" i="15"/>
  <c r="O25" i="16"/>
  <c r="I25" i="15"/>
  <c r="H24" i="15"/>
  <c r="H35" i="16"/>
  <c r="H51" i="15"/>
  <c r="E115" i="15"/>
  <c r="E113" i="15"/>
  <c r="G113" i="15" s="1"/>
  <c r="G193" i="16"/>
  <c r="H191" i="16"/>
  <c r="H207" i="15"/>
  <c r="H259" i="15"/>
  <c r="H307" i="15"/>
  <c r="H355" i="15"/>
  <c r="H387" i="15"/>
  <c r="H467" i="15"/>
  <c r="H589" i="15"/>
  <c r="H621" i="15"/>
  <c r="H667" i="15"/>
  <c r="E765" i="16"/>
  <c r="E765" i="15" s="1"/>
  <c r="E763" i="15"/>
  <c r="G763" i="15" s="1"/>
  <c r="N597" i="16"/>
  <c r="N511" i="16"/>
  <c r="N255" i="16"/>
  <c r="N429" i="16"/>
  <c r="N312" i="16"/>
  <c r="H757" i="15"/>
  <c r="H812" i="15"/>
  <c r="H780" i="15"/>
  <c r="H604" i="16"/>
  <c r="H572" i="16"/>
  <c r="H536" i="16"/>
  <c r="H744" i="15"/>
  <c r="H652" i="15"/>
  <c r="H620" i="15"/>
  <c r="H588" i="15"/>
  <c r="H552" i="15"/>
  <c r="H520" i="15"/>
  <c r="H786" i="16"/>
  <c r="H719" i="15"/>
  <c r="H683" i="15"/>
  <c r="H767" i="15"/>
  <c r="H488" i="15"/>
  <c r="H450" i="15"/>
  <c r="H414" i="15"/>
  <c r="H340" i="16"/>
  <c r="H308" i="16"/>
  <c r="H512" i="15"/>
  <c r="H398" i="15"/>
  <c r="H355" i="16"/>
  <c r="H288" i="15"/>
  <c r="H782" i="15"/>
  <c r="H469" i="15"/>
  <c r="H433" i="15"/>
  <c r="H385" i="15"/>
  <c r="H794" i="15"/>
  <c r="H623" i="16"/>
  <c r="H587" i="15"/>
  <c r="H514" i="16"/>
  <c r="H472" i="15"/>
  <c r="H370" i="15"/>
  <c r="H334" i="15"/>
  <c r="H66" i="15"/>
  <c r="H483" i="15"/>
  <c r="H353" i="16"/>
  <c r="H204" i="16"/>
  <c r="H129" i="15"/>
  <c r="H97" i="15"/>
  <c r="H384" i="15"/>
  <c r="H481" i="16"/>
  <c r="H267" i="15"/>
  <c r="H235" i="15"/>
  <c r="H107" i="15"/>
  <c r="H183" i="16"/>
  <c r="H148" i="15"/>
  <c r="H211" i="16"/>
  <c r="H67" i="16"/>
  <c r="H263" i="16"/>
  <c r="H143" i="15"/>
  <c r="O716" i="16"/>
  <c r="I716" i="15"/>
  <c r="L191" i="15"/>
  <c r="K191" i="15"/>
  <c r="O230" i="16"/>
  <c r="I230" i="15"/>
  <c r="O313" i="16"/>
  <c r="I313" i="15"/>
  <c r="O515" i="16"/>
  <c r="I515" i="15"/>
  <c r="O631" i="16"/>
  <c r="I631" i="15"/>
  <c r="O805" i="16"/>
  <c r="I805" i="15"/>
  <c r="O615" i="16"/>
  <c r="I615" i="15"/>
  <c r="I96" i="15"/>
  <c r="O587" i="16"/>
  <c r="I587" i="15"/>
  <c r="O573" i="16"/>
  <c r="I573" i="15"/>
  <c r="O171" i="16"/>
  <c r="I171" i="15"/>
  <c r="O338" i="16"/>
  <c r="I338" i="15"/>
  <c r="O16" i="16"/>
  <c r="I16" i="15"/>
  <c r="H23" i="15"/>
  <c r="H25" i="15"/>
  <c r="H227" i="15"/>
  <c r="H409" i="15"/>
  <c r="H784" i="15"/>
  <c r="H524" i="15"/>
  <c r="H691" i="15"/>
  <c r="H418" i="15"/>
  <c r="H359" i="16"/>
  <c r="H437" i="15"/>
  <c r="H60" i="15"/>
  <c r="O305" i="16"/>
  <c r="I305" i="15"/>
  <c r="H15" i="15"/>
  <c r="H20" i="15"/>
  <c r="H30" i="15"/>
  <c r="H22" i="16"/>
  <c r="H17" i="15"/>
  <c r="G141" i="16"/>
  <c r="E193" i="16"/>
  <c r="E193" i="15" s="1"/>
  <c r="E191" i="15"/>
  <c r="G191" i="15" s="1"/>
  <c r="H203" i="15"/>
  <c r="H303" i="15"/>
  <c r="H353" i="15"/>
  <c r="H383" i="15"/>
  <c r="H459" i="15"/>
  <c r="E557" i="16"/>
  <c r="E557" i="15" s="1"/>
  <c r="E555" i="15"/>
  <c r="G555" i="15" s="1"/>
  <c r="H619" i="15"/>
  <c r="H659" i="16"/>
  <c r="E687" i="16"/>
  <c r="E687" i="15" s="1"/>
  <c r="E685" i="15"/>
  <c r="G685" i="15" s="1"/>
  <c r="H759" i="15"/>
  <c r="H815" i="15"/>
  <c r="N173" i="16"/>
  <c r="N199" i="16"/>
  <c r="N496" i="16"/>
  <c r="N715" i="16"/>
  <c r="N699" i="16"/>
  <c r="N508" i="16"/>
  <c r="H665" i="15"/>
  <c r="H808" i="15"/>
  <c r="H776" i="15"/>
  <c r="H704" i="16"/>
  <c r="H672" i="16"/>
  <c r="H636" i="16"/>
  <c r="H600" i="16"/>
  <c r="H568" i="16"/>
  <c r="H532" i="16"/>
  <c r="H803" i="16"/>
  <c r="H684" i="15"/>
  <c r="H648" i="15"/>
  <c r="H616" i="15"/>
  <c r="H548" i="15"/>
  <c r="H516" i="15"/>
  <c r="H782" i="16"/>
  <c r="H751" i="15"/>
  <c r="H715" i="15"/>
  <c r="H679" i="15"/>
  <c r="H485" i="15"/>
  <c r="H446" i="15"/>
  <c r="H410" i="15"/>
  <c r="H372" i="15"/>
  <c r="H336" i="16"/>
  <c r="H304" i="16"/>
  <c r="H508" i="15"/>
  <c r="H388" i="16"/>
  <c r="H351" i="16"/>
  <c r="H320" i="15"/>
  <c r="H284" i="15"/>
  <c r="H778" i="15"/>
  <c r="H500" i="15"/>
  <c r="H465" i="15"/>
  <c r="H429" i="15"/>
  <c r="H378" i="16"/>
  <c r="H331" i="16"/>
  <c r="N224" i="16"/>
  <c r="H655" i="16"/>
  <c r="H619" i="16"/>
  <c r="H579" i="15"/>
  <c r="H468" i="15"/>
  <c r="H467" i="16"/>
  <c r="H366" i="15"/>
  <c r="H330" i="15"/>
  <c r="H391" i="16"/>
  <c r="H161" i="15"/>
  <c r="H125" i="15"/>
  <c r="H93" i="15"/>
  <c r="H397" i="15"/>
  <c r="H263" i="15"/>
  <c r="H231" i="15"/>
  <c r="H195" i="15"/>
  <c r="H147" i="16"/>
  <c r="H74" i="15"/>
  <c r="H103" i="15"/>
  <c r="H179" i="16"/>
  <c r="H207" i="16"/>
  <c r="H424" i="16"/>
  <c r="H259" i="16"/>
  <c r="H81" i="15"/>
  <c r="O238" i="16"/>
  <c r="I238" i="15"/>
  <c r="O332" i="16"/>
  <c r="I332" i="15"/>
  <c r="O523" i="16"/>
  <c r="I523" i="15"/>
  <c r="O648" i="16"/>
  <c r="I648" i="15"/>
  <c r="O740" i="16"/>
  <c r="I740" i="15"/>
  <c r="O810" i="16"/>
  <c r="I810" i="15"/>
  <c r="L269" i="15"/>
  <c r="K269" i="15"/>
  <c r="I98" i="15"/>
  <c r="O604" i="16"/>
  <c r="I604" i="15"/>
  <c r="O800" i="16"/>
  <c r="I800" i="15"/>
  <c r="O346" i="16"/>
  <c r="I346" i="15"/>
  <c r="O734" i="16"/>
  <c r="I734" i="15"/>
  <c r="L165" i="15"/>
  <c r="K165" i="15"/>
  <c r="O287" i="16"/>
  <c r="I287" i="15"/>
  <c r="H91" i="15"/>
  <c r="H47" i="15"/>
  <c r="H309" i="15"/>
  <c r="H359" i="15"/>
  <c r="E479" i="16"/>
  <c r="E479" i="15" s="1"/>
  <c r="E504" i="15" s="1"/>
  <c r="G504" i="15" s="1"/>
  <c r="E477" i="15"/>
  <c r="G477" i="15" s="1"/>
  <c r="H696" i="15"/>
  <c r="H624" i="15"/>
  <c r="H771" i="15"/>
  <c r="H454" i="15"/>
  <c r="H292" i="15"/>
  <c r="H591" i="15"/>
  <c r="H133" i="15"/>
  <c r="H507" i="15"/>
  <c r="H111" i="15"/>
  <c r="H152" i="15"/>
  <c r="O173" i="16"/>
  <c r="I173" i="15"/>
  <c r="L581" i="15"/>
  <c r="K581" i="15"/>
  <c r="O255" i="16"/>
  <c r="I255" i="15"/>
  <c r="O325" i="16"/>
  <c r="I325" i="15"/>
  <c r="H16" i="15"/>
  <c r="H25" i="16"/>
  <c r="H18" i="15"/>
  <c r="H27" i="16"/>
  <c r="H13" i="15"/>
  <c r="G63" i="16"/>
  <c r="E141" i="16"/>
  <c r="E141" i="15" s="1"/>
  <c r="E139" i="15"/>
  <c r="G139" i="15" s="1"/>
  <c r="H187" i="15"/>
  <c r="H199" i="15"/>
  <c r="H269" i="16"/>
  <c r="E323" i="16"/>
  <c r="E323" i="15" s="1"/>
  <c r="E321" i="15"/>
  <c r="G321" i="15" s="1"/>
  <c r="E375" i="16"/>
  <c r="E375" i="15" s="1"/>
  <c r="E400" i="15" s="1"/>
  <c r="G400" i="15" s="1"/>
  <c r="E373" i="15"/>
  <c r="G373" i="15" s="1"/>
  <c r="H351" i="15"/>
  <c r="E453" i="16"/>
  <c r="E453" i="15" s="1"/>
  <c r="E451" i="15"/>
  <c r="G451" i="15" s="1"/>
  <c r="H457" i="15"/>
  <c r="E635" i="16"/>
  <c r="E635" i="15" s="1"/>
  <c r="E633" i="15"/>
  <c r="G633" i="15" s="1"/>
  <c r="H617" i="15"/>
  <c r="E661" i="16"/>
  <c r="E661" i="15" s="1"/>
  <c r="E659" i="15"/>
  <c r="G659" i="15" s="1"/>
  <c r="H755" i="15"/>
  <c r="N82" i="16"/>
  <c r="H804" i="15"/>
  <c r="H772" i="15"/>
  <c r="H668" i="16"/>
  <c r="H632" i="16"/>
  <c r="H779" i="16"/>
  <c r="H736" i="15"/>
  <c r="H680" i="15"/>
  <c r="H644" i="15"/>
  <c r="H612" i="15"/>
  <c r="H580" i="15"/>
  <c r="H544" i="15"/>
  <c r="H747" i="15"/>
  <c r="H474" i="15"/>
  <c r="H442" i="15"/>
  <c r="H406" i="15"/>
  <c r="H368" i="15"/>
  <c r="H382" i="15"/>
  <c r="H316" i="15"/>
  <c r="H280" i="15"/>
  <c r="H811" i="15"/>
  <c r="H774" i="15"/>
  <c r="H497" i="15"/>
  <c r="H461" i="15"/>
  <c r="H651" i="16"/>
  <c r="H615" i="16"/>
  <c r="H575" i="15"/>
  <c r="H464" i="15"/>
  <c r="N305" i="16"/>
  <c r="H574" i="16"/>
  <c r="H362" i="15"/>
  <c r="H326" i="15"/>
  <c r="H381" i="15"/>
  <c r="H232" i="16"/>
  <c r="H157" i="15"/>
  <c r="H121" i="15"/>
  <c r="H85" i="15"/>
  <c r="H44" i="15"/>
  <c r="H71" i="15"/>
  <c r="H499" i="15"/>
  <c r="H99" i="15"/>
  <c r="H175" i="16"/>
  <c r="H239" i="16"/>
  <c r="H203" i="16"/>
  <c r="H255" i="16"/>
  <c r="I106" i="15"/>
  <c r="O197" i="16"/>
  <c r="I197" i="15"/>
  <c r="O340" i="16"/>
  <c r="I340" i="15"/>
  <c r="O441" i="16"/>
  <c r="I441" i="15"/>
  <c r="O532" i="16"/>
  <c r="I532" i="15"/>
  <c r="L737" i="15"/>
  <c r="K737" i="15"/>
  <c r="O577" i="16"/>
  <c r="I577" i="15"/>
  <c r="I104" i="15"/>
  <c r="O265" i="16"/>
  <c r="I265" i="15"/>
  <c r="O379" i="16"/>
  <c r="I379" i="15"/>
  <c r="O723" i="16"/>
  <c r="I723" i="15"/>
  <c r="O119" i="15"/>
  <c r="H28" i="15"/>
  <c r="E297" i="16"/>
  <c r="E297" i="15" s="1"/>
  <c r="E322" i="15" s="1"/>
  <c r="G322" i="15" s="1"/>
  <c r="E295" i="15"/>
  <c r="G295" i="15" s="1"/>
  <c r="H391" i="15"/>
  <c r="H603" i="15"/>
  <c r="H592" i="15"/>
  <c r="H639" i="15"/>
  <c r="H328" i="15"/>
  <c r="H388" i="15"/>
  <c r="H798" i="15"/>
  <c r="H440" i="15"/>
  <c r="H338" i="15"/>
  <c r="H101" i="15"/>
  <c r="H275" i="15"/>
  <c r="L135" i="15"/>
  <c r="K135" i="15"/>
  <c r="H26" i="16"/>
  <c r="H28" i="16"/>
  <c r="H21" i="16"/>
  <c r="H14" i="15"/>
  <c r="H23" i="16"/>
  <c r="H59" i="15"/>
  <c r="H87" i="16"/>
  <c r="H131" i="15"/>
  <c r="H183" i="15"/>
  <c r="H197" i="15"/>
  <c r="E271" i="16"/>
  <c r="E271" i="15" s="1"/>
  <c r="E296" i="15" s="1"/>
  <c r="G296" i="15" s="1"/>
  <c r="E269" i="15"/>
  <c r="G269" i="15" s="1"/>
  <c r="H317" i="15"/>
  <c r="H371" i="15"/>
  <c r="H425" i="16"/>
  <c r="H449" i="15"/>
  <c r="H503" i="16"/>
  <c r="H581" i="15"/>
  <c r="H631" i="15"/>
  <c r="H615" i="15"/>
  <c r="H651" i="15"/>
  <c r="H711" i="15"/>
  <c r="H745" i="15"/>
  <c r="N701" i="16"/>
  <c r="N572" i="16"/>
  <c r="H725" i="15"/>
  <c r="H800" i="15"/>
  <c r="H768" i="15"/>
  <c r="H696" i="16"/>
  <c r="H592" i="16"/>
  <c r="H560" i="16"/>
  <c r="H524" i="16"/>
  <c r="H767" i="16"/>
  <c r="H732" i="15"/>
  <c r="H676" i="15"/>
  <c r="H640" i="15"/>
  <c r="H576" i="15"/>
  <c r="H540" i="15"/>
  <c r="H810" i="16"/>
  <c r="H743" i="15"/>
  <c r="H707" i="15"/>
  <c r="H671" i="15"/>
  <c r="H787" i="15"/>
  <c r="H470" i="15"/>
  <c r="H438" i="15"/>
  <c r="H364" i="15"/>
  <c r="H328" i="16"/>
  <c r="H494" i="15"/>
  <c r="H457" i="16"/>
  <c r="H421" i="16"/>
  <c r="H379" i="15"/>
  <c r="H344" i="15"/>
  <c r="H312" i="15"/>
  <c r="H276" i="15"/>
  <c r="H807" i="15"/>
  <c r="H770" i="15"/>
  <c r="H523" i="16"/>
  <c r="H490" i="16"/>
  <c r="H363" i="15"/>
  <c r="H287" i="16"/>
  <c r="H814" i="15"/>
  <c r="H647" i="16"/>
  <c r="H611" i="16"/>
  <c r="H571" i="15"/>
  <c r="H538" i="16"/>
  <c r="H460" i="15"/>
  <c r="H606" i="16"/>
  <c r="H459" i="16"/>
  <c r="H358" i="15"/>
  <c r="H48" i="15"/>
  <c r="H153" i="15"/>
  <c r="H117" i="15"/>
  <c r="H527" i="15"/>
  <c r="H291" i="15"/>
  <c r="H223" i="15"/>
  <c r="H175" i="15"/>
  <c r="H448" i="16"/>
  <c r="H95" i="15"/>
  <c r="H171" i="16"/>
  <c r="H135" i="15"/>
  <c r="H235" i="16"/>
  <c r="H199" i="16"/>
  <c r="H251" i="16"/>
  <c r="H163" i="15"/>
  <c r="O257" i="16"/>
  <c r="I257" i="15"/>
  <c r="O354" i="16"/>
  <c r="I354" i="15"/>
  <c r="O449" i="16"/>
  <c r="I449" i="15"/>
  <c r="O547" i="16"/>
  <c r="I547" i="15"/>
  <c r="O673" i="16"/>
  <c r="I673" i="15"/>
  <c r="O756" i="16"/>
  <c r="I756" i="15"/>
  <c r="O729" i="16"/>
  <c r="I729" i="15"/>
  <c r="O247" i="16"/>
  <c r="I247" i="15"/>
  <c r="O668" i="16"/>
  <c r="I668" i="15"/>
  <c r="L425" i="15"/>
  <c r="K425" i="15"/>
  <c r="I112" i="15"/>
  <c r="O216" i="16"/>
  <c r="I216" i="15"/>
  <c r="O439" i="16"/>
  <c r="I439" i="15"/>
  <c r="H49" i="15"/>
  <c r="H127" i="15"/>
  <c r="H255" i="15"/>
  <c r="H369" i="15"/>
  <c r="E427" i="16"/>
  <c r="E427" i="15" s="1"/>
  <c r="E425" i="15"/>
  <c r="G425" i="15" s="1"/>
  <c r="H613" i="15"/>
  <c r="H721" i="15"/>
  <c r="H656" i="16"/>
  <c r="H672" i="15"/>
  <c r="H604" i="15"/>
  <c r="H536" i="15"/>
  <c r="H735" i="15"/>
  <c r="H663" i="15"/>
  <c r="H466" i="15"/>
  <c r="H360" i="15"/>
  <c r="H340" i="15"/>
  <c r="H803" i="15"/>
  <c r="H519" i="16"/>
  <c r="H810" i="15"/>
  <c r="H354" i="15"/>
  <c r="H369" i="16"/>
  <c r="H523" i="15"/>
  <c r="H251" i="15"/>
  <c r="H164" i="15"/>
  <c r="H190" i="15"/>
  <c r="O596" i="16"/>
  <c r="I596" i="15"/>
  <c r="O773" i="16"/>
  <c r="I773" i="15"/>
  <c r="O241" i="16"/>
  <c r="I241" i="15"/>
  <c r="O447" i="16"/>
  <c r="I447" i="15"/>
  <c r="O370" i="16"/>
  <c r="I370" i="15"/>
  <c r="O699" i="16"/>
  <c r="I699" i="15"/>
  <c r="O285" i="16"/>
  <c r="I285" i="15"/>
  <c r="O263" i="16"/>
  <c r="I263" i="15"/>
  <c r="O437" i="16"/>
  <c r="I437" i="15"/>
  <c r="O588" i="16"/>
  <c r="I588" i="15"/>
  <c r="L685" i="15"/>
  <c r="K685" i="15"/>
  <c r="O752" i="16"/>
  <c r="I752" i="15"/>
  <c r="O212" i="16"/>
  <c r="I212" i="15"/>
  <c r="O312" i="16"/>
  <c r="I312" i="15"/>
  <c r="O454" i="16"/>
  <c r="I454" i="15"/>
  <c r="O603" i="16"/>
  <c r="I603" i="15"/>
  <c r="O747" i="16"/>
  <c r="I747" i="15"/>
  <c r="O199" i="16"/>
  <c r="I199" i="15"/>
  <c r="O462" i="16"/>
  <c r="I462" i="15"/>
  <c r="O502" i="16"/>
  <c r="I502" i="15"/>
  <c r="L243" i="15"/>
  <c r="K243" i="15"/>
  <c r="O283" i="16"/>
  <c r="I283" i="15"/>
  <c r="O24" i="16"/>
  <c r="I24" i="15"/>
  <c r="O220" i="16"/>
  <c r="I220" i="15"/>
  <c r="O82" i="16"/>
  <c r="I82" i="15"/>
  <c r="O391" i="16"/>
  <c r="I391" i="15"/>
  <c r="I48" i="15"/>
  <c r="H706" i="15"/>
  <c r="H606" i="15"/>
  <c r="H784" i="16"/>
  <c r="H797" i="15"/>
  <c r="H701" i="15"/>
  <c r="H614" i="15"/>
  <c r="H551" i="15"/>
  <c r="H514" i="15"/>
  <c r="H424" i="15"/>
  <c r="H338" i="16"/>
  <c r="I111" i="15"/>
  <c r="O209" i="16"/>
  <c r="I209" i="15"/>
  <c r="H242" i="15"/>
  <c r="H209" i="15"/>
  <c r="H70" i="15"/>
  <c r="H419" i="15"/>
  <c r="I136" i="15"/>
  <c r="O224" i="16"/>
  <c r="I224" i="15"/>
  <c r="O330" i="16"/>
  <c r="I330" i="15"/>
  <c r="H329" i="15"/>
  <c r="H241" i="15"/>
  <c r="H204" i="15"/>
  <c r="H118" i="15"/>
  <c r="I109" i="15"/>
  <c r="O276" i="16"/>
  <c r="I276" i="15"/>
  <c r="O572" i="16"/>
  <c r="I572" i="15"/>
  <c r="H232" i="15"/>
  <c r="O343" i="16"/>
  <c r="I343" i="15"/>
  <c r="O468" i="16"/>
  <c r="I468" i="15"/>
  <c r="O590" i="16"/>
  <c r="I590" i="15"/>
  <c r="O663" i="16"/>
  <c r="I663" i="15"/>
  <c r="O701" i="16"/>
  <c r="I701" i="15"/>
  <c r="O386" i="16"/>
  <c r="I386" i="15"/>
  <c r="O513" i="16"/>
  <c r="I513" i="15"/>
  <c r="O597" i="16"/>
  <c r="I597" i="15"/>
  <c r="O508" i="16"/>
  <c r="I508" i="15"/>
  <c r="O677" i="16"/>
  <c r="I677" i="15"/>
  <c r="O417" i="16"/>
  <c r="I417" i="15"/>
  <c r="O511" i="16"/>
  <c r="I511" i="15"/>
  <c r="O544" i="16"/>
  <c r="I544" i="15"/>
  <c r="O658" i="16"/>
  <c r="I658" i="15"/>
  <c r="O761" i="16"/>
  <c r="I761" i="15"/>
  <c r="O32" i="16"/>
  <c r="I32" i="15"/>
  <c r="O484" i="16"/>
  <c r="I484" i="15"/>
  <c r="O606" i="16"/>
  <c r="I606" i="15"/>
  <c r="O85" i="16"/>
  <c r="I85" i="15"/>
  <c r="P77" i="15"/>
  <c r="O77" i="15"/>
  <c r="P105" i="15"/>
  <c r="O105" i="15"/>
  <c r="P131" i="15"/>
  <c r="O131" i="15"/>
  <c r="P145" i="15"/>
  <c r="O145" i="15"/>
  <c r="P199" i="15"/>
  <c r="O199" i="15"/>
  <c r="Q297" i="16"/>
  <c r="M297" i="15" s="1"/>
  <c r="M295" i="15"/>
  <c r="P305" i="15"/>
  <c r="O305" i="15"/>
  <c r="P367" i="15"/>
  <c r="O367" i="15"/>
  <c r="Q583" i="16"/>
  <c r="M583" i="15" s="1"/>
  <c r="M581" i="15"/>
  <c r="P587" i="15"/>
  <c r="O587" i="15"/>
  <c r="P613" i="15"/>
  <c r="O613" i="15"/>
  <c r="O677" i="15"/>
  <c r="P677" i="15"/>
  <c r="P705" i="15"/>
  <c r="O705" i="15"/>
  <c r="P715" i="15"/>
  <c r="O715" i="15"/>
  <c r="P777" i="15"/>
  <c r="O777" i="15"/>
  <c r="P813" i="15"/>
  <c r="O813" i="15"/>
  <c r="P751" i="15"/>
  <c r="O751" i="15"/>
  <c r="O679" i="15"/>
  <c r="P679" i="15"/>
  <c r="P643" i="15"/>
  <c r="O643" i="15"/>
  <c r="P511" i="15"/>
  <c r="O511" i="15"/>
  <c r="P463" i="15"/>
  <c r="O463" i="15"/>
  <c r="P700" i="15"/>
  <c r="O700" i="15"/>
  <c r="P668" i="15"/>
  <c r="O668" i="15"/>
  <c r="P600" i="15"/>
  <c r="O600" i="15"/>
  <c r="P568" i="15"/>
  <c r="O568" i="15"/>
  <c r="P496" i="15"/>
  <c r="O496" i="15"/>
  <c r="P464" i="15"/>
  <c r="O464" i="15"/>
  <c r="P76" i="15"/>
  <c r="O76" i="15"/>
  <c r="M408" i="15"/>
  <c r="T408" i="16"/>
  <c r="P368" i="15"/>
  <c r="O368" i="15"/>
  <c r="P332" i="15"/>
  <c r="O332" i="15"/>
  <c r="P292" i="15"/>
  <c r="O292" i="15"/>
  <c r="P260" i="15"/>
  <c r="O260" i="15"/>
  <c r="P224" i="15"/>
  <c r="O224" i="15"/>
  <c r="P184" i="15"/>
  <c r="O184" i="15"/>
  <c r="P152" i="15"/>
  <c r="O152" i="15"/>
  <c r="P398" i="15"/>
  <c r="O398" i="15"/>
  <c r="P366" i="15"/>
  <c r="O366" i="15"/>
  <c r="P334" i="15"/>
  <c r="O334" i="15"/>
  <c r="P294" i="15"/>
  <c r="O294" i="15"/>
  <c r="P258" i="15"/>
  <c r="O258" i="15"/>
  <c r="P222" i="15"/>
  <c r="O222" i="15"/>
  <c r="P182" i="15"/>
  <c r="O182" i="15"/>
  <c r="P146" i="15"/>
  <c r="O146" i="15"/>
  <c r="H663" i="16"/>
  <c r="H625" i="16"/>
  <c r="H741" i="15"/>
  <c r="H666" i="15"/>
  <c r="I126" i="15"/>
  <c r="O206" i="16"/>
  <c r="I206" i="15"/>
  <c r="O431" i="16"/>
  <c r="I431" i="15"/>
  <c r="M22" i="15"/>
  <c r="U22" i="16"/>
  <c r="H538" i="15"/>
  <c r="H488" i="16"/>
  <c r="H314" i="15"/>
  <c r="H666" i="16"/>
  <c r="H603" i="16"/>
  <c r="H288" i="16"/>
  <c r="H102" i="15"/>
  <c r="O564" i="16"/>
  <c r="I564" i="15"/>
  <c r="H574" i="15"/>
  <c r="H541" i="15"/>
  <c r="H462" i="16"/>
  <c r="O170" i="16"/>
  <c r="I170" i="15"/>
  <c r="O329" i="16"/>
  <c r="I329" i="15"/>
  <c r="O410" i="16"/>
  <c r="I410" i="15"/>
  <c r="O643" i="16"/>
  <c r="I643" i="15"/>
  <c r="L568" i="15"/>
  <c r="K568" i="15"/>
  <c r="O221" i="16"/>
  <c r="I221" i="15"/>
  <c r="O537" i="16"/>
  <c r="I537" i="15"/>
  <c r="I46" i="15"/>
  <c r="P39" i="15"/>
  <c r="O39" i="15"/>
  <c r="P42" i="15"/>
  <c r="O42" i="15"/>
  <c r="P782" i="15"/>
  <c r="O782" i="15"/>
  <c r="P670" i="15"/>
  <c r="O670" i="15"/>
  <c r="P578" i="15"/>
  <c r="O578" i="15"/>
  <c r="M341" i="15"/>
  <c r="T341" i="16"/>
  <c r="M237" i="15"/>
  <c r="T237" i="16"/>
  <c r="M179" i="15"/>
  <c r="T179" i="16"/>
  <c r="P96" i="15"/>
  <c r="O96" i="15"/>
  <c r="P698" i="15"/>
  <c r="O698" i="15"/>
  <c r="P486" i="15"/>
  <c r="O486" i="15"/>
  <c r="P436" i="15"/>
  <c r="O436" i="15"/>
  <c r="P776" i="15"/>
  <c r="O776" i="15"/>
  <c r="P626" i="15"/>
  <c r="O626" i="15"/>
  <c r="P589" i="15"/>
  <c r="O589" i="15"/>
  <c r="P501" i="15"/>
  <c r="O501" i="15"/>
  <c r="O285" i="15"/>
  <c r="P285" i="15"/>
  <c r="P227" i="15"/>
  <c r="O227" i="15"/>
  <c r="P78" i="15"/>
  <c r="O78" i="15"/>
  <c r="H277" i="15"/>
  <c r="O519" i="16"/>
  <c r="I519" i="15"/>
  <c r="M27" i="15"/>
  <c r="U27" i="16"/>
  <c r="I137" i="15"/>
  <c r="M20" i="15"/>
  <c r="U20" i="16"/>
  <c r="M28" i="15"/>
  <c r="U28" i="16"/>
  <c r="P57" i="15"/>
  <c r="O57" i="15"/>
  <c r="H92" i="15"/>
  <c r="H665" i="16"/>
  <c r="O618" i="16"/>
  <c r="I618" i="15"/>
  <c r="P60" i="15"/>
  <c r="O60" i="15"/>
  <c r="I42" i="15"/>
  <c r="P59" i="15"/>
  <c r="O59" i="15"/>
  <c r="T714" i="16"/>
  <c r="H673" i="15"/>
  <c r="O794" i="16"/>
  <c r="I794" i="15"/>
  <c r="O14" i="16"/>
  <c r="I14" i="15"/>
  <c r="P806" i="15"/>
  <c r="O806" i="15"/>
  <c r="O681" i="15"/>
  <c r="P681" i="15"/>
  <c r="P590" i="15"/>
  <c r="O590" i="15"/>
  <c r="P403" i="15"/>
  <c r="O403" i="15"/>
  <c r="O261" i="15"/>
  <c r="P261" i="15"/>
  <c r="P195" i="15"/>
  <c r="O195" i="15"/>
  <c r="H485" i="16"/>
  <c r="H181" i="16"/>
  <c r="H148" i="16"/>
  <c r="I105" i="15"/>
  <c r="O625" i="16"/>
  <c r="I625" i="15"/>
  <c r="I100" i="15"/>
  <c r="O759" i="16"/>
  <c r="I759" i="15"/>
  <c r="O327" i="16"/>
  <c r="I327" i="15"/>
  <c r="T403" i="16"/>
  <c r="H642" i="15"/>
  <c r="L399" i="15"/>
  <c r="K399" i="15"/>
  <c r="O730" i="16"/>
  <c r="I730" i="15"/>
  <c r="P732" i="15"/>
  <c r="O732" i="15"/>
  <c r="P470" i="15"/>
  <c r="O470" i="15"/>
  <c r="M395" i="15"/>
  <c r="T395" i="16"/>
  <c r="O208" i="16"/>
  <c r="I208" i="15"/>
  <c r="O722" i="16"/>
  <c r="I722" i="15"/>
  <c r="O21" i="16"/>
  <c r="I21" i="15"/>
  <c r="H675" i="15"/>
  <c r="O419" i="15"/>
  <c r="E63" i="16"/>
  <c r="E63" i="15" s="1"/>
  <c r="E88" i="15" s="1"/>
  <c r="G88" i="15" s="1"/>
  <c r="E61" i="15"/>
  <c r="G61" i="15" s="1"/>
  <c r="H181" i="15"/>
  <c r="H315" i="15"/>
  <c r="H503" i="15"/>
  <c r="H647" i="15"/>
  <c r="H796" i="15"/>
  <c r="H624" i="16"/>
  <c r="H760" i="15"/>
  <c r="H572" i="15"/>
  <c r="H703" i="15"/>
  <c r="H783" i="15"/>
  <c r="H434" i="15"/>
  <c r="H491" i="15"/>
  <c r="H484" i="15"/>
  <c r="H417" i="15"/>
  <c r="H567" i="15"/>
  <c r="H496" i="15"/>
  <c r="H149" i="15"/>
  <c r="H287" i="15"/>
  <c r="H171" i="15"/>
  <c r="H56" i="15"/>
  <c r="H119" i="15"/>
  <c r="H159" i="15"/>
  <c r="O205" i="16"/>
  <c r="I205" i="15"/>
  <c r="O362" i="16"/>
  <c r="I362" i="15"/>
  <c r="O262" i="16"/>
  <c r="I262" i="15"/>
  <c r="I123" i="15"/>
  <c r="O806" i="16"/>
  <c r="I806" i="15"/>
  <c r="H22" i="15"/>
  <c r="H33" i="15"/>
  <c r="H27" i="15"/>
  <c r="H57" i="15"/>
  <c r="H69" i="15"/>
  <c r="H123" i="15"/>
  <c r="H179" i="15"/>
  <c r="E245" i="16"/>
  <c r="E245" i="15" s="1"/>
  <c r="E243" i="15"/>
  <c r="G243" i="15" s="1"/>
  <c r="G297" i="16"/>
  <c r="H295" i="16"/>
  <c r="H313" i="15"/>
  <c r="E349" i="16"/>
  <c r="E349" i="15" s="1"/>
  <c r="E374" i="15" s="1"/>
  <c r="G374" i="15" s="1"/>
  <c r="E347" i="15"/>
  <c r="G347" i="15" s="1"/>
  <c r="H367" i="15"/>
  <c r="E401" i="16"/>
  <c r="E401" i="15" s="1"/>
  <c r="E399" i="15"/>
  <c r="G399" i="15" s="1"/>
  <c r="H421" i="15"/>
  <c r="H435" i="15"/>
  <c r="E609" i="16"/>
  <c r="E609" i="15" s="1"/>
  <c r="E607" i="15"/>
  <c r="G607" i="15" s="1"/>
  <c r="H627" i="15"/>
  <c r="H611" i="15"/>
  <c r="H643" i="15"/>
  <c r="E739" i="16"/>
  <c r="E739" i="15" s="1"/>
  <c r="E737" i="15"/>
  <c r="G737" i="15" s="1"/>
  <c r="N454" i="16"/>
  <c r="H688" i="16"/>
  <c r="H652" i="16"/>
  <c r="H620" i="16"/>
  <c r="H756" i="15"/>
  <c r="H704" i="15"/>
  <c r="H668" i="15"/>
  <c r="H632" i="15"/>
  <c r="H600" i="15"/>
  <c r="H568" i="15"/>
  <c r="H766" i="16"/>
  <c r="H731" i="15"/>
  <c r="H699" i="15"/>
  <c r="H779" i="15"/>
  <c r="H462" i="15"/>
  <c r="H430" i="15"/>
  <c r="H392" i="15"/>
  <c r="H356" i="15"/>
  <c r="H484" i="16"/>
  <c r="H413" i="16"/>
  <c r="H367" i="16"/>
  <c r="H336" i="15"/>
  <c r="H304" i="15"/>
  <c r="H799" i="15"/>
  <c r="H551" i="16"/>
  <c r="H481" i="15"/>
  <c r="H445" i="15"/>
  <c r="H405" i="15"/>
  <c r="G349" i="16"/>
  <c r="H347" i="16"/>
  <c r="H311" i="16"/>
  <c r="H806" i="15"/>
  <c r="H639" i="16"/>
  <c r="H599" i="15"/>
  <c r="H563" i="15"/>
  <c r="H493" i="15"/>
  <c r="H448" i="15"/>
  <c r="H346" i="15"/>
  <c r="H365" i="16"/>
  <c r="H145" i="15"/>
  <c r="H109" i="15"/>
  <c r="H78" i="15"/>
  <c r="H515" i="15"/>
  <c r="H283" i="15"/>
  <c r="H247" i="15"/>
  <c r="H211" i="15"/>
  <c r="H53" i="15"/>
  <c r="H440" i="16"/>
  <c r="H65" i="15"/>
  <c r="H160" i="15"/>
  <c r="H227" i="16"/>
  <c r="H190" i="16"/>
  <c r="H155" i="15"/>
  <c r="L451" i="15"/>
  <c r="K451" i="15"/>
  <c r="O149" i="16"/>
  <c r="I149" i="15"/>
  <c r="O281" i="16"/>
  <c r="I281" i="15"/>
  <c r="O480" i="16"/>
  <c r="I480" i="15"/>
  <c r="O698" i="16"/>
  <c r="I698" i="15"/>
  <c r="O792" i="16"/>
  <c r="I792" i="15"/>
  <c r="O778" i="16"/>
  <c r="I778" i="15"/>
  <c r="O726" i="16"/>
  <c r="I726" i="15"/>
  <c r="I133" i="15"/>
  <c r="O279" i="16"/>
  <c r="I279" i="15"/>
  <c r="O474" i="16"/>
  <c r="I474" i="15"/>
  <c r="O578" i="16"/>
  <c r="I578" i="15"/>
  <c r="H26" i="15"/>
  <c r="E89" i="15"/>
  <c r="E114" i="15" s="1"/>
  <c r="G114" i="15" s="1"/>
  <c r="E87" i="15"/>
  <c r="G87" i="15" s="1"/>
  <c r="G245" i="16"/>
  <c r="H243" i="16"/>
  <c r="H441" i="15"/>
  <c r="H629" i="15"/>
  <c r="H728" i="15"/>
  <c r="H308" i="15"/>
  <c r="H315" i="16"/>
  <c r="H456" i="15"/>
  <c r="H215" i="15"/>
  <c r="I125" i="15"/>
  <c r="O455" i="16"/>
  <c r="I455" i="15"/>
  <c r="O690" i="16"/>
  <c r="I690" i="15"/>
  <c r="O563" i="16"/>
  <c r="I563" i="15"/>
  <c r="O335" i="16"/>
  <c r="I335" i="15"/>
  <c r="O274" i="16"/>
  <c r="I274" i="15"/>
  <c r="O715" i="16"/>
  <c r="I715" i="15"/>
  <c r="O314" i="16"/>
  <c r="I314" i="15"/>
  <c r="O429" i="16"/>
  <c r="I429" i="15"/>
  <c r="O524" i="16"/>
  <c r="I524" i="15"/>
  <c r="I131" i="15"/>
  <c r="H32" i="15"/>
  <c r="H29" i="15"/>
  <c r="H55" i="15"/>
  <c r="H67" i="15"/>
  <c r="E167" i="16"/>
  <c r="E167" i="15" s="1"/>
  <c r="E192" i="15" s="1"/>
  <c r="G192" i="15" s="1"/>
  <c r="E165" i="15"/>
  <c r="G165" i="15" s="1"/>
  <c r="G219" i="16"/>
  <c r="H217" i="16"/>
  <c r="H237" i="15"/>
  <c r="H311" i="15"/>
  <c r="H341" i="15"/>
  <c r="H365" i="15"/>
  <c r="H395" i="15"/>
  <c r="H413" i="15"/>
  <c r="E531" i="16"/>
  <c r="E531" i="15" s="1"/>
  <c r="E529" i="15"/>
  <c r="G529" i="15" s="1"/>
  <c r="H605" i="15"/>
  <c r="H625" i="15"/>
  <c r="H637" i="15"/>
  <c r="H717" i="15"/>
  <c r="E791" i="16"/>
  <c r="E791" i="15" s="1"/>
  <c r="E789" i="15"/>
  <c r="G789" i="15" s="1"/>
  <c r="N455" i="16"/>
  <c r="N283" i="16"/>
  <c r="N468" i="16"/>
  <c r="N222" i="16"/>
  <c r="N85" i="16"/>
  <c r="H792" i="16"/>
  <c r="H709" i="15"/>
  <c r="H788" i="15"/>
  <c r="H752" i="15"/>
  <c r="H700" i="15"/>
  <c r="H664" i="15"/>
  <c r="H628" i="15"/>
  <c r="H596" i="15"/>
  <c r="H564" i="15"/>
  <c r="H528" i="15"/>
  <c r="H798" i="16"/>
  <c r="H727" i="15"/>
  <c r="H695" i="15"/>
  <c r="H655" i="15"/>
  <c r="H775" i="15"/>
  <c r="H501" i="15"/>
  <c r="H458" i="15"/>
  <c r="H422" i="15"/>
  <c r="H389" i="15"/>
  <c r="H352" i="15"/>
  <c r="G479" i="16"/>
  <c r="H477" i="16"/>
  <c r="H441" i="16"/>
  <c r="H409" i="16"/>
  <c r="H332" i="15"/>
  <c r="H300" i="15"/>
  <c r="H795" i="15"/>
  <c r="H307" i="16"/>
  <c r="H275" i="16"/>
  <c r="H802" i="15"/>
  <c r="H631" i="16"/>
  <c r="H595" i="15"/>
  <c r="H559" i="15"/>
  <c r="H444" i="15"/>
  <c r="H497" i="16"/>
  <c r="H342" i="15"/>
  <c r="H82" i="15"/>
  <c r="H493" i="16"/>
  <c r="H137" i="15"/>
  <c r="H105" i="15"/>
  <c r="H511" i="15"/>
  <c r="H279" i="15"/>
  <c r="H159" i="16"/>
  <c r="H394" i="15"/>
  <c r="H156" i="15"/>
  <c r="H68" i="15"/>
  <c r="H223" i="16"/>
  <c r="H151" i="15"/>
  <c r="O252" i="16"/>
  <c r="I252" i="15"/>
  <c r="O213" i="16"/>
  <c r="I213" i="15"/>
  <c r="O300" i="16"/>
  <c r="I300" i="15"/>
  <c r="O372" i="16"/>
  <c r="I372" i="15"/>
  <c r="O488" i="16"/>
  <c r="I488" i="15"/>
  <c r="O623" i="16"/>
  <c r="I623" i="15"/>
  <c r="O703" i="16"/>
  <c r="I703" i="15"/>
  <c r="N25" i="16"/>
  <c r="O558" i="16"/>
  <c r="I558" i="15"/>
  <c r="O316" i="16"/>
  <c r="I316" i="15"/>
  <c r="O29" i="16"/>
  <c r="I29" i="15"/>
  <c r="O142" i="16"/>
  <c r="I142" i="15"/>
  <c r="O250" i="16"/>
  <c r="I250" i="15"/>
  <c r="O750" i="16"/>
  <c r="I750" i="15"/>
  <c r="O570" i="16"/>
  <c r="I570" i="15"/>
  <c r="L373" i="15"/>
  <c r="K373" i="15"/>
  <c r="O553" i="16"/>
  <c r="I553" i="15"/>
  <c r="O741" i="16"/>
  <c r="I741" i="15"/>
  <c r="O811" i="16"/>
  <c r="I811" i="15"/>
  <c r="O152" i="16"/>
  <c r="I152" i="15"/>
  <c r="L139" i="15"/>
  <c r="K139" i="15"/>
  <c r="O272" i="16"/>
  <c r="I272" i="15"/>
  <c r="L398" i="15"/>
  <c r="K398" i="15"/>
  <c r="O445" i="16"/>
  <c r="I445" i="15"/>
  <c r="O605" i="16"/>
  <c r="I605" i="15"/>
  <c r="O339" i="16"/>
  <c r="I339" i="15"/>
  <c r="O487" i="16"/>
  <c r="I487" i="15"/>
  <c r="O614" i="16"/>
  <c r="I614" i="15"/>
  <c r="O655" i="16"/>
  <c r="I655" i="15"/>
  <c r="O755" i="16"/>
  <c r="I755" i="15"/>
  <c r="G401" i="16"/>
  <c r="H399" i="16"/>
  <c r="O304" i="16"/>
  <c r="I304" i="15"/>
  <c r="O318" i="16"/>
  <c r="I318" i="15"/>
  <c r="O77" i="16"/>
  <c r="I77" i="15"/>
  <c r="O72" i="16"/>
  <c r="I72" i="15"/>
  <c r="O228" i="16"/>
  <c r="I228" i="15"/>
  <c r="O708" i="16"/>
  <c r="I708" i="15"/>
  <c r="L789" i="15"/>
  <c r="K789" i="15"/>
  <c r="I40" i="15"/>
  <c r="N663" i="16"/>
  <c r="H735" i="16"/>
  <c r="H702" i="15"/>
  <c r="H602" i="15"/>
  <c r="H565" i="15"/>
  <c r="H780" i="16"/>
  <c r="N759" i="16"/>
  <c r="H793" i="15"/>
  <c r="H697" i="15"/>
  <c r="H547" i="15"/>
  <c r="H510" i="15"/>
  <c r="H761" i="15"/>
  <c r="H420" i="15"/>
  <c r="H334" i="16"/>
  <c r="H242" i="16"/>
  <c r="I122" i="15"/>
  <c r="O226" i="16"/>
  <c r="I226" i="15"/>
  <c r="O345" i="16"/>
  <c r="I345" i="15"/>
  <c r="H238" i="15"/>
  <c r="H205" i="15"/>
  <c r="H66" i="16"/>
  <c r="H415" i="15"/>
  <c r="H362" i="16"/>
  <c r="H329" i="16"/>
  <c r="O145" i="16"/>
  <c r="I145" i="15"/>
  <c r="O232" i="16"/>
  <c r="I232" i="15"/>
  <c r="H468" i="16"/>
  <c r="H435" i="16"/>
  <c r="H325" i="15"/>
  <c r="H233" i="15"/>
  <c r="H200" i="15"/>
  <c r="H84" i="15"/>
  <c r="O153" i="16"/>
  <c r="I153" i="15"/>
  <c r="O360" i="16"/>
  <c r="I360" i="15"/>
  <c r="H299" i="15"/>
  <c r="H265" i="15"/>
  <c r="H228" i="15"/>
  <c r="O416" i="16"/>
  <c r="I416" i="15"/>
  <c r="O473" i="16"/>
  <c r="I473" i="15"/>
  <c r="O602" i="16"/>
  <c r="I602" i="15"/>
  <c r="O671" i="16"/>
  <c r="I671" i="15"/>
  <c r="O749" i="16"/>
  <c r="I749" i="15"/>
  <c r="O394" i="16"/>
  <c r="I394" i="15"/>
  <c r="O518" i="16"/>
  <c r="I518" i="15"/>
  <c r="O611" i="16"/>
  <c r="I611" i="15"/>
  <c r="H750" i="15"/>
  <c r="O444" i="16"/>
  <c r="I444" i="15"/>
  <c r="O691" i="16"/>
  <c r="I691" i="15"/>
  <c r="O533" i="16"/>
  <c r="I533" i="15"/>
  <c r="O549" i="16"/>
  <c r="I549" i="15"/>
  <c r="O667" i="16"/>
  <c r="I667" i="15"/>
  <c r="O770" i="16"/>
  <c r="I770" i="15"/>
  <c r="H31" i="15"/>
  <c r="O492" i="16"/>
  <c r="I492" i="15"/>
  <c r="O620" i="16"/>
  <c r="I620" i="15"/>
  <c r="O69" i="16"/>
  <c r="I69" i="15"/>
  <c r="O482" i="16"/>
  <c r="I482" i="15"/>
  <c r="P75" i="15"/>
  <c r="O75" i="15"/>
  <c r="O103" i="15"/>
  <c r="P103" i="15"/>
  <c r="M129" i="15"/>
  <c r="T165" i="16"/>
  <c r="T191" i="16"/>
  <c r="P197" i="15"/>
  <c r="O197" i="15"/>
  <c r="T269" i="16"/>
  <c r="O281" i="15"/>
  <c r="P281" i="15"/>
  <c r="Q323" i="16"/>
  <c r="M323" i="15" s="1"/>
  <c r="M321" i="15"/>
  <c r="P303" i="15"/>
  <c r="O303" i="15"/>
  <c r="P365" i="15"/>
  <c r="O365" i="15"/>
  <c r="Q453" i="16"/>
  <c r="M453" i="15" s="1"/>
  <c r="M451" i="15"/>
  <c r="P471" i="15"/>
  <c r="O471" i="15"/>
  <c r="Q557" i="16"/>
  <c r="M557" i="15" s="1"/>
  <c r="M582" i="15" s="1"/>
  <c r="O582" i="15" s="1"/>
  <c r="M555" i="15"/>
  <c r="P573" i="15"/>
  <c r="O573" i="15"/>
  <c r="T607" i="16"/>
  <c r="P585" i="15"/>
  <c r="O585" i="15"/>
  <c r="P611" i="15"/>
  <c r="O611" i="15"/>
  <c r="T737" i="16"/>
  <c r="T763" i="16"/>
  <c r="M775" i="15"/>
  <c r="T775" i="16"/>
  <c r="M807" i="15"/>
  <c r="T807" i="16"/>
  <c r="T671" i="16"/>
  <c r="T495" i="16"/>
  <c r="M779" i="15"/>
  <c r="T779" i="16"/>
  <c r="P747" i="15"/>
  <c r="O747" i="15"/>
  <c r="P639" i="15"/>
  <c r="O639" i="15"/>
  <c r="P599" i="15"/>
  <c r="O599" i="15"/>
  <c r="P547" i="15"/>
  <c r="O547" i="15"/>
  <c r="P507" i="15"/>
  <c r="O507" i="15"/>
  <c r="M459" i="15"/>
  <c r="T459" i="16"/>
  <c r="T681" i="16"/>
  <c r="T613" i="16"/>
  <c r="T541" i="16"/>
  <c r="M696" i="15"/>
  <c r="T696" i="16"/>
  <c r="P664" i="15"/>
  <c r="O664" i="15"/>
  <c r="P632" i="15"/>
  <c r="O632" i="15"/>
  <c r="P564" i="15"/>
  <c r="O564" i="15"/>
  <c r="P528" i="15"/>
  <c r="O528" i="15"/>
  <c r="P492" i="15"/>
  <c r="O492" i="15"/>
  <c r="P460" i="15"/>
  <c r="O460" i="15"/>
  <c r="T184" i="16"/>
  <c r="T152" i="16"/>
  <c r="P466" i="15"/>
  <c r="O466" i="15"/>
  <c r="P404" i="15"/>
  <c r="O404" i="15"/>
  <c r="P364" i="15"/>
  <c r="O364" i="15"/>
  <c r="P328" i="15"/>
  <c r="O328" i="15"/>
  <c r="P288" i="15"/>
  <c r="O288" i="15"/>
  <c r="P256" i="15"/>
  <c r="O256" i="15"/>
  <c r="P180" i="15"/>
  <c r="O180" i="15"/>
  <c r="P148" i="15"/>
  <c r="O148" i="15"/>
  <c r="P112" i="15"/>
  <c r="O112" i="15"/>
  <c r="P68" i="15"/>
  <c r="O68" i="15"/>
  <c r="P394" i="15"/>
  <c r="O394" i="15"/>
  <c r="P362" i="15"/>
  <c r="O362" i="15"/>
  <c r="P330" i="15"/>
  <c r="O330" i="15"/>
  <c r="P290" i="15"/>
  <c r="O290" i="15"/>
  <c r="P254" i="15"/>
  <c r="O254" i="15"/>
  <c r="P214" i="15"/>
  <c r="O214" i="15"/>
  <c r="P178" i="15"/>
  <c r="O178" i="15"/>
  <c r="P138" i="15"/>
  <c r="O138" i="15"/>
  <c r="P66" i="15"/>
  <c r="O66" i="15"/>
  <c r="P110" i="15"/>
  <c r="O110" i="15"/>
  <c r="H796" i="16"/>
  <c r="H721" i="16"/>
  <c r="T77" i="16"/>
  <c r="H724" i="15"/>
  <c r="H571" i="16"/>
  <c r="I134" i="15"/>
  <c r="O223" i="16"/>
  <c r="I223" i="15"/>
  <c r="O594" i="16"/>
  <c r="I594" i="15"/>
  <c r="H534" i="15"/>
  <c r="H393" i="15"/>
  <c r="H310" i="15"/>
  <c r="O309" i="16"/>
  <c r="I309" i="15"/>
  <c r="S63" i="16"/>
  <c r="H745" i="16"/>
  <c r="H662" i="16"/>
  <c r="H599" i="16"/>
  <c r="H455" i="15"/>
  <c r="H284" i="16"/>
  <c r="H98" i="15"/>
  <c r="O168" i="16"/>
  <c r="I168" i="15"/>
  <c r="H570" i="15"/>
  <c r="H537" i="15"/>
  <c r="H458" i="16"/>
  <c r="O579" i="16"/>
  <c r="I579" i="15"/>
  <c r="O735" i="16"/>
  <c r="I735" i="15"/>
  <c r="O202" i="16"/>
  <c r="I202" i="15"/>
  <c r="O336" i="16"/>
  <c r="I336" i="15"/>
  <c r="O418" i="16"/>
  <c r="I418" i="15"/>
  <c r="O651" i="16"/>
  <c r="I651" i="15"/>
  <c r="H278" i="16"/>
  <c r="I117" i="15"/>
  <c r="O229" i="16"/>
  <c r="I229" i="15"/>
  <c r="O586" i="16"/>
  <c r="I586" i="15"/>
  <c r="I38" i="15"/>
  <c r="O186" i="16"/>
  <c r="I186" i="15"/>
  <c r="M638" i="15"/>
  <c r="T638" i="16"/>
  <c r="N208" i="16"/>
  <c r="P778" i="15"/>
  <c r="O778" i="15"/>
  <c r="P666" i="15"/>
  <c r="O666" i="15"/>
  <c r="P574" i="15"/>
  <c r="O574" i="15"/>
  <c r="M291" i="15"/>
  <c r="T291" i="16"/>
  <c r="M233" i="15"/>
  <c r="T233" i="16"/>
  <c r="M92" i="15"/>
  <c r="T361" i="16"/>
  <c r="T215" i="16"/>
  <c r="H762" i="15"/>
  <c r="P769" i="15"/>
  <c r="O769" i="15"/>
  <c r="P694" i="15"/>
  <c r="O694" i="15"/>
  <c r="P432" i="15"/>
  <c r="O432" i="15"/>
  <c r="T676" i="16"/>
  <c r="T472" i="16"/>
  <c r="P809" i="15"/>
  <c r="O809" i="15"/>
  <c r="P772" i="15"/>
  <c r="O772" i="15"/>
  <c r="P622" i="15"/>
  <c r="O622" i="15"/>
  <c r="P497" i="15"/>
  <c r="O497" i="15"/>
  <c r="P343" i="15"/>
  <c r="O343" i="15"/>
  <c r="P223" i="15"/>
  <c r="O223" i="15"/>
  <c r="T704" i="16"/>
  <c r="T496" i="16"/>
  <c r="T367" i="16"/>
  <c r="T305" i="16"/>
  <c r="P74" i="15"/>
  <c r="O74" i="15"/>
  <c r="H273" i="15"/>
  <c r="O534" i="16"/>
  <c r="I534" i="15"/>
  <c r="M23" i="15"/>
  <c r="U23" i="16"/>
  <c r="O146" i="16"/>
  <c r="I146" i="15"/>
  <c r="M24" i="15"/>
  <c r="U24" i="16"/>
  <c r="O20" i="16"/>
  <c r="I20" i="15"/>
  <c r="P41" i="15"/>
  <c r="O41" i="15"/>
  <c r="H150" i="15"/>
  <c r="H83" i="15"/>
  <c r="H698" i="16"/>
  <c r="H573" i="16"/>
  <c r="H249" i="16"/>
  <c r="O569" i="16"/>
  <c r="I569" i="15"/>
  <c r="O626" i="16"/>
  <c r="I626" i="15"/>
  <c r="P56" i="15"/>
  <c r="O56" i="15"/>
  <c r="P761" i="15"/>
  <c r="O761" i="15"/>
  <c r="T75" i="16"/>
  <c r="T540" i="16"/>
  <c r="T668" i="16"/>
  <c r="T385" i="16"/>
  <c r="H669" i="15"/>
  <c r="O802" i="16"/>
  <c r="I802" i="15"/>
  <c r="T640" i="16"/>
  <c r="P802" i="15"/>
  <c r="O802" i="15"/>
  <c r="H385" i="16"/>
  <c r="H302" i="16"/>
  <c r="H144" i="16"/>
  <c r="L113" i="15"/>
  <c r="K113" i="15"/>
  <c r="H52" i="15"/>
  <c r="I108" i="15"/>
  <c r="O334" i="16"/>
  <c r="I334" i="15"/>
  <c r="T331" i="16"/>
  <c r="T756" i="16"/>
  <c r="T594" i="16"/>
  <c r="O183" i="16"/>
  <c r="I183" i="15"/>
  <c r="H638" i="15"/>
  <c r="O408" i="16"/>
  <c r="I408" i="15"/>
  <c r="M728" i="15"/>
  <c r="T728" i="16"/>
  <c r="P454" i="15"/>
  <c r="M391" i="15"/>
  <c r="T391" i="16"/>
  <c r="O225" i="16"/>
  <c r="I225" i="15"/>
  <c r="T273" i="16"/>
  <c r="T173" i="16"/>
  <c r="M18" i="15"/>
  <c r="U18" i="16"/>
  <c r="O811" i="15"/>
  <c r="O726" i="15"/>
  <c r="K607" i="15"/>
  <c r="P663" i="15"/>
  <c r="O415" i="15"/>
  <c r="O382" i="15"/>
  <c r="O435" i="15"/>
  <c r="O258" i="16"/>
  <c r="I258" i="15"/>
  <c r="O333" i="16"/>
  <c r="I333" i="15"/>
  <c r="O456" i="16"/>
  <c r="I456" i="15"/>
  <c r="O616" i="16"/>
  <c r="I616" i="15"/>
  <c r="O757" i="16"/>
  <c r="I757" i="15"/>
  <c r="O34" i="16"/>
  <c r="I34" i="15"/>
  <c r="I128" i="15"/>
  <c r="O148" i="16"/>
  <c r="I148" i="15"/>
  <c r="O407" i="16"/>
  <c r="I407" i="15"/>
  <c r="O619" i="16"/>
  <c r="I619" i="15"/>
  <c r="O694" i="16"/>
  <c r="I694" i="15"/>
  <c r="O760" i="16"/>
  <c r="I760" i="15"/>
  <c r="O246" i="16"/>
  <c r="I246" i="15"/>
  <c r="O495" i="16"/>
  <c r="I495" i="15"/>
  <c r="O622" i="16"/>
  <c r="I622" i="15"/>
  <c r="K664" i="15"/>
  <c r="L664" i="15"/>
  <c r="L763" i="15"/>
  <c r="K763" i="15"/>
  <c r="L347" i="15"/>
  <c r="K347" i="15"/>
  <c r="O465" i="16"/>
  <c r="I465" i="15"/>
  <c r="O758" i="16"/>
  <c r="I758" i="15"/>
  <c r="O434" i="16"/>
  <c r="I434" i="15"/>
  <c r="O284" i="16"/>
  <c r="I284" i="15"/>
  <c r="I52" i="15"/>
  <c r="O731" i="16"/>
  <c r="I731" i="15"/>
  <c r="O567" i="16"/>
  <c r="I567" i="15"/>
  <c r="O561" i="16"/>
  <c r="I561" i="15"/>
  <c r="O236" i="16"/>
  <c r="I236" i="15"/>
  <c r="O74" i="16"/>
  <c r="I74" i="15"/>
  <c r="O259" i="16"/>
  <c r="I259" i="15"/>
  <c r="L711" i="15"/>
  <c r="K711" i="15"/>
  <c r="H731" i="16"/>
  <c r="H698" i="15"/>
  <c r="H598" i="15"/>
  <c r="H561" i="15"/>
  <c r="H772" i="16"/>
  <c r="H709" i="16"/>
  <c r="H734" i="15"/>
  <c r="H693" i="15"/>
  <c r="H543" i="15"/>
  <c r="H506" i="15"/>
  <c r="H811" i="16"/>
  <c r="H416" i="15"/>
  <c r="H330" i="16"/>
  <c r="I130" i="15"/>
  <c r="O288" i="16"/>
  <c r="I288" i="15"/>
  <c r="N730" i="16"/>
  <c r="N206" i="16"/>
  <c r="H234" i="15"/>
  <c r="H201" i="15"/>
  <c r="H411" i="15"/>
  <c r="H358" i="16"/>
  <c r="H241" i="16"/>
  <c r="O150" i="16"/>
  <c r="I150" i="15"/>
  <c r="O240" i="16"/>
  <c r="I240" i="15"/>
  <c r="O352" i="16"/>
  <c r="I352" i="15"/>
  <c r="H464" i="16"/>
  <c r="H386" i="15"/>
  <c r="H266" i="15"/>
  <c r="H229" i="15"/>
  <c r="H196" i="15"/>
  <c r="H77" i="15"/>
  <c r="O163" i="16"/>
  <c r="I163" i="15"/>
  <c r="O368" i="16"/>
  <c r="I368" i="15"/>
  <c r="H80" i="15"/>
  <c r="O326" i="16"/>
  <c r="I326" i="15"/>
  <c r="H294" i="15"/>
  <c r="H261" i="15"/>
  <c r="H224" i="15"/>
  <c r="O424" i="16"/>
  <c r="I424" i="15"/>
  <c r="O485" i="16"/>
  <c r="I485" i="15"/>
  <c r="O766" i="16"/>
  <c r="I766" i="15"/>
  <c r="O403" i="16"/>
  <c r="I403" i="15"/>
  <c r="O526" i="16"/>
  <c r="I526" i="15"/>
  <c r="O624" i="16"/>
  <c r="I624" i="15"/>
  <c r="O389" i="16"/>
  <c r="I389" i="15"/>
  <c r="O458" i="16"/>
  <c r="I458" i="15"/>
  <c r="O521" i="16"/>
  <c r="I521" i="15"/>
  <c r="L477" i="15"/>
  <c r="K477" i="15"/>
  <c r="O12" i="16"/>
  <c r="I12" i="15"/>
  <c r="O554" i="16"/>
  <c r="I554" i="15"/>
  <c r="O675" i="16"/>
  <c r="I675" i="15"/>
  <c r="O775" i="16"/>
  <c r="I775" i="15"/>
  <c r="O28" i="16"/>
  <c r="I28" i="15"/>
  <c r="O500" i="16"/>
  <c r="I500" i="15"/>
  <c r="O628" i="16"/>
  <c r="I628" i="15"/>
  <c r="O70" i="16"/>
  <c r="I70" i="15"/>
  <c r="I60" i="15"/>
  <c r="H104" i="15"/>
  <c r="O101" i="15"/>
  <c r="P101" i="15"/>
  <c r="P127" i="15"/>
  <c r="O127" i="15"/>
  <c r="Q167" i="16"/>
  <c r="M167" i="15" s="1"/>
  <c r="M165" i="15"/>
  <c r="Q193" i="16"/>
  <c r="M193" i="15" s="1"/>
  <c r="M191" i="15"/>
  <c r="Q271" i="16"/>
  <c r="M271" i="15" s="1"/>
  <c r="M269" i="15"/>
  <c r="P319" i="15"/>
  <c r="O319" i="15"/>
  <c r="P301" i="15"/>
  <c r="O301" i="15"/>
  <c r="Q349" i="16"/>
  <c r="M349" i="15" s="1"/>
  <c r="M347" i="15"/>
  <c r="P361" i="15"/>
  <c r="O361" i="15"/>
  <c r="Q401" i="16"/>
  <c r="M401" i="15" s="1"/>
  <c r="M399" i="15"/>
  <c r="P449" i="15"/>
  <c r="O449" i="15"/>
  <c r="Q505" i="16"/>
  <c r="M505" i="15" s="1"/>
  <c r="M503" i="15"/>
  <c r="S531" i="16"/>
  <c r="T529" i="16"/>
  <c r="P553" i="15"/>
  <c r="O553" i="15"/>
  <c r="P569" i="15"/>
  <c r="O569" i="15"/>
  <c r="Q609" i="16"/>
  <c r="M609" i="15" s="1"/>
  <c r="M607" i="15"/>
  <c r="P773" i="15"/>
  <c r="O773" i="15"/>
  <c r="M803" i="15"/>
  <c r="T803" i="16"/>
  <c r="T735" i="16"/>
  <c r="T595" i="16"/>
  <c r="T559" i="16"/>
  <c r="T491" i="16"/>
  <c r="P743" i="15"/>
  <c r="O743" i="15"/>
  <c r="P707" i="15"/>
  <c r="O707" i="15"/>
  <c r="P631" i="15"/>
  <c r="O631" i="15"/>
  <c r="P591" i="15"/>
  <c r="O591" i="15"/>
  <c r="P543" i="15"/>
  <c r="O543" i="15"/>
  <c r="T782" i="16"/>
  <c r="T677" i="16"/>
  <c r="T605" i="16"/>
  <c r="T573" i="16"/>
  <c r="M692" i="15"/>
  <c r="T692" i="16"/>
  <c r="P628" i="15"/>
  <c r="O628" i="15"/>
  <c r="M592" i="15"/>
  <c r="T592" i="16"/>
  <c r="P560" i="15"/>
  <c r="O560" i="15"/>
  <c r="M524" i="15"/>
  <c r="T524" i="16"/>
  <c r="M488" i="15"/>
  <c r="T488" i="16"/>
  <c r="P456" i="15"/>
  <c r="O456" i="15"/>
  <c r="P462" i="15"/>
  <c r="O462" i="15"/>
  <c r="P396" i="15"/>
  <c r="O396" i="15"/>
  <c r="P360" i="15"/>
  <c r="O360" i="15"/>
  <c r="P320" i="15"/>
  <c r="O320" i="15"/>
  <c r="P284" i="15"/>
  <c r="O284" i="15"/>
  <c r="P252" i="15"/>
  <c r="O252" i="15"/>
  <c r="P212" i="15"/>
  <c r="O212" i="15"/>
  <c r="P176" i="15"/>
  <c r="O176" i="15"/>
  <c r="P144" i="15"/>
  <c r="O144" i="15"/>
  <c r="P108" i="15"/>
  <c r="O108" i="15"/>
  <c r="T76" i="16"/>
  <c r="P422" i="15"/>
  <c r="O422" i="15"/>
  <c r="P390" i="15"/>
  <c r="O390" i="15"/>
  <c r="P358" i="15"/>
  <c r="O358" i="15"/>
  <c r="P326" i="15"/>
  <c r="O326" i="15"/>
  <c r="P286" i="15"/>
  <c r="O286" i="15"/>
  <c r="P250" i="15"/>
  <c r="O250" i="15"/>
  <c r="P210" i="15"/>
  <c r="O210" i="15"/>
  <c r="P174" i="15"/>
  <c r="O174" i="15"/>
  <c r="P134" i="15"/>
  <c r="O134" i="15"/>
  <c r="O99" i="15"/>
  <c r="P99" i="15"/>
  <c r="P106" i="15"/>
  <c r="O106" i="15"/>
  <c r="H787" i="16"/>
  <c r="H717" i="16"/>
  <c r="T78" i="16"/>
  <c r="H720" i="15"/>
  <c r="T81" i="16"/>
  <c r="H567" i="16"/>
  <c r="H372" i="16"/>
  <c r="O143" i="16"/>
  <c r="I143" i="15"/>
  <c r="O231" i="16"/>
  <c r="I231" i="15"/>
  <c r="H525" i="15"/>
  <c r="H450" i="16"/>
  <c r="H377" i="15"/>
  <c r="H306" i="15"/>
  <c r="O317" i="16"/>
  <c r="I317" i="15"/>
  <c r="H741" i="16"/>
  <c r="H657" i="16"/>
  <c r="H595" i="16"/>
  <c r="H213" i="16"/>
  <c r="H94" i="15"/>
  <c r="O303" i="16"/>
  <c r="I303" i="15"/>
  <c r="O807" i="16"/>
  <c r="I807" i="15"/>
  <c r="H566" i="15"/>
  <c r="H533" i="15"/>
  <c r="H454" i="16"/>
  <c r="O571" i="16"/>
  <c r="I571" i="15"/>
  <c r="O727" i="16"/>
  <c r="I727" i="15"/>
  <c r="O210" i="16"/>
  <c r="I210" i="15"/>
  <c r="O344" i="16"/>
  <c r="I344" i="15"/>
  <c r="O435" i="16"/>
  <c r="I435" i="15"/>
  <c r="H274" i="16"/>
  <c r="I124" i="15"/>
  <c r="O237" i="16"/>
  <c r="I237" i="15"/>
  <c r="O645" i="16"/>
  <c r="I645" i="15"/>
  <c r="H491" i="16"/>
  <c r="L35" i="15"/>
  <c r="K35" i="15"/>
  <c r="O84" i="16"/>
  <c r="I84" i="15"/>
  <c r="P774" i="15"/>
  <c r="O774" i="15"/>
  <c r="P570" i="15"/>
  <c r="O570" i="15"/>
  <c r="M229" i="15"/>
  <c r="T229" i="16"/>
  <c r="P73" i="15"/>
  <c r="O73" i="15"/>
  <c r="T357" i="16"/>
  <c r="P760" i="15"/>
  <c r="O760" i="15"/>
  <c r="T797" i="16"/>
  <c r="T759" i="16"/>
  <c r="T672" i="16"/>
  <c r="T501" i="16"/>
  <c r="T460" i="16"/>
  <c r="T339" i="16"/>
  <c r="P805" i="15"/>
  <c r="O805" i="15"/>
  <c r="P768" i="15"/>
  <c r="O768" i="15"/>
  <c r="P618" i="15"/>
  <c r="O618" i="15"/>
  <c r="P526" i="15"/>
  <c r="O526" i="15"/>
  <c r="P335" i="15"/>
  <c r="O335" i="15"/>
  <c r="O277" i="15"/>
  <c r="P277" i="15"/>
  <c r="T301" i="16"/>
  <c r="T201" i="16"/>
  <c r="P71" i="15"/>
  <c r="O71" i="15"/>
  <c r="I120" i="15"/>
  <c r="O542" i="16"/>
  <c r="I542" i="15"/>
  <c r="T16" i="16"/>
  <c r="O154" i="16"/>
  <c r="I154" i="15"/>
  <c r="P49" i="15"/>
  <c r="O49" i="15"/>
  <c r="M17" i="15"/>
  <c r="U17" i="16"/>
  <c r="H146" i="15"/>
  <c r="H79" i="15"/>
  <c r="H694" i="16"/>
  <c r="H569" i="16"/>
  <c r="H220" i="16"/>
  <c r="P52" i="15"/>
  <c r="O52" i="15"/>
  <c r="P641" i="15"/>
  <c r="O641" i="15"/>
  <c r="T536" i="16"/>
  <c r="T664" i="16"/>
  <c r="T381" i="16"/>
  <c r="O575" i="16"/>
  <c r="I575" i="15"/>
  <c r="T492" i="16"/>
  <c r="H136" i="15"/>
  <c r="O808" i="16"/>
  <c r="I808" i="15"/>
  <c r="T87" i="16"/>
  <c r="P798" i="15"/>
  <c r="O798" i="15"/>
  <c r="P577" i="15"/>
  <c r="O577" i="15"/>
  <c r="O161" i="15"/>
  <c r="P161" i="15"/>
  <c r="H368" i="16"/>
  <c r="H298" i="16"/>
  <c r="H124" i="15"/>
  <c r="O178" i="16"/>
  <c r="I178" i="15"/>
  <c r="O517" i="16"/>
  <c r="I517" i="15"/>
  <c r="T327" i="16"/>
  <c r="P69" i="15"/>
  <c r="O69" i="15"/>
  <c r="O273" i="16"/>
  <c r="I273" i="15"/>
  <c r="T702" i="16"/>
  <c r="T590" i="16"/>
  <c r="M724" i="15"/>
  <c r="T724" i="16"/>
  <c r="P437" i="15"/>
  <c r="O437" i="15"/>
  <c r="M387" i="15"/>
  <c r="T387" i="16"/>
  <c r="T235" i="16"/>
  <c r="T169" i="16"/>
  <c r="O17" i="16"/>
  <c r="I17" i="15"/>
  <c r="M13" i="15"/>
  <c r="U13" i="16"/>
  <c r="O722" i="15"/>
  <c r="O735" i="15"/>
  <c r="P265" i="15"/>
  <c r="O338" i="15"/>
  <c r="P289" i="15"/>
  <c r="O565" i="16"/>
  <c r="I565" i="15"/>
  <c r="O387" i="16"/>
  <c r="I387" i="15"/>
  <c r="O464" i="16"/>
  <c r="I464" i="15"/>
  <c r="O632" i="16"/>
  <c r="I632" i="15"/>
  <c r="O784" i="16"/>
  <c r="I784" i="15"/>
  <c r="O26" i="16"/>
  <c r="I26" i="15"/>
  <c r="O720" i="16"/>
  <c r="I720" i="15"/>
  <c r="O158" i="16"/>
  <c r="I158" i="15"/>
  <c r="O290" i="16"/>
  <c r="I290" i="15"/>
  <c r="O472" i="16"/>
  <c r="I472" i="15"/>
  <c r="O627" i="16"/>
  <c r="I627" i="15"/>
  <c r="O704" i="16"/>
  <c r="I704" i="15"/>
  <c r="O256" i="16"/>
  <c r="I256" i="15"/>
  <c r="O514" i="16"/>
  <c r="I514" i="15"/>
  <c r="O630" i="16"/>
  <c r="I630" i="15"/>
  <c r="O772" i="16"/>
  <c r="I772" i="15"/>
  <c r="O714" i="16"/>
  <c r="I714" i="15"/>
  <c r="O380" i="16"/>
  <c r="I380" i="15"/>
  <c r="O470" i="16"/>
  <c r="I470" i="15"/>
  <c r="O560" i="16"/>
  <c r="I560" i="15"/>
  <c r="O469" i="16"/>
  <c r="I469" i="15"/>
  <c r="I44" i="15"/>
  <c r="O260" i="16"/>
  <c r="I260" i="15"/>
  <c r="O653" i="16"/>
  <c r="I653" i="15"/>
  <c r="O33" i="16"/>
  <c r="I33" i="15"/>
  <c r="O66" i="16"/>
  <c r="I66" i="15"/>
  <c r="O319" i="16"/>
  <c r="I319" i="15"/>
  <c r="L529" i="15"/>
  <c r="K529" i="15"/>
  <c r="O746" i="16"/>
  <c r="I746" i="15"/>
  <c r="O798" i="16"/>
  <c r="I798" i="15"/>
  <c r="H781" i="15"/>
  <c r="H694" i="15"/>
  <c r="H594" i="15"/>
  <c r="H502" i="15"/>
  <c r="N484" i="16"/>
  <c r="H768" i="16"/>
  <c r="H705" i="16"/>
  <c r="H589" i="16"/>
  <c r="H730" i="15"/>
  <c r="H689" i="15"/>
  <c r="H539" i="15"/>
  <c r="H412" i="15"/>
  <c r="H326" i="16"/>
  <c r="I138" i="15"/>
  <c r="O302" i="16"/>
  <c r="I302" i="15"/>
  <c r="H230" i="15"/>
  <c r="H188" i="15"/>
  <c r="N21" i="16"/>
  <c r="H501" i="16"/>
  <c r="H407" i="15"/>
  <c r="H354" i="16"/>
  <c r="H300" i="16"/>
  <c r="H237" i="16"/>
  <c r="O169" i="16"/>
  <c r="I169" i="15"/>
  <c r="O254" i="16"/>
  <c r="I254" i="15"/>
  <c r="O384" i="16"/>
  <c r="I384" i="15"/>
  <c r="H460" i="16"/>
  <c r="H422" i="16"/>
  <c r="H262" i="15"/>
  <c r="H138" i="15"/>
  <c r="H73" i="15"/>
  <c r="O172" i="16"/>
  <c r="I172" i="15"/>
  <c r="H290" i="15"/>
  <c r="H257" i="15"/>
  <c r="O433" i="16"/>
  <c r="I433" i="15"/>
  <c r="O493" i="16"/>
  <c r="I493" i="15"/>
  <c r="O621" i="16"/>
  <c r="I621" i="15"/>
  <c r="O679" i="16"/>
  <c r="I679" i="15"/>
  <c r="O30" i="16"/>
  <c r="I30" i="15"/>
  <c r="O411" i="16"/>
  <c r="I411" i="15"/>
  <c r="O535" i="16"/>
  <c r="I535" i="15"/>
  <c r="O641" i="16"/>
  <c r="I641" i="15"/>
  <c r="O397" i="16"/>
  <c r="I397" i="15"/>
  <c r="O466" i="16"/>
  <c r="I466" i="15"/>
  <c r="O782" i="16"/>
  <c r="I782" i="15"/>
  <c r="H69" i="16"/>
  <c r="O598" i="16"/>
  <c r="I598" i="15"/>
  <c r="O683" i="16"/>
  <c r="I683" i="15"/>
  <c r="O780" i="16"/>
  <c r="I780" i="15"/>
  <c r="O539" i="16"/>
  <c r="I539" i="15"/>
  <c r="O637" i="16"/>
  <c r="I637" i="15"/>
  <c r="L61" i="15"/>
  <c r="K61" i="15"/>
  <c r="L555" i="15"/>
  <c r="K555" i="15"/>
  <c r="M89" i="15"/>
  <c r="M87" i="15"/>
  <c r="O93" i="15"/>
  <c r="P93" i="15"/>
  <c r="M125" i="15"/>
  <c r="P163" i="15"/>
  <c r="O163" i="15"/>
  <c r="P189" i="15"/>
  <c r="O189" i="15"/>
  <c r="Q219" i="16"/>
  <c r="M219" i="15" s="1"/>
  <c r="M217" i="15"/>
  <c r="T243" i="16"/>
  <c r="P317" i="15"/>
  <c r="O317" i="15"/>
  <c r="P299" i="15"/>
  <c r="O299" i="15"/>
  <c r="P339" i="15"/>
  <c r="O339" i="15"/>
  <c r="T373" i="16"/>
  <c r="P359" i="15"/>
  <c r="O359" i="15"/>
  <c r="P397" i="15"/>
  <c r="O397" i="15"/>
  <c r="Q427" i="16"/>
  <c r="M427" i="15" s="1"/>
  <c r="M425" i="15"/>
  <c r="P475" i="15"/>
  <c r="O475" i="15"/>
  <c r="P495" i="15"/>
  <c r="O495" i="15"/>
  <c r="P551" i="15"/>
  <c r="O551" i="15"/>
  <c r="P567" i="15"/>
  <c r="O567" i="15"/>
  <c r="P605" i="15"/>
  <c r="O605" i="15"/>
  <c r="T659" i="16"/>
  <c r="O669" i="15"/>
  <c r="P669" i="15"/>
  <c r="M771" i="15"/>
  <c r="T771" i="16"/>
  <c r="T731" i="16"/>
  <c r="T663" i="16"/>
  <c r="P703" i="15"/>
  <c r="O703" i="15"/>
  <c r="P627" i="15"/>
  <c r="O627" i="15"/>
  <c r="P539" i="15"/>
  <c r="O539" i="15"/>
  <c r="P499" i="15"/>
  <c r="O499" i="15"/>
  <c r="P447" i="15"/>
  <c r="O447" i="15"/>
  <c r="T470" i="16"/>
  <c r="T705" i="16"/>
  <c r="T673" i="16"/>
  <c r="T601" i="16"/>
  <c r="T569" i="16"/>
  <c r="T533" i="16"/>
  <c r="T464" i="16"/>
  <c r="M688" i="15"/>
  <c r="T688" i="16"/>
  <c r="P656" i="15"/>
  <c r="O656" i="15"/>
  <c r="P624" i="15"/>
  <c r="O624" i="15"/>
  <c r="M588" i="15"/>
  <c r="T588" i="16"/>
  <c r="P552" i="15"/>
  <c r="O552" i="15"/>
  <c r="M520" i="15"/>
  <c r="T520" i="16"/>
  <c r="M484" i="15"/>
  <c r="T484" i="16"/>
  <c r="P458" i="15"/>
  <c r="O458" i="15"/>
  <c r="P392" i="15"/>
  <c r="O392" i="15"/>
  <c r="P356" i="15"/>
  <c r="O356" i="15"/>
  <c r="P316" i="15"/>
  <c r="O316" i="15"/>
  <c r="P280" i="15"/>
  <c r="O280" i="15"/>
  <c r="P248" i="15"/>
  <c r="O248" i="15"/>
  <c r="P208" i="15"/>
  <c r="O208" i="15"/>
  <c r="P172" i="15"/>
  <c r="O172" i="15"/>
  <c r="P136" i="15"/>
  <c r="O136" i="15"/>
  <c r="P104" i="15"/>
  <c r="O104" i="15"/>
  <c r="P72" i="15"/>
  <c r="O72" i="15"/>
  <c r="P418" i="15"/>
  <c r="O418" i="15"/>
  <c r="P386" i="15"/>
  <c r="O386" i="15"/>
  <c r="P354" i="15"/>
  <c r="O354" i="15"/>
  <c r="P318" i="15"/>
  <c r="O318" i="15"/>
  <c r="P282" i="15"/>
  <c r="O282" i="15"/>
  <c r="P242" i="15"/>
  <c r="O242" i="15"/>
  <c r="P206" i="15"/>
  <c r="O206" i="15"/>
  <c r="P170" i="15"/>
  <c r="O170" i="15"/>
  <c r="P130" i="15"/>
  <c r="O130" i="15"/>
  <c r="O95" i="15"/>
  <c r="P95" i="15"/>
  <c r="P102" i="15"/>
  <c r="O102" i="15"/>
  <c r="N221" i="16"/>
  <c r="H783" i="16"/>
  <c r="H683" i="16"/>
  <c r="H653" i="15"/>
  <c r="H563" i="16"/>
  <c r="H489" i="15"/>
  <c r="O151" i="16"/>
  <c r="I151" i="15"/>
  <c r="O278" i="16"/>
  <c r="I278" i="15"/>
  <c r="O768" i="16"/>
  <c r="I768" i="15"/>
  <c r="H521" i="15"/>
  <c r="H446" i="16"/>
  <c r="H343" i="15"/>
  <c r="H302" i="15"/>
  <c r="M33" i="15"/>
  <c r="U33" i="16"/>
  <c r="H799" i="16"/>
  <c r="H695" i="16"/>
  <c r="H653" i="16"/>
  <c r="H591" i="16"/>
  <c r="H392" i="16"/>
  <c r="H209" i="16"/>
  <c r="Q63" i="16"/>
  <c r="M63" i="15" s="1"/>
  <c r="M88" i="15" s="1"/>
  <c r="O88" i="15" s="1"/>
  <c r="M61" i="15"/>
  <c r="H562" i="15"/>
  <c r="H172" i="15"/>
  <c r="M34" i="15"/>
  <c r="U34" i="16"/>
  <c r="O719" i="16"/>
  <c r="I719" i="15"/>
  <c r="O251" i="16"/>
  <c r="I251" i="15"/>
  <c r="O353" i="16"/>
  <c r="I353" i="15"/>
  <c r="O490" i="16"/>
  <c r="I490" i="15"/>
  <c r="T27" i="16"/>
  <c r="H162" i="15"/>
  <c r="I132" i="15"/>
  <c r="O253" i="16"/>
  <c r="I253" i="15"/>
  <c r="O743" i="16"/>
  <c r="I743" i="15"/>
  <c r="M37" i="15"/>
  <c r="M62" i="15" s="1"/>
  <c r="O62" i="15" s="1"/>
  <c r="M35" i="15"/>
  <c r="U35" i="16"/>
  <c r="H162" i="16"/>
  <c r="O31" i="16"/>
  <c r="I31" i="15"/>
  <c r="O76" i="16"/>
  <c r="I76" i="15"/>
  <c r="G167" i="16"/>
  <c r="H165" i="16"/>
  <c r="O331" i="16"/>
  <c r="I331" i="15"/>
  <c r="H489" i="16"/>
  <c r="T632" i="16"/>
  <c r="P566" i="15"/>
  <c r="O566" i="15"/>
  <c r="M225" i="15"/>
  <c r="T225" i="16"/>
  <c r="T656" i="16"/>
  <c r="T319" i="16"/>
  <c r="H754" i="15"/>
  <c r="P756" i="15"/>
  <c r="O756" i="15"/>
  <c r="P473" i="15"/>
  <c r="O473" i="15"/>
  <c r="T755" i="16"/>
  <c r="T447" i="16"/>
  <c r="P801" i="15"/>
  <c r="O801" i="15"/>
  <c r="P734" i="15"/>
  <c r="O734" i="15"/>
  <c r="P701" i="15"/>
  <c r="O701" i="15"/>
  <c r="P614" i="15"/>
  <c r="O614" i="15"/>
  <c r="P522" i="15"/>
  <c r="O522" i="15"/>
  <c r="P485" i="15"/>
  <c r="O485" i="15"/>
  <c r="P331" i="15"/>
  <c r="O331" i="15"/>
  <c r="O273" i="15"/>
  <c r="P273" i="15"/>
  <c r="T604" i="16"/>
  <c r="T359" i="16"/>
  <c r="T163" i="16"/>
  <c r="O176" i="16"/>
  <c r="I176" i="15"/>
  <c r="O693" i="16"/>
  <c r="I693" i="15"/>
  <c r="O161" i="16"/>
  <c r="I161" i="15"/>
  <c r="H690" i="16"/>
  <c r="H565" i="16"/>
  <c r="H161" i="16"/>
  <c r="P48" i="15"/>
  <c r="O48" i="15"/>
  <c r="P637" i="15"/>
  <c r="O637" i="15"/>
  <c r="O83" i="16"/>
  <c r="I83" i="15"/>
  <c r="P55" i="15"/>
  <c r="O55" i="15"/>
  <c r="T532" i="16"/>
  <c r="T195" i="16"/>
  <c r="T618" i="16"/>
  <c r="O559" i="16"/>
  <c r="I559" i="15"/>
  <c r="T74" i="16"/>
  <c r="H132" i="15"/>
  <c r="T35" i="16"/>
  <c r="P67" i="15"/>
  <c r="O67" i="15"/>
  <c r="T71" i="16"/>
  <c r="P794" i="15"/>
  <c r="O794" i="15"/>
  <c r="O324" i="15"/>
  <c r="O249" i="15"/>
  <c r="P249" i="15"/>
  <c r="O157" i="15"/>
  <c r="P157" i="15"/>
  <c r="H364" i="16"/>
  <c r="H293" i="16"/>
  <c r="H120" i="15"/>
  <c r="O195" i="16"/>
  <c r="I195" i="15"/>
  <c r="O640" i="16"/>
  <c r="I640" i="15"/>
  <c r="T293" i="16"/>
  <c r="T698" i="16"/>
  <c r="T586" i="16"/>
  <c r="O356" i="16"/>
  <c r="I356" i="15"/>
  <c r="P753" i="15"/>
  <c r="O753" i="15"/>
  <c r="M720" i="15"/>
  <c r="T720" i="16"/>
  <c r="M433" i="15"/>
  <c r="T433" i="16"/>
  <c r="T231" i="16"/>
  <c r="M14" i="15"/>
  <c r="U14" i="16"/>
  <c r="T454" i="16"/>
  <c r="O241" i="15"/>
  <c r="O596" i="15"/>
  <c r="P741" i="15"/>
  <c r="O259" i="15"/>
  <c r="O98" i="15"/>
  <c r="O482" i="15"/>
  <c r="O282" i="16"/>
  <c r="I282" i="15"/>
  <c r="O341" i="16"/>
  <c r="I341" i="15"/>
  <c r="O395" i="16"/>
  <c r="I395" i="15"/>
  <c r="O481" i="16"/>
  <c r="I481" i="15"/>
  <c r="O649" i="16"/>
  <c r="I649" i="15"/>
  <c r="O786" i="16"/>
  <c r="I786" i="15"/>
  <c r="O182" i="16"/>
  <c r="I182" i="15"/>
  <c r="O350" i="16"/>
  <c r="I350" i="15"/>
  <c r="O415" i="16"/>
  <c r="I415" i="15"/>
  <c r="O709" i="16"/>
  <c r="I709" i="15"/>
  <c r="O769" i="16"/>
  <c r="I769" i="15"/>
  <c r="O19" i="16"/>
  <c r="I19" i="15"/>
  <c r="O366" i="16"/>
  <c r="I366" i="15"/>
  <c r="O522" i="16"/>
  <c r="I522" i="15"/>
  <c r="O639" i="16"/>
  <c r="I639" i="15"/>
  <c r="O672" i="16"/>
  <c r="I672" i="15"/>
  <c r="O777" i="16"/>
  <c r="I777" i="15"/>
  <c r="O785" i="16"/>
  <c r="I785" i="15"/>
  <c r="I94" i="15"/>
  <c r="O702" i="16"/>
  <c r="I702" i="15"/>
  <c r="O292" i="16"/>
  <c r="I292" i="15"/>
  <c r="I57" i="15"/>
  <c r="O337" i="16"/>
  <c r="I337" i="15"/>
  <c r="O81" i="16"/>
  <c r="I81" i="15"/>
  <c r="O80" i="16"/>
  <c r="I80" i="15"/>
  <c r="N625" i="16"/>
  <c r="H785" i="16"/>
  <c r="H777" i="15"/>
  <c r="H690" i="15"/>
  <c r="H590" i="15"/>
  <c r="H759" i="16"/>
  <c r="H701" i="16"/>
  <c r="H813" i="15"/>
  <c r="H726" i="15"/>
  <c r="H630" i="15"/>
  <c r="H535" i="15"/>
  <c r="H707" i="16"/>
  <c r="H408" i="15"/>
  <c r="H317" i="16"/>
  <c r="O147" i="16"/>
  <c r="I147" i="15"/>
  <c r="O307" i="16"/>
  <c r="I307" i="15"/>
  <c r="H226" i="15"/>
  <c r="H184" i="15"/>
  <c r="O724" i="16"/>
  <c r="I724" i="15"/>
  <c r="H436" i="15"/>
  <c r="H403" i="15"/>
  <c r="O177" i="16"/>
  <c r="I177" i="15"/>
  <c r="O267" i="16"/>
  <c r="I267" i="15"/>
  <c r="H456" i="16"/>
  <c r="H418" i="16"/>
  <c r="H258" i="15"/>
  <c r="H221" i="15"/>
  <c r="H134" i="15"/>
  <c r="H58" i="15"/>
  <c r="O185" i="16"/>
  <c r="I185" i="15"/>
  <c r="O328" i="16"/>
  <c r="I328" i="15"/>
  <c r="H314" i="16"/>
  <c r="H361" i="15"/>
  <c r="H286" i="15"/>
  <c r="H253" i="15"/>
  <c r="H182" i="15"/>
  <c r="O438" i="16"/>
  <c r="I438" i="15"/>
  <c r="O501" i="16"/>
  <c r="I501" i="15"/>
  <c r="O22" i="16"/>
  <c r="I22" i="15"/>
  <c r="O419" i="16"/>
  <c r="I419" i="15"/>
  <c r="O543" i="16"/>
  <c r="I543" i="15"/>
  <c r="O666" i="16"/>
  <c r="I666" i="15"/>
  <c r="O406" i="16"/>
  <c r="I406" i="15"/>
  <c r="O471" i="16"/>
  <c r="I471" i="15"/>
  <c r="O551" i="16"/>
  <c r="I551" i="15"/>
  <c r="O799" i="16"/>
  <c r="I799" i="15"/>
  <c r="O461" i="16"/>
  <c r="I461" i="15"/>
  <c r="O742" i="16"/>
  <c r="I742" i="15"/>
  <c r="O617" i="16"/>
  <c r="I617" i="15"/>
  <c r="O692" i="16"/>
  <c r="I692" i="15"/>
  <c r="O788" i="16"/>
  <c r="I788" i="15"/>
  <c r="O552" i="16"/>
  <c r="I552" i="15"/>
  <c r="O678" i="16"/>
  <c r="I678" i="15"/>
  <c r="I53" i="15"/>
  <c r="O402" i="16"/>
  <c r="I402" i="15"/>
  <c r="M115" i="15"/>
  <c r="M113" i="15"/>
  <c r="P123" i="15"/>
  <c r="O123" i="15"/>
  <c r="O159" i="15"/>
  <c r="P159" i="15"/>
  <c r="P185" i="15"/>
  <c r="O185" i="15"/>
  <c r="P215" i="15"/>
  <c r="O215" i="15"/>
  <c r="Q245" i="16"/>
  <c r="M245" i="15" s="1"/>
  <c r="M270" i="15" s="1"/>
  <c r="O270" i="15" s="1"/>
  <c r="M243" i="15"/>
  <c r="P315" i="15"/>
  <c r="O315" i="15"/>
  <c r="M337" i="15"/>
  <c r="T337" i="16"/>
  <c r="P357" i="15"/>
  <c r="O357" i="15"/>
  <c r="P385" i="15"/>
  <c r="O385" i="15"/>
  <c r="P423" i="15"/>
  <c r="O423" i="15"/>
  <c r="P443" i="15"/>
  <c r="O443" i="15"/>
  <c r="Q479" i="16"/>
  <c r="M479" i="15" s="1"/>
  <c r="M477" i="15"/>
  <c r="P493" i="15"/>
  <c r="O493" i="15"/>
  <c r="P529" i="15"/>
  <c r="O529" i="15"/>
  <c r="P541" i="15"/>
  <c r="O541" i="15"/>
  <c r="P565" i="15"/>
  <c r="O565" i="15"/>
  <c r="P603" i="15"/>
  <c r="O603" i="15"/>
  <c r="P659" i="15"/>
  <c r="O659" i="15"/>
  <c r="O665" i="15"/>
  <c r="P665" i="15"/>
  <c r="Q739" i="16"/>
  <c r="M739" i="15" s="1"/>
  <c r="M764" i="15" s="1"/>
  <c r="O764" i="15" s="1"/>
  <c r="M737" i="15"/>
  <c r="P797" i="15"/>
  <c r="O797" i="15"/>
  <c r="T587" i="16"/>
  <c r="T551" i="16"/>
  <c r="T483" i="16"/>
  <c r="M767" i="15"/>
  <c r="T767" i="16"/>
  <c r="P699" i="15"/>
  <c r="O699" i="15"/>
  <c r="P623" i="15"/>
  <c r="O623" i="15"/>
  <c r="P575" i="15"/>
  <c r="O575" i="15"/>
  <c r="P527" i="15"/>
  <c r="O527" i="15"/>
  <c r="P439" i="15"/>
  <c r="O439" i="15"/>
  <c r="T669" i="16"/>
  <c r="T597" i="16"/>
  <c r="T565" i="16"/>
  <c r="P652" i="15"/>
  <c r="O652" i="15"/>
  <c r="P620" i="15"/>
  <c r="O620" i="15"/>
  <c r="P548" i="15"/>
  <c r="O548" i="15"/>
  <c r="M516" i="15"/>
  <c r="T516" i="16"/>
  <c r="M480" i="15"/>
  <c r="T480" i="16"/>
  <c r="P444" i="15"/>
  <c r="O444" i="15"/>
  <c r="P388" i="15"/>
  <c r="O388" i="15"/>
  <c r="P352" i="15"/>
  <c r="O352" i="15"/>
  <c r="P312" i="15"/>
  <c r="O312" i="15"/>
  <c r="P276" i="15"/>
  <c r="O276" i="15"/>
  <c r="P240" i="15"/>
  <c r="O240" i="15"/>
  <c r="P204" i="15"/>
  <c r="O204" i="15"/>
  <c r="P132" i="15"/>
  <c r="O132" i="15"/>
  <c r="P414" i="15"/>
  <c r="O414" i="15"/>
  <c r="P350" i="15"/>
  <c r="P278" i="15"/>
  <c r="O278" i="15"/>
  <c r="P238" i="15"/>
  <c r="O238" i="15"/>
  <c r="P202" i="15"/>
  <c r="O202" i="15"/>
  <c r="P162" i="15"/>
  <c r="O162" i="15"/>
  <c r="O91" i="15"/>
  <c r="P91" i="15"/>
  <c r="H775" i="16"/>
  <c r="H679" i="16"/>
  <c r="H682" i="15"/>
  <c r="H649" i="15"/>
  <c r="H621" i="16"/>
  <c r="H559" i="16"/>
  <c r="H447" i="15"/>
  <c r="O174" i="16"/>
  <c r="I174" i="15"/>
  <c r="O293" i="16"/>
  <c r="I293" i="15"/>
  <c r="O781" i="16"/>
  <c r="I781" i="15"/>
  <c r="H554" i="15"/>
  <c r="H517" i="15"/>
  <c r="H442" i="16"/>
  <c r="H339" i="15"/>
  <c r="M29" i="15"/>
  <c r="U29" i="16"/>
  <c r="H795" i="16"/>
  <c r="H691" i="16"/>
  <c r="H649" i="16"/>
  <c r="H587" i="16"/>
  <c r="H384" i="16"/>
  <c r="H205" i="16"/>
  <c r="H50" i="15"/>
  <c r="O383" i="16"/>
  <c r="I383" i="15"/>
  <c r="H495" i="15"/>
  <c r="H65" i="16"/>
  <c r="I92" i="15"/>
  <c r="O275" i="16"/>
  <c r="I275" i="15"/>
  <c r="O361" i="16"/>
  <c r="I361" i="15"/>
  <c r="O498" i="16"/>
  <c r="I498" i="15"/>
  <c r="H158" i="15"/>
  <c r="O179" i="16"/>
  <c r="I179" i="15"/>
  <c r="O268" i="16"/>
  <c r="I268" i="15"/>
  <c r="O787" i="16"/>
  <c r="I787" i="15"/>
  <c r="L87" i="15"/>
  <c r="H158" i="16"/>
  <c r="O27" i="16"/>
  <c r="I27" i="15"/>
  <c r="O68" i="16"/>
  <c r="I68" i="15"/>
  <c r="O545" i="16"/>
  <c r="I545" i="15"/>
  <c r="P58" i="15"/>
  <c r="O58" i="15"/>
  <c r="O164" i="16"/>
  <c r="I164" i="15"/>
  <c r="T578" i="16"/>
  <c r="P653" i="15"/>
  <c r="O653" i="15"/>
  <c r="P562" i="15"/>
  <c r="O562" i="15"/>
  <c r="M279" i="15"/>
  <c r="T279" i="16"/>
  <c r="M221" i="15"/>
  <c r="T221" i="16"/>
  <c r="P137" i="15"/>
  <c r="O137" i="15"/>
  <c r="S791" i="16"/>
  <c r="T789" i="16"/>
  <c r="T652" i="16"/>
  <c r="T457" i="16"/>
  <c r="T315" i="16"/>
  <c r="T203" i="16"/>
  <c r="H746" i="15"/>
  <c r="P752" i="15"/>
  <c r="O752" i="15"/>
  <c r="P502" i="15"/>
  <c r="O502" i="15"/>
  <c r="P469" i="15"/>
  <c r="O469" i="15"/>
  <c r="T751" i="16"/>
  <c r="T493" i="16"/>
  <c r="T443" i="16"/>
  <c r="T189" i="16"/>
  <c r="P793" i="15"/>
  <c r="O793" i="15"/>
  <c r="P730" i="15"/>
  <c r="O730" i="15"/>
  <c r="P697" i="15"/>
  <c r="O697" i="15"/>
  <c r="P518" i="15"/>
  <c r="O518" i="15"/>
  <c r="P481" i="15"/>
  <c r="O481" i="15"/>
  <c r="P327" i="15"/>
  <c r="O327" i="15"/>
  <c r="P177" i="15"/>
  <c r="O177" i="15"/>
  <c r="H727" i="16"/>
  <c r="T600" i="16"/>
  <c r="T159" i="16"/>
  <c r="L217" i="15"/>
  <c r="K217" i="15"/>
  <c r="O700" i="16"/>
  <c r="I700" i="15"/>
  <c r="P45" i="15"/>
  <c r="O45" i="15"/>
  <c r="O592" i="16"/>
  <c r="I592" i="15"/>
  <c r="H395" i="16"/>
  <c r="H112" i="15"/>
  <c r="H561" i="16"/>
  <c r="H157" i="16"/>
  <c r="T678" i="16"/>
  <c r="P44" i="15"/>
  <c r="O44" i="15"/>
  <c r="O75" i="16"/>
  <c r="I75" i="15"/>
  <c r="T353" i="16"/>
  <c r="T149" i="16"/>
  <c r="T747" i="16"/>
  <c r="T614" i="16"/>
  <c r="H128" i="15"/>
  <c r="P785" i="15"/>
  <c r="O785" i="15"/>
  <c r="P606" i="15"/>
  <c r="O606" i="15"/>
  <c r="P307" i="15"/>
  <c r="O307" i="15"/>
  <c r="O153" i="15"/>
  <c r="P153" i="15"/>
  <c r="H360" i="16"/>
  <c r="H289" i="16"/>
  <c r="H164" i="16"/>
  <c r="H708" i="15"/>
  <c r="H86" i="15"/>
  <c r="O203" i="16"/>
  <c r="I203" i="15"/>
  <c r="H85" i="16"/>
  <c r="O732" i="16"/>
  <c r="I732" i="15"/>
  <c r="O656" i="16"/>
  <c r="I656" i="15"/>
  <c r="T289" i="16"/>
  <c r="M26" i="15"/>
  <c r="U26" i="16"/>
  <c r="T694" i="16"/>
  <c r="T461" i="16"/>
  <c r="O364" i="16"/>
  <c r="I364" i="15"/>
  <c r="O342" i="16"/>
  <c r="I342" i="15"/>
  <c r="P749" i="15"/>
  <c r="O749" i="15"/>
  <c r="M716" i="15"/>
  <c r="T716" i="16"/>
  <c r="M424" i="15"/>
  <c r="T424" i="16"/>
  <c r="M333" i="15"/>
  <c r="T333" i="16"/>
  <c r="T227" i="16"/>
  <c r="T34" i="16"/>
  <c r="O301" i="16"/>
  <c r="I301" i="15"/>
  <c r="O708" i="15"/>
  <c r="O770" i="15"/>
  <c r="O709" i="15"/>
  <c r="P673" i="15"/>
  <c r="P683" i="15"/>
  <c r="O257" i="15"/>
  <c r="O445" i="15"/>
  <c r="O236" i="15"/>
  <c r="O47" i="15"/>
  <c r="O85" i="15"/>
  <c r="O216" i="15"/>
  <c r="O314" i="15"/>
  <c r="O657" i="15"/>
  <c r="O404" i="16"/>
  <c r="I404" i="15"/>
  <c r="O489" i="16"/>
  <c r="I489" i="15"/>
  <c r="O562" i="16"/>
  <c r="I562" i="15"/>
  <c r="O358" i="16"/>
  <c r="I358" i="15"/>
  <c r="O669" i="16"/>
  <c r="I669" i="15"/>
  <c r="O774" i="16"/>
  <c r="I774" i="15"/>
  <c r="O783" i="16"/>
  <c r="I783" i="15"/>
  <c r="O266" i="16"/>
  <c r="I266" i="15"/>
  <c r="O432" i="16"/>
  <c r="I432" i="15"/>
  <c r="O541" i="16"/>
  <c r="I541" i="15"/>
  <c r="O680" i="16"/>
  <c r="I680" i="15"/>
  <c r="O175" i="16"/>
  <c r="I175" i="15"/>
  <c r="O405" i="16"/>
  <c r="I405" i="15"/>
  <c r="L503" i="15"/>
  <c r="K503" i="15"/>
  <c r="I118" i="15"/>
  <c r="O311" i="16"/>
  <c r="I311" i="15"/>
  <c r="O662" i="16"/>
  <c r="I662" i="15"/>
  <c r="O64" i="16"/>
  <c r="I64" i="15"/>
  <c r="I49" i="15"/>
  <c r="O211" i="16"/>
  <c r="I211" i="15"/>
  <c r="O754" i="16"/>
  <c r="I754" i="15"/>
  <c r="O73" i="16"/>
  <c r="I73" i="15"/>
  <c r="H487" i="15"/>
  <c r="H797" i="16"/>
  <c r="H755" i="16"/>
  <c r="H614" i="16"/>
  <c r="H809" i="15"/>
  <c r="H722" i="15"/>
  <c r="H626" i="15"/>
  <c r="H593" i="15"/>
  <c r="H526" i="15"/>
  <c r="H703" i="16"/>
  <c r="H380" i="15"/>
  <c r="H313" i="16"/>
  <c r="I93" i="15"/>
  <c r="O315" i="16"/>
  <c r="I315" i="15"/>
  <c r="H222" i="15"/>
  <c r="H180" i="15"/>
  <c r="O160" i="16"/>
  <c r="I160" i="15"/>
  <c r="H432" i="15"/>
  <c r="O190" i="16"/>
  <c r="I190" i="15"/>
  <c r="O286" i="16"/>
  <c r="I286" i="15"/>
  <c r="H414" i="16"/>
  <c r="H216" i="15"/>
  <c r="O194" i="16"/>
  <c r="I194" i="15"/>
  <c r="O377" i="16"/>
  <c r="I377" i="15"/>
  <c r="H357" i="15"/>
  <c r="H178" i="15"/>
  <c r="O446" i="16"/>
  <c r="I446" i="15"/>
  <c r="O510" i="16"/>
  <c r="I510" i="15"/>
  <c r="O629" i="16"/>
  <c r="I629" i="15"/>
  <c r="O688" i="16"/>
  <c r="I688" i="15"/>
  <c r="H43" i="15"/>
  <c r="O428" i="16"/>
  <c r="I428" i="15"/>
  <c r="O548" i="16"/>
  <c r="I548" i="15"/>
  <c r="O706" i="16"/>
  <c r="I706" i="15"/>
  <c r="O414" i="16"/>
  <c r="I414" i="15"/>
  <c r="O483" i="16"/>
  <c r="I483" i="15"/>
  <c r="O600" i="16"/>
  <c r="I600" i="15"/>
  <c r="O804" i="16"/>
  <c r="I804" i="15"/>
  <c r="O486" i="16"/>
  <c r="I486" i="15"/>
  <c r="O442" i="16"/>
  <c r="I442" i="15"/>
  <c r="L633" i="15"/>
  <c r="K633" i="15"/>
  <c r="O710" i="16"/>
  <c r="I710" i="15"/>
  <c r="O797" i="16"/>
  <c r="I797" i="15"/>
  <c r="O584" i="16"/>
  <c r="I584" i="15"/>
  <c r="I45" i="15"/>
  <c r="P83" i="15"/>
  <c r="O83" i="15"/>
  <c r="O111" i="15"/>
  <c r="P111" i="15"/>
  <c r="M121" i="15"/>
  <c r="P155" i="15"/>
  <c r="O155" i="15"/>
  <c r="P181" i="15"/>
  <c r="O181" i="15"/>
  <c r="P209" i="15"/>
  <c r="O209" i="15"/>
  <c r="M287" i="15"/>
  <c r="T287" i="16"/>
  <c r="P313" i="15"/>
  <c r="O313" i="15"/>
  <c r="M329" i="15"/>
  <c r="T329" i="16"/>
  <c r="Q375" i="16"/>
  <c r="M375" i="15" s="1"/>
  <c r="M373" i="15"/>
  <c r="P353" i="15"/>
  <c r="O353" i="15"/>
  <c r="M383" i="15"/>
  <c r="T383" i="16"/>
  <c r="P411" i="15"/>
  <c r="O411" i="15"/>
  <c r="P441" i="15"/>
  <c r="O441" i="15"/>
  <c r="P457" i="15"/>
  <c r="O457" i="15"/>
  <c r="P491" i="15"/>
  <c r="O491" i="15"/>
  <c r="P535" i="15"/>
  <c r="O535" i="15"/>
  <c r="P559" i="15"/>
  <c r="O559" i="15"/>
  <c r="P601" i="15"/>
  <c r="O601" i="15"/>
  <c r="T633" i="16"/>
  <c r="T685" i="16"/>
  <c r="Q791" i="16"/>
  <c r="M791" i="15" s="1"/>
  <c r="M789" i="15"/>
  <c r="T815" i="16"/>
  <c r="M795" i="15"/>
  <c r="T795" i="16"/>
  <c r="T511" i="16"/>
  <c r="T475" i="16"/>
  <c r="P727" i="15"/>
  <c r="O727" i="15"/>
  <c r="P695" i="15"/>
  <c r="O695" i="15"/>
  <c r="P655" i="15"/>
  <c r="O655" i="15"/>
  <c r="P619" i="15"/>
  <c r="O619" i="15"/>
  <c r="P571" i="15"/>
  <c r="O571" i="15"/>
  <c r="P523" i="15"/>
  <c r="O523" i="15"/>
  <c r="T806" i="16"/>
  <c r="T665" i="16"/>
  <c r="P680" i="15"/>
  <c r="O680" i="15"/>
  <c r="P648" i="15"/>
  <c r="O648" i="15"/>
  <c r="P616" i="15"/>
  <c r="O616" i="15"/>
  <c r="P580" i="15"/>
  <c r="O580" i="15"/>
  <c r="P544" i="15"/>
  <c r="O544" i="15"/>
  <c r="M512" i="15"/>
  <c r="T512" i="16"/>
  <c r="P476" i="15"/>
  <c r="O476" i="15"/>
  <c r="P440" i="15"/>
  <c r="O440" i="15"/>
  <c r="P384" i="15"/>
  <c r="O384" i="15"/>
  <c r="P344" i="15"/>
  <c r="O344" i="15"/>
  <c r="P308" i="15"/>
  <c r="O308" i="15"/>
  <c r="P200" i="15"/>
  <c r="O200" i="15"/>
  <c r="P164" i="15"/>
  <c r="O164" i="15"/>
  <c r="P128" i="15"/>
  <c r="O128" i="15"/>
  <c r="T366" i="16"/>
  <c r="T334" i="16"/>
  <c r="P410" i="15"/>
  <c r="O410" i="15"/>
  <c r="P378" i="15"/>
  <c r="O378" i="15"/>
  <c r="P346" i="15"/>
  <c r="O346" i="15"/>
  <c r="P310" i="15"/>
  <c r="O310" i="15"/>
  <c r="P274" i="15"/>
  <c r="O274" i="15"/>
  <c r="P234" i="15"/>
  <c r="O234" i="15"/>
  <c r="P198" i="15"/>
  <c r="O198" i="15"/>
  <c r="P158" i="15"/>
  <c r="O158" i="15"/>
  <c r="T83" i="16"/>
  <c r="P94" i="15"/>
  <c r="O94" i="15"/>
  <c r="H812" i="16"/>
  <c r="H771" i="16"/>
  <c r="H675" i="16"/>
  <c r="H642" i="16"/>
  <c r="H645" i="15"/>
  <c r="H617" i="16"/>
  <c r="H443" i="15"/>
  <c r="O181" i="16"/>
  <c r="I181" i="15"/>
  <c r="O357" i="16"/>
  <c r="I357" i="15"/>
  <c r="O812" i="16"/>
  <c r="I812" i="15"/>
  <c r="H550" i="15"/>
  <c r="H513" i="15"/>
  <c r="H438" i="16"/>
  <c r="H335" i="15"/>
  <c r="M25" i="15"/>
  <c r="U25" i="16"/>
  <c r="H761" i="16"/>
  <c r="H678" i="16"/>
  <c r="H645" i="16"/>
  <c r="H475" i="15"/>
  <c r="H380" i="16"/>
  <c r="H201" i="16"/>
  <c r="H46" i="15"/>
  <c r="O512" i="16"/>
  <c r="I512" i="15"/>
  <c r="H553" i="15"/>
  <c r="H487" i="16"/>
  <c r="I99" i="15"/>
  <c r="O289" i="16"/>
  <c r="I289" i="15"/>
  <c r="O369" i="16"/>
  <c r="I369" i="15"/>
  <c r="O507" i="16"/>
  <c r="I507" i="15"/>
  <c r="H294" i="16"/>
  <c r="H154" i="15"/>
  <c r="O187" i="16"/>
  <c r="I187" i="15"/>
  <c r="O291" i="16"/>
  <c r="I291" i="15"/>
  <c r="T28" i="16"/>
  <c r="O79" i="16"/>
  <c r="I79" i="15"/>
  <c r="T20" i="16"/>
  <c r="H154" i="16"/>
  <c r="O23" i="16"/>
  <c r="I23" i="15"/>
  <c r="I59" i="15"/>
  <c r="T21" i="16"/>
  <c r="P54" i="15"/>
  <c r="O54" i="15"/>
  <c r="P682" i="15"/>
  <c r="O682" i="15"/>
  <c r="P649" i="15"/>
  <c r="O649" i="15"/>
  <c r="M275" i="15"/>
  <c r="T275" i="16"/>
  <c r="M133" i="15"/>
  <c r="T648" i="16"/>
  <c r="T423" i="16"/>
  <c r="T311" i="16"/>
  <c r="T199" i="16"/>
  <c r="P710" i="15"/>
  <c r="O710" i="15"/>
  <c r="P498" i="15"/>
  <c r="O498" i="15"/>
  <c r="P465" i="15"/>
  <c r="O465" i="15"/>
  <c r="T626" i="16"/>
  <c r="T489" i="16"/>
  <c r="T439" i="16"/>
  <c r="P788" i="15"/>
  <c r="O788" i="15"/>
  <c r="P693" i="15"/>
  <c r="O693" i="15"/>
  <c r="P514" i="15"/>
  <c r="O514" i="15"/>
  <c r="P393" i="15"/>
  <c r="O393" i="15"/>
  <c r="P239" i="15"/>
  <c r="O239" i="15"/>
  <c r="P173" i="15"/>
  <c r="O173" i="15"/>
  <c r="H723" i="16"/>
  <c r="T596" i="16"/>
  <c r="T259" i="16"/>
  <c r="O234" i="16"/>
  <c r="I234" i="15"/>
  <c r="O795" i="16"/>
  <c r="I795" i="15"/>
  <c r="O612" i="16"/>
  <c r="I612" i="15"/>
  <c r="H387" i="16"/>
  <c r="O156" i="16"/>
  <c r="I156" i="15"/>
  <c r="H108" i="15"/>
  <c r="I116" i="15"/>
  <c r="H715" i="16"/>
  <c r="H265" i="16"/>
  <c r="H153" i="16"/>
  <c r="H82" i="16"/>
  <c r="T674" i="16"/>
  <c r="L659" i="15"/>
  <c r="K659" i="15"/>
  <c r="P40" i="15"/>
  <c r="O40" i="15"/>
  <c r="O67" i="16"/>
  <c r="I67" i="15"/>
  <c r="T740" i="16"/>
  <c r="T145" i="16"/>
  <c r="H76" i="15"/>
  <c r="O813" i="16"/>
  <c r="I813" i="15"/>
  <c r="T726" i="16"/>
  <c r="T572" i="16"/>
  <c r="T197" i="16"/>
  <c r="O705" i="16"/>
  <c r="I705" i="15"/>
  <c r="M19" i="15"/>
  <c r="U19" i="16"/>
  <c r="T761" i="16"/>
  <c r="P748" i="15"/>
  <c r="O748" i="15"/>
  <c r="P602" i="15"/>
  <c r="O602" i="15"/>
  <c r="P211" i="15"/>
  <c r="O211" i="15"/>
  <c r="P86" i="15"/>
  <c r="O86" i="15"/>
  <c r="H356" i="16"/>
  <c r="H160" i="16"/>
  <c r="T564" i="16"/>
  <c r="T700" i="16"/>
  <c r="H692" i="15"/>
  <c r="H45" i="15"/>
  <c r="O299" i="16"/>
  <c r="I299" i="15"/>
  <c r="O566" i="16"/>
  <c r="I566" i="15"/>
  <c r="O665" i="16"/>
  <c r="I665" i="15"/>
  <c r="T562" i="16"/>
  <c r="T285" i="16"/>
  <c r="T777" i="16"/>
  <c r="T690" i="16"/>
  <c r="T415" i="16"/>
  <c r="H654" i="15"/>
  <c r="O371" i="16"/>
  <c r="I371" i="15"/>
  <c r="O351" i="16"/>
  <c r="I351" i="15"/>
  <c r="P745" i="15"/>
  <c r="O745" i="15"/>
  <c r="P537" i="15"/>
  <c r="O537" i="15"/>
  <c r="M420" i="15"/>
  <c r="T420" i="16"/>
  <c r="T223" i="16"/>
  <c r="T30" i="16"/>
  <c r="O308" i="16"/>
  <c r="I308" i="15"/>
  <c r="H293" i="15"/>
  <c r="O704" i="15"/>
  <c r="O684" i="15"/>
  <c r="O615" i="15"/>
  <c r="O253" i="15"/>
  <c r="O448" i="15"/>
  <c r="O763" i="15"/>
  <c r="O214" i="16"/>
  <c r="I214" i="15"/>
  <c r="L295" i="15"/>
  <c r="K295" i="15"/>
  <c r="O355" i="16"/>
  <c r="I355" i="15"/>
  <c r="O412" i="16"/>
  <c r="I412" i="15"/>
  <c r="O497" i="16"/>
  <c r="I497" i="15"/>
  <c r="O657" i="16"/>
  <c r="I657" i="15"/>
  <c r="O793" i="16"/>
  <c r="I793" i="15"/>
  <c r="G765" i="16"/>
  <c r="H763" i="16"/>
  <c r="L382" i="15"/>
  <c r="K382" i="15"/>
  <c r="O423" i="16"/>
  <c r="I423" i="15"/>
  <c r="O506" i="16"/>
  <c r="I506" i="15"/>
  <c r="O674" i="16"/>
  <c r="I674" i="15"/>
  <c r="O744" i="16"/>
  <c r="I744" i="15"/>
  <c r="O779" i="16"/>
  <c r="I779" i="15"/>
  <c r="O736" i="16"/>
  <c r="I736" i="15"/>
  <c r="O440" i="16"/>
  <c r="I440" i="15"/>
  <c r="O546" i="16"/>
  <c r="I546" i="15"/>
  <c r="O644" i="16"/>
  <c r="I644" i="15"/>
  <c r="O689" i="16"/>
  <c r="I689" i="15"/>
  <c r="O809" i="16"/>
  <c r="I809" i="15"/>
  <c r="O180" i="16"/>
  <c r="I180" i="15"/>
  <c r="O235" i="16"/>
  <c r="I235" i="15"/>
  <c r="O509" i="16"/>
  <c r="I509" i="15"/>
  <c r="O670" i="16"/>
  <c r="I670" i="15"/>
  <c r="O638" i="16"/>
  <c r="I638" i="15"/>
  <c r="O378" i="16"/>
  <c r="I378" i="15"/>
  <c r="O65" i="16"/>
  <c r="I65" i="15"/>
  <c r="O264" i="16"/>
  <c r="I264" i="15"/>
  <c r="H577" i="15"/>
  <c r="H474" i="16"/>
  <c r="H751" i="16"/>
  <c r="H718" i="15"/>
  <c r="H622" i="15"/>
  <c r="H522" i="15"/>
  <c r="H699" i="16"/>
  <c r="H346" i="16"/>
  <c r="H309" i="16"/>
  <c r="O184" i="16"/>
  <c r="I184" i="15"/>
  <c r="O324" i="16"/>
  <c r="I324" i="15"/>
  <c r="H305" i="15"/>
  <c r="H176" i="15"/>
  <c r="H341" i="16"/>
  <c r="O721" i="16"/>
  <c r="I721" i="15"/>
  <c r="O207" i="16"/>
  <c r="I207" i="15"/>
  <c r="O294" i="16"/>
  <c r="I294" i="15"/>
  <c r="H410" i="16"/>
  <c r="H337" i="15"/>
  <c r="H250" i="15"/>
  <c r="H212" i="15"/>
  <c r="H126" i="15"/>
  <c r="O227" i="16"/>
  <c r="I227" i="15"/>
  <c r="H277" i="16"/>
  <c r="O733" i="16"/>
  <c r="I733" i="15"/>
  <c r="H319" i="15"/>
  <c r="H278" i="15"/>
  <c r="H240" i="15"/>
  <c r="H174" i="15"/>
  <c r="O540" i="16"/>
  <c r="I540" i="15"/>
  <c r="O646" i="16"/>
  <c r="I646" i="15"/>
  <c r="H39" i="15"/>
  <c r="O463" i="16"/>
  <c r="I463" i="15"/>
  <c r="O585" i="16"/>
  <c r="I585" i="15"/>
  <c r="O814" i="16"/>
  <c r="I814" i="15"/>
  <c r="O422" i="16"/>
  <c r="I422" i="15"/>
  <c r="O491" i="16"/>
  <c r="I491" i="15"/>
  <c r="O636" i="16"/>
  <c r="I636" i="15"/>
  <c r="O392" i="16"/>
  <c r="I392" i="15"/>
  <c r="O494" i="16"/>
  <c r="I494" i="15"/>
  <c r="O767" i="16"/>
  <c r="I767" i="15"/>
  <c r="O450" i="16"/>
  <c r="I450" i="15"/>
  <c r="O642" i="16"/>
  <c r="I642" i="15"/>
  <c r="O745" i="16"/>
  <c r="I745" i="15"/>
  <c r="O815" i="16"/>
  <c r="I815" i="15"/>
  <c r="O459" i="16"/>
  <c r="I459" i="15"/>
  <c r="O589" i="16"/>
  <c r="I589" i="15"/>
  <c r="P81" i="15"/>
  <c r="O81" i="15"/>
  <c r="O109" i="15"/>
  <c r="P109" i="15"/>
  <c r="Q141" i="16"/>
  <c r="M141" i="15" s="1"/>
  <c r="M166" i="15" s="1"/>
  <c r="O166" i="15" s="1"/>
  <c r="M139" i="15"/>
  <c r="M117" i="15"/>
  <c r="P149" i="15"/>
  <c r="O149" i="15"/>
  <c r="M175" i="15"/>
  <c r="T175" i="16"/>
  <c r="P203" i="15"/>
  <c r="O203" i="15"/>
  <c r="P231" i="15"/>
  <c r="O231" i="15"/>
  <c r="M283" i="15"/>
  <c r="T283" i="16"/>
  <c r="T295" i="16"/>
  <c r="P311" i="15"/>
  <c r="O311" i="15"/>
  <c r="M325" i="15"/>
  <c r="T325" i="16"/>
  <c r="P371" i="15"/>
  <c r="O371" i="15"/>
  <c r="P381" i="15"/>
  <c r="O381" i="15"/>
  <c r="P409" i="15"/>
  <c r="O409" i="15"/>
  <c r="M455" i="15"/>
  <c r="T455" i="16"/>
  <c r="P489" i="15"/>
  <c r="O489" i="15"/>
  <c r="P533" i="15"/>
  <c r="O533" i="15"/>
  <c r="P597" i="15"/>
  <c r="O597" i="15"/>
  <c r="T711" i="16"/>
  <c r="P731" i="15"/>
  <c r="O731" i="15"/>
  <c r="M783" i="15"/>
  <c r="T783" i="16"/>
  <c r="T611" i="16"/>
  <c r="T471" i="16"/>
  <c r="P759" i="15"/>
  <c r="O759" i="15"/>
  <c r="P723" i="15"/>
  <c r="O723" i="15"/>
  <c r="P691" i="15"/>
  <c r="O691" i="15"/>
  <c r="P651" i="15"/>
  <c r="O651" i="15"/>
  <c r="P563" i="15"/>
  <c r="O563" i="15"/>
  <c r="P519" i="15"/>
  <c r="O519" i="15"/>
  <c r="P487" i="15"/>
  <c r="O487" i="15"/>
  <c r="P431" i="15"/>
  <c r="O431" i="15"/>
  <c r="T729" i="16"/>
  <c r="T589" i="16"/>
  <c r="T553" i="16"/>
  <c r="P676" i="15"/>
  <c r="O676" i="15"/>
  <c r="P644" i="15"/>
  <c r="O644" i="15"/>
  <c r="P612" i="15"/>
  <c r="O612" i="15"/>
  <c r="P576" i="15"/>
  <c r="O576" i="15"/>
  <c r="P540" i="15"/>
  <c r="O540" i="15"/>
  <c r="M508" i="15"/>
  <c r="T508" i="16"/>
  <c r="P472" i="15"/>
  <c r="O472" i="15"/>
  <c r="P380" i="15"/>
  <c r="O380" i="15"/>
  <c r="P340" i="15"/>
  <c r="O340" i="15"/>
  <c r="P304" i="15"/>
  <c r="O304" i="15"/>
  <c r="P268" i="15"/>
  <c r="O268" i="15"/>
  <c r="P232" i="15"/>
  <c r="O232" i="15"/>
  <c r="P196" i="15"/>
  <c r="O196" i="15"/>
  <c r="P160" i="15"/>
  <c r="O160" i="15"/>
  <c r="P124" i="15"/>
  <c r="O124" i="15"/>
  <c r="T398" i="16"/>
  <c r="T294" i="16"/>
  <c r="T258" i="16"/>
  <c r="P406" i="15"/>
  <c r="O406" i="15"/>
  <c r="P342" i="15"/>
  <c r="O342" i="15"/>
  <c r="P306" i="15"/>
  <c r="O306" i="15"/>
  <c r="P266" i="15"/>
  <c r="O266" i="15"/>
  <c r="P190" i="15"/>
  <c r="O190" i="15"/>
  <c r="P154" i="15"/>
  <c r="O154" i="15"/>
  <c r="P80" i="15"/>
  <c r="O80" i="15"/>
  <c r="T84" i="16"/>
  <c r="H808" i="16"/>
  <c r="H671" i="16"/>
  <c r="H753" i="15"/>
  <c r="H641" i="15"/>
  <c r="H613" i="16"/>
  <c r="H439" i="15"/>
  <c r="O574" i="16"/>
  <c r="I574" i="15"/>
  <c r="O189" i="16"/>
  <c r="I189" i="15"/>
  <c r="O365" i="16"/>
  <c r="I365" i="15"/>
  <c r="H546" i="15"/>
  <c r="H509" i="15"/>
  <c r="H434" i="16"/>
  <c r="H327" i="15"/>
  <c r="M21" i="15"/>
  <c r="U21" i="16"/>
  <c r="H757" i="16"/>
  <c r="H674" i="16"/>
  <c r="H641" i="16"/>
  <c r="H471" i="15"/>
  <c r="H376" i="16"/>
  <c r="H197" i="16"/>
  <c r="H42" i="15"/>
  <c r="O525" i="16"/>
  <c r="I525" i="15"/>
  <c r="M30" i="15"/>
  <c r="U30" i="16"/>
  <c r="H549" i="15"/>
  <c r="H483" i="16"/>
  <c r="I107" i="15"/>
  <c r="O298" i="16"/>
  <c r="I298" i="15"/>
  <c r="O385" i="16"/>
  <c r="I385" i="15"/>
  <c r="O520" i="16"/>
  <c r="I520" i="15"/>
  <c r="H290" i="16"/>
  <c r="O196" i="16"/>
  <c r="I196" i="15"/>
  <c r="O475" i="16"/>
  <c r="I475" i="15"/>
  <c r="M16" i="15"/>
  <c r="U16" i="16"/>
  <c r="O71" i="16"/>
  <c r="I71" i="15"/>
  <c r="T12" i="16"/>
  <c r="P51" i="15"/>
  <c r="O51" i="15"/>
  <c r="I51" i="15"/>
  <c r="P50" i="15"/>
  <c r="O50" i="15"/>
  <c r="T528" i="16"/>
  <c r="P678" i="15"/>
  <c r="O678" i="15"/>
  <c r="P645" i="15"/>
  <c r="O645" i="15"/>
  <c r="M187" i="15"/>
  <c r="T187" i="16"/>
  <c r="T781" i="16"/>
  <c r="T644" i="16"/>
  <c r="T419" i="16"/>
  <c r="H733" i="15"/>
  <c r="P706" i="15"/>
  <c r="O706" i="15"/>
  <c r="P494" i="15"/>
  <c r="O494" i="15"/>
  <c r="P461" i="15"/>
  <c r="O461" i="15"/>
  <c r="T813" i="16"/>
  <c r="T435" i="16"/>
  <c r="P784" i="15"/>
  <c r="O784" i="15"/>
  <c r="P689" i="15"/>
  <c r="O689" i="15"/>
  <c r="P510" i="15"/>
  <c r="O510" i="15"/>
  <c r="P389" i="15"/>
  <c r="O389" i="15"/>
  <c r="O293" i="15"/>
  <c r="P293" i="15"/>
  <c r="P235" i="15"/>
  <c r="O235" i="15"/>
  <c r="P169" i="15"/>
  <c r="O169" i="15"/>
  <c r="H719" i="16"/>
  <c r="T409" i="16"/>
  <c r="T317" i="16"/>
  <c r="H285" i="15"/>
  <c r="O242" i="16"/>
  <c r="I242" i="15"/>
  <c r="O803" i="16"/>
  <c r="I803" i="15"/>
  <c r="H81" i="16"/>
  <c r="I97" i="15"/>
  <c r="H383" i="16"/>
  <c r="O599" i="16"/>
  <c r="I599" i="15"/>
  <c r="H100" i="15"/>
  <c r="O261" i="16"/>
  <c r="I261" i="15"/>
  <c r="O86" i="16"/>
  <c r="I86" i="15"/>
  <c r="P53" i="15"/>
  <c r="O53" i="15"/>
  <c r="H710" i="16"/>
  <c r="H673" i="16"/>
  <c r="H261" i="16"/>
  <c r="H149" i="16"/>
  <c r="H78" i="16"/>
  <c r="T449" i="16"/>
  <c r="O676" i="16"/>
  <c r="I676" i="15"/>
  <c r="P549" i="15"/>
  <c r="O549" i="15"/>
  <c r="I58" i="15"/>
  <c r="T706" i="16"/>
  <c r="T303" i="16"/>
  <c r="H72" i="15"/>
  <c r="T722" i="16"/>
  <c r="T568" i="16"/>
  <c r="T155" i="16"/>
  <c r="O748" i="16"/>
  <c r="I748" i="15"/>
  <c r="O18" i="16"/>
  <c r="I18" i="15"/>
  <c r="T732" i="16"/>
  <c r="P814" i="15"/>
  <c r="O814" i="15"/>
  <c r="P744" i="15"/>
  <c r="O744" i="15"/>
  <c r="P598" i="15"/>
  <c r="O598" i="15"/>
  <c r="P561" i="15"/>
  <c r="O561" i="15"/>
  <c r="P207" i="15"/>
  <c r="O207" i="15"/>
  <c r="P82" i="15"/>
  <c r="O82" i="15"/>
  <c r="H352" i="16"/>
  <c r="H156" i="16"/>
  <c r="H658" i="15"/>
  <c r="H41" i="15"/>
  <c r="O443" i="16"/>
  <c r="I443" i="15"/>
  <c r="O695" i="16"/>
  <c r="I695" i="15"/>
  <c r="O681" i="16"/>
  <c r="I681" i="15"/>
  <c r="T445" i="16"/>
  <c r="T560" i="16"/>
  <c r="T281" i="16"/>
  <c r="T773" i="16"/>
  <c r="T636" i="16"/>
  <c r="T411" i="16"/>
  <c r="H650" i="15"/>
  <c r="O388" i="16"/>
  <c r="I388" i="15"/>
  <c r="O359" i="16"/>
  <c r="I359" i="15"/>
  <c r="M416" i="15"/>
  <c r="T416" i="16"/>
  <c r="T185" i="16"/>
  <c r="T26" i="16"/>
  <c r="I95" i="15"/>
  <c r="H681" i="15"/>
  <c r="O579" i="15"/>
  <c r="O675" i="15"/>
  <c r="O586" i="15"/>
  <c r="O239" i="16"/>
  <c r="I239" i="15"/>
  <c r="O306" i="16"/>
  <c r="I306" i="15"/>
  <c r="O363" i="16"/>
  <c r="I363" i="15"/>
  <c r="O420" i="16"/>
  <c r="I420" i="15"/>
  <c r="O516" i="16"/>
  <c r="I516" i="15"/>
  <c r="O801" i="16"/>
  <c r="I801" i="15"/>
  <c r="O707" i="16"/>
  <c r="I707" i="15"/>
  <c r="I121" i="15"/>
  <c r="O248" i="16"/>
  <c r="I248" i="15"/>
  <c r="L390" i="15"/>
  <c r="K390" i="15"/>
  <c r="O538" i="16"/>
  <c r="I538" i="15"/>
  <c r="O682" i="16"/>
  <c r="I682" i="15"/>
  <c r="O796" i="16"/>
  <c r="I796" i="15"/>
  <c r="O728" i="16"/>
  <c r="I728" i="15"/>
  <c r="O280" i="16"/>
  <c r="I280" i="15"/>
  <c r="O448" i="16"/>
  <c r="I448" i="15"/>
  <c r="O593" i="16"/>
  <c r="I593" i="15"/>
  <c r="O647" i="16"/>
  <c r="I647" i="15"/>
  <c r="O697" i="16"/>
  <c r="I697" i="15"/>
  <c r="N544" i="16"/>
  <c r="O188" i="16"/>
  <c r="I188" i="15"/>
  <c r="O457" i="16"/>
  <c r="I457" i="15"/>
  <c r="O591" i="16"/>
  <c r="I591" i="15"/>
  <c r="I101" i="15"/>
  <c r="I47" i="15"/>
  <c r="I39" i="15"/>
  <c r="O536" i="16"/>
  <c r="I536" i="15"/>
  <c r="O613" i="16"/>
  <c r="I613" i="15"/>
  <c r="O159" i="16"/>
  <c r="I159" i="15"/>
  <c r="I41" i="15"/>
  <c r="I55" i="15"/>
  <c r="O762" i="16"/>
  <c r="I762" i="15"/>
  <c r="I56" i="15"/>
  <c r="H710" i="15"/>
  <c r="H470" i="16"/>
  <c r="H788" i="16"/>
  <c r="H747" i="16"/>
  <c r="H605" i="16"/>
  <c r="H714" i="15"/>
  <c r="H618" i="15"/>
  <c r="H585" i="15"/>
  <c r="H518" i="15"/>
  <c r="H342" i="16"/>
  <c r="I103" i="15"/>
  <c r="O201" i="16"/>
  <c r="I201" i="15"/>
  <c r="H301" i="15"/>
  <c r="H213" i="15"/>
  <c r="H106" i="15"/>
  <c r="O310" i="16"/>
  <c r="I310" i="15"/>
  <c r="H423" i="15"/>
  <c r="H370" i="16"/>
  <c r="O576" i="16"/>
  <c r="I576" i="15"/>
  <c r="O215" i="16"/>
  <c r="I215" i="15"/>
  <c r="L321" i="15"/>
  <c r="K321" i="15"/>
  <c r="H476" i="16"/>
  <c r="H406" i="16"/>
  <c r="H333" i="15"/>
  <c r="H246" i="15"/>
  <c r="H208" i="15"/>
  <c r="H122" i="15"/>
  <c r="O718" i="16"/>
  <c r="I718" i="15"/>
  <c r="O249" i="16"/>
  <c r="I249" i="15"/>
  <c r="O725" i="16"/>
  <c r="I725" i="15"/>
  <c r="H274" i="15"/>
  <c r="H236" i="15"/>
  <c r="H170" i="15"/>
  <c r="O460" i="16"/>
  <c r="I460" i="15"/>
  <c r="O654" i="16"/>
  <c r="I654" i="15"/>
  <c r="O696" i="16"/>
  <c r="I696" i="15"/>
  <c r="O367" i="16"/>
  <c r="I367" i="15"/>
  <c r="O476" i="16"/>
  <c r="I476" i="15"/>
  <c r="O595" i="16"/>
  <c r="I595" i="15"/>
  <c r="O15" i="16"/>
  <c r="I15" i="15"/>
  <c r="O436" i="16"/>
  <c r="I436" i="15"/>
  <c r="O499" i="16"/>
  <c r="I499" i="15"/>
  <c r="O652" i="16"/>
  <c r="I652" i="15"/>
  <c r="O409" i="16"/>
  <c r="I409" i="15"/>
  <c r="N32" i="16"/>
  <c r="O527" i="16"/>
  <c r="I527" i="15"/>
  <c r="O650" i="16"/>
  <c r="I650" i="15"/>
  <c r="O753" i="16"/>
  <c r="I753" i="15"/>
  <c r="E35" i="15"/>
  <c r="G35" i="15" s="1"/>
  <c r="O467" i="16"/>
  <c r="I467" i="15"/>
  <c r="O601" i="16"/>
  <c r="I601" i="15"/>
  <c r="O413" i="16"/>
  <c r="I413" i="15"/>
  <c r="P79" i="15"/>
  <c r="O79" i="15"/>
  <c r="O107" i="15"/>
  <c r="P107" i="15"/>
  <c r="P135" i="15"/>
  <c r="O135" i="15"/>
  <c r="M171" i="15"/>
  <c r="T171" i="16"/>
  <c r="P201" i="15"/>
  <c r="O201" i="15"/>
  <c r="P309" i="15"/>
  <c r="O309" i="15"/>
  <c r="P369" i="15"/>
  <c r="O369" i="15"/>
  <c r="M379" i="15"/>
  <c r="T379" i="16"/>
  <c r="M429" i="15"/>
  <c r="T429" i="16"/>
  <c r="P483" i="15"/>
  <c r="O483" i="15"/>
  <c r="T581" i="16"/>
  <c r="P595" i="15"/>
  <c r="O595" i="15"/>
  <c r="Q635" i="16"/>
  <c r="M635" i="15" s="1"/>
  <c r="M633" i="15"/>
  <c r="Q687" i="16"/>
  <c r="M687" i="15" s="1"/>
  <c r="M712" i="15" s="1"/>
  <c r="O712" i="15" s="1"/>
  <c r="M685" i="15"/>
  <c r="Q713" i="16"/>
  <c r="M713" i="15" s="1"/>
  <c r="M738" i="15" s="1"/>
  <c r="O738" i="15" s="1"/>
  <c r="M711" i="15"/>
  <c r="P729" i="15"/>
  <c r="O729" i="15"/>
  <c r="P781" i="15"/>
  <c r="O781" i="15"/>
  <c r="T715" i="16"/>
  <c r="T679" i="16"/>
  <c r="T643" i="16"/>
  <c r="M787" i="15"/>
  <c r="T787" i="16"/>
  <c r="P755" i="15"/>
  <c r="O755" i="15"/>
  <c r="P719" i="15"/>
  <c r="O719" i="15"/>
  <c r="P647" i="15"/>
  <c r="O647" i="15"/>
  <c r="P515" i="15"/>
  <c r="O515" i="15"/>
  <c r="P467" i="15"/>
  <c r="O467" i="15"/>
  <c r="T585" i="16"/>
  <c r="P672" i="15"/>
  <c r="O672" i="15"/>
  <c r="P640" i="15"/>
  <c r="O640" i="15"/>
  <c r="P604" i="15"/>
  <c r="O604" i="15"/>
  <c r="P572" i="15"/>
  <c r="O572" i="15"/>
  <c r="P536" i="15"/>
  <c r="O536" i="15"/>
  <c r="P500" i="15"/>
  <c r="O500" i="15"/>
  <c r="P468" i="15"/>
  <c r="O468" i="15"/>
  <c r="T368" i="16"/>
  <c r="T332" i="16"/>
  <c r="P372" i="15"/>
  <c r="O372" i="15"/>
  <c r="P336" i="15"/>
  <c r="O336" i="15"/>
  <c r="P300" i="15"/>
  <c r="O300" i="15"/>
  <c r="P264" i="15"/>
  <c r="O264" i="15"/>
  <c r="P228" i="15"/>
  <c r="O228" i="15"/>
  <c r="P188" i="15"/>
  <c r="O188" i="15"/>
  <c r="P156" i="15"/>
  <c r="O156" i="15"/>
  <c r="P120" i="15"/>
  <c r="O120" i="15"/>
  <c r="T222" i="16"/>
  <c r="P84" i="15"/>
  <c r="O84" i="15"/>
  <c r="P370" i="15"/>
  <c r="O370" i="15"/>
  <c r="P302" i="15"/>
  <c r="O302" i="15"/>
  <c r="P262" i="15"/>
  <c r="O262" i="15"/>
  <c r="P226" i="15"/>
  <c r="O226" i="15"/>
  <c r="P186" i="15"/>
  <c r="O186" i="15"/>
  <c r="P150" i="15"/>
  <c r="O150" i="15"/>
  <c r="P65" i="15"/>
  <c r="O65" i="15"/>
  <c r="H804" i="16"/>
  <c r="H667" i="16"/>
  <c r="H629" i="16"/>
  <c r="H749" i="15"/>
  <c r="H670" i="15"/>
  <c r="H579" i="16"/>
  <c r="H431" i="15"/>
  <c r="I119" i="15"/>
  <c r="O198" i="16"/>
  <c r="I198" i="15"/>
  <c r="O381" i="16"/>
  <c r="I381" i="15"/>
  <c r="H542" i="15"/>
  <c r="H492" i="15"/>
  <c r="H430" i="16"/>
  <c r="H318" i="15"/>
  <c r="H753" i="16"/>
  <c r="H670" i="16"/>
  <c r="H637" i="16"/>
  <c r="H463" i="15"/>
  <c r="H292" i="16"/>
  <c r="H110" i="15"/>
  <c r="O580" i="16"/>
  <c r="I580" i="15"/>
  <c r="O776" i="16"/>
  <c r="I776" i="15"/>
  <c r="H578" i="15"/>
  <c r="H545" i="15"/>
  <c r="H466" i="16"/>
  <c r="O162" i="16"/>
  <c r="I162" i="15"/>
  <c r="O320" i="16"/>
  <c r="I320" i="15"/>
  <c r="O393" i="16"/>
  <c r="I393" i="15"/>
  <c r="O550" i="16"/>
  <c r="I550" i="15"/>
  <c r="H286" i="16"/>
  <c r="O717" i="16"/>
  <c r="I717" i="15"/>
  <c r="O204" i="16"/>
  <c r="I204" i="15"/>
  <c r="O528" i="16"/>
  <c r="I528" i="15"/>
  <c r="M12" i="15"/>
  <c r="U12" i="16"/>
  <c r="I54" i="15"/>
  <c r="P43" i="15"/>
  <c r="O43" i="15"/>
  <c r="I43" i="15"/>
  <c r="P46" i="15"/>
  <c r="O46" i="15"/>
  <c r="T241" i="16"/>
  <c r="P786" i="15"/>
  <c r="O786" i="15"/>
  <c r="P674" i="15"/>
  <c r="O674" i="15"/>
  <c r="M345" i="15"/>
  <c r="T345" i="16"/>
  <c r="M183" i="15"/>
  <c r="T183" i="16"/>
  <c r="P100" i="15"/>
  <c r="O100" i="15"/>
  <c r="T369" i="16"/>
  <c r="P702" i="15"/>
  <c r="O702" i="15"/>
  <c r="P490" i="15"/>
  <c r="O490" i="15"/>
  <c r="T776" i="16"/>
  <c r="T684" i="16"/>
  <c r="T580" i="16"/>
  <c r="T397" i="16"/>
  <c r="P780" i="15"/>
  <c r="O780" i="15"/>
  <c r="P718" i="15"/>
  <c r="O718" i="15"/>
  <c r="P630" i="15"/>
  <c r="O630" i="15"/>
  <c r="P593" i="15"/>
  <c r="O593" i="15"/>
  <c r="P377" i="15"/>
  <c r="O377" i="15"/>
  <c r="T313" i="16"/>
  <c r="H281" i="15"/>
  <c r="O376" i="16"/>
  <c r="I376" i="15"/>
  <c r="M31" i="15"/>
  <c r="U31" i="16"/>
  <c r="I129" i="15"/>
  <c r="U32" i="16"/>
  <c r="M32" i="15"/>
  <c r="H379" i="16"/>
  <c r="T29" i="16"/>
  <c r="H404" i="15"/>
  <c r="H96" i="15"/>
  <c r="O78" i="16"/>
  <c r="I78" i="15"/>
  <c r="H706" i="16"/>
  <c r="H257" i="16"/>
  <c r="H145" i="16"/>
  <c r="H70" i="16"/>
  <c r="O684" i="16"/>
  <c r="I684" i="15"/>
  <c r="P545" i="15"/>
  <c r="O545" i="15"/>
  <c r="I50" i="15"/>
  <c r="T548" i="16"/>
  <c r="T299" i="16"/>
  <c r="T718" i="16"/>
  <c r="T431" i="16"/>
  <c r="P70" i="15"/>
  <c r="O70" i="15"/>
  <c r="H677" i="15"/>
  <c r="O771" i="16"/>
  <c r="I771" i="15"/>
  <c r="M15" i="15"/>
  <c r="U15" i="16"/>
  <c r="T570" i="16"/>
  <c r="P810" i="15"/>
  <c r="O810" i="15"/>
  <c r="P690" i="15"/>
  <c r="O690" i="15"/>
  <c r="P594" i="15"/>
  <c r="O594" i="15"/>
  <c r="P407" i="15"/>
  <c r="O407" i="15"/>
  <c r="H310" i="16"/>
  <c r="H152" i="16"/>
  <c r="T73" i="16"/>
  <c r="I90" i="15"/>
  <c r="O610" i="16"/>
  <c r="I610" i="15"/>
  <c r="O751" i="16"/>
  <c r="I751" i="15"/>
  <c r="T441" i="16"/>
  <c r="T377" i="16"/>
  <c r="T277" i="16"/>
  <c r="T769" i="16"/>
  <c r="T602" i="16"/>
  <c r="T407" i="16"/>
  <c r="H646" i="15"/>
  <c r="O396" i="16"/>
  <c r="I396" i="15"/>
  <c r="O157" i="16"/>
  <c r="I157" i="15"/>
  <c r="P736" i="15"/>
  <c r="O736" i="15"/>
  <c r="P474" i="15"/>
  <c r="O474" i="15"/>
  <c r="M412" i="15"/>
  <c r="T412" i="16"/>
  <c r="O200" i="16"/>
  <c r="I200" i="15"/>
  <c r="T181" i="16"/>
  <c r="T22" i="16"/>
  <c r="O233" i="16"/>
  <c r="I233" i="15"/>
  <c r="P671" i="15"/>
  <c r="T584" i="16"/>
  <c r="O434" i="15"/>
  <c r="H260" i="15"/>
  <c r="H214" i="15"/>
  <c r="H198" i="15"/>
  <c r="O629" i="15"/>
  <c r="M650" i="15"/>
  <c r="T650" i="16"/>
  <c r="P513" i="15"/>
  <c r="O513" i="15"/>
  <c r="P450" i="15"/>
  <c r="O450" i="15"/>
  <c r="P417" i="15"/>
  <c r="O417" i="15"/>
  <c r="T628" i="16"/>
  <c r="T624" i="16"/>
  <c r="T620" i="16"/>
  <c r="T616" i="16"/>
  <c r="T612" i="16"/>
  <c r="T670" i="16"/>
  <c r="T546" i="16"/>
  <c r="T666" i="16"/>
  <c r="T11" i="16"/>
  <c r="N601" i="16"/>
  <c r="N247" i="16"/>
  <c r="N306" i="16"/>
  <c r="N162" i="16"/>
  <c r="N595" i="16"/>
  <c r="N580" i="16"/>
  <c r="N751" i="16"/>
  <c r="N489" i="16"/>
  <c r="N648" i="16"/>
  <c r="N188" i="16"/>
  <c r="N629" i="16"/>
  <c r="N696" i="16"/>
  <c r="N204" i="16"/>
  <c r="N593" i="16"/>
  <c r="N697" i="16"/>
  <c r="N591" i="16"/>
  <c r="N547" i="16"/>
  <c r="N448" i="16"/>
  <c r="N376" i="16"/>
  <c r="N320" i="16"/>
  <c r="N215" i="16"/>
  <c r="N527" i="16"/>
  <c r="N668" i="16"/>
  <c r="N550" i="16"/>
  <c r="N682" i="16"/>
  <c r="N476" i="16"/>
  <c r="N447" i="16"/>
  <c r="N467" i="16"/>
  <c r="N368" i="16"/>
  <c r="N276" i="16"/>
  <c r="N67" i="16"/>
  <c r="N327" i="16"/>
  <c r="N396" i="16"/>
  <c r="N654" i="16"/>
  <c r="N528" i="16"/>
  <c r="N157" i="16"/>
  <c r="N442" i="16"/>
  <c r="N200" i="16"/>
  <c r="N680" i="16"/>
  <c r="N753" i="16"/>
  <c r="N460" i="16"/>
  <c r="N159" i="16"/>
  <c r="N717" i="16"/>
  <c r="N286" i="16"/>
  <c r="N610" i="16"/>
  <c r="N198" i="16"/>
  <c r="N195" i="16"/>
  <c r="N367" i="16"/>
  <c r="N728" i="16"/>
  <c r="N707" i="16"/>
  <c r="N516" i="16"/>
  <c r="N238" i="16"/>
  <c r="N393" i="16"/>
  <c r="N155" i="16"/>
  <c r="N708" i="16"/>
  <c r="N239" i="16"/>
  <c r="N756" i="16"/>
  <c r="N558" i="16"/>
  <c r="N600" i="16"/>
  <c r="N766" i="16"/>
  <c r="N13" i="16"/>
  <c r="N644" i="16"/>
  <c r="N509" i="16"/>
  <c r="N310" i="16"/>
  <c r="N642" i="16"/>
  <c r="N577" i="16"/>
  <c r="N370" i="16"/>
  <c r="N213" i="16"/>
  <c r="N64" i="16"/>
  <c r="N718" i="16"/>
  <c r="N78" i="16"/>
  <c r="N771" i="16"/>
  <c r="N579" i="16"/>
  <c r="N491" i="16"/>
  <c r="N814" i="16"/>
  <c r="N30" i="16"/>
  <c r="N330" i="16"/>
  <c r="N757" i="16"/>
  <c r="N175" i="16"/>
  <c r="N358" i="16"/>
  <c r="N298" i="16"/>
  <c r="I89" i="15"/>
  <c r="O87" i="16"/>
  <c r="M765" i="16"/>
  <c r="N763" i="16"/>
  <c r="M245" i="16"/>
  <c r="N243" i="16"/>
  <c r="N364" i="16"/>
  <c r="K271" i="16"/>
  <c r="I271" i="15" s="1"/>
  <c r="O269" i="16"/>
  <c r="K167" i="16"/>
  <c r="I167" i="15" s="1"/>
  <c r="O165" i="16"/>
  <c r="K505" i="16"/>
  <c r="I505" i="15" s="1"/>
  <c r="O503" i="16"/>
  <c r="N703" i="16"/>
  <c r="N617" i="16"/>
  <c r="N350" i="16"/>
  <c r="N437" i="16"/>
  <c r="N147" i="16"/>
  <c r="N700" i="16"/>
  <c r="N538" i="16"/>
  <c r="N734" i="16"/>
  <c r="N480" i="16"/>
  <c r="N474" i="16"/>
  <c r="K635" i="16"/>
  <c r="I635" i="15" s="1"/>
  <c r="O633" i="16"/>
  <c r="N596" i="16"/>
  <c r="M479" i="16"/>
  <c r="N477" i="16"/>
  <c r="N302" i="16"/>
  <c r="N747" i="16"/>
  <c r="N532" i="16"/>
  <c r="N363" i="16"/>
  <c r="N205" i="16"/>
  <c r="N710" i="16"/>
  <c r="N440" i="16"/>
  <c r="N77" i="16"/>
  <c r="N160" i="16"/>
  <c r="N70" i="16"/>
  <c r="N209" i="16"/>
  <c r="K661" i="16"/>
  <c r="I661" i="15" s="1"/>
  <c r="O659" i="16"/>
  <c r="N755" i="16"/>
  <c r="N571" i="16"/>
  <c r="N483" i="16"/>
  <c r="N639" i="16"/>
  <c r="N313" i="16"/>
  <c r="N267" i="16"/>
  <c r="N521" i="16"/>
  <c r="N314" i="16"/>
  <c r="N749" i="16"/>
  <c r="N688" i="16"/>
  <c r="N672" i="16"/>
  <c r="M661" i="16"/>
  <c r="N659" i="16"/>
  <c r="M349" i="16"/>
  <c r="N347" i="16"/>
  <c r="K193" i="16"/>
  <c r="I193" i="15" s="1"/>
  <c r="O191" i="16"/>
  <c r="M219" i="16"/>
  <c r="N217" i="16"/>
  <c r="N275" i="16"/>
  <c r="N461" i="16"/>
  <c r="N709" i="16"/>
  <c r="N788" i="16"/>
  <c r="N501" i="16"/>
  <c r="N293" i="16"/>
  <c r="N522" i="16"/>
  <c r="N230" i="16"/>
  <c r="K739" i="16"/>
  <c r="I739" i="15" s="1"/>
  <c r="O737" i="16"/>
  <c r="K297" i="16"/>
  <c r="I297" i="15" s="1"/>
  <c r="O295" i="16"/>
  <c r="O382" i="16"/>
  <c r="N382" i="16"/>
  <c r="N34" i="16"/>
  <c r="N603" i="16"/>
  <c r="N342" i="16"/>
  <c r="N692" i="16"/>
  <c r="N523" i="16"/>
  <c r="M375" i="16"/>
  <c r="N373" i="16"/>
  <c r="N262" i="16"/>
  <c r="N588" i="16"/>
  <c r="N470" i="16"/>
  <c r="N288" i="16"/>
  <c r="N714" i="16"/>
  <c r="N332" i="16"/>
  <c r="N561" i="16"/>
  <c r="M271" i="16"/>
  <c r="N269" i="16"/>
  <c r="N197" i="16"/>
  <c r="N702" i="16"/>
  <c r="M401" i="16"/>
  <c r="N399" i="16"/>
  <c r="N190" i="16"/>
  <c r="N201" i="16"/>
  <c r="N723" i="16"/>
  <c r="N563" i="16"/>
  <c r="N164" i="16"/>
  <c r="N631" i="16"/>
  <c r="N259" i="16"/>
  <c r="N513" i="16"/>
  <c r="N536" i="16"/>
  <c r="M687" i="16"/>
  <c r="N685" i="16"/>
  <c r="N784" i="16"/>
  <c r="N656" i="16"/>
  <c r="M557" i="16"/>
  <c r="N555" i="16"/>
  <c r="M531" i="16"/>
  <c r="N529" i="16"/>
  <c r="N328" i="16"/>
  <c r="N395" i="16"/>
  <c r="N481" i="16"/>
  <c r="N337" i="16"/>
  <c r="K427" i="16"/>
  <c r="O425" i="16"/>
  <c r="O390" i="16"/>
  <c r="N390" i="16"/>
  <c r="N26" i="16"/>
  <c r="M583" i="16"/>
  <c r="N581" i="16"/>
  <c r="N301" i="16"/>
  <c r="N806" i="16"/>
  <c r="N515" i="16"/>
  <c r="K323" i="16"/>
  <c r="I323" i="15" s="1"/>
  <c r="O321" i="16"/>
  <c r="N15" i="16"/>
  <c r="N811" i="16"/>
  <c r="N548" i="16"/>
  <c r="N462" i="16"/>
  <c r="N280" i="16"/>
  <c r="N706" i="16"/>
  <c r="N324" i="16"/>
  <c r="N434" i="16"/>
  <c r="N158" i="16"/>
  <c r="N694" i="16"/>
  <c r="N391" i="16"/>
  <c r="N257" i="16"/>
  <c r="N182" i="16"/>
  <c r="N792" i="16"/>
  <c r="N344" i="16"/>
  <c r="N667" i="16"/>
  <c r="N539" i="16"/>
  <c r="N623" i="16"/>
  <c r="N251" i="16"/>
  <c r="N449" i="16"/>
  <c r="N176" i="16"/>
  <c r="N677" i="16"/>
  <c r="N804" i="16"/>
  <c r="N220" i="16"/>
  <c r="N776" i="16"/>
  <c r="N640" i="16"/>
  <c r="N552" i="16"/>
  <c r="M323" i="16"/>
  <c r="N321" i="16"/>
  <c r="N361" i="16"/>
  <c r="N805" i="16"/>
  <c r="M453" i="16"/>
  <c r="N451" i="16"/>
  <c r="N81" i="16"/>
  <c r="K687" i="16"/>
  <c r="I687" i="15" s="1"/>
  <c r="O685" i="16"/>
  <c r="N35" i="16"/>
  <c r="N543" i="16"/>
  <c r="K245" i="16"/>
  <c r="I245" i="15" s="1"/>
  <c r="O243" i="16"/>
  <c r="N22" i="16"/>
  <c r="N762" i="16"/>
  <c r="N573" i="16"/>
  <c r="M297" i="16"/>
  <c r="N295" i="16"/>
  <c r="N800" i="16"/>
  <c r="N80" i="16"/>
  <c r="N638" i="16"/>
  <c r="M141" i="16"/>
  <c r="N673" i="16"/>
  <c r="N246" i="16"/>
  <c r="N545" i="16"/>
  <c r="N613" i="16"/>
  <c r="M63" i="16"/>
  <c r="N796" i="16"/>
  <c r="N540" i="16"/>
  <c r="N272" i="16"/>
  <c r="N698" i="16"/>
  <c r="N300" i="16"/>
  <c r="N793" i="16"/>
  <c r="N142" i="16"/>
  <c r="N606" i="16"/>
  <c r="N383" i="16"/>
  <c r="O568" i="16"/>
  <c r="N568" i="16"/>
  <c r="N249" i="16"/>
  <c r="N627" i="16"/>
  <c r="N436" i="16"/>
  <c r="N472" i="16"/>
  <c r="N227" i="16"/>
  <c r="N362" i="16"/>
  <c r="N152" i="16"/>
  <c r="N812" i="16"/>
  <c r="N669" i="16"/>
  <c r="N335" i="16"/>
  <c r="K401" i="16"/>
  <c r="I401" i="15" s="1"/>
  <c r="O399" i="16"/>
  <c r="N212" i="16"/>
  <c r="N458" i="16"/>
  <c r="N768" i="16"/>
  <c r="N616" i="16"/>
  <c r="N87" i="16"/>
  <c r="N471" i="16"/>
  <c r="N678" i="16"/>
  <c r="M505" i="16"/>
  <c r="N503" i="16"/>
  <c r="N341" i="16"/>
  <c r="N268" i="16"/>
  <c r="N799" i="16"/>
  <c r="N438" i="16"/>
  <c r="M167" i="16"/>
  <c r="N165" i="16"/>
  <c r="K453" i="16"/>
  <c r="I453" i="15" s="1"/>
  <c r="O451" i="16"/>
  <c r="N29" i="16"/>
  <c r="K375" i="16"/>
  <c r="I375" i="15" s="1"/>
  <c r="O373" i="16"/>
  <c r="K141" i="16"/>
  <c r="I141" i="15" s="1"/>
  <c r="O398" i="16"/>
  <c r="N398" i="16"/>
  <c r="N75" i="16"/>
  <c r="K791" i="16"/>
  <c r="I791" i="15" s="1"/>
  <c r="O789" i="16"/>
  <c r="N754" i="16"/>
  <c r="N565" i="16"/>
  <c r="N174" i="16"/>
  <c r="N65" i="16"/>
  <c r="N614" i="16"/>
  <c r="N68" i="16"/>
  <c r="N214" i="16"/>
  <c r="N506" i="16"/>
  <c r="N24" i="16"/>
  <c r="N533" i="16"/>
  <c r="N240" i="16"/>
  <c r="N690" i="16"/>
  <c r="N285" i="16"/>
  <c r="N785" i="16"/>
  <c r="N394" i="16"/>
  <c r="N598" i="16"/>
  <c r="N360" i="16"/>
  <c r="N795" i="16"/>
  <c r="N619" i="16"/>
  <c r="N428" i="16"/>
  <c r="N464" i="16"/>
  <c r="N604" i="16"/>
  <c r="N354" i="16"/>
  <c r="M791" i="16"/>
  <c r="N789" i="16"/>
  <c r="N653" i="16"/>
  <c r="I115" i="15"/>
  <c r="N760" i="16"/>
  <c r="N518" i="16"/>
  <c r="N602" i="16"/>
  <c r="N592" i="16"/>
  <c r="M713" i="16"/>
  <c r="N711" i="16"/>
  <c r="N551" i="16"/>
  <c r="K219" i="16"/>
  <c r="I219" i="15" s="1"/>
  <c r="O217" i="16"/>
  <c r="N185" i="16"/>
  <c r="N742" i="16"/>
  <c r="N786" i="16"/>
  <c r="N27" i="16"/>
  <c r="O664" i="16"/>
  <c r="N664" i="16"/>
  <c r="K765" i="16"/>
  <c r="I765" i="15" s="1"/>
  <c r="O763" i="16"/>
  <c r="K349" i="16"/>
  <c r="I349" i="15" s="1"/>
  <c r="O347" i="16"/>
  <c r="K713" i="16"/>
  <c r="I713" i="15" s="1"/>
  <c r="O711" i="16"/>
  <c r="N732" i="16"/>
  <c r="N655" i="16"/>
  <c r="N439" i="16"/>
  <c r="N340" i="16"/>
  <c r="N752" i="16"/>
  <c r="M609" i="16"/>
  <c r="N607" i="16"/>
  <c r="N307" i="16"/>
  <c r="N657" i="16"/>
  <c r="N236" i="16"/>
  <c r="N704" i="16"/>
  <c r="K609" i="16"/>
  <c r="I609" i="15" s="1"/>
  <c r="O607" i="16"/>
  <c r="K479" i="16"/>
  <c r="I479" i="15" s="1"/>
  <c r="O477" i="16"/>
  <c r="N724" i="16"/>
  <c r="N326" i="16"/>
  <c r="N658" i="16"/>
  <c r="N777" i="16"/>
  <c r="N386" i="16"/>
  <c r="N590" i="16"/>
  <c r="N282" i="16"/>
  <c r="N284" i="16"/>
  <c r="I37" i="15"/>
  <c r="O35" i="16"/>
  <c r="N445" i="16"/>
  <c r="N787" i="16"/>
  <c r="N611" i="16"/>
  <c r="N456" i="16"/>
  <c r="N346" i="16"/>
  <c r="N781" i="16"/>
  <c r="N541" i="16"/>
  <c r="N366" i="16"/>
  <c r="N311" i="16"/>
  <c r="N526" i="16"/>
  <c r="N744" i="16"/>
  <c r="N510" i="16"/>
  <c r="N584" i="16"/>
  <c r="N16" i="16"/>
  <c r="N666" i="16"/>
  <c r="N179" i="16"/>
  <c r="K583" i="16"/>
  <c r="I583" i="15" s="1"/>
  <c r="O581" i="16"/>
  <c r="K531" i="16"/>
  <c r="I531" i="15" s="1"/>
  <c r="O529" i="16"/>
  <c r="M635" i="16"/>
  <c r="N633" i="16"/>
  <c r="N171" i="16"/>
  <c r="M739" i="16"/>
  <c r="N737" i="16"/>
  <c r="N649" i="16"/>
  <c r="N228" i="16"/>
  <c r="N729" i="16"/>
  <c r="N798" i="16"/>
  <c r="K63" i="16"/>
  <c r="I63" i="15" s="1"/>
  <c r="K557" i="16"/>
  <c r="I557" i="15" s="1"/>
  <c r="O555" i="16"/>
  <c r="N716" i="16"/>
  <c r="N318" i="16"/>
  <c r="N650" i="16"/>
  <c r="N769" i="16"/>
  <c r="N378" i="16"/>
  <c r="N726" i="16"/>
  <c r="N194" i="16"/>
  <c r="M193" i="16"/>
  <c r="N191" i="16"/>
  <c r="N810" i="16"/>
  <c r="N84" i="16"/>
  <c r="N265" i="16"/>
  <c r="N779" i="16"/>
  <c r="N587" i="16"/>
  <c r="N499" i="16"/>
  <c r="N432" i="16"/>
  <c r="N338" i="16"/>
  <c r="N773" i="16"/>
  <c r="N294" i="16"/>
  <c r="N12" i="16"/>
  <c r="N303" i="16"/>
  <c r="N365" i="16"/>
  <c r="N380" i="16"/>
  <c r="N736" i="16"/>
  <c r="N576" i="16"/>
  <c r="I34" i="23"/>
  <c r="F46" i="27" s="1"/>
  <c r="I6" i="23"/>
  <c r="F18" i="27" s="1"/>
  <c r="I17" i="23"/>
  <c r="F29" i="27" s="1"/>
  <c r="S349" i="16"/>
  <c r="I14" i="23"/>
  <c r="F26" i="27" s="1"/>
  <c r="S271" i="16"/>
  <c r="I19" i="23"/>
  <c r="F31" i="27" s="1"/>
  <c r="S401" i="16"/>
  <c r="S453" i="16"/>
  <c r="S505" i="16"/>
  <c r="Q661" i="16"/>
  <c r="M661" i="15" s="1"/>
  <c r="M686" i="15" s="1"/>
  <c r="O686" i="15" s="1"/>
  <c r="I31" i="22"/>
  <c r="E43" i="27" s="1"/>
  <c r="I10" i="21"/>
  <c r="D22" i="27" s="1"/>
  <c r="I6" i="21"/>
  <c r="D18" i="27" s="1"/>
  <c r="I15" i="23"/>
  <c r="F27" i="27" s="1"/>
  <c r="S297" i="16"/>
  <c r="I16" i="23"/>
  <c r="F28" i="27" s="1"/>
  <c r="S323" i="16"/>
  <c r="I26" i="23"/>
  <c r="F38" i="27" s="1"/>
  <c r="S583" i="16"/>
  <c r="I28" i="23"/>
  <c r="F40" i="27" s="1"/>
  <c r="S635" i="16"/>
  <c r="I30" i="23"/>
  <c r="F42" i="27" s="1"/>
  <c r="S687" i="16"/>
  <c r="S661" i="16"/>
  <c r="T661" i="16" s="1"/>
  <c r="I8" i="23"/>
  <c r="F20" i="27" s="1"/>
  <c r="S245" i="16"/>
  <c r="I20" i="23"/>
  <c r="F32" i="27" s="1"/>
  <c r="S427" i="16"/>
  <c r="I25" i="23"/>
  <c r="F37" i="27" s="1"/>
  <c r="S557" i="16"/>
  <c r="I18" i="23"/>
  <c r="F30" i="27" s="1"/>
  <c r="S375" i="16"/>
  <c r="I22" i="23"/>
  <c r="F34" i="27" s="1"/>
  <c r="S479" i="16"/>
  <c r="I31" i="23"/>
  <c r="F43" i="27" s="1"/>
  <c r="S713" i="16"/>
  <c r="Q765" i="16"/>
  <c r="M765" i="15" s="1"/>
  <c r="M790" i="15" s="1"/>
  <c r="O790" i="15" s="1"/>
  <c r="I27" i="23"/>
  <c r="F39" i="27" s="1"/>
  <c r="S609" i="16"/>
  <c r="I9" i="23"/>
  <c r="F21" i="27" s="1"/>
  <c r="S141" i="16"/>
  <c r="I10" i="23"/>
  <c r="S167" i="16"/>
  <c r="S193" i="16"/>
  <c r="I35" i="23"/>
  <c r="F47" i="27" s="1"/>
  <c r="I12" i="23"/>
  <c r="F24" i="27" s="1"/>
  <c r="S219" i="16"/>
  <c r="T219" i="16" s="1"/>
  <c r="Q531" i="16"/>
  <c r="M531" i="15" s="1"/>
  <c r="M556" i="15" s="1"/>
  <c r="O556" i="15" s="1"/>
  <c r="I32" i="23"/>
  <c r="F44" i="27" s="1"/>
  <c r="S739" i="16"/>
  <c r="I33" i="23"/>
  <c r="F45" i="27" s="1"/>
  <c r="S765" i="16"/>
  <c r="I30" i="22"/>
  <c r="E42" i="27" s="1"/>
  <c r="E10" i="27" s="1"/>
  <c r="I22" i="21"/>
  <c r="D34" i="27" s="1"/>
  <c r="I5" i="21"/>
  <c r="I15" i="21"/>
  <c r="D27" i="27" s="1"/>
  <c r="I19" i="21"/>
  <c r="D31" i="27" s="1"/>
  <c r="I34" i="22"/>
  <c r="E46" i="27" s="1"/>
  <c r="I26" i="22"/>
  <c r="E38" i="27" s="1"/>
  <c r="I33" i="21"/>
  <c r="D45" i="27" s="1"/>
  <c r="I17" i="21"/>
  <c r="D29" i="27" s="1"/>
  <c r="I29" i="22"/>
  <c r="E41" i="27" s="1"/>
  <c r="I28" i="21"/>
  <c r="D40" i="27" s="1"/>
  <c r="G635" i="16"/>
  <c r="I31" i="21"/>
  <c r="D43" i="27" s="1"/>
  <c r="G713" i="16"/>
  <c r="I35" i="21"/>
  <c r="D47" i="27" s="1"/>
  <c r="I24" i="21"/>
  <c r="D36" i="27" s="1"/>
  <c r="G531" i="16"/>
  <c r="E713" i="16"/>
  <c r="E713" i="15" s="1"/>
  <c r="I27" i="22"/>
  <c r="E39" i="27" s="1"/>
  <c r="I33" i="22"/>
  <c r="E45" i="27" s="1"/>
  <c r="I29" i="21"/>
  <c r="D41" i="27" s="1"/>
  <c r="G661" i="16"/>
  <c r="G271" i="16"/>
  <c r="G453" i="16"/>
  <c r="I25" i="21"/>
  <c r="D37" i="27" s="1"/>
  <c r="G557" i="16"/>
  <c r="I32" i="21"/>
  <c r="D44" i="27" s="1"/>
  <c r="G739" i="16"/>
  <c r="I17" i="22"/>
  <c r="E29" i="27" s="1"/>
  <c r="I24" i="22"/>
  <c r="E36" i="27" s="1"/>
  <c r="I32" i="22"/>
  <c r="E44" i="27" s="1"/>
  <c r="I18" i="21"/>
  <c r="D30" i="27" s="1"/>
  <c r="G375" i="16"/>
  <c r="I25" i="22"/>
  <c r="E37" i="27" s="1"/>
  <c r="I35" i="22"/>
  <c r="E47" i="27" s="1"/>
  <c r="I16" i="21"/>
  <c r="D28" i="27" s="1"/>
  <c r="G323" i="16"/>
  <c r="G427" i="16"/>
  <c r="I12" i="22"/>
  <c r="E24" i="27" s="1"/>
  <c r="I6" i="22"/>
  <c r="E18" i="27" s="1"/>
  <c r="I27" i="21"/>
  <c r="D39" i="27" s="1"/>
  <c r="G39" i="27" s="1"/>
  <c r="G609" i="16"/>
  <c r="G505" i="16"/>
  <c r="I26" i="21"/>
  <c r="D38" i="27" s="1"/>
  <c r="G583" i="16"/>
  <c r="I30" i="21"/>
  <c r="D42" i="27" s="1"/>
  <c r="G687" i="16"/>
  <c r="G791" i="16"/>
  <c r="I8" i="22"/>
  <c r="E20" i="27" s="1"/>
  <c r="E505" i="16"/>
  <c r="E505" i="15" s="1"/>
  <c r="E530" i="15" s="1"/>
  <c r="G530" i="15" s="1"/>
  <c r="E583" i="16"/>
  <c r="E583" i="15" s="1"/>
  <c r="I13" i="21"/>
  <c r="D25" i="27" s="1"/>
  <c r="I12" i="21"/>
  <c r="D24" i="27" s="1"/>
  <c r="I8" i="21"/>
  <c r="D20" i="27" s="1"/>
  <c r="I7" i="21"/>
  <c r="D19" i="27" s="1"/>
  <c r="E556" i="15" l="1"/>
  <c r="G556" i="15" s="1"/>
  <c r="H530" i="16"/>
  <c r="T530" i="16"/>
  <c r="J24" i="23" s="1"/>
  <c r="D9" i="27"/>
  <c r="M634" i="15"/>
  <c r="O634" i="15" s="1"/>
  <c r="M530" i="15"/>
  <c r="O530" i="15" s="1"/>
  <c r="M24" i="23" s="1"/>
  <c r="T426" i="16"/>
  <c r="T478" i="16"/>
  <c r="T686" i="16"/>
  <c r="T556" i="16"/>
  <c r="T608" i="16"/>
  <c r="M608" i="15"/>
  <c r="O608" i="15" s="1"/>
  <c r="P764" i="15"/>
  <c r="T712" i="16"/>
  <c r="T660" i="16"/>
  <c r="F10" i="27"/>
  <c r="M660" i="15"/>
  <c r="O660" i="15" s="1"/>
  <c r="M400" i="15"/>
  <c r="O400" i="15" s="1"/>
  <c r="T764" i="16"/>
  <c r="T504" i="16"/>
  <c r="J23" i="23" s="1"/>
  <c r="N504" i="16"/>
  <c r="M504" i="15"/>
  <c r="O504" i="15" s="1"/>
  <c r="M23" i="23" s="1"/>
  <c r="H504" i="16"/>
  <c r="E478" i="15"/>
  <c r="G478" i="15" s="1"/>
  <c r="M478" i="15"/>
  <c r="O478" i="15" s="1"/>
  <c r="H478" i="16"/>
  <c r="J22" i="21" s="1"/>
  <c r="I478" i="16"/>
  <c r="O34" i="27"/>
  <c r="M452" i="15"/>
  <c r="O452" i="15" s="1"/>
  <c r="M21" i="23" s="1"/>
  <c r="T452" i="16"/>
  <c r="H452" i="16"/>
  <c r="J21" i="21" s="1"/>
  <c r="E452" i="15"/>
  <c r="G452" i="15" s="1"/>
  <c r="E426" i="15"/>
  <c r="G426" i="15" s="1"/>
  <c r="M426" i="15"/>
  <c r="O426" i="15" s="1"/>
  <c r="F8" i="27"/>
  <c r="T400" i="16"/>
  <c r="M374" i="15"/>
  <c r="O374" i="15" s="1"/>
  <c r="T374" i="16"/>
  <c r="E348" i="15"/>
  <c r="G348" i="15" s="1"/>
  <c r="M348" i="15"/>
  <c r="O348" i="15" s="1"/>
  <c r="M17" i="23" s="1"/>
  <c r="T322" i="16"/>
  <c r="J16" i="23" s="1"/>
  <c r="M322" i="15"/>
  <c r="O322" i="15" s="1"/>
  <c r="M16" i="23" s="1"/>
  <c r="M296" i="15"/>
  <c r="O296" i="15" s="1"/>
  <c r="T296" i="16"/>
  <c r="N296" i="16"/>
  <c r="J15" i="22" s="1"/>
  <c r="N270" i="16"/>
  <c r="H270" i="16"/>
  <c r="I14" i="21"/>
  <c r="D26" i="27" s="1"/>
  <c r="E270" i="15"/>
  <c r="G270" i="15" s="1"/>
  <c r="T270" i="16"/>
  <c r="H244" i="16"/>
  <c r="M244" i="15"/>
  <c r="O244" i="15" s="1"/>
  <c r="I13" i="23"/>
  <c r="F25" i="27" s="1"/>
  <c r="E244" i="15"/>
  <c r="G244" i="15" s="1"/>
  <c r="N244" i="16"/>
  <c r="J13" i="22" s="1"/>
  <c r="M218" i="15"/>
  <c r="O218" i="15" s="1"/>
  <c r="E218" i="15"/>
  <c r="G218" i="15" s="1"/>
  <c r="H218" i="16"/>
  <c r="T192" i="16"/>
  <c r="H192" i="16"/>
  <c r="M192" i="15"/>
  <c r="O192" i="15" s="1"/>
  <c r="M11" i="23" s="1"/>
  <c r="E166" i="15"/>
  <c r="G166" i="15" s="1"/>
  <c r="H166" i="16"/>
  <c r="J10" i="21" s="1"/>
  <c r="N166" i="16"/>
  <c r="J10" i="22" s="1"/>
  <c r="N7" i="27"/>
  <c r="E140" i="15"/>
  <c r="G140" i="15" s="1"/>
  <c r="M140" i="15"/>
  <c r="O140" i="15" s="1"/>
  <c r="M9" i="23" s="1"/>
  <c r="M114" i="15"/>
  <c r="O114" i="15" s="1"/>
  <c r="M8" i="23" s="1"/>
  <c r="F11" i="26"/>
  <c r="N192" i="16"/>
  <c r="J11" i="22" s="1"/>
  <c r="I23" i="22"/>
  <c r="E35" i="27" s="1"/>
  <c r="G35" i="27" s="1"/>
  <c r="N452" i="16"/>
  <c r="J21" i="22" s="1"/>
  <c r="N348" i="16"/>
  <c r="J17" i="22" s="1"/>
  <c r="N374" i="16"/>
  <c r="G24" i="27"/>
  <c r="I608" i="15"/>
  <c r="K608" i="15" s="1"/>
  <c r="I504" i="15"/>
  <c r="K504" i="15" s="1"/>
  <c r="I478" i="15"/>
  <c r="K478" i="15" s="1"/>
  <c r="I686" i="15"/>
  <c r="K686" i="15" s="1"/>
  <c r="I660" i="15"/>
  <c r="K660" i="15" s="1"/>
  <c r="I530" i="15"/>
  <c r="K530" i="15" s="1"/>
  <c r="I296" i="15"/>
  <c r="K296" i="15" s="1"/>
  <c r="M10" i="27"/>
  <c r="G25" i="27"/>
  <c r="G30" i="27"/>
  <c r="G43" i="27"/>
  <c r="I21" i="22"/>
  <c r="E33" i="27" s="1"/>
  <c r="I374" i="15"/>
  <c r="K374" i="15" s="1"/>
  <c r="I400" i="15"/>
  <c r="K400" i="15" s="1"/>
  <c r="I426" i="15"/>
  <c r="K426" i="15" s="1"/>
  <c r="I322" i="15"/>
  <c r="K322" i="15" s="1"/>
  <c r="L36" i="22"/>
  <c r="N582" i="16"/>
  <c r="N426" i="16"/>
  <c r="J20" i="22" s="1"/>
  <c r="N400" i="16"/>
  <c r="J19" i="22" s="1"/>
  <c r="N556" i="16"/>
  <c r="J25" i="22" s="1"/>
  <c r="N530" i="16"/>
  <c r="N686" i="16"/>
  <c r="J30" i="22" s="1"/>
  <c r="I15" i="22"/>
  <c r="E27" i="27" s="1"/>
  <c r="G27" i="27" s="1"/>
  <c r="I10" i="22"/>
  <c r="E22" i="27" s="1"/>
  <c r="I582" i="15"/>
  <c r="K582" i="15" s="1"/>
  <c r="I556" i="15"/>
  <c r="K556" i="15" s="1"/>
  <c r="I634" i="15"/>
  <c r="K634" i="15" s="1"/>
  <c r="I270" i="15"/>
  <c r="K270" i="15" s="1"/>
  <c r="I712" i="15"/>
  <c r="K712" i="15" s="1"/>
  <c r="I348" i="15"/>
  <c r="K348" i="15" s="1"/>
  <c r="I192" i="15"/>
  <c r="K192" i="15" s="1"/>
  <c r="N322" i="16"/>
  <c r="J16" i="22" s="1"/>
  <c r="O322" i="16"/>
  <c r="N764" i="16"/>
  <c r="O764" i="16"/>
  <c r="I14" i="22"/>
  <c r="E26" i="27" s="1"/>
  <c r="G26" i="27" s="1"/>
  <c r="I738" i="15"/>
  <c r="K738" i="15" s="1"/>
  <c r="I790" i="15"/>
  <c r="K790" i="15" s="1"/>
  <c r="I244" i="15"/>
  <c r="K244" i="15" s="1"/>
  <c r="I140" i="15"/>
  <c r="K140" i="15" s="1"/>
  <c r="I816" i="15"/>
  <c r="K816" i="15" s="1"/>
  <c r="I166" i="15"/>
  <c r="K166" i="15" s="1"/>
  <c r="I764" i="15"/>
  <c r="K764" i="15" s="1"/>
  <c r="I218" i="15"/>
  <c r="K218" i="15" s="1"/>
  <c r="I114" i="15"/>
  <c r="K114" i="15" s="1"/>
  <c r="N790" i="16"/>
  <c r="N738" i="16"/>
  <c r="O738" i="16"/>
  <c r="N478" i="16"/>
  <c r="O478" i="16"/>
  <c r="N218" i="16"/>
  <c r="J12" i="22" s="1"/>
  <c r="N660" i="16"/>
  <c r="J29" i="22" s="1"/>
  <c r="H88" i="16"/>
  <c r="N88" i="16"/>
  <c r="J7" i="22" s="1"/>
  <c r="I88" i="15"/>
  <c r="K88" i="15" s="1"/>
  <c r="T88" i="16"/>
  <c r="J7" i="23" s="1"/>
  <c r="I62" i="15"/>
  <c r="K62" i="15" s="1"/>
  <c r="M36" i="15"/>
  <c r="I36" i="15"/>
  <c r="D43" i="20"/>
  <c r="O17" i="27"/>
  <c r="M6" i="27"/>
  <c r="G42" i="27"/>
  <c r="G38" i="27"/>
  <c r="G20" i="27"/>
  <c r="O38" i="15"/>
  <c r="D17" i="27"/>
  <c r="D6" i="27" s="1"/>
  <c r="K40" i="18"/>
  <c r="J40" i="18"/>
  <c r="F22" i="27"/>
  <c r="F16" i="26"/>
  <c r="B23" i="26"/>
  <c r="B24" i="7"/>
  <c r="B24" i="18" s="1"/>
  <c r="B20" i="21" s="1"/>
  <c r="B428" i="6"/>
  <c r="A428" i="17"/>
  <c r="B454" i="5"/>
  <c r="B25" i="4"/>
  <c r="B427" i="16"/>
  <c r="C427" i="15" s="1"/>
  <c r="C18" i="27"/>
  <c r="C17" i="27"/>
  <c r="R17" i="27" s="1"/>
  <c r="E17" i="27"/>
  <c r="E6" i="27" s="1"/>
  <c r="G47" i="27"/>
  <c r="G45" i="27"/>
  <c r="G44" i="27"/>
  <c r="G37" i="27"/>
  <c r="G36" i="27"/>
  <c r="G34" i="27"/>
  <c r="G29" i="27"/>
  <c r="G18" i="27"/>
  <c r="H662" i="15"/>
  <c r="H324" i="15"/>
  <c r="H348" i="15" s="1"/>
  <c r="R18" i="27"/>
  <c r="N401" i="16"/>
  <c r="I20" i="22"/>
  <c r="E32" i="27" s="1"/>
  <c r="T167" i="16"/>
  <c r="O90" i="15"/>
  <c r="T557" i="16"/>
  <c r="P272" i="15"/>
  <c r="H428" i="15"/>
  <c r="H609" i="16"/>
  <c r="H558" i="15"/>
  <c r="N26" i="21" s="1"/>
  <c r="H557" i="16"/>
  <c r="P532" i="15"/>
  <c r="H479" i="16"/>
  <c r="H90" i="15"/>
  <c r="H792" i="15"/>
  <c r="H480" i="15"/>
  <c r="H504" i="15" s="1"/>
  <c r="N23" i="21" s="1"/>
  <c r="G480" i="15"/>
  <c r="H610" i="15"/>
  <c r="G610" i="15"/>
  <c r="H584" i="15"/>
  <c r="G584" i="15"/>
  <c r="H688" i="15"/>
  <c r="G688" i="15"/>
  <c r="H532" i="15"/>
  <c r="H556" i="15" s="1"/>
  <c r="G532" i="15"/>
  <c r="H636" i="15"/>
  <c r="G636" i="15"/>
  <c r="H740" i="15"/>
  <c r="G740" i="15"/>
  <c r="H402" i="15"/>
  <c r="G402" i="15"/>
  <c r="H427" i="16"/>
  <c r="K421" i="15"/>
  <c r="H298" i="15"/>
  <c r="G298" i="15"/>
  <c r="H297" i="16"/>
  <c r="H220" i="15"/>
  <c r="G220" i="15"/>
  <c r="H194" i="15"/>
  <c r="G194" i="15"/>
  <c r="H142" i="15"/>
  <c r="G142" i="15"/>
  <c r="H116" i="15"/>
  <c r="G116" i="15"/>
  <c r="H38" i="15"/>
  <c r="G38" i="15"/>
  <c r="H766" i="15"/>
  <c r="H661" i="16"/>
  <c r="H635" i="16"/>
  <c r="T713" i="16"/>
  <c r="O766" i="15"/>
  <c r="T583" i="16"/>
  <c r="P558" i="15"/>
  <c r="H453" i="16"/>
  <c r="P402" i="15"/>
  <c r="P636" i="15"/>
  <c r="T505" i="16"/>
  <c r="T401" i="16"/>
  <c r="O220" i="15"/>
  <c r="T765" i="16"/>
  <c r="T739" i="16"/>
  <c r="T635" i="16"/>
  <c r="T609" i="16"/>
  <c r="T427" i="16"/>
  <c r="T349" i="16"/>
  <c r="O116" i="15"/>
  <c r="O298" i="15"/>
  <c r="H272" i="15"/>
  <c r="H765" i="16"/>
  <c r="T297" i="16"/>
  <c r="H245" i="16"/>
  <c r="O168" i="15"/>
  <c r="N297" i="16"/>
  <c r="T141" i="16"/>
  <c r="P584" i="15"/>
  <c r="H531" i="16"/>
  <c r="L277" i="15"/>
  <c r="K277" i="15"/>
  <c r="P506" i="15"/>
  <c r="T479" i="16"/>
  <c r="N791" i="16"/>
  <c r="J28" i="22"/>
  <c r="I28" i="22"/>
  <c r="E40" i="27" s="1"/>
  <c r="G40" i="27" s="1"/>
  <c r="N167" i="16"/>
  <c r="O428" i="15"/>
  <c r="I19" i="22"/>
  <c r="E31" i="27" s="1"/>
  <c r="G31" i="27" s="1"/>
  <c r="H376" i="15"/>
  <c r="H350" i="15"/>
  <c r="H374" i="15" s="1"/>
  <c r="H375" i="16"/>
  <c r="H323" i="16"/>
  <c r="T323" i="16"/>
  <c r="I16" i="22"/>
  <c r="E28" i="27" s="1"/>
  <c r="T193" i="16"/>
  <c r="H219" i="16"/>
  <c r="H168" i="15"/>
  <c r="H349" i="16"/>
  <c r="I21" i="21"/>
  <c r="D33" i="27" s="1"/>
  <c r="J11" i="21"/>
  <c r="I11" i="21"/>
  <c r="D23" i="27" s="1"/>
  <c r="J20" i="21"/>
  <c r="I20" i="21"/>
  <c r="D32" i="27" s="1"/>
  <c r="D8" i="27" s="1"/>
  <c r="H167" i="16"/>
  <c r="K127" i="15"/>
  <c r="I11" i="22"/>
  <c r="E23" i="27" s="1"/>
  <c r="J9" i="21"/>
  <c r="I9" i="21"/>
  <c r="D21" i="27" s="1"/>
  <c r="J9" i="22"/>
  <c r="I9" i="22"/>
  <c r="H64" i="15"/>
  <c r="K110" i="15"/>
  <c r="L110" i="15"/>
  <c r="H739" i="16"/>
  <c r="J34" i="21"/>
  <c r="I34" i="21"/>
  <c r="D46" i="27" s="1"/>
  <c r="G46" i="27" s="1"/>
  <c r="M34" i="23"/>
  <c r="K34" i="23"/>
  <c r="M29" i="23"/>
  <c r="K29" i="23"/>
  <c r="M26" i="23"/>
  <c r="K26" i="23"/>
  <c r="M32" i="23"/>
  <c r="K32" i="23"/>
  <c r="J11" i="23"/>
  <c r="I11" i="23"/>
  <c r="F23" i="27" s="1"/>
  <c r="T375" i="16"/>
  <c r="J29" i="23"/>
  <c r="I29" i="23"/>
  <c r="F41" i="27" s="1"/>
  <c r="G41" i="27" s="1"/>
  <c r="M7" i="23"/>
  <c r="K7" i="23"/>
  <c r="P610" i="15"/>
  <c r="O142" i="15"/>
  <c r="O792" i="15"/>
  <c r="O64" i="15"/>
  <c r="O662" i="15"/>
  <c r="P376" i="15"/>
  <c r="O376" i="15"/>
  <c r="M27" i="23"/>
  <c r="K27" i="23"/>
  <c r="T271" i="16"/>
  <c r="M31" i="23"/>
  <c r="K31" i="23"/>
  <c r="M10" i="23"/>
  <c r="K10" i="23"/>
  <c r="M15" i="23"/>
  <c r="K15" i="23"/>
  <c r="M30" i="23"/>
  <c r="K30" i="23"/>
  <c r="M12" i="23"/>
  <c r="K12" i="23"/>
  <c r="M22" i="23"/>
  <c r="K22" i="23"/>
  <c r="O740" i="15"/>
  <c r="T36" i="16"/>
  <c r="J5" i="23" s="1"/>
  <c r="I5" i="23"/>
  <c r="F17" i="27" s="1"/>
  <c r="M13" i="23"/>
  <c r="K13" i="23"/>
  <c r="M6" i="23"/>
  <c r="K6" i="23"/>
  <c r="M28" i="23"/>
  <c r="K28" i="23"/>
  <c r="M14" i="23"/>
  <c r="K14" i="23"/>
  <c r="T245" i="16"/>
  <c r="T453" i="16"/>
  <c r="K21" i="23"/>
  <c r="O246" i="15"/>
  <c r="O194" i="15"/>
  <c r="O714" i="15"/>
  <c r="M18" i="23"/>
  <c r="K18" i="23"/>
  <c r="K17" i="23"/>
  <c r="I7" i="23"/>
  <c r="F19" i="27" s="1"/>
  <c r="G19" i="27" s="1"/>
  <c r="M25" i="23"/>
  <c r="K25" i="23"/>
  <c r="M20" i="23"/>
  <c r="K20" i="23"/>
  <c r="M33" i="23"/>
  <c r="K33" i="23"/>
  <c r="K11" i="23"/>
  <c r="M19" i="23"/>
  <c r="K19" i="23"/>
  <c r="J10" i="23"/>
  <c r="J23" i="22"/>
  <c r="J33" i="23"/>
  <c r="J25" i="23"/>
  <c r="J6" i="23"/>
  <c r="K102" i="15"/>
  <c r="L102" i="15"/>
  <c r="J27" i="21"/>
  <c r="H687" i="16"/>
  <c r="J32" i="23"/>
  <c r="N33" i="23"/>
  <c r="J19" i="23"/>
  <c r="T63" i="16"/>
  <c r="H193" i="16"/>
  <c r="J12" i="21" s="1"/>
  <c r="J7" i="21"/>
  <c r="H505" i="16"/>
  <c r="H713" i="16"/>
  <c r="J30" i="23"/>
  <c r="J15" i="23"/>
  <c r="J17" i="23"/>
  <c r="J13" i="21"/>
  <c r="J23" i="21"/>
  <c r="J17" i="21"/>
  <c r="J12" i="23"/>
  <c r="J14" i="23"/>
  <c r="U36" i="16"/>
  <c r="L201" i="15"/>
  <c r="K201" i="15"/>
  <c r="L647" i="15"/>
  <c r="K647" i="15"/>
  <c r="L18" i="15"/>
  <c r="K18" i="15"/>
  <c r="L803" i="15"/>
  <c r="K803" i="15"/>
  <c r="P139" i="15"/>
  <c r="O139" i="15"/>
  <c r="L636" i="15"/>
  <c r="K636" i="15"/>
  <c r="P14" i="15"/>
  <c r="O14" i="15"/>
  <c r="K154" i="15"/>
  <c r="L154" i="15"/>
  <c r="O269" i="15"/>
  <c r="P269" i="15"/>
  <c r="L675" i="15"/>
  <c r="K675" i="15"/>
  <c r="L626" i="15"/>
  <c r="K626" i="15"/>
  <c r="L336" i="15"/>
  <c r="K336" i="15"/>
  <c r="L605" i="15"/>
  <c r="K605" i="15"/>
  <c r="H87" i="15"/>
  <c r="L212" i="15"/>
  <c r="K212" i="15"/>
  <c r="L449" i="15"/>
  <c r="K449" i="15"/>
  <c r="L587" i="15"/>
  <c r="K587" i="15"/>
  <c r="H583" i="16"/>
  <c r="K90" i="15"/>
  <c r="L90" i="15"/>
  <c r="L771" i="15"/>
  <c r="K771" i="15"/>
  <c r="L78" i="15"/>
  <c r="K78" i="15"/>
  <c r="P32" i="15"/>
  <c r="O32" i="15"/>
  <c r="L393" i="15"/>
  <c r="K393" i="15"/>
  <c r="P787" i="15"/>
  <c r="O787" i="15"/>
  <c r="P711" i="15"/>
  <c r="O711" i="15"/>
  <c r="L499" i="15"/>
  <c r="K499" i="15"/>
  <c r="L476" i="15"/>
  <c r="K476" i="15"/>
  <c r="L460" i="15"/>
  <c r="K460" i="15"/>
  <c r="L725" i="15"/>
  <c r="K725" i="15"/>
  <c r="L697" i="15"/>
  <c r="K697" i="15"/>
  <c r="K280" i="15"/>
  <c r="L280" i="15"/>
  <c r="L538" i="15"/>
  <c r="K538" i="15"/>
  <c r="L707" i="15"/>
  <c r="K707" i="15"/>
  <c r="L363" i="15"/>
  <c r="K363" i="15"/>
  <c r="L695" i="15"/>
  <c r="K695" i="15"/>
  <c r="L58" i="15"/>
  <c r="K58" i="15"/>
  <c r="L261" i="15"/>
  <c r="K261" i="15"/>
  <c r="L107" i="15"/>
  <c r="K107" i="15"/>
  <c r="L525" i="15"/>
  <c r="K525" i="15"/>
  <c r="L589" i="15"/>
  <c r="K589" i="15"/>
  <c r="L642" i="15"/>
  <c r="K642" i="15"/>
  <c r="L392" i="15"/>
  <c r="K392" i="15"/>
  <c r="L814" i="15"/>
  <c r="K814" i="15"/>
  <c r="L646" i="15"/>
  <c r="K646" i="15"/>
  <c r="L371" i="15"/>
  <c r="K371" i="15"/>
  <c r="L67" i="15"/>
  <c r="K67" i="15"/>
  <c r="L234" i="15"/>
  <c r="K234" i="15"/>
  <c r="L507" i="15"/>
  <c r="K507" i="15"/>
  <c r="L812" i="15"/>
  <c r="K812" i="15"/>
  <c r="P383" i="15"/>
  <c r="O383" i="15"/>
  <c r="K286" i="15"/>
  <c r="L286" i="15"/>
  <c r="L211" i="15"/>
  <c r="K211" i="15"/>
  <c r="L311" i="15"/>
  <c r="K311" i="15"/>
  <c r="P716" i="15"/>
  <c r="P738" i="15" s="1"/>
  <c r="O716" i="15"/>
  <c r="L592" i="15"/>
  <c r="K592" i="15"/>
  <c r="L53" i="15"/>
  <c r="K53" i="15"/>
  <c r="L692" i="15"/>
  <c r="K692" i="15"/>
  <c r="P720" i="15"/>
  <c r="O720" i="15"/>
  <c r="L640" i="15"/>
  <c r="K640" i="15"/>
  <c r="L253" i="15"/>
  <c r="K253" i="15"/>
  <c r="P34" i="15"/>
  <c r="O34" i="15"/>
  <c r="P588" i="15"/>
  <c r="O588" i="15"/>
  <c r="L466" i="15"/>
  <c r="K466" i="15"/>
  <c r="L411" i="15"/>
  <c r="K411" i="15"/>
  <c r="L493" i="15"/>
  <c r="K493" i="15"/>
  <c r="L172" i="15"/>
  <c r="K172" i="15"/>
  <c r="L169" i="15"/>
  <c r="K169" i="15"/>
  <c r="P387" i="15"/>
  <c r="O387" i="15"/>
  <c r="L645" i="15"/>
  <c r="K645" i="15"/>
  <c r="L303" i="15"/>
  <c r="K303" i="15"/>
  <c r="L317" i="15"/>
  <c r="K317" i="15"/>
  <c r="P399" i="15"/>
  <c r="O399" i="15"/>
  <c r="L70" i="15"/>
  <c r="K70" i="15"/>
  <c r="L775" i="15"/>
  <c r="K775" i="15"/>
  <c r="L624" i="15"/>
  <c r="K624" i="15"/>
  <c r="L485" i="15"/>
  <c r="K485" i="15"/>
  <c r="L163" i="15"/>
  <c r="K163" i="15"/>
  <c r="K288" i="15"/>
  <c r="L288" i="15"/>
  <c r="L186" i="15"/>
  <c r="K186" i="15"/>
  <c r="L418" i="15"/>
  <c r="K418" i="15"/>
  <c r="L579" i="15"/>
  <c r="K579" i="15"/>
  <c r="P775" i="15"/>
  <c r="O775" i="15"/>
  <c r="L226" i="15"/>
  <c r="K226" i="15"/>
  <c r="L77" i="15"/>
  <c r="K77" i="15"/>
  <c r="L755" i="15"/>
  <c r="K755" i="15"/>
  <c r="L339" i="15"/>
  <c r="K339" i="15"/>
  <c r="L272" i="15"/>
  <c r="K272" i="15"/>
  <c r="L741" i="15"/>
  <c r="K741" i="15"/>
  <c r="K142" i="15"/>
  <c r="L142" i="15"/>
  <c r="H347" i="15"/>
  <c r="L625" i="15"/>
  <c r="K625" i="15"/>
  <c r="L618" i="15"/>
  <c r="K618" i="15"/>
  <c r="L519" i="15"/>
  <c r="K519" i="15"/>
  <c r="L221" i="15"/>
  <c r="K221" i="15"/>
  <c r="L329" i="15"/>
  <c r="K329" i="15"/>
  <c r="L111" i="15"/>
  <c r="K111" i="15"/>
  <c r="L391" i="15"/>
  <c r="K391" i="15"/>
  <c r="L283" i="15"/>
  <c r="K283" i="15"/>
  <c r="L199" i="15"/>
  <c r="K199" i="15"/>
  <c r="L312" i="15"/>
  <c r="K312" i="15"/>
  <c r="L588" i="15"/>
  <c r="K588" i="15"/>
  <c r="L699" i="15"/>
  <c r="K699" i="15"/>
  <c r="L773" i="15"/>
  <c r="K773" i="15"/>
  <c r="L216" i="15"/>
  <c r="K216" i="15"/>
  <c r="L247" i="15"/>
  <c r="K247" i="15"/>
  <c r="L547" i="15"/>
  <c r="K547" i="15"/>
  <c r="H659" i="15"/>
  <c r="H451" i="15"/>
  <c r="H63" i="16"/>
  <c r="H555" i="15"/>
  <c r="L573" i="15"/>
  <c r="K573" i="15"/>
  <c r="L805" i="15"/>
  <c r="K805" i="15"/>
  <c r="L230" i="15"/>
  <c r="K230" i="15"/>
  <c r="L91" i="15"/>
  <c r="K91" i="15"/>
  <c r="L249" i="15"/>
  <c r="K249" i="15"/>
  <c r="L306" i="15"/>
  <c r="K306" i="15"/>
  <c r="P287" i="15"/>
  <c r="O287" i="15"/>
  <c r="L617" i="15"/>
  <c r="K617" i="15"/>
  <c r="L195" i="15"/>
  <c r="K195" i="15"/>
  <c r="L526" i="15"/>
  <c r="K526" i="15"/>
  <c r="L130" i="15"/>
  <c r="K130" i="15"/>
  <c r="L318" i="15"/>
  <c r="K318" i="15"/>
  <c r="L29" i="15"/>
  <c r="K29" i="15"/>
  <c r="L370" i="15"/>
  <c r="K370" i="15"/>
  <c r="L16" i="15"/>
  <c r="K16" i="15"/>
  <c r="J26" i="21"/>
  <c r="J35" i="21"/>
  <c r="J19" i="21"/>
  <c r="J9" i="23"/>
  <c r="J13" i="23"/>
  <c r="T687" i="16"/>
  <c r="N193" i="16"/>
  <c r="N687" i="16"/>
  <c r="L396" i="15"/>
  <c r="K396" i="15"/>
  <c r="L204" i="15"/>
  <c r="K204" i="15"/>
  <c r="L198" i="15"/>
  <c r="K198" i="15"/>
  <c r="L467" i="15"/>
  <c r="K467" i="15"/>
  <c r="L527" i="15"/>
  <c r="K527" i="15"/>
  <c r="L55" i="15"/>
  <c r="K55" i="15"/>
  <c r="L536" i="15"/>
  <c r="K536" i="15"/>
  <c r="L591" i="15"/>
  <c r="K591" i="15"/>
  <c r="P416" i="15"/>
  <c r="O416" i="15"/>
  <c r="P187" i="15"/>
  <c r="O187" i="15"/>
  <c r="L71" i="15"/>
  <c r="K71" i="15"/>
  <c r="L574" i="15"/>
  <c r="K574" i="15"/>
  <c r="P117" i="15"/>
  <c r="O117" i="15"/>
  <c r="L324" i="15"/>
  <c r="K324" i="15"/>
  <c r="L638" i="15"/>
  <c r="K638" i="15"/>
  <c r="L180" i="15"/>
  <c r="K180" i="15"/>
  <c r="L546" i="15"/>
  <c r="K546" i="15"/>
  <c r="L744" i="15"/>
  <c r="K744" i="15"/>
  <c r="L497" i="15"/>
  <c r="K497" i="15"/>
  <c r="L214" i="15"/>
  <c r="K214" i="15"/>
  <c r="P420" i="15"/>
  <c r="O420" i="15"/>
  <c r="L665" i="15"/>
  <c r="K665" i="15"/>
  <c r="L23" i="15"/>
  <c r="K23" i="15"/>
  <c r="L291" i="15"/>
  <c r="K291" i="15"/>
  <c r="L584" i="15"/>
  <c r="K584" i="15"/>
  <c r="L442" i="15"/>
  <c r="K442" i="15"/>
  <c r="L483" i="15"/>
  <c r="K483" i="15"/>
  <c r="L428" i="15"/>
  <c r="K428" i="15"/>
  <c r="L510" i="15"/>
  <c r="K510" i="15"/>
  <c r="L377" i="15"/>
  <c r="K377" i="15"/>
  <c r="L175" i="15"/>
  <c r="K175" i="15"/>
  <c r="L266" i="15"/>
  <c r="K266" i="15"/>
  <c r="L358" i="15"/>
  <c r="K358" i="15"/>
  <c r="L203" i="15"/>
  <c r="K203" i="15"/>
  <c r="P221" i="15"/>
  <c r="O221" i="15"/>
  <c r="L164" i="15"/>
  <c r="K164" i="15"/>
  <c r="L27" i="15"/>
  <c r="K27" i="15"/>
  <c r="K268" i="15"/>
  <c r="L268" i="15"/>
  <c r="L361" i="15"/>
  <c r="K361" i="15"/>
  <c r="P29" i="15"/>
  <c r="O29" i="15"/>
  <c r="L799" i="15"/>
  <c r="K799" i="15"/>
  <c r="K666" i="15"/>
  <c r="L666" i="15"/>
  <c r="L501" i="15"/>
  <c r="K501" i="15"/>
  <c r="L185" i="15"/>
  <c r="K185" i="15"/>
  <c r="L81" i="15"/>
  <c r="K81" i="15"/>
  <c r="L702" i="15"/>
  <c r="K702" i="15"/>
  <c r="K672" i="15"/>
  <c r="L672" i="15"/>
  <c r="L19" i="15"/>
  <c r="K19" i="15"/>
  <c r="L350" i="15"/>
  <c r="K350" i="15"/>
  <c r="L481" i="15"/>
  <c r="K481" i="15"/>
  <c r="L559" i="15"/>
  <c r="K559" i="15"/>
  <c r="L83" i="15"/>
  <c r="K83" i="15"/>
  <c r="L176" i="15"/>
  <c r="K176" i="15"/>
  <c r="L331" i="15"/>
  <c r="K331" i="15"/>
  <c r="L353" i="15"/>
  <c r="K353" i="15"/>
  <c r="K278" i="15"/>
  <c r="L278" i="15"/>
  <c r="P125" i="15"/>
  <c r="O125" i="15"/>
  <c r="L683" i="15"/>
  <c r="K683" i="15"/>
  <c r="L138" i="15"/>
  <c r="K138" i="15"/>
  <c r="L798" i="15"/>
  <c r="K798" i="15"/>
  <c r="L66" i="15"/>
  <c r="K66" i="15"/>
  <c r="L44" i="15"/>
  <c r="K44" i="15"/>
  <c r="L380" i="15"/>
  <c r="K380" i="15"/>
  <c r="L514" i="15"/>
  <c r="K514" i="15"/>
  <c r="L472" i="15"/>
  <c r="K472" i="15"/>
  <c r="L26" i="15"/>
  <c r="K26" i="15"/>
  <c r="L387" i="15"/>
  <c r="K387" i="15"/>
  <c r="L84" i="15"/>
  <c r="K84" i="15"/>
  <c r="L344" i="15"/>
  <c r="K344" i="15"/>
  <c r="L231" i="15"/>
  <c r="K231" i="15"/>
  <c r="P592" i="15"/>
  <c r="O592" i="15"/>
  <c r="P803" i="15"/>
  <c r="O803" i="15"/>
  <c r="L150" i="15"/>
  <c r="K150" i="15"/>
  <c r="L561" i="15"/>
  <c r="K561" i="15"/>
  <c r="L284" i="15"/>
  <c r="K284" i="15"/>
  <c r="L495" i="15"/>
  <c r="K495" i="15"/>
  <c r="L619" i="15"/>
  <c r="K619" i="15"/>
  <c r="L34" i="15"/>
  <c r="K34" i="15"/>
  <c r="L333" i="15"/>
  <c r="K333" i="15"/>
  <c r="P391" i="15"/>
  <c r="O391" i="15"/>
  <c r="K108" i="15"/>
  <c r="L108" i="15"/>
  <c r="L229" i="15"/>
  <c r="K229" i="15"/>
  <c r="P696" i="15"/>
  <c r="O696" i="15"/>
  <c r="L492" i="15"/>
  <c r="K492" i="15"/>
  <c r="L549" i="15"/>
  <c r="K549" i="15"/>
  <c r="L749" i="15"/>
  <c r="K749" i="15"/>
  <c r="L416" i="15"/>
  <c r="K416" i="15"/>
  <c r="L360" i="15"/>
  <c r="K360" i="15"/>
  <c r="L145" i="15"/>
  <c r="K145" i="15"/>
  <c r="L703" i="15"/>
  <c r="K703" i="15"/>
  <c r="L300" i="15"/>
  <c r="K300" i="15"/>
  <c r="H789" i="15"/>
  <c r="L429" i="15"/>
  <c r="K429" i="15"/>
  <c r="L335" i="15"/>
  <c r="K335" i="15"/>
  <c r="L125" i="15"/>
  <c r="K125" i="15"/>
  <c r="L578" i="15"/>
  <c r="K578" i="15"/>
  <c r="L726" i="15"/>
  <c r="K726" i="15"/>
  <c r="L480" i="15"/>
  <c r="K480" i="15"/>
  <c r="L806" i="15"/>
  <c r="K806" i="15"/>
  <c r="L205" i="15"/>
  <c r="K205" i="15"/>
  <c r="L722" i="15"/>
  <c r="K722" i="15"/>
  <c r="P28" i="15"/>
  <c r="O28" i="15"/>
  <c r="P341" i="15"/>
  <c r="O341" i="15"/>
  <c r="L564" i="15"/>
  <c r="K564" i="15"/>
  <c r="L206" i="15"/>
  <c r="K206" i="15"/>
  <c r="L85" i="15"/>
  <c r="K85" i="15"/>
  <c r="L761" i="15"/>
  <c r="K761" i="15"/>
  <c r="L417" i="15"/>
  <c r="K417" i="15"/>
  <c r="L513" i="15"/>
  <c r="K513" i="15"/>
  <c r="L590" i="15"/>
  <c r="K590" i="15"/>
  <c r="L572" i="15"/>
  <c r="K572" i="15"/>
  <c r="L224" i="15"/>
  <c r="K224" i="15"/>
  <c r="H269" i="15"/>
  <c r="L265" i="15"/>
  <c r="K265" i="15"/>
  <c r="L532" i="15"/>
  <c r="K532" i="15"/>
  <c r="K106" i="15"/>
  <c r="L106" i="15"/>
  <c r="L325" i="15"/>
  <c r="K325" i="15"/>
  <c r="L734" i="15"/>
  <c r="K734" i="15"/>
  <c r="K98" i="15"/>
  <c r="L98" i="15"/>
  <c r="L648" i="15"/>
  <c r="K648" i="15"/>
  <c r="L305" i="15"/>
  <c r="K305" i="15"/>
  <c r="L233" i="15"/>
  <c r="K233" i="15"/>
  <c r="K684" i="15"/>
  <c r="L684" i="15"/>
  <c r="P685" i="15"/>
  <c r="P686" i="15" s="1"/>
  <c r="O685" i="15"/>
  <c r="L436" i="15"/>
  <c r="K436" i="15"/>
  <c r="L585" i="15"/>
  <c r="K585" i="15"/>
  <c r="L813" i="15"/>
  <c r="K813" i="15"/>
  <c r="L357" i="15"/>
  <c r="K357" i="15"/>
  <c r="P121" i="15"/>
  <c r="O121" i="15"/>
  <c r="L49" i="15"/>
  <c r="K49" i="15"/>
  <c r="L553" i="15"/>
  <c r="K553" i="15"/>
  <c r="H61" i="15"/>
  <c r="L631" i="15"/>
  <c r="K631" i="15"/>
  <c r="J32" i="21"/>
  <c r="L751" i="15"/>
  <c r="K751" i="15"/>
  <c r="L54" i="15"/>
  <c r="K54" i="15"/>
  <c r="L717" i="15"/>
  <c r="K717" i="15"/>
  <c r="L119" i="15"/>
  <c r="K119" i="15"/>
  <c r="H35" i="15"/>
  <c r="L41" i="15"/>
  <c r="K41" i="15"/>
  <c r="L39" i="15"/>
  <c r="K39" i="15"/>
  <c r="L457" i="15"/>
  <c r="K457" i="15"/>
  <c r="L95" i="15"/>
  <c r="K95" i="15"/>
  <c r="L51" i="15"/>
  <c r="K51" i="15"/>
  <c r="L184" i="15"/>
  <c r="K184" i="15"/>
  <c r="K264" i="15"/>
  <c r="L264" i="15"/>
  <c r="K670" i="15"/>
  <c r="L670" i="15"/>
  <c r="L809" i="15"/>
  <c r="K809" i="15"/>
  <c r="L440" i="15"/>
  <c r="K440" i="15"/>
  <c r="K674" i="15"/>
  <c r="L674" i="15"/>
  <c r="L412" i="15"/>
  <c r="K412" i="15"/>
  <c r="L308" i="15"/>
  <c r="K308" i="15"/>
  <c r="L566" i="15"/>
  <c r="K566" i="15"/>
  <c r="L116" i="15"/>
  <c r="K116" i="15"/>
  <c r="L187" i="15"/>
  <c r="K187" i="15"/>
  <c r="L512" i="15"/>
  <c r="K512" i="15"/>
  <c r="P795" i="15"/>
  <c r="O795" i="15"/>
  <c r="P373" i="15"/>
  <c r="O373" i="15"/>
  <c r="L797" i="15"/>
  <c r="K797" i="15"/>
  <c r="L486" i="15"/>
  <c r="K486" i="15"/>
  <c r="L414" i="15"/>
  <c r="K414" i="15"/>
  <c r="L446" i="15"/>
  <c r="K446" i="15"/>
  <c r="L194" i="15"/>
  <c r="K194" i="15"/>
  <c r="K680" i="15"/>
  <c r="L680" i="15"/>
  <c r="L783" i="15"/>
  <c r="K783" i="15"/>
  <c r="L562" i="15"/>
  <c r="K562" i="15"/>
  <c r="L342" i="15"/>
  <c r="K342" i="15"/>
  <c r="L75" i="15"/>
  <c r="K75" i="15"/>
  <c r="O279" i="15"/>
  <c r="P279" i="15"/>
  <c r="L179" i="15"/>
  <c r="K179" i="15"/>
  <c r="L275" i="15"/>
  <c r="K275" i="15"/>
  <c r="L781" i="15"/>
  <c r="K781" i="15"/>
  <c r="P480" i="15"/>
  <c r="O480" i="15"/>
  <c r="L551" i="15"/>
  <c r="K551" i="15"/>
  <c r="L543" i="15"/>
  <c r="K543" i="15"/>
  <c r="L438" i="15"/>
  <c r="K438" i="15"/>
  <c r="L337" i="15"/>
  <c r="K337" i="15"/>
  <c r="K94" i="15"/>
  <c r="L94" i="15"/>
  <c r="L639" i="15"/>
  <c r="K639" i="15"/>
  <c r="L769" i="15"/>
  <c r="K769" i="15"/>
  <c r="L182" i="15"/>
  <c r="K182" i="15"/>
  <c r="L395" i="15"/>
  <c r="K395" i="15"/>
  <c r="L356" i="15"/>
  <c r="K356" i="15"/>
  <c r="L251" i="15"/>
  <c r="K251" i="15"/>
  <c r="L151" i="15"/>
  <c r="K151" i="15"/>
  <c r="L637" i="15"/>
  <c r="K637" i="15"/>
  <c r="L598" i="15"/>
  <c r="K598" i="15"/>
  <c r="L746" i="15"/>
  <c r="K746" i="15"/>
  <c r="L33" i="15"/>
  <c r="K33" i="15"/>
  <c r="L469" i="15"/>
  <c r="K469" i="15"/>
  <c r="L714" i="15"/>
  <c r="K714" i="15"/>
  <c r="K256" i="15"/>
  <c r="L256" i="15"/>
  <c r="K290" i="15"/>
  <c r="L290" i="15"/>
  <c r="L784" i="15"/>
  <c r="K784" i="15"/>
  <c r="L565" i="15"/>
  <c r="K565" i="15"/>
  <c r="L17" i="15"/>
  <c r="K17" i="15"/>
  <c r="L575" i="15"/>
  <c r="K575" i="15"/>
  <c r="L210" i="15"/>
  <c r="K210" i="15"/>
  <c r="L143" i="15"/>
  <c r="K143" i="15"/>
  <c r="P488" i="15"/>
  <c r="O488" i="15"/>
  <c r="T531" i="16"/>
  <c r="L259" i="15"/>
  <c r="K259" i="15"/>
  <c r="L567" i="15"/>
  <c r="K567" i="15"/>
  <c r="L434" i="15"/>
  <c r="K434" i="15"/>
  <c r="K246" i="15"/>
  <c r="L246" i="15"/>
  <c r="L407" i="15"/>
  <c r="K407" i="15"/>
  <c r="L757" i="15"/>
  <c r="K757" i="15"/>
  <c r="L258" i="15"/>
  <c r="K258" i="15"/>
  <c r="P18" i="15"/>
  <c r="O18" i="15"/>
  <c r="K146" i="15"/>
  <c r="L146" i="15"/>
  <c r="L117" i="15"/>
  <c r="K117" i="15"/>
  <c r="L309" i="15"/>
  <c r="K309" i="15"/>
  <c r="L594" i="15"/>
  <c r="K594" i="15"/>
  <c r="L482" i="15"/>
  <c r="K482" i="15"/>
  <c r="L533" i="15"/>
  <c r="K533" i="15"/>
  <c r="L611" i="15"/>
  <c r="K611" i="15"/>
  <c r="L671" i="15"/>
  <c r="K671" i="15"/>
  <c r="L153" i="15"/>
  <c r="K153" i="15"/>
  <c r="L623" i="15"/>
  <c r="K623" i="15"/>
  <c r="L213" i="15"/>
  <c r="K213" i="15"/>
  <c r="H529" i="15"/>
  <c r="H165" i="15"/>
  <c r="L314" i="15"/>
  <c r="K314" i="15"/>
  <c r="L563" i="15"/>
  <c r="K563" i="15"/>
  <c r="L474" i="15"/>
  <c r="K474" i="15"/>
  <c r="L778" i="15"/>
  <c r="K778" i="15"/>
  <c r="L281" i="15"/>
  <c r="K281" i="15"/>
  <c r="N35" i="21"/>
  <c r="L123" i="15"/>
  <c r="K123" i="15"/>
  <c r="L208" i="15"/>
  <c r="K208" i="15"/>
  <c r="L730" i="15"/>
  <c r="K730" i="15"/>
  <c r="L14" i="15"/>
  <c r="K14" i="15"/>
  <c r="P20" i="15"/>
  <c r="O20" i="15"/>
  <c r="L126" i="15"/>
  <c r="K126" i="15"/>
  <c r="L606" i="15"/>
  <c r="K606" i="15"/>
  <c r="L658" i="15"/>
  <c r="K658" i="15"/>
  <c r="L677" i="15"/>
  <c r="K677" i="15"/>
  <c r="L386" i="15"/>
  <c r="K386" i="15"/>
  <c r="L468" i="15"/>
  <c r="K468" i="15"/>
  <c r="L276" i="15"/>
  <c r="K276" i="15"/>
  <c r="L136" i="15"/>
  <c r="K136" i="15"/>
  <c r="K104" i="15"/>
  <c r="L104" i="15"/>
  <c r="L441" i="15"/>
  <c r="K441" i="15"/>
  <c r="L255" i="15"/>
  <c r="K255" i="15"/>
  <c r="L346" i="15"/>
  <c r="K346" i="15"/>
  <c r="L523" i="15"/>
  <c r="K523" i="15"/>
  <c r="H685" i="15"/>
  <c r="N30" i="21" s="1"/>
  <c r="H113" i="15"/>
  <c r="P412" i="15"/>
  <c r="O412" i="15"/>
  <c r="L129" i="15"/>
  <c r="K129" i="15"/>
  <c r="L215" i="15"/>
  <c r="K215" i="15"/>
  <c r="P455" i="15"/>
  <c r="O455" i="15"/>
  <c r="L450" i="15"/>
  <c r="K450" i="15"/>
  <c r="L294" i="15"/>
  <c r="K294" i="15"/>
  <c r="P243" i="15"/>
  <c r="O243" i="15"/>
  <c r="P484" i="15"/>
  <c r="O484" i="15"/>
  <c r="L397" i="15"/>
  <c r="K397" i="15"/>
  <c r="L521" i="15"/>
  <c r="K521" i="15"/>
  <c r="L183" i="15"/>
  <c r="K183" i="15"/>
  <c r="P24" i="15"/>
  <c r="O24" i="15"/>
  <c r="P92" i="15"/>
  <c r="O92" i="15"/>
  <c r="P779" i="15"/>
  <c r="O779" i="15"/>
  <c r="L122" i="15"/>
  <c r="K122" i="15"/>
  <c r="L655" i="15"/>
  <c r="K655" i="15"/>
  <c r="L596" i="15"/>
  <c r="K596" i="15"/>
  <c r="H425" i="15"/>
  <c r="J31" i="21"/>
  <c r="J31" i="23"/>
  <c r="J8" i="21"/>
  <c r="H791" i="16"/>
  <c r="J18" i="21"/>
  <c r="J14" i="21"/>
  <c r="J8" i="23"/>
  <c r="J28" i="23"/>
  <c r="P183" i="15"/>
  <c r="O183" i="15"/>
  <c r="K162" i="15"/>
  <c r="L162" i="15"/>
  <c r="L776" i="15"/>
  <c r="K776" i="15"/>
  <c r="P633" i="15"/>
  <c r="O633" i="15"/>
  <c r="P429" i="15"/>
  <c r="O429" i="15"/>
  <c r="L409" i="15"/>
  <c r="K409" i="15"/>
  <c r="L15" i="15"/>
  <c r="K15" i="15"/>
  <c r="L696" i="15"/>
  <c r="K696" i="15"/>
  <c r="L718" i="15"/>
  <c r="K718" i="15"/>
  <c r="L576" i="15"/>
  <c r="K576" i="15"/>
  <c r="L103" i="15"/>
  <c r="K103" i="15"/>
  <c r="L593" i="15"/>
  <c r="K593" i="15"/>
  <c r="L796" i="15"/>
  <c r="K796" i="15"/>
  <c r="K248" i="15"/>
  <c r="L248" i="15"/>
  <c r="L516" i="15"/>
  <c r="K516" i="15"/>
  <c r="L239" i="15"/>
  <c r="K239" i="15"/>
  <c r="L388" i="15"/>
  <c r="K388" i="15"/>
  <c r="L443" i="15"/>
  <c r="K443" i="15"/>
  <c r="L748" i="15"/>
  <c r="K748" i="15"/>
  <c r="K676" i="15"/>
  <c r="L676" i="15"/>
  <c r="L599" i="15"/>
  <c r="K599" i="15"/>
  <c r="L242" i="15"/>
  <c r="K242" i="15"/>
  <c r="P16" i="15"/>
  <c r="O16" i="15"/>
  <c r="L385" i="15"/>
  <c r="K385" i="15"/>
  <c r="P21" i="15"/>
  <c r="O21" i="15"/>
  <c r="L815" i="15"/>
  <c r="K815" i="15"/>
  <c r="L767" i="15"/>
  <c r="K767" i="15"/>
  <c r="L491" i="15"/>
  <c r="K491" i="15"/>
  <c r="L463" i="15"/>
  <c r="K463" i="15"/>
  <c r="L733" i="15"/>
  <c r="K733" i="15"/>
  <c r="L207" i="15"/>
  <c r="K207" i="15"/>
  <c r="P19" i="15"/>
  <c r="O19" i="15"/>
  <c r="L612" i="15"/>
  <c r="K612" i="15"/>
  <c r="P133" i="15"/>
  <c r="O133" i="15"/>
  <c r="L289" i="15"/>
  <c r="K289" i="15"/>
  <c r="L181" i="15"/>
  <c r="K181" i="15"/>
  <c r="L315" i="15"/>
  <c r="K315" i="15"/>
  <c r="L73" i="15"/>
  <c r="K73" i="15"/>
  <c r="L64" i="15"/>
  <c r="K64" i="15"/>
  <c r="P333" i="15"/>
  <c r="O333" i="15"/>
  <c r="L656" i="15"/>
  <c r="K656" i="15"/>
  <c r="L700" i="15"/>
  <c r="K700" i="15"/>
  <c r="L383" i="15"/>
  <c r="K383" i="15"/>
  <c r="P737" i="15"/>
  <c r="O737" i="15"/>
  <c r="P477" i="15"/>
  <c r="O477" i="15"/>
  <c r="O113" i="15"/>
  <c r="P113" i="15"/>
  <c r="L552" i="15"/>
  <c r="K552" i="15"/>
  <c r="L307" i="15"/>
  <c r="K307" i="15"/>
  <c r="P225" i="15"/>
  <c r="O225" i="15"/>
  <c r="P35" i="15"/>
  <c r="O35" i="15"/>
  <c r="P520" i="15"/>
  <c r="O520" i="15"/>
  <c r="P425" i="15"/>
  <c r="O425" i="15"/>
  <c r="L641" i="15"/>
  <c r="K641" i="15"/>
  <c r="L679" i="15"/>
  <c r="K679" i="15"/>
  <c r="L384" i="15"/>
  <c r="K384" i="15"/>
  <c r="P724" i="15"/>
  <c r="O724" i="15"/>
  <c r="L517" i="15"/>
  <c r="K517" i="15"/>
  <c r="L124" i="15"/>
  <c r="K124" i="15"/>
  <c r="P607" i="15"/>
  <c r="O607" i="15"/>
  <c r="P503" i="15"/>
  <c r="O503" i="15"/>
  <c r="P347" i="15"/>
  <c r="O347" i="15"/>
  <c r="P191" i="15"/>
  <c r="O191" i="15"/>
  <c r="L500" i="15"/>
  <c r="K500" i="15"/>
  <c r="L554" i="15"/>
  <c r="K554" i="15"/>
  <c r="L458" i="15"/>
  <c r="K458" i="15"/>
  <c r="L403" i="15"/>
  <c r="K403" i="15"/>
  <c r="L569" i="15"/>
  <c r="K569" i="15"/>
  <c r="P233" i="15"/>
  <c r="O233" i="15"/>
  <c r="L38" i="15"/>
  <c r="K38" i="15"/>
  <c r="L202" i="15"/>
  <c r="K202" i="15"/>
  <c r="P321" i="15"/>
  <c r="O321" i="15"/>
  <c r="L228" i="15"/>
  <c r="K228" i="15"/>
  <c r="L304" i="15"/>
  <c r="K304" i="15"/>
  <c r="L614" i="15"/>
  <c r="K614" i="15"/>
  <c r="L445" i="15"/>
  <c r="K445" i="15"/>
  <c r="L152" i="15"/>
  <c r="K152" i="15"/>
  <c r="L750" i="15"/>
  <c r="K750" i="15"/>
  <c r="L316" i="15"/>
  <c r="K316" i="15"/>
  <c r="H399" i="15"/>
  <c r="L759" i="15"/>
  <c r="K759" i="15"/>
  <c r="L42" i="15"/>
  <c r="K42" i="15"/>
  <c r="L137" i="15"/>
  <c r="K137" i="15"/>
  <c r="L46" i="15"/>
  <c r="K46" i="15"/>
  <c r="L643" i="15"/>
  <c r="K643" i="15"/>
  <c r="P408" i="15"/>
  <c r="O408" i="15"/>
  <c r="L220" i="15"/>
  <c r="K220" i="15"/>
  <c r="L502" i="15"/>
  <c r="K502" i="15"/>
  <c r="L603" i="15"/>
  <c r="K603" i="15"/>
  <c r="L752" i="15"/>
  <c r="K752" i="15"/>
  <c r="L263" i="15"/>
  <c r="K263" i="15"/>
  <c r="L447" i="15"/>
  <c r="K447" i="15"/>
  <c r="L756" i="15"/>
  <c r="K756" i="15"/>
  <c r="L354" i="15"/>
  <c r="K354" i="15"/>
  <c r="H633" i="15"/>
  <c r="N28" i="21" s="1"/>
  <c r="H373" i="15"/>
  <c r="H191" i="15"/>
  <c r="L338" i="15"/>
  <c r="K338" i="15"/>
  <c r="L96" i="15"/>
  <c r="K96" i="15"/>
  <c r="L515" i="15"/>
  <c r="K515" i="15"/>
  <c r="L716" i="15"/>
  <c r="K716" i="15"/>
  <c r="N31" i="21"/>
  <c r="L25" i="15"/>
  <c r="K25" i="15"/>
  <c r="L222" i="15"/>
  <c r="K222" i="15"/>
  <c r="L801" i="15"/>
  <c r="K801" i="15"/>
  <c r="L520" i="15"/>
  <c r="K520" i="15"/>
  <c r="L540" i="15"/>
  <c r="K540" i="15"/>
  <c r="L190" i="15"/>
  <c r="K190" i="15"/>
  <c r="L118" i="15"/>
  <c r="K118" i="15"/>
  <c r="P26" i="15"/>
  <c r="O26" i="15"/>
  <c r="L132" i="15"/>
  <c r="K132" i="15"/>
  <c r="P217" i="15"/>
  <c r="P218" i="15" s="1"/>
  <c r="O217" i="15"/>
  <c r="P13" i="15"/>
  <c r="O13" i="15"/>
  <c r="P229" i="15"/>
  <c r="O229" i="15"/>
  <c r="L628" i="15"/>
  <c r="K628" i="15"/>
  <c r="P555" i="15"/>
  <c r="O555" i="15"/>
  <c r="L708" i="15"/>
  <c r="K708" i="15"/>
  <c r="L570" i="15"/>
  <c r="K570" i="15"/>
  <c r="L327" i="15"/>
  <c r="K327" i="15"/>
  <c r="L437" i="15"/>
  <c r="K437" i="15"/>
  <c r="L112" i="15"/>
  <c r="K112" i="15"/>
  <c r="L496" i="15"/>
  <c r="K496" i="15"/>
  <c r="J16" i="21"/>
  <c r="J29" i="21"/>
  <c r="J28" i="21"/>
  <c r="J33" i="21"/>
  <c r="J27" i="23"/>
  <c r="J22" i="23"/>
  <c r="N427" i="16"/>
  <c r="I427" i="15"/>
  <c r="I452" i="15" s="1"/>
  <c r="K452" i="15" s="1"/>
  <c r="P31" i="15"/>
  <c r="O31" i="15"/>
  <c r="L413" i="15"/>
  <c r="K413" i="15"/>
  <c r="L753" i="15"/>
  <c r="K753" i="15"/>
  <c r="L56" i="15"/>
  <c r="K56" i="15"/>
  <c r="L159" i="15"/>
  <c r="K159" i="15"/>
  <c r="L47" i="15"/>
  <c r="K47" i="15"/>
  <c r="L188" i="15"/>
  <c r="K188" i="15"/>
  <c r="L475" i="15"/>
  <c r="K475" i="15"/>
  <c r="L365" i="15"/>
  <c r="K365" i="15"/>
  <c r="P175" i="15"/>
  <c r="O175" i="15"/>
  <c r="L65" i="15"/>
  <c r="K65" i="15"/>
  <c r="L509" i="15"/>
  <c r="K509" i="15"/>
  <c r="L689" i="15"/>
  <c r="K689" i="15"/>
  <c r="L736" i="15"/>
  <c r="K736" i="15"/>
  <c r="L506" i="15"/>
  <c r="K506" i="15"/>
  <c r="L793" i="15"/>
  <c r="K793" i="15"/>
  <c r="L355" i="15"/>
  <c r="K355" i="15"/>
  <c r="L705" i="15"/>
  <c r="K705" i="15"/>
  <c r="P789" i="15"/>
  <c r="O789" i="15"/>
  <c r="L710" i="15"/>
  <c r="K710" i="15"/>
  <c r="L804" i="15"/>
  <c r="K804" i="15"/>
  <c r="L706" i="15"/>
  <c r="K706" i="15"/>
  <c r="L688" i="15"/>
  <c r="K688" i="15"/>
  <c r="L541" i="15"/>
  <c r="K541" i="15"/>
  <c r="L774" i="15"/>
  <c r="K774" i="15"/>
  <c r="L489" i="15"/>
  <c r="K489" i="15"/>
  <c r="L364" i="15"/>
  <c r="K364" i="15"/>
  <c r="T791" i="16"/>
  <c r="L545" i="15"/>
  <c r="K545" i="15"/>
  <c r="K92" i="15"/>
  <c r="L92" i="15"/>
  <c r="L293" i="15"/>
  <c r="K293" i="15"/>
  <c r="P516" i="15"/>
  <c r="O516" i="15"/>
  <c r="L742" i="15"/>
  <c r="K742" i="15"/>
  <c r="L471" i="15"/>
  <c r="K471" i="15"/>
  <c r="L419" i="15"/>
  <c r="K419" i="15"/>
  <c r="L267" i="15"/>
  <c r="K267" i="15"/>
  <c r="L724" i="15"/>
  <c r="K724" i="15"/>
  <c r="L57" i="15"/>
  <c r="K57" i="15"/>
  <c r="L785" i="15"/>
  <c r="K785" i="15"/>
  <c r="L522" i="15"/>
  <c r="K522" i="15"/>
  <c r="L709" i="15"/>
  <c r="K709" i="15"/>
  <c r="L786" i="15"/>
  <c r="K786" i="15"/>
  <c r="L341" i="15"/>
  <c r="K341" i="15"/>
  <c r="L161" i="15"/>
  <c r="K161" i="15"/>
  <c r="L76" i="15"/>
  <c r="K76" i="15"/>
  <c r="L719" i="15"/>
  <c r="K719" i="15"/>
  <c r="P87" i="15"/>
  <c r="P88" i="15" s="1"/>
  <c r="O87" i="15"/>
  <c r="L539" i="15"/>
  <c r="K539" i="15"/>
  <c r="L653" i="15"/>
  <c r="K653" i="15"/>
  <c r="L560" i="15"/>
  <c r="K560" i="15"/>
  <c r="L772" i="15"/>
  <c r="K772" i="15"/>
  <c r="L704" i="15"/>
  <c r="K704" i="15"/>
  <c r="K158" i="15"/>
  <c r="L158" i="15"/>
  <c r="L632" i="15"/>
  <c r="K632" i="15"/>
  <c r="L808" i="15"/>
  <c r="K808" i="15"/>
  <c r="L542" i="15"/>
  <c r="K542" i="15"/>
  <c r="L727" i="15"/>
  <c r="K727" i="15"/>
  <c r="P524" i="15"/>
  <c r="O524" i="15"/>
  <c r="P692" i="15"/>
  <c r="O692" i="15"/>
  <c r="L352" i="15"/>
  <c r="K352" i="15"/>
  <c r="L74" i="15"/>
  <c r="K74" i="15"/>
  <c r="L731" i="15"/>
  <c r="K731" i="15"/>
  <c r="L758" i="15"/>
  <c r="K758" i="15"/>
  <c r="L760" i="15"/>
  <c r="K760" i="15"/>
  <c r="K148" i="15"/>
  <c r="L148" i="15"/>
  <c r="L616" i="15"/>
  <c r="K616" i="15"/>
  <c r="P728" i="15"/>
  <c r="O728" i="15"/>
  <c r="L802" i="15"/>
  <c r="K802" i="15"/>
  <c r="L223" i="15"/>
  <c r="K223" i="15"/>
  <c r="L69" i="15"/>
  <c r="K69" i="15"/>
  <c r="L770" i="15"/>
  <c r="K770" i="15"/>
  <c r="L691" i="15"/>
  <c r="K691" i="15"/>
  <c r="L518" i="15"/>
  <c r="K518" i="15"/>
  <c r="L602" i="15"/>
  <c r="K602" i="15"/>
  <c r="L488" i="15"/>
  <c r="K488" i="15"/>
  <c r="K252" i="15"/>
  <c r="L252" i="15"/>
  <c r="L131" i="15"/>
  <c r="K131" i="15"/>
  <c r="L715" i="15"/>
  <c r="K715" i="15"/>
  <c r="L690" i="15"/>
  <c r="K690" i="15"/>
  <c r="L279" i="15"/>
  <c r="K279" i="15"/>
  <c r="L792" i="15"/>
  <c r="K792" i="15"/>
  <c r="L149" i="15"/>
  <c r="K149" i="15"/>
  <c r="K262" i="15"/>
  <c r="L262" i="15"/>
  <c r="L794" i="15"/>
  <c r="K794" i="15"/>
  <c r="P179" i="15"/>
  <c r="O179" i="15"/>
  <c r="O295" i="15"/>
  <c r="P295" i="15"/>
  <c r="L484" i="15"/>
  <c r="K484" i="15"/>
  <c r="L544" i="15"/>
  <c r="K544" i="15"/>
  <c r="L508" i="15"/>
  <c r="K508" i="15"/>
  <c r="L701" i="15"/>
  <c r="K701" i="15"/>
  <c r="L343" i="15"/>
  <c r="K343" i="15"/>
  <c r="L109" i="15"/>
  <c r="K109" i="15"/>
  <c r="L723" i="15"/>
  <c r="K723" i="15"/>
  <c r="L577" i="15"/>
  <c r="K577" i="15"/>
  <c r="L340" i="15"/>
  <c r="K340" i="15"/>
  <c r="H139" i="15"/>
  <c r="H477" i="15"/>
  <c r="H478" i="15" s="1"/>
  <c r="L287" i="15"/>
  <c r="K287" i="15"/>
  <c r="L800" i="15"/>
  <c r="K800" i="15"/>
  <c r="L810" i="15"/>
  <c r="K810" i="15"/>
  <c r="L332" i="15"/>
  <c r="K332" i="15"/>
  <c r="H763" i="15"/>
  <c r="L367" i="15"/>
  <c r="K367" i="15"/>
  <c r="L359" i="15"/>
  <c r="K359" i="15"/>
  <c r="L459" i="15"/>
  <c r="K459" i="15"/>
  <c r="L30" i="15"/>
  <c r="K30" i="15"/>
  <c r="L237" i="15"/>
  <c r="K237" i="15"/>
  <c r="L326" i="15"/>
  <c r="K326" i="15"/>
  <c r="L82" i="15"/>
  <c r="K82" i="15"/>
  <c r="H271" i="16"/>
  <c r="J15" i="21"/>
  <c r="J20" i="23"/>
  <c r="J26" i="23"/>
  <c r="J6" i="21"/>
  <c r="J21" i="23"/>
  <c r="J34" i="23"/>
  <c r="N661" i="16"/>
  <c r="P650" i="15"/>
  <c r="O650" i="15"/>
  <c r="L610" i="15"/>
  <c r="K610" i="15"/>
  <c r="L50" i="15"/>
  <c r="K50" i="15"/>
  <c r="L376" i="15"/>
  <c r="K376" i="15"/>
  <c r="P345" i="15"/>
  <c r="O345" i="15"/>
  <c r="L43" i="15"/>
  <c r="K43" i="15"/>
  <c r="P12" i="15"/>
  <c r="O12" i="15"/>
  <c r="L550" i="15"/>
  <c r="K550" i="15"/>
  <c r="L580" i="15"/>
  <c r="K580" i="15"/>
  <c r="P379" i="15"/>
  <c r="O379" i="15"/>
  <c r="P171" i="15"/>
  <c r="O171" i="15"/>
  <c r="L652" i="15"/>
  <c r="K652" i="15"/>
  <c r="L595" i="15"/>
  <c r="K595" i="15"/>
  <c r="L654" i="15"/>
  <c r="K654" i="15"/>
  <c r="L448" i="15"/>
  <c r="K448" i="15"/>
  <c r="K682" i="15"/>
  <c r="L682" i="15"/>
  <c r="L121" i="15"/>
  <c r="K121" i="15"/>
  <c r="L420" i="15"/>
  <c r="K420" i="15"/>
  <c r="L681" i="15"/>
  <c r="K681" i="15"/>
  <c r="L86" i="15"/>
  <c r="K86" i="15"/>
  <c r="L298" i="15"/>
  <c r="K298" i="15"/>
  <c r="P508" i="15"/>
  <c r="O508" i="15"/>
  <c r="L745" i="15"/>
  <c r="K745" i="15"/>
  <c r="L494" i="15"/>
  <c r="K494" i="15"/>
  <c r="L422" i="15"/>
  <c r="K422" i="15"/>
  <c r="L721" i="15"/>
  <c r="K721" i="15"/>
  <c r="L351" i="15"/>
  <c r="K351" i="15"/>
  <c r="L795" i="15"/>
  <c r="K795" i="15"/>
  <c r="O275" i="15"/>
  <c r="P275" i="15"/>
  <c r="L79" i="15"/>
  <c r="K79" i="15"/>
  <c r="L99" i="15"/>
  <c r="K99" i="15"/>
  <c r="P329" i="15"/>
  <c r="O329" i="15"/>
  <c r="K160" i="15"/>
  <c r="L160" i="15"/>
  <c r="L93" i="15"/>
  <c r="K93" i="15"/>
  <c r="L754" i="15"/>
  <c r="K754" i="15"/>
  <c r="K662" i="15"/>
  <c r="L662" i="15"/>
  <c r="L301" i="15"/>
  <c r="K301" i="15"/>
  <c r="P424" i="15"/>
  <c r="O424" i="15"/>
  <c r="L732" i="15"/>
  <c r="K732" i="15"/>
  <c r="P767" i="15"/>
  <c r="P790" i="15" s="1"/>
  <c r="O767" i="15"/>
  <c r="L402" i="15"/>
  <c r="K402" i="15"/>
  <c r="L788" i="15"/>
  <c r="K788" i="15"/>
  <c r="L147" i="15"/>
  <c r="K147" i="15"/>
  <c r="P433" i="15"/>
  <c r="O433" i="15"/>
  <c r="L743" i="15"/>
  <c r="K743" i="15"/>
  <c r="P61" i="15"/>
  <c r="P62" i="15" s="1"/>
  <c r="O61" i="15"/>
  <c r="P688" i="15"/>
  <c r="P712" i="15" s="1"/>
  <c r="O688" i="15"/>
  <c r="P771" i="15"/>
  <c r="O771" i="15"/>
  <c r="L782" i="15"/>
  <c r="K782" i="15"/>
  <c r="L535" i="15"/>
  <c r="K535" i="15"/>
  <c r="L621" i="15"/>
  <c r="K621" i="15"/>
  <c r="K254" i="15"/>
  <c r="L254" i="15"/>
  <c r="L178" i="15"/>
  <c r="K178" i="15"/>
  <c r="P17" i="15"/>
  <c r="O17" i="15"/>
  <c r="L807" i="15"/>
  <c r="K807" i="15"/>
  <c r="P165" i="15"/>
  <c r="O165" i="15"/>
  <c r="L60" i="15"/>
  <c r="K60" i="15"/>
  <c r="L28" i="15"/>
  <c r="K28" i="15"/>
  <c r="L12" i="15"/>
  <c r="K12" i="15"/>
  <c r="L389" i="15"/>
  <c r="K389" i="15"/>
  <c r="L766" i="15"/>
  <c r="K766" i="15"/>
  <c r="L368" i="15"/>
  <c r="K368" i="15"/>
  <c r="L225" i="15"/>
  <c r="K225" i="15"/>
  <c r="L408" i="15"/>
  <c r="K408" i="15"/>
  <c r="P23" i="15"/>
  <c r="O23" i="15"/>
  <c r="P291" i="15"/>
  <c r="O291" i="15"/>
  <c r="L651" i="15"/>
  <c r="K651" i="15"/>
  <c r="L735" i="15"/>
  <c r="K735" i="15"/>
  <c r="P459" i="15"/>
  <c r="O459" i="15"/>
  <c r="P807" i="15"/>
  <c r="O807" i="15"/>
  <c r="P451" i="15"/>
  <c r="O451" i="15"/>
  <c r="P129" i="15"/>
  <c r="O129" i="15"/>
  <c r="L345" i="15"/>
  <c r="K345" i="15"/>
  <c r="L40" i="15"/>
  <c r="K40" i="15"/>
  <c r="L72" i="15"/>
  <c r="K72" i="15"/>
  <c r="L487" i="15"/>
  <c r="K487" i="15"/>
  <c r="L811" i="15"/>
  <c r="K811" i="15"/>
  <c r="K250" i="15"/>
  <c r="L250" i="15"/>
  <c r="L558" i="15"/>
  <c r="K558" i="15"/>
  <c r="H737" i="15"/>
  <c r="N32" i="21" s="1"/>
  <c r="H607" i="15"/>
  <c r="H243" i="15"/>
  <c r="P395" i="15"/>
  <c r="O395" i="15"/>
  <c r="K100" i="15"/>
  <c r="L100" i="15"/>
  <c r="L537" i="15"/>
  <c r="K537" i="15"/>
  <c r="L410" i="15"/>
  <c r="K410" i="15"/>
  <c r="P22" i="15"/>
  <c r="O22" i="15"/>
  <c r="L209" i="15"/>
  <c r="K209" i="15"/>
  <c r="L48" i="15"/>
  <c r="K48" i="15"/>
  <c r="L24" i="15"/>
  <c r="K24" i="15"/>
  <c r="L462" i="15"/>
  <c r="K462" i="15"/>
  <c r="L454" i="15"/>
  <c r="K454" i="15"/>
  <c r="L285" i="15"/>
  <c r="K285" i="15"/>
  <c r="L241" i="15"/>
  <c r="K241" i="15"/>
  <c r="L439" i="15"/>
  <c r="K439" i="15"/>
  <c r="K668" i="15"/>
  <c r="L668" i="15"/>
  <c r="L673" i="15"/>
  <c r="K673" i="15"/>
  <c r="L257" i="15"/>
  <c r="K257" i="15"/>
  <c r="H321" i="15"/>
  <c r="L171" i="15"/>
  <c r="K171" i="15"/>
  <c r="L615" i="15"/>
  <c r="K615" i="15"/>
  <c r="L313" i="15"/>
  <c r="K313" i="15"/>
  <c r="L155" i="15"/>
  <c r="K155" i="15"/>
  <c r="L13" i="15"/>
  <c r="K13" i="15"/>
  <c r="H217" i="15"/>
  <c r="L320" i="15"/>
  <c r="K320" i="15"/>
  <c r="L310" i="15"/>
  <c r="K310" i="15"/>
  <c r="L728" i="15"/>
  <c r="K728" i="15"/>
  <c r="P325" i="15"/>
  <c r="O325" i="15"/>
  <c r="L369" i="15"/>
  <c r="K369" i="15"/>
  <c r="K678" i="15"/>
  <c r="L678" i="15"/>
  <c r="L433" i="15"/>
  <c r="K433" i="15"/>
  <c r="L424" i="15"/>
  <c r="K424" i="15"/>
  <c r="L105" i="15"/>
  <c r="K105" i="15"/>
  <c r="L170" i="15"/>
  <c r="K170" i="15"/>
  <c r="L747" i="15"/>
  <c r="K747" i="15"/>
  <c r="L729" i="15"/>
  <c r="K729" i="15"/>
  <c r="J30" i="21"/>
  <c r="J25" i="21"/>
  <c r="J24" i="21"/>
  <c r="O36" i="16"/>
  <c r="J18" i="23"/>
  <c r="N505" i="16"/>
  <c r="L200" i="15"/>
  <c r="K200" i="15"/>
  <c r="L157" i="15"/>
  <c r="K157" i="15"/>
  <c r="P15" i="15"/>
  <c r="O15" i="15"/>
  <c r="L528" i="15"/>
  <c r="K528" i="15"/>
  <c r="L381" i="15"/>
  <c r="K381" i="15"/>
  <c r="L601" i="15"/>
  <c r="K601" i="15"/>
  <c r="L650" i="15"/>
  <c r="K650" i="15"/>
  <c r="L762" i="15"/>
  <c r="K762" i="15"/>
  <c r="L613" i="15"/>
  <c r="K613" i="15"/>
  <c r="L101" i="15"/>
  <c r="K101" i="15"/>
  <c r="L97" i="15"/>
  <c r="K97" i="15"/>
  <c r="L196" i="15"/>
  <c r="K196" i="15"/>
  <c r="P30" i="15"/>
  <c r="O30" i="15"/>
  <c r="L189" i="15"/>
  <c r="K189" i="15"/>
  <c r="P783" i="15"/>
  <c r="O783" i="15"/>
  <c r="O283" i="15"/>
  <c r="P283" i="15"/>
  <c r="L227" i="15"/>
  <c r="K227" i="15"/>
  <c r="L378" i="15"/>
  <c r="K378" i="15"/>
  <c r="L235" i="15"/>
  <c r="K235" i="15"/>
  <c r="L644" i="15"/>
  <c r="K644" i="15"/>
  <c r="L779" i="15"/>
  <c r="K779" i="15"/>
  <c r="L423" i="15"/>
  <c r="K423" i="15"/>
  <c r="L657" i="15"/>
  <c r="K657" i="15"/>
  <c r="L299" i="15"/>
  <c r="K299" i="15"/>
  <c r="L156" i="15"/>
  <c r="K156" i="15"/>
  <c r="L59" i="15"/>
  <c r="K59" i="15"/>
  <c r="P25" i="15"/>
  <c r="O25" i="15"/>
  <c r="P512" i="15"/>
  <c r="O512" i="15"/>
  <c r="L45" i="15"/>
  <c r="K45" i="15"/>
  <c r="L600" i="15"/>
  <c r="K600" i="15"/>
  <c r="L548" i="15"/>
  <c r="K548" i="15"/>
  <c r="L629" i="15"/>
  <c r="K629" i="15"/>
  <c r="L405" i="15"/>
  <c r="K405" i="15"/>
  <c r="L432" i="15"/>
  <c r="K432" i="15"/>
  <c r="L669" i="15"/>
  <c r="K669" i="15"/>
  <c r="L404" i="15"/>
  <c r="K404" i="15"/>
  <c r="L68" i="15"/>
  <c r="K68" i="15"/>
  <c r="L787" i="15"/>
  <c r="K787" i="15"/>
  <c r="L498" i="15"/>
  <c r="K498" i="15"/>
  <c r="L174" i="15"/>
  <c r="K174" i="15"/>
  <c r="P337" i="15"/>
  <c r="O337" i="15"/>
  <c r="L461" i="15"/>
  <c r="K461" i="15"/>
  <c r="L406" i="15"/>
  <c r="K406" i="15"/>
  <c r="L22" i="15"/>
  <c r="K22" i="15"/>
  <c r="L328" i="15"/>
  <c r="K328" i="15"/>
  <c r="L177" i="15"/>
  <c r="K177" i="15"/>
  <c r="L80" i="15"/>
  <c r="K80" i="15"/>
  <c r="K292" i="15"/>
  <c r="L292" i="15"/>
  <c r="L777" i="15"/>
  <c r="K777" i="15"/>
  <c r="L366" i="15"/>
  <c r="K366" i="15"/>
  <c r="L415" i="15"/>
  <c r="K415" i="15"/>
  <c r="L649" i="15"/>
  <c r="K649" i="15"/>
  <c r="L282" i="15"/>
  <c r="K282" i="15"/>
  <c r="L693" i="15"/>
  <c r="K693" i="15"/>
  <c r="L31" i="15"/>
  <c r="K31" i="15"/>
  <c r="L490" i="15"/>
  <c r="K490" i="15"/>
  <c r="P33" i="15"/>
  <c r="O33" i="15"/>
  <c r="L768" i="15"/>
  <c r="K768" i="15"/>
  <c r="L780" i="15"/>
  <c r="K780" i="15"/>
  <c r="L302" i="15"/>
  <c r="K302" i="15"/>
  <c r="L319" i="15"/>
  <c r="K319" i="15"/>
  <c r="L260" i="15"/>
  <c r="K260" i="15"/>
  <c r="L470" i="15"/>
  <c r="K470" i="15"/>
  <c r="L630" i="15"/>
  <c r="K630" i="15"/>
  <c r="L627" i="15"/>
  <c r="K627" i="15"/>
  <c r="L720" i="15"/>
  <c r="K720" i="15"/>
  <c r="L464" i="15"/>
  <c r="K464" i="15"/>
  <c r="L273" i="15"/>
  <c r="K273" i="15"/>
  <c r="L120" i="15"/>
  <c r="K120" i="15"/>
  <c r="L435" i="15"/>
  <c r="K435" i="15"/>
  <c r="L571" i="15"/>
  <c r="K571" i="15"/>
  <c r="L240" i="15"/>
  <c r="K240" i="15"/>
  <c r="L236" i="15"/>
  <c r="K236" i="15"/>
  <c r="L52" i="15"/>
  <c r="K52" i="15"/>
  <c r="L465" i="15"/>
  <c r="K465" i="15"/>
  <c r="L622" i="15"/>
  <c r="K622" i="15"/>
  <c r="L694" i="15"/>
  <c r="K694" i="15"/>
  <c r="L128" i="15"/>
  <c r="K128" i="15"/>
  <c r="L456" i="15"/>
  <c r="K456" i="15"/>
  <c r="L334" i="15"/>
  <c r="K334" i="15"/>
  <c r="L20" i="15"/>
  <c r="K20" i="15"/>
  <c r="L534" i="15"/>
  <c r="K534" i="15"/>
  <c r="P638" i="15"/>
  <c r="O638" i="15"/>
  <c r="L586" i="15"/>
  <c r="K586" i="15"/>
  <c r="L168" i="15"/>
  <c r="K168" i="15"/>
  <c r="L134" i="15"/>
  <c r="K134" i="15"/>
  <c r="L620" i="15"/>
  <c r="K620" i="15"/>
  <c r="L667" i="15"/>
  <c r="K667" i="15"/>
  <c r="L444" i="15"/>
  <c r="K444" i="15"/>
  <c r="L394" i="15"/>
  <c r="K394" i="15"/>
  <c r="L473" i="15"/>
  <c r="K473" i="15"/>
  <c r="L232" i="15"/>
  <c r="K232" i="15"/>
  <c r="H401" i="16"/>
  <c r="L372" i="15"/>
  <c r="K372" i="15"/>
  <c r="L524" i="15"/>
  <c r="K524" i="15"/>
  <c r="K274" i="15"/>
  <c r="L274" i="15"/>
  <c r="L455" i="15"/>
  <c r="K455" i="15"/>
  <c r="L133" i="15"/>
  <c r="K133" i="15"/>
  <c r="L698" i="15"/>
  <c r="K698" i="15"/>
  <c r="L362" i="15"/>
  <c r="K362" i="15"/>
  <c r="L21" i="15"/>
  <c r="K21" i="15"/>
  <c r="P27" i="15"/>
  <c r="O27" i="15"/>
  <c r="P237" i="15"/>
  <c r="O237" i="15"/>
  <c r="L431" i="15"/>
  <c r="K431" i="15"/>
  <c r="P581" i="15"/>
  <c r="O581" i="15"/>
  <c r="L32" i="15"/>
  <c r="K32" i="15"/>
  <c r="L511" i="15"/>
  <c r="K511" i="15"/>
  <c r="L597" i="15"/>
  <c r="K597" i="15"/>
  <c r="L663" i="15"/>
  <c r="K663" i="15"/>
  <c r="L330" i="15"/>
  <c r="K330" i="15"/>
  <c r="H295" i="15"/>
  <c r="L379" i="15"/>
  <c r="K379" i="15"/>
  <c r="L197" i="15"/>
  <c r="K197" i="15"/>
  <c r="L173" i="15"/>
  <c r="K173" i="15"/>
  <c r="L604" i="15"/>
  <c r="K604" i="15"/>
  <c r="L740" i="15"/>
  <c r="K740" i="15"/>
  <c r="L238" i="15"/>
  <c r="K238" i="15"/>
  <c r="H141" i="16"/>
  <c r="J22" i="22"/>
  <c r="N36" i="16"/>
  <c r="J5" i="22" s="1"/>
  <c r="N635" i="16"/>
  <c r="N713" i="16"/>
  <c r="J31" i="22"/>
  <c r="N609" i="16"/>
  <c r="N271" i="16"/>
  <c r="J8" i="22"/>
  <c r="J6" i="22"/>
  <c r="N739" i="16"/>
  <c r="J18" i="22"/>
  <c r="N245" i="16"/>
  <c r="N453" i="16"/>
  <c r="N479" i="16"/>
  <c r="J14" i="22"/>
  <c r="N531" i="16"/>
  <c r="N375" i="16"/>
  <c r="N765" i="16"/>
  <c r="N349" i="16"/>
  <c r="J32" i="22"/>
  <c r="J33" i="22"/>
  <c r="J26" i="22"/>
  <c r="N557" i="16"/>
  <c r="J35" i="22"/>
  <c r="J24" i="22"/>
  <c r="J27" i="22"/>
  <c r="J34" i="22"/>
  <c r="N323" i="16"/>
  <c r="N583" i="16"/>
  <c r="N63" i="16"/>
  <c r="N141" i="16"/>
  <c r="N219" i="16"/>
  <c r="N24" i="21" l="1"/>
  <c r="H530" i="15"/>
  <c r="K24" i="23"/>
  <c r="H31" i="20" s="1"/>
  <c r="K23" i="23"/>
  <c r="H30" i="20" s="1"/>
  <c r="P634" i="15"/>
  <c r="P660" i="15"/>
  <c r="P556" i="15"/>
  <c r="N25" i="23" s="1"/>
  <c r="N30" i="23"/>
  <c r="P530" i="15"/>
  <c r="N24" i="23" s="1"/>
  <c r="P608" i="15"/>
  <c r="P582" i="15"/>
  <c r="F9" i="27"/>
  <c r="P504" i="15"/>
  <c r="N23" i="23" s="1"/>
  <c r="P478" i="15"/>
  <c r="N22" i="21"/>
  <c r="P452" i="15"/>
  <c r="H452" i="15"/>
  <c r="N21" i="21" s="1"/>
  <c r="G33" i="27"/>
  <c r="H426" i="15"/>
  <c r="N20" i="21" s="1"/>
  <c r="P426" i="15"/>
  <c r="H400" i="15"/>
  <c r="P400" i="15"/>
  <c r="P374" i="15"/>
  <c r="N18" i="23" s="1"/>
  <c r="P348" i="15"/>
  <c r="N17" i="21"/>
  <c r="P322" i="15"/>
  <c r="N16" i="23" s="1"/>
  <c r="H322" i="15"/>
  <c r="N16" i="21" s="1"/>
  <c r="K16" i="23"/>
  <c r="J28" i="27" s="1"/>
  <c r="H296" i="15"/>
  <c r="N15" i="21" s="1"/>
  <c r="P296" i="15"/>
  <c r="H270" i="15"/>
  <c r="N14" i="21" s="1"/>
  <c r="P270" i="15"/>
  <c r="N14" i="23" s="1"/>
  <c r="H244" i="15"/>
  <c r="N13" i="21" s="1"/>
  <c r="P244" i="15"/>
  <c r="N12" i="23"/>
  <c r="H218" i="15"/>
  <c r="N12" i="21" s="1"/>
  <c r="P192" i="15"/>
  <c r="N11" i="23" s="1"/>
  <c r="H192" i="15"/>
  <c r="N11" i="21" s="1"/>
  <c r="D7" i="27"/>
  <c r="H166" i="15"/>
  <c r="P166" i="15"/>
  <c r="N10" i="23" s="1"/>
  <c r="G22" i="27"/>
  <c r="F7" i="27"/>
  <c r="H140" i="15"/>
  <c r="P140" i="15"/>
  <c r="K9" i="23"/>
  <c r="J21" i="27" s="1"/>
  <c r="P114" i="15"/>
  <c r="H114" i="15"/>
  <c r="N8" i="21" s="1"/>
  <c r="K8" i="23"/>
  <c r="J20" i="27" s="1"/>
  <c r="L270" i="15"/>
  <c r="N14" i="22" s="1"/>
  <c r="L816" i="15"/>
  <c r="L218" i="15"/>
  <c r="N12" i="22" s="1"/>
  <c r="L296" i="15"/>
  <c r="N15" i="22" s="1"/>
  <c r="L660" i="15"/>
  <c r="N29" i="22" s="1"/>
  <c r="L738" i="15"/>
  <c r="L608" i="15"/>
  <c r="L764" i="15"/>
  <c r="N33" i="22" s="1"/>
  <c r="L192" i="15"/>
  <c r="N11" i="22" s="1"/>
  <c r="L582" i="15"/>
  <c r="L426" i="15"/>
  <c r="N20" i="22" s="1"/>
  <c r="L478" i="15"/>
  <c r="N22" i="22" s="1"/>
  <c r="L686" i="15"/>
  <c r="N30" i="22" s="1"/>
  <c r="L556" i="15"/>
  <c r="L452" i="15"/>
  <c r="N21" i="22" s="1"/>
  <c r="L348" i="15"/>
  <c r="N17" i="22" s="1"/>
  <c r="G28" i="27"/>
  <c r="E8" i="27"/>
  <c r="L374" i="15"/>
  <c r="N18" i="22" s="1"/>
  <c r="L166" i="15"/>
  <c r="N10" i="22" s="1"/>
  <c r="L114" i="15"/>
  <c r="N8" i="22" s="1"/>
  <c r="L790" i="15"/>
  <c r="L322" i="15"/>
  <c r="N16" i="22" s="1"/>
  <c r="L400" i="15"/>
  <c r="N19" i="22" s="1"/>
  <c r="L634" i="15"/>
  <c r="N28" i="22" s="1"/>
  <c r="L712" i="15"/>
  <c r="L530" i="15"/>
  <c r="N24" i="22" s="1"/>
  <c r="L244" i="15"/>
  <c r="N13" i="22" s="1"/>
  <c r="L140" i="15"/>
  <c r="N9" i="22" s="1"/>
  <c r="L504" i="15"/>
  <c r="N23" i="22" s="1"/>
  <c r="E9" i="27"/>
  <c r="H88" i="15"/>
  <c r="N7" i="23"/>
  <c r="F6" i="27"/>
  <c r="L88" i="15"/>
  <c r="N7" i="22" s="1"/>
  <c r="N6" i="21"/>
  <c r="H62" i="15"/>
  <c r="N6" i="23"/>
  <c r="L62" i="15"/>
  <c r="N6" i="22" s="1"/>
  <c r="G32" i="27"/>
  <c r="I36" i="23"/>
  <c r="I36" i="21"/>
  <c r="B25" i="7"/>
  <c r="B25" i="18" s="1"/>
  <c r="B21" i="21" s="1"/>
  <c r="B24" i="26"/>
  <c r="B20" i="22"/>
  <c r="B20" i="23" s="1"/>
  <c r="B27" i="20" s="1"/>
  <c r="B32" i="27"/>
  <c r="C32" i="27" s="1"/>
  <c r="B480" i="5"/>
  <c r="B454" i="6"/>
  <c r="A454" i="17"/>
  <c r="B453" i="16"/>
  <c r="C453" i="15" s="1"/>
  <c r="B26" i="4"/>
  <c r="J36" i="22"/>
  <c r="E21" i="27"/>
  <c r="I36" i="22"/>
  <c r="H41" i="20"/>
  <c r="J46" i="27"/>
  <c r="H40" i="20"/>
  <c r="J45" i="27"/>
  <c r="H39" i="20"/>
  <c r="J44" i="27"/>
  <c r="H38" i="20"/>
  <c r="J43" i="27"/>
  <c r="H37" i="20"/>
  <c r="J42" i="27"/>
  <c r="H36" i="20"/>
  <c r="J41" i="27"/>
  <c r="H35" i="20"/>
  <c r="J40" i="27"/>
  <c r="H34" i="20"/>
  <c r="J39" i="27"/>
  <c r="H33" i="20"/>
  <c r="J38" i="27"/>
  <c r="H32" i="20"/>
  <c r="J37" i="27"/>
  <c r="H29" i="20"/>
  <c r="J34" i="27"/>
  <c r="H28" i="20"/>
  <c r="J33" i="27"/>
  <c r="H27" i="20"/>
  <c r="J32" i="27"/>
  <c r="H26" i="20"/>
  <c r="J31" i="27"/>
  <c r="H25" i="20"/>
  <c r="J30" i="27"/>
  <c r="H24" i="20"/>
  <c r="J29" i="27"/>
  <c r="H23" i="20"/>
  <c r="H22" i="20"/>
  <c r="J27" i="27"/>
  <c r="H21" i="20"/>
  <c r="J26" i="27"/>
  <c r="H20" i="20"/>
  <c r="J25" i="27"/>
  <c r="H19" i="20"/>
  <c r="J24" i="27"/>
  <c r="H18" i="20"/>
  <c r="J23" i="27"/>
  <c r="H17" i="20"/>
  <c r="J22" i="27"/>
  <c r="H16" i="20"/>
  <c r="H14" i="20"/>
  <c r="J19" i="27"/>
  <c r="H13" i="20"/>
  <c r="J18" i="27"/>
  <c r="G17" i="27"/>
  <c r="G23" i="27"/>
  <c r="N27" i="21"/>
  <c r="R19" i="27"/>
  <c r="N34" i="21"/>
  <c r="N10" i="21"/>
  <c r="N9" i="21"/>
  <c r="N33" i="21"/>
  <c r="N29" i="21"/>
  <c r="N25" i="21"/>
  <c r="N26" i="23"/>
  <c r="N28" i="23"/>
  <c r="N18" i="21"/>
  <c r="N7" i="21"/>
  <c r="N22" i="23"/>
  <c r="M31" i="22"/>
  <c r="K31" i="22"/>
  <c r="M26" i="22"/>
  <c r="K26" i="22"/>
  <c r="M22" i="22"/>
  <c r="K22" i="22"/>
  <c r="M23" i="22"/>
  <c r="K23" i="22"/>
  <c r="M25" i="22"/>
  <c r="K25" i="22"/>
  <c r="M28" i="22"/>
  <c r="K28" i="22"/>
  <c r="M29" i="22"/>
  <c r="K29" i="22"/>
  <c r="M32" i="22"/>
  <c r="K32" i="22"/>
  <c r="M24" i="22"/>
  <c r="K24" i="22"/>
  <c r="M27" i="22"/>
  <c r="K27" i="22"/>
  <c r="M35" i="22"/>
  <c r="K35" i="22"/>
  <c r="M30" i="22"/>
  <c r="K30" i="22"/>
  <c r="M33" i="22"/>
  <c r="K33" i="22"/>
  <c r="M34" i="22"/>
  <c r="K34" i="22"/>
  <c r="M21" i="22"/>
  <c r="K21" i="22"/>
  <c r="M20" i="22"/>
  <c r="K20" i="22"/>
  <c r="N19" i="21"/>
  <c r="M19" i="22"/>
  <c r="K19" i="22"/>
  <c r="M18" i="22"/>
  <c r="K18" i="22"/>
  <c r="M17" i="22"/>
  <c r="K17" i="22"/>
  <c r="M16" i="22"/>
  <c r="K16" i="22"/>
  <c r="M15" i="22"/>
  <c r="K15" i="22"/>
  <c r="M14" i="22"/>
  <c r="K14" i="22"/>
  <c r="M13" i="22"/>
  <c r="K13" i="22"/>
  <c r="M12" i="22"/>
  <c r="K12" i="22"/>
  <c r="M20" i="21"/>
  <c r="K20" i="21"/>
  <c r="M15" i="21"/>
  <c r="K15" i="21"/>
  <c r="M28" i="21"/>
  <c r="K28" i="21"/>
  <c r="M12" i="21"/>
  <c r="K12" i="21"/>
  <c r="M19" i="21"/>
  <c r="K19" i="21"/>
  <c r="M18" i="21"/>
  <c r="K18" i="21"/>
  <c r="M24" i="21"/>
  <c r="K24" i="21"/>
  <c r="M16" i="21"/>
  <c r="K16" i="21"/>
  <c r="M22" i="21"/>
  <c r="K22" i="21"/>
  <c r="M13" i="21"/>
  <c r="K13" i="21"/>
  <c r="M11" i="21"/>
  <c r="K11" i="21"/>
  <c r="M17" i="21"/>
  <c r="K17" i="21"/>
  <c r="M14" i="21"/>
  <c r="K14" i="21"/>
  <c r="M25" i="21"/>
  <c r="K25" i="21"/>
  <c r="M27" i="21"/>
  <c r="K27" i="21"/>
  <c r="M23" i="21"/>
  <c r="K23" i="21"/>
  <c r="M26" i="21"/>
  <c r="K26" i="21"/>
  <c r="M21" i="21"/>
  <c r="K21" i="21"/>
  <c r="M29" i="21"/>
  <c r="K29" i="21"/>
  <c r="M31" i="21"/>
  <c r="K31" i="21"/>
  <c r="M30" i="21"/>
  <c r="K30" i="21"/>
  <c r="M10" i="21"/>
  <c r="K10" i="21"/>
  <c r="M11" i="22"/>
  <c r="K11" i="22"/>
  <c r="M10" i="22"/>
  <c r="K10" i="22"/>
  <c r="M9" i="21"/>
  <c r="K9" i="21"/>
  <c r="M9" i="22"/>
  <c r="K9" i="22"/>
  <c r="M8" i="22"/>
  <c r="K8" i="22"/>
  <c r="M7" i="22"/>
  <c r="K7" i="22"/>
  <c r="M8" i="21"/>
  <c r="K8" i="21"/>
  <c r="M7" i="21"/>
  <c r="K7" i="21"/>
  <c r="M32" i="21"/>
  <c r="K32" i="21"/>
  <c r="M35" i="21"/>
  <c r="K35" i="21"/>
  <c r="M33" i="21"/>
  <c r="K33" i="21"/>
  <c r="M34" i="21"/>
  <c r="K34" i="21"/>
  <c r="M6" i="22"/>
  <c r="K6" i="22"/>
  <c r="K36" i="15"/>
  <c r="M5" i="22" s="1"/>
  <c r="K5" i="22"/>
  <c r="O36" i="15"/>
  <c r="M5" i="23" s="1"/>
  <c r="K5" i="23"/>
  <c r="J17" i="27" s="1"/>
  <c r="N29" i="23"/>
  <c r="N21" i="23"/>
  <c r="N9" i="23"/>
  <c r="N15" i="23"/>
  <c r="N27" i="23"/>
  <c r="N17" i="23"/>
  <c r="N32" i="23"/>
  <c r="N20" i="23"/>
  <c r="P36" i="15"/>
  <c r="N5" i="23" s="1"/>
  <c r="N31" i="22"/>
  <c r="N34" i="22"/>
  <c r="N13" i="23"/>
  <c r="N19" i="23"/>
  <c r="N26" i="22"/>
  <c r="N34" i="23"/>
  <c r="N8" i="23"/>
  <c r="N31" i="23"/>
  <c r="N32" i="22"/>
  <c r="N35" i="22"/>
  <c r="N25" i="22"/>
  <c r="N27" i="22"/>
  <c r="L36" i="15"/>
  <c r="N5" i="22" s="1"/>
  <c r="J36" i="27" l="1"/>
  <c r="J35" i="27"/>
  <c r="J8" i="27"/>
  <c r="J7" i="27"/>
  <c r="H15" i="20"/>
  <c r="G21" i="27"/>
  <c r="E7" i="27"/>
  <c r="J6" i="27"/>
  <c r="N36" i="22"/>
  <c r="M36" i="22"/>
  <c r="B506" i="5"/>
  <c r="B480" i="6"/>
  <c r="A480" i="17"/>
  <c r="B27" i="4"/>
  <c r="B479" i="16"/>
  <c r="C479" i="15" s="1"/>
  <c r="B26" i="7"/>
  <c r="B26" i="18" s="1"/>
  <c r="B22" i="21" s="1"/>
  <c r="B25" i="26"/>
  <c r="B21" i="22"/>
  <c r="B21" i="23" s="1"/>
  <c r="B28" i="20" s="1"/>
  <c r="B33" i="27"/>
  <c r="C33" i="27" s="1"/>
  <c r="I17" i="27"/>
  <c r="K36" i="22"/>
  <c r="G42" i="20"/>
  <c r="I47" i="27"/>
  <c r="G41" i="20"/>
  <c r="I46" i="27"/>
  <c r="G40" i="20"/>
  <c r="I45" i="27"/>
  <c r="G39" i="20"/>
  <c r="I44" i="27"/>
  <c r="G38" i="20"/>
  <c r="I43" i="27"/>
  <c r="G37" i="20"/>
  <c r="I42" i="27"/>
  <c r="I10" i="27" s="1"/>
  <c r="G36" i="20"/>
  <c r="I41" i="27"/>
  <c r="G35" i="20"/>
  <c r="I40" i="27"/>
  <c r="G34" i="20"/>
  <c r="I39" i="27"/>
  <c r="G33" i="20"/>
  <c r="I38" i="27"/>
  <c r="G32" i="20"/>
  <c r="I37" i="27"/>
  <c r="G31" i="20"/>
  <c r="I36" i="27"/>
  <c r="G30" i="20"/>
  <c r="I35" i="27"/>
  <c r="G29" i="20"/>
  <c r="I34" i="27"/>
  <c r="G28" i="20"/>
  <c r="I33" i="27"/>
  <c r="G27" i="20"/>
  <c r="I32" i="27"/>
  <c r="G26" i="20"/>
  <c r="I31" i="27"/>
  <c r="G25" i="20"/>
  <c r="I30" i="27"/>
  <c r="G24" i="20"/>
  <c r="I29" i="27"/>
  <c r="G23" i="20"/>
  <c r="I28" i="27"/>
  <c r="G22" i="20"/>
  <c r="I27" i="27"/>
  <c r="G21" i="20"/>
  <c r="I26" i="27"/>
  <c r="G20" i="20"/>
  <c r="I25" i="27"/>
  <c r="G19" i="20"/>
  <c r="I24" i="27"/>
  <c r="G18" i="20"/>
  <c r="I23" i="27"/>
  <c r="G17" i="20"/>
  <c r="I22" i="27"/>
  <c r="G16" i="20"/>
  <c r="I21" i="27"/>
  <c r="G15" i="20"/>
  <c r="I20" i="27"/>
  <c r="G14" i="20"/>
  <c r="I19" i="27"/>
  <c r="G13" i="20"/>
  <c r="I18" i="27"/>
  <c r="F42" i="20"/>
  <c r="H47" i="27"/>
  <c r="F41" i="20"/>
  <c r="I41" i="20" s="1"/>
  <c r="J41" i="20" s="1"/>
  <c r="P46" i="27" s="1"/>
  <c r="H46" i="27"/>
  <c r="K46" i="27" s="1"/>
  <c r="F40" i="20"/>
  <c r="I40" i="20" s="1"/>
  <c r="J40" i="20" s="1"/>
  <c r="P45" i="27" s="1"/>
  <c r="H45" i="27"/>
  <c r="K45" i="27" s="1"/>
  <c r="F39" i="20"/>
  <c r="H44" i="27"/>
  <c r="K44" i="27" s="1"/>
  <c r="F38" i="20"/>
  <c r="H43" i="27"/>
  <c r="K43" i="27" s="1"/>
  <c r="F37" i="20"/>
  <c r="I37" i="20" s="1"/>
  <c r="J37" i="20" s="1"/>
  <c r="P42" i="27" s="1"/>
  <c r="H42" i="27"/>
  <c r="K42" i="27" s="1"/>
  <c r="F36" i="20"/>
  <c r="I36" i="20" s="1"/>
  <c r="J36" i="20" s="1"/>
  <c r="P41" i="27" s="1"/>
  <c r="H41" i="27"/>
  <c r="K41" i="27" s="1"/>
  <c r="F35" i="20"/>
  <c r="H40" i="27"/>
  <c r="K40" i="27" s="1"/>
  <c r="F34" i="20"/>
  <c r="I34" i="20" s="1"/>
  <c r="J34" i="20" s="1"/>
  <c r="P39" i="27" s="1"/>
  <c r="H39" i="27"/>
  <c r="K39" i="27" s="1"/>
  <c r="F33" i="20"/>
  <c r="I33" i="20" s="1"/>
  <c r="J33" i="20" s="1"/>
  <c r="P38" i="27" s="1"/>
  <c r="H38" i="27"/>
  <c r="K38" i="27" s="1"/>
  <c r="F32" i="20"/>
  <c r="H37" i="27"/>
  <c r="K37" i="27" s="1"/>
  <c r="F31" i="20"/>
  <c r="H36" i="27"/>
  <c r="F30" i="20"/>
  <c r="H35" i="27"/>
  <c r="F29" i="20"/>
  <c r="H34" i="27"/>
  <c r="F28" i="20"/>
  <c r="H33" i="27"/>
  <c r="F27" i="20"/>
  <c r="H32" i="27"/>
  <c r="F26" i="20"/>
  <c r="H31" i="27"/>
  <c r="F25" i="20"/>
  <c r="H30" i="27"/>
  <c r="F24" i="20"/>
  <c r="H29" i="27"/>
  <c r="F23" i="20"/>
  <c r="I23" i="20" s="1"/>
  <c r="J23" i="20" s="1"/>
  <c r="P28" i="27" s="1"/>
  <c r="H28" i="27"/>
  <c r="F22" i="20"/>
  <c r="H27" i="27"/>
  <c r="K27" i="27" s="1"/>
  <c r="F21" i="20"/>
  <c r="H26" i="27"/>
  <c r="F20" i="20"/>
  <c r="H25" i="27"/>
  <c r="K25" i="27" s="1"/>
  <c r="F19" i="20"/>
  <c r="H24" i="27"/>
  <c r="F18" i="20"/>
  <c r="H23" i="27"/>
  <c r="F17" i="20"/>
  <c r="H22" i="27"/>
  <c r="F16" i="20"/>
  <c r="H21" i="27"/>
  <c r="F15" i="20"/>
  <c r="H20" i="27"/>
  <c r="F14" i="20"/>
  <c r="H19" i="27"/>
  <c r="R20" i="27"/>
  <c r="I39" i="20"/>
  <c r="J39" i="20" s="1"/>
  <c r="P44" i="27" s="1"/>
  <c r="I35" i="20"/>
  <c r="J35" i="20" s="1"/>
  <c r="P40" i="27" s="1"/>
  <c r="I38" i="20"/>
  <c r="J38" i="20" s="1"/>
  <c r="P43" i="27" s="1"/>
  <c r="G12" i="20"/>
  <c r="H12" i="20"/>
  <c r="J9" i="27" l="1"/>
  <c r="K36" i="27"/>
  <c r="I31" i="20"/>
  <c r="J31" i="20" s="1"/>
  <c r="P36" i="27" s="1"/>
  <c r="I30" i="20"/>
  <c r="J30" i="20" s="1"/>
  <c r="P35" i="27" s="1"/>
  <c r="I29" i="20"/>
  <c r="J29" i="20" s="1"/>
  <c r="P34" i="27" s="1"/>
  <c r="K35" i="27"/>
  <c r="H9" i="27"/>
  <c r="K34" i="27"/>
  <c r="I28" i="20"/>
  <c r="J28" i="20" s="1"/>
  <c r="P33" i="27" s="1"/>
  <c r="K33" i="27"/>
  <c r="K32" i="27"/>
  <c r="I27" i="20"/>
  <c r="J27" i="20" s="1"/>
  <c r="P32" i="27" s="1"/>
  <c r="K31" i="27"/>
  <c r="I26" i="20"/>
  <c r="J26" i="20" s="1"/>
  <c r="P31" i="27" s="1"/>
  <c r="K30" i="27"/>
  <c r="I25" i="20"/>
  <c r="J25" i="20" s="1"/>
  <c r="P30" i="27" s="1"/>
  <c r="I8" i="27"/>
  <c r="K29" i="27"/>
  <c r="I24" i="20"/>
  <c r="J24" i="20" s="1"/>
  <c r="P29" i="27" s="1"/>
  <c r="K28" i="27"/>
  <c r="H8" i="27"/>
  <c r="I22" i="20"/>
  <c r="J22" i="20" s="1"/>
  <c r="P27" i="27" s="1"/>
  <c r="K26" i="27"/>
  <c r="I21" i="20"/>
  <c r="J21" i="20" s="1"/>
  <c r="P26" i="27" s="1"/>
  <c r="I20" i="20"/>
  <c r="J20" i="20" s="1"/>
  <c r="P25" i="27" s="1"/>
  <c r="K24" i="27"/>
  <c r="I19" i="20"/>
  <c r="J19" i="20" s="1"/>
  <c r="P24" i="27" s="1"/>
  <c r="I18" i="20"/>
  <c r="J18" i="20" s="1"/>
  <c r="P23" i="27" s="1"/>
  <c r="K23" i="27"/>
  <c r="K22" i="27"/>
  <c r="H7" i="27"/>
  <c r="I17" i="20"/>
  <c r="J17" i="20" s="1"/>
  <c r="P22" i="27" s="1"/>
  <c r="I16" i="20"/>
  <c r="J16" i="20" s="1"/>
  <c r="P21" i="27" s="1"/>
  <c r="K20" i="27"/>
  <c r="I7" i="27"/>
  <c r="I9" i="27"/>
  <c r="I15" i="20"/>
  <c r="J15" i="20" s="1"/>
  <c r="P20" i="27" s="1"/>
  <c r="K19" i="27"/>
  <c r="I14" i="20"/>
  <c r="J14" i="20" s="1"/>
  <c r="P19" i="27" s="1"/>
  <c r="I6" i="27"/>
  <c r="I32" i="20"/>
  <c r="J32" i="20" s="1"/>
  <c r="P37" i="27" s="1"/>
  <c r="G43" i="20"/>
  <c r="B22" i="22"/>
  <c r="B22" i="23" s="1"/>
  <c r="B29" i="20" s="1"/>
  <c r="B34" i="27"/>
  <c r="C34" i="27" s="1"/>
  <c r="A506" i="17"/>
  <c r="B532" i="5"/>
  <c r="B506" i="6"/>
  <c r="B28" i="4"/>
  <c r="B505" i="16"/>
  <c r="C505" i="15" s="1"/>
  <c r="B26" i="26"/>
  <c r="B27" i="7"/>
  <c r="B27" i="18" s="1"/>
  <c r="B23" i="21" s="1"/>
  <c r="K21" i="27"/>
  <c r="R21" i="27"/>
  <c r="R22" i="27" s="1"/>
  <c r="P799" i="16"/>
  <c r="P9" i="27" l="1"/>
  <c r="Q799" i="16"/>
  <c r="Q816" i="16" s="1"/>
  <c r="P816" i="16" a="1"/>
  <c r="P816" i="16" s="1"/>
  <c r="P8" i="27"/>
  <c r="P7" i="27"/>
  <c r="B35" i="27"/>
  <c r="C35" i="27" s="1"/>
  <c r="B23" i="22"/>
  <c r="B23" i="23" s="1"/>
  <c r="B30" i="20" s="1"/>
  <c r="B27" i="26"/>
  <c r="B28" i="7"/>
  <c r="B28" i="18" s="1"/>
  <c r="B24" i="21" s="1"/>
  <c r="B532" i="6"/>
  <c r="A532" i="17"/>
  <c r="B558" i="5"/>
  <c r="B29" i="4"/>
  <c r="B531" i="16"/>
  <c r="C531" i="15" s="1"/>
  <c r="Q800" i="16"/>
  <c r="U800" i="16"/>
  <c r="U799" i="16"/>
  <c r="E42" i="20" l="1"/>
  <c r="E43" i="20" s="1"/>
  <c r="T799" i="16"/>
  <c r="M799" i="15"/>
  <c r="U816" i="16"/>
  <c r="T816" i="16"/>
  <c r="B29" i="7"/>
  <c r="B29" i="18" s="1"/>
  <c r="B25" i="21" s="1"/>
  <c r="B28" i="26"/>
  <c r="B584" i="5"/>
  <c r="B558" i="6"/>
  <c r="A558" i="17"/>
  <c r="B557" i="16"/>
  <c r="C557" i="15" s="1"/>
  <c r="B30" i="4"/>
  <c r="B36" i="27"/>
  <c r="C36" i="27" s="1"/>
  <c r="B24" i="22"/>
  <c r="B24" i="23" s="1"/>
  <c r="B31" i="20" s="1"/>
  <c r="T800" i="16"/>
  <c r="M800" i="15"/>
  <c r="O799" i="15"/>
  <c r="M816" i="15" l="1"/>
  <c r="O816" i="15" s="1"/>
  <c r="P799" i="15"/>
  <c r="B30" i="7"/>
  <c r="B30" i="18" s="1"/>
  <c r="B26" i="21" s="1"/>
  <c r="B29" i="26"/>
  <c r="B610" i="5"/>
  <c r="B584" i="6"/>
  <c r="A584" i="17"/>
  <c r="B31" i="4"/>
  <c r="B583" i="16"/>
  <c r="C583" i="15" s="1"/>
  <c r="B37" i="27"/>
  <c r="C37" i="27" s="1"/>
  <c r="B25" i="22"/>
  <c r="B25" i="23" s="1"/>
  <c r="B32" i="20" s="1"/>
  <c r="J35" i="23"/>
  <c r="J36" i="23" s="1"/>
  <c r="O800" i="15"/>
  <c r="P800" i="15"/>
  <c r="N35" i="23" l="1"/>
  <c r="N36" i="23" s="1"/>
  <c r="P816" i="15"/>
  <c r="A610" i="17"/>
  <c r="B610" i="6"/>
  <c r="B636" i="5"/>
  <c r="B609" i="16"/>
  <c r="C609" i="15" s="1"/>
  <c r="B32" i="4"/>
  <c r="B38" i="27"/>
  <c r="C38" i="27" s="1"/>
  <c r="B26" i="22"/>
  <c r="B26" i="23" s="1"/>
  <c r="B33" i="20" s="1"/>
  <c r="B30" i="26"/>
  <c r="B31" i="7"/>
  <c r="B31" i="18" s="1"/>
  <c r="B27" i="21" s="1"/>
  <c r="K35" i="23"/>
  <c r="M35" i="23"/>
  <c r="M36" i="23" s="1"/>
  <c r="J47" i="27" l="1"/>
  <c r="K36" i="23"/>
  <c r="B636" i="6"/>
  <c r="A636" i="17"/>
  <c r="B662" i="5"/>
  <c r="B635" i="16"/>
  <c r="C635" i="15" s="1"/>
  <c r="B33" i="4"/>
  <c r="B39" i="27"/>
  <c r="C39" i="27" s="1"/>
  <c r="B27" i="22"/>
  <c r="B27" i="23" s="1"/>
  <c r="B34" i="20" s="1"/>
  <c r="B31" i="26"/>
  <c r="B32" i="7"/>
  <c r="B32" i="18" s="1"/>
  <c r="B28" i="21" s="1"/>
  <c r="H42" i="20"/>
  <c r="K47" i="27" l="1"/>
  <c r="J10" i="27"/>
  <c r="I42" i="20"/>
  <c r="J42" i="20" s="1"/>
  <c r="P47" i="27" s="1"/>
  <c r="P10" i="27" s="1"/>
  <c r="H43" i="20"/>
  <c r="B28" i="22"/>
  <c r="B28" i="23" s="1"/>
  <c r="B35" i="20" s="1"/>
  <c r="B40" i="27"/>
  <c r="C40" i="27" s="1"/>
  <c r="B32" i="26"/>
  <c r="B33" i="7"/>
  <c r="B33" i="18" s="1"/>
  <c r="B29" i="21" s="1"/>
  <c r="B688" i="5"/>
  <c r="B662" i="6"/>
  <c r="A662" i="17"/>
  <c r="B661" i="16"/>
  <c r="C661" i="15" s="1"/>
  <c r="B34" i="4"/>
  <c r="C9" i="4"/>
  <c r="C40" i="4" s="1"/>
  <c r="K40" i="4" s="1"/>
  <c r="D11" i="16"/>
  <c r="D36" i="16" l="1" a="1"/>
  <c r="D36" i="16" s="1"/>
  <c r="B34" i="7"/>
  <c r="B34" i="18" s="1"/>
  <c r="B30" i="21" s="1"/>
  <c r="B33" i="26"/>
  <c r="B714" i="5"/>
  <c r="A688" i="17"/>
  <c r="B688" i="6"/>
  <c r="B35" i="4"/>
  <c r="B687" i="16"/>
  <c r="C687" i="15" s="1"/>
  <c r="B29" i="22"/>
  <c r="B29" i="23" s="1"/>
  <c r="B36" i="20" s="1"/>
  <c r="B41" i="27"/>
  <c r="C41" i="27" s="1"/>
  <c r="E11" i="15"/>
  <c r="K9" i="4"/>
  <c r="E9" i="4"/>
  <c r="G8" i="26"/>
  <c r="G9" i="4"/>
  <c r="I12" i="16"/>
  <c r="E12" i="16"/>
  <c r="E36" i="16" s="1"/>
  <c r="H37" i="16" l="1"/>
  <c r="E37" i="15"/>
  <c r="E62" i="15" s="1"/>
  <c r="A714" i="17"/>
  <c r="B714" i="6"/>
  <c r="B740" i="5"/>
  <c r="B713" i="16"/>
  <c r="C713" i="15" s="1"/>
  <c r="B36" i="4"/>
  <c r="B35" i="7"/>
  <c r="B35" i="18" s="1"/>
  <c r="B31" i="21" s="1"/>
  <c r="B34" i="26"/>
  <c r="B30" i="22"/>
  <c r="B30" i="23" s="1"/>
  <c r="B37" i="20" s="1"/>
  <c r="B42" i="27"/>
  <c r="C42" i="27" s="1"/>
  <c r="H11" i="16"/>
  <c r="H12" i="16"/>
  <c r="C12" i="20"/>
  <c r="C43" i="20" s="1"/>
  <c r="E12" i="15"/>
  <c r="E36" i="15" s="1"/>
  <c r="G40" i="4"/>
  <c r="E40" i="4"/>
  <c r="G62" i="15" l="1"/>
  <c r="M6" i="21" s="1"/>
  <c r="K6" i="21"/>
  <c r="B740" i="6"/>
  <c r="A740" i="17"/>
  <c r="B766" i="5"/>
  <c r="B37" i="4"/>
  <c r="B739" i="16"/>
  <c r="C739" i="15" s="1"/>
  <c r="B43" i="27"/>
  <c r="C43" i="27" s="1"/>
  <c r="B31" i="22"/>
  <c r="B31" i="23" s="1"/>
  <c r="B38" i="20" s="1"/>
  <c r="B35" i="26"/>
  <c r="B36" i="7"/>
  <c r="B36" i="18" s="1"/>
  <c r="B32" i="21" s="1"/>
  <c r="H36" i="16"/>
  <c r="J5" i="21" s="1"/>
  <c r="J36" i="21" s="1"/>
  <c r="I36" i="16"/>
  <c r="G12" i="15"/>
  <c r="H12" i="15"/>
  <c r="H36" i="15" s="1"/>
  <c r="N5" i="21" s="1"/>
  <c r="N36" i="21" s="1"/>
  <c r="F13" i="20" l="1"/>
  <c r="I13" i="20" s="1"/>
  <c r="J13" i="20" s="1"/>
  <c r="P18" i="27" s="1"/>
  <c r="H18" i="27"/>
  <c r="K18" i="27" s="1"/>
  <c r="B36" i="26"/>
  <c r="B37" i="7"/>
  <c r="B37" i="18" s="1"/>
  <c r="B33" i="21" s="1"/>
  <c r="B792" i="5"/>
  <c r="B766" i="6"/>
  <c r="A766" i="17"/>
  <c r="B38" i="4"/>
  <c r="B765" i="16"/>
  <c r="C765" i="15" s="1"/>
  <c r="B44" i="27"/>
  <c r="C44" i="27" s="1"/>
  <c r="B32" i="22"/>
  <c r="B32" i="23" s="1"/>
  <c r="B39" i="20" s="1"/>
  <c r="G36" i="15"/>
  <c r="M5" i="21" s="1"/>
  <c r="M36" i="21" s="1"/>
  <c r="K5" i="21"/>
  <c r="H17" i="27" l="1"/>
  <c r="K36" i="21"/>
  <c r="B792" i="6"/>
  <c r="A792" i="17"/>
  <c r="B39" i="4"/>
  <c r="B791" i="16"/>
  <c r="C791" i="15" s="1"/>
  <c r="B37" i="26"/>
  <c r="B38" i="7"/>
  <c r="B38" i="18" s="1"/>
  <c r="B34" i="21" s="1"/>
  <c r="B45" i="27"/>
  <c r="C45" i="27" s="1"/>
  <c r="B33" i="22"/>
  <c r="B33" i="23" s="1"/>
  <c r="B40" i="20" s="1"/>
  <c r="F12" i="20"/>
  <c r="K17" i="27" l="1"/>
  <c r="H6" i="27"/>
  <c r="I12" i="20"/>
  <c r="J12" i="20" s="1"/>
  <c r="P17" i="27" s="1"/>
  <c r="F43" i="20"/>
  <c r="I43" i="20" s="1"/>
  <c r="J43" i="20" s="1"/>
  <c r="B38" i="26"/>
  <c r="B39" i="7"/>
  <c r="B39" i="18" s="1"/>
  <c r="B35" i="21" s="1"/>
  <c r="B46" i="27"/>
  <c r="C46" i="27" s="1"/>
  <c r="B34" i="22"/>
  <c r="B34" i="23" s="1"/>
  <c r="B41" i="20" s="1"/>
  <c r="P11" i="27" l="1"/>
  <c r="P6" i="27"/>
  <c r="B47" i="27"/>
  <c r="B13" i="27" s="1"/>
  <c r="B35" i="22"/>
  <c r="B35" i="23" s="1"/>
  <c r="B42" i="20" s="1"/>
  <c r="J11" i="27" l="1"/>
  <c r="M11" i="27"/>
  <c r="O9" i="27"/>
  <c r="N11" i="27"/>
  <c r="K9" i="27"/>
  <c r="F11" i="27"/>
  <c r="I11" i="27"/>
  <c r="G8" i="27"/>
  <c r="K7" i="27"/>
  <c r="O7" i="27"/>
  <c r="E11" i="27"/>
  <c r="K8" i="27"/>
  <c r="L11" i="27"/>
  <c r="O10" i="27"/>
  <c r="G10" i="27"/>
  <c r="C47" i="27"/>
  <c r="G9" i="27"/>
  <c r="O8" i="27"/>
  <c r="G6" i="27"/>
  <c r="D11" i="27"/>
  <c r="H11" i="27"/>
  <c r="K6" i="27"/>
  <c r="K10" i="27"/>
  <c r="G7" i="27"/>
  <c r="O6" i="27"/>
  <c r="T22" i="27" l="1"/>
  <c r="S22" i="27"/>
  <c r="K11" i="27"/>
  <c r="O11" i="27"/>
  <c r="S17" i="27"/>
  <c r="T17" i="27"/>
  <c r="S18" i="27"/>
  <c r="T18" i="27"/>
  <c r="T21" i="27"/>
  <c r="T20" i="27"/>
  <c r="S20" i="27"/>
  <c r="S19" i="27"/>
  <c r="T19" i="27"/>
  <c r="S21" i="27"/>
  <c r="G11" i="27"/>
  <c r="G89" i="6" l="1" a="1"/>
  <c r="G89" i="6" s="1"/>
  <c r="I11" i="7" s="1"/>
  <c r="I40" i="7" s="1"/>
  <c r="E89" i="6" a="1"/>
  <c r="E89" i="6" s="1"/>
  <c r="D11" i="7" s="1"/>
  <c r="I89" i="6" a="1"/>
  <c r="I89" i="6" s="1"/>
  <c r="L89" i="6" a="1"/>
  <c r="L89" i="6" s="1"/>
  <c r="N89" i="6" s="1"/>
  <c r="L11" i="7" s="1"/>
  <c r="F89" i="6" a="1"/>
  <c r="F89" i="6" s="1"/>
  <c r="T89" i="6"/>
  <c r="H7" i="22" s="1"/>
  <c r="H36" i="22" s="1"/>
  <c r="R89" i="6"/>
  <c r="F7" i="22" s="1"/>
  <c r="F36" i="22" s="1"/>
  <c r="D89" i="6" a="1"/>
  <c r="D89" i="6" s="1"/>
  <c r="C11" i="7" s="1"/>
  <c r="O89" i="6"/>
  <c r="C7" i="22" s="1"/>
  <c r="C36" i="22" s="1"/>
  <c r="P89" i="6"/>
  <c r="D7" i="22" s="1"/>
  <c r="D36" i="22" s="1"/>
  <c r="Q89" i="6"/>
  <c r="E7" i="22" s="1"/>
  <c r="E36" i="22" s="1"/>
  <c r="S89" i="6"/>
  <c r="G7" i="22" s="1"/>
  <c r="G36" i="22" s="1"/>
  <c r="M89" i="6"/>
  <c r="M89" i="6" a="1"/>
  <c r="J89" i="6" a="1"/>
  <c r="J89" i="6" s="1"/>
  <c r="K89" i="6" l="1"/>
  <c r="F11" i="7" s="1"/>
  <c r="L40" i="7"/>
  <c r="H10" i="26"/>
  <c r="H39" i="26" s="1"/>
  <c r="E11" i="7"/>
  <c r="D40" i="7"/>
  <c r="E10" i="26"/>
  <c r="E39" i="26" s="1"/>
  <c r="G10" i="26"/>
  <c r="G39" i="26" s="1"/>
  <c r="C40" i="7"/>
  <c r="H11" i="7"/>
  <c r="H89" i="6"/>
  <c r="O88" i="16" s="1"/>
  <c r="H40" i="7" l="1"/>
  <c r="J11" i="7"/>
  <c r="E40" i="7"/>
  <c r="C10" i="26"/>
  <c r="C39" i="26" s="1"/>
  <c r="F40" i="7"/>
  <c r="G40" i="7" s="1"/>
  <c r="G11" i="7"/>
  <c r="K11" i="7" l="1"/>
  <c r="F10" i="26"/>
  <c r="F39" i="26" s="1"/>
  <c r="J40" i="7"/>
  <c r="K4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FCB137F3-79D6-4619-94AA-B6299AD34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G11" authorId="0" shapeId="0" xr:uid="{D1CD337C-5C8B-4F42-9367-38C27D1E23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8679A528-8D4D-4F0D-A954-8BED40084B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 (unit cost RM0.337)</t>
        </r>
      </text>
    </comment>
    <comment ref="G11" authorId="0" shapeId="0" xr:uid="{A9E3B78D-5492-4E0B-83C6-5B77E25CFA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 (unit cost RM0.202)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1" authorId="0" shapeId="0" xr:uid="{014CE354-9DEE-4844-998A-DEF435F55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F11" authorId="0" shapeId="0" xr:uid="{20599FBB-B441-4B57-AF10-B71AC4DAFA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6795B5B0-84D3-4175-AD75-3F3AF4BFC7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628EA1D6-8E10-40D1-A036-AB7A187070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B5B46DF3-6FD6-462C-8F9E-C3EA60CBC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F8F2A031-7D2A-4FD8-9339-2833301EF6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1485F5ED-AE99-4282-8F5A-E91E4764C8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E9315B0E-C1FE-40E9-89B8-50BE346F4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<sst xmlns="http://schemas.openxmlformats.org/spreadsheetml/2006/main" count="428" uniqueCount="121">
  <si>
    <t>DAILY PRODUCTION &amp; USAGE RECORD</t>
  </si>
  <si>
    <t>BOILER NO.1</t>
  </si>
  <si>
    <t>MECHMAR</t>
  </si>
  <si>
    <t>LOCATION</t>
  </si>
  <si>
    <t>GEBENG, KUANTAN, PAHANG</t>
  </si>
  <si>
    <t>CLIENT</t>
  </si>
  <si>
    <t>KANEKA (M) SDN. BHD.</t>
  </si>
  <si>
    <t>MONTH</t>
  </si>
  <si>
    <t>DATE</t>
  </si>
  <si>
    <t>TIME</t>
  </si>
  <si>
    <t>PRODUCTION FLOWMETER</t>
  </si>
  <si>
    <t>ELECTRIC USAGE (PANEL) mWh</t>
  </si>
  <si>
    <t>TOTAL</t>
  </si>
  <si>
    <t>FUEL FLOWMETER</t>
  </si>
  <si>
    <t>FEED PUMP</t>
  </si>
  <si>
    <t>ECONOMISER</t>
  </si>
  <si>
    <t>FLUE GAS</t>
  </si>
  <si>
    <t>BLOWDOWN</t>
  </si>
  <si>
    <t>NATURAL GAS</t>
  </si>
  <si>
    <t>WASTE GAS</t>
  </si>
  <si>
    <t>Temp</t>
  </si>
  <si>
    <t>Pressure</t>
  </si>
  <si>
    <t>Temp In</t>
  </si>
  <si>
    <t>Temp Out</t>
  </si>
  <si>
    <t>STEAM</t>
  </si>
  <si>
    <t>WATER</t>
  </si>
  <si>
    <t>T1</t>
  </si>
  <si>
    <t>T2</t>
  </si>
  <si>
    <t>MWH</t>
  </si>
  <si>
    <t>BURNER 1</t>
  </si>
  <si>
    <t>BURNER 2</t>
  </si>
  <si>
    <t>◦C</t>
  </si>
  <si>
    <t>Barg</t>
  </si>
  <si>
    <t>In (◦C)</t>
  </si>
  <si>
    <t>Out (◦C)</t>
  </si>
  <si>
    <t>BOILER NO.2</t>
  </si>
  <si>
    <t>MINSTER</t>
  </si>
  <si>
    <t>ELECTRIC USAGE (PANEL) Mwh</t>
  </si>
  <si>
    <t>FLOWMETER</t>
  </si>
  <si>
    <t>time</t>
  </si>
  <si>
    <t>BOILER NO.3</t>
  </si>
  <si>
    <t>ENCO</t>
  </si>
  <si>
    <t>ELECTRIC USAGE (PANEL) kWh</t>
  </si>
  <si>
    <t>kWh</t>
  </si>
  <si>
    <t>BURNER</t>
  </si>
  <si>
    <t>CUSTODY</t>
  </si>
  <si>
    <t>NATURAL GAS / STEAM RATIO</t>
  </si>
  <si>
    <t>KANEKA</t>
  </si>
  <si>
    <t>BOILER</t>
  </si>
  <si>
    <t xml:space="preserve">BOILER NO 1  </t>
  </si>
  <si>
    <t xml:space="preserve">BOILER NO 2 </t>
  </si>
  <si>
    <t>BOILER NO 3</t>
  </si>
  <si>
    <t>STEAM  PRODUCE</t>
  </si>
  <si>
    <t>Total NG</t>
  </si>
  <si>
    <t>RATIO NG/STEAM</t>
  </si>
  <si>
    <t>Output %</t>
  </si>
  <si>
    <t>STEAM PRODUCE</t>
  </si>
  <si>
    <t>Mt</t>
  </si>
  <si>
    <t>Sm3</t>
  </si>
  <si>
    <t xml:space="preserve"> </t>
  </si>
  <si>
    <t>WATER / STEAM RATIO</t>
  </si>
  <si>
    <t>RATIO WATER/STEAM</t>
  </si>
  <si>
    <t xml:space="preserve">RATIO </t>
  </si>
  <si>
    <t>RATIO 
WATER/STEAM</t>
  </si>
  <si>
    <t>ELECT / STEAM</t>
  </si>
  <si>
    <t>Flowmeter</t>
  </si>
  <si>
    <t>m3</t>
  </si>
  <si>
    <t xml:space="preserve"> (kwh/MT steam)</t>
  </si>
  <si>
    <t>TOTAL DAILY PRODUCTION &amp; DAILY RECORD SUMMARY</t>
  </si>
  <si>
    <t>BOILER 1</t>
  </si>
  <si>
    <t>KANEKA (M) SDN. BHD., GEBENG, KUANTAN, PAHANG</t>
  </si>
  <si>
    <t>STEAM
(mt)</t>
  </si>
  <si>
    <t>WATER
(mt)</t>
  </si>
  <si>
    <t>WATER / TONNE STEAM</t>
  </si>
  <si>
    <t>NATURAL GAS
(sm3)</t>
  </si>
  <si>
    <t>NG/TONNE STEAM</t>
  </si>
  <si>
    <t>ELECTRIC
(MWh)</t>
  </si>
  <si>
    <t>ELECTRIC/
TONNE STEAM</t>
  </si>
  <si>
    <t>WASTE GAS
(Nm3)</t>
  </si>
  <si>
    <t>BOILER 2</t>
  </si>
  <si>
    <t>MINSTER, ADVANCE BOILER</t>
  </si>
  <si>
    <r>
      <t>NG/TONNE STEAM</t>
    </r>
    <r>
      <rPr>
        <b/>
        <sz val="11"/>
        <color rgb="FFFF0000"/>
        <rFont val="Calibri"/>
        <family val="2"/>
        <scheme val="minor"/>
      </rPr>
      <t>(Target 74.77)</t>
    </r>
  </si>
  <si>
    <r>
      <t>ELECTRIC/
TONNE STEAM</t>
    </r>
    <r>
      <rPr>
        <b/>
        <sz val="11"/>
        <color rgb="FFFF0000"/>
        <rFont val="Calibri"/>
        <family val="2"/>
        <scheme val="minor"/>
      </rPr>
      <t>(3.844)</t>
    </r>
  </si>
  <si>
    <t>BOILER 3</t>
  </si>
  <si>
    <t>NATURAL GAS
(Sm3)</t>
  </si>
  <si>
    <t xml:space="preserve">NG/TONNE STEAM </t>
  </si>
  <si>
    <t>ELECTRIC
(KWh)</t>
  </si>
  <si>
    <t xml:space="preserve">ELECTRIC/
TONNE STEAM </t>
  </si>
  <si>
    <t>TOTAL DAILY PRODUCTION</t>
  </si>
  <si>
    <t>Water</t>
  </si>
  <si>
    <t>Electrical</t>
  </si>
  <si>
    <t>Steam</t>
  </si>
  <si>
    <t>Waste Gas</t>
  </si>
  <si>
    <t>flowmeter (Sm3)</t>
  </si>
  <si>
    <t>castody meter(Sm3)</t>
  </si>
  <si>
    <t>Mwh</t>
  </si>
  <si>
    <t>Total</t>
  </si>
  <si>
    <t>ENERGY BALANCE</t>
  </si>
  <si>
    <t>Boiler no.1</t>
  </si>
  <si>
    <t>Water / Steam Ratio</t>
  </si>
  <si>
    <t>Natural Gas</t>
  </si>
  <si>
    <t>NG / Steam Ratio</t>
  </si>
  <si>
    <t>Output</t>
  </si>
  <si>
    <t>Date</t>
  </si>
  <si>
    <t>%</t>
  </si>
  <si>
    <t>Boiler no.2</t>
  </si>
  <si>
    <t>Boiler no.3</t>
  </si>
  <si>
    <t>SUMMARY TOTAL PRODUCTION</t>
  </si>
  <si>
    <t>RUNNING HOUR</t>
  </si>
  <si>
    <t>TOTAL STEAM PRODUCE</t>
  </si>
  <si>
    <t>PRODUCTION CAPS</t>
  </si>
  <si>
    <t>SUM</t>
  </si>
  <si>
    <t>WEEKLY TOTAL PRODUCTION</t>
  </si>
  <si>
    <t>WEEK</t>
  </si>
  <si>
    <t>TOTAL WATER</t>
  </si>
  <si>
    <t>TOTAL STEAM</t>
  </si>
  <si>
    <t>TOTAL NG</t>
  </si>
  <si>
    <t>Order Number of Week</t>
  </si>
  <si>
    <t>Begin Date of Week</t>
  </si>
  <si>
    <t>End Date of Week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</si>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</sst>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"/>
    <numFmt numFmtId="165" formatCode="0.0000"/>
    <numFmt numFmtId="166" formatCode="0.000"/>
    <numFmt numFmtId="167" formatCode="0.0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b/>
      <sz val="11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</borders>
  <cellStyleXfs count="3">
    <xf numFmtId="0" fontId="0" fillId="0" borderId="0"/>
    <xf numFmtId="0" fontId="18" fillId="0" borderId="0"/>
    <xf numFmtId="43" fontId="18" fillId="0" borderId="0" applyFont="0" applyFill="0" applyBorder="0" applyAlignment="0" applyProtection="0"/>
  </cellStyleXfs>
  <cellXfs count="4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2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0" xfId="0" applyFont="1"/>
    <xf numFmtId="0" fontId="0" fillId="7" borderId="1" xfId="0" applyFill="1" applyBorder="1" applyAlignment="1">
      <alignment horizontal="center"/>
    </xf>
    <xf numFmtId="2" fontId="0" fillId="0" borderId="0" xfId="0" applyNumberFormat="1"/>
    <xf numFmtId="2" fontId="0" fillId="0" borderId="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5" borderId="9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0" fontId="0" fillId="0" borderId="9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1" fillId="12" borderId="18" xfId="0" applyFont="1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2" fontId="0" fillId="12" borderId="19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0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textRotation="255"/>
    </xf>
    <xf numFmtId="2" fontId="0" fillId="0" borderId="9" xfId="0" applyNumberForma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 shrinkToFit="1"/>
    </xf>
    <xf numFmtId="0" fontId="8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 shrinkToFit="1"/>
    </xf>
    <xf numFmtId="0" fontId="0" fillId="2" borderId="14" xfId="0" applyFill="1" applyBorder="1" applyAlignment="1">
      <alignment horizontal="center"/>
    </xf>
    <xf numFmtId="2" fontId="0" fillId="0" borderId="15" xfId="0" applyNumberFormat="1" applyBorder="1" applyAlignment="1">
      <alignment horizontal="center" vertical="center"/>
    </xf>
    <xf numFmtId="0" fontId="0" fillId="10" borderId="14" xfId="0" applyFill="1" applyBorder="1" applyAlignment="1">
      <alignment horizontal="center"/>
    </xf>
    <xf numFmtId="0" fontId="0" fillId="0" borderId="0" xfId="0" applyAlignment="1">
      <alignment horizontal="left" indent="1"/>
    </xf>
    <xf numFmtId="2" fontId="0" fillId="10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wrapText="1"/>
    </xf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0" borderId="1" xfId="0" applyFill="1" applyBorder="1"/>
    <xf numFmtId="20" fontId="0" fillId="14" borderId="1" xfId="0" applyNumberFormat="1" applyFill="1" applyBorder="1"/>
    <xf numFmtId="0" fontId="2" fillId="0" borderId="0" xfId="0" applyFont="1" applyAlignment="1">
      <alignment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" fontId="11" fillId="0" borderId="13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49" fontId="5" fillId="0" borderId="0" xfId="0" applyNumberFormat="1" applyFont="1" applyAlignment="1">
      <alignment vertical="center"/>
    </xf>
    <xf numFmtId="0" fontId="1" fillId="13" borderId="3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" fillId="13" borderId="8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10" borderId="10" xfId="0" applyFill="1" applyBorder="1" applyAlignment="1">
      <alignment horizontal="center" vertical="center"/>
    </xf>
    <xf numFmtId="20" fontId="0" fillId="4" borderId="7" xfId="0" applyNumberFormat="1" applyFill="1" applyBorder="1" applyAlignment="1">
      <alignment horizontal="center" vertical="center"/>
    </xf>
    <xf numFmtId="20" fontId="0" fillId="4" borderId="9" xfId="0" applyNumberFormat="1" applyFill="1" applyBorder="1" applyAlignment="1">
      <alignment horizontal="center" vertical="center"/>
    </xf>
    <xf numFmtId="20" fontId="0" fillId="4" borderId="15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 wrapText="1"/>
    </xf>
    <xf numFmtId="0" fontId="1" fillId="13" borderId="7" xfId="0" applyFont="1" applyFill="1" applyBorder="1" applyAlignment="1">
      <alignment horizontal="center" vertical="center" wrapText="1"/>
    </xf>
    <xf numFmtId="2" fontId="0" fillId="13" borderId="3" xfId="0" applyNumberFormat="1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14" fontId="0" fillId="0" borderId="15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4" fillId="0" borderId="1" xfId="0" applyFont="1" applyBorder="1" applyAlignment="1">
      <alignment vertical="center" wrapText="1"/>
    </xf>
    <xf numFmtId="2" fontId="0" fillId="16" borderId="1" xfId="0" applyNumberFormat="1" applyFill="1" applyBorder="1"/>
    <xf numFmtId="2" fontId="0" fillId="15" borderId="1" xfId="0" applyNumberFormat="1" applyFill="1" applyBorder="1"/>
    <xf numFmtId="2" fontId="0" fillId="10" borderId="1" xfId="0" applyNumberFormat="1" applyFill="1" applyBorder="1"/>
    <xf numFmtId="2" fontId="0" fillId="7" borderId="1" xfId="0" applyNumberFormat="1" applyFill="1" applyBorder="1"/>
    <xf numFmtId="14" fontId="1" fillId="16" borderId="10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/>
    <xf numFmtId="2" fontId="0" fillId="0" borderId="1" xfId="0" applyNumberFormat="1" applyBorder="1"/>
    <xf numFmtId="0" fontId="1" fillId="1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2" fontId="0" fillId="5" borderId="1" xfId="0" applyNumberFormat="1" applyFill="1" applyBorder="1"/>
    <xf numFmtId="2" fontId="0" fillId="9" borderId="1" xfId="0" applyNumberFormat="1" applyFill="1" applyBorder="1"/>
    <xf numFmtId="2" fontId="0" fillId="18" borderId="1" xfId="0" applyNumberFormat="1" applyFill="1" applyBorder="1"/>
    <xf numFmtId="2" fontId="0" fillId="20" borderId="1" xfId="0" applyNumberFormat="1" applyFill="1" applyBorder="1"/>
    <xf numFmtId="2" fontId="0" fillId="19" borderId="1" xfId="0" applyNumberFormat="1" applyFill="1" applyBorder="1"/>
    <xf numFmtId="14" fontId="0" fillId="0" borderId="0" xfId="0" applyNumberFormat="1"/>
    <xf numFmtId="17" fontId="0" fillId="0" borderId="0" xfId="0" applyNumberFormat="1"/>
    <xf numFmtId="0" fontId="16" fillId="0" borderId="1" xfId="0" applyFont="1" applyBorder="1"/>
    <xf numFmtId="17" fontId="16" fillId="0" borderId="1" xfId="0" applyNumberFormat="1" applyFont="1" applyBorder="1"/>
    <xf numFmtId="0" fontId="16" fillId="0" borderId="1" xfId="0" applyFont="1" applyBorder="1" applyAlignment="1">
      <alignment horizontal="right"/>
    </xf>
    <xf numFmtId="0" fontId="0" fillId="21" borderId="1" xfId="0" applyFill="1" applyBorder="1" applyAlignment="1">
      <alignment horizontal="center"/>
    </xf>
    <xf numFmtId="2" fontId="0" fillId="21" borderId="1" xfId="0" applyNumberFormat="1" applyFill="1" applyBorder="1" applyAlignment="1">
      <alignment horizontal="center"/>
    </xf>
    <xf numFmtId="0" fontId="1" fillId="0" borderId="1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0" fillId="5" borderId="29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/>
    </xf>
    <xf numFmtId="2" fontId="0" fillId="2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30" xfId="0" applyBorder="1"/>
    <xf numFmtId="2" fontId="0" fillId="22" borderId="30" xfId="0" applyNumberFormat="1" applyFill="1" applyBorder="1" applyAlignment="1">
      <alignment horizontal="center"/>
    </xf>
    <xf numFmtId="0" fontId="0" fillId="0" borderId="1" xfId="0" applyBorder="1" applyAlignment="1">
      <alignment horizontal="right"/>
    </xf>
    <xf numFmtId="17" fontId="0" fillId="0" borderId="1" xfId="0" applyNumberFormat="1" applyBorder="1"/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2" fontId="11" fillId="0" borderId="32" xfId="0" applyNumberFormat="1" applyFont="1" applyBorder="1" applyAlignment="1">
      <alignment horizontal="center" vertical="center"/>
    </xf>
    <xf numFmtId="2" fontId="0" fillId="4" borderId="19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0" fontId="0" fillId="14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5" fontId="11" fillId="0" borderId="13" xfId="0" applyNumberFormat="1" applyFont="1" applyBorder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0" fontId="19" fillId="0" borderId="1" xfId="1" applyFont="1" applyBorder="1"/>
    <xf numFmtId="17" fontId="19" fillId="0" borderId="1" xfId="1" applyNumberFormat="1" applyFont="1" applyBorder="1"/>
    <xf numFmtId="0" fontId="0" fillId="0" borderId="0" xfId="1" applyFont="1"/>
    <xf numFmtId="0" fontId="19" fillId="0" borderId="1" xfId="1" applyFont="1" applyBorder="1" applyAlignment="1">
      <alignment horizontal="right"/>
    </xf>
    <xf numFmtId="0" fontId="20" fillId="21" borderId="2" xfId="1" applyFont="1" applyFill="1" applyBorder="1" applyAlignment="1">
      <alignment horizontal="center" vertical="center"/>
    </xf>
    <xf numFmtId="0" fontId="20" fillId="21" borderId="3" xfId="1" applyFont="1" applyFill="1" applyBorder="1" applyAlignment="1">
      <alignment horizontal="center" vertical="center"/>
    </xf>
    <xf numFmtId="1" fontId="0" fillId="23" borderId="1" xfId="1" applyNumberFormat="1" applyFont="1" applyFill="1" applyBorder="1" applyAlignment="1">
      <alignment vertical="center"/>
    </xf>
    <xf numFmtId="1" fontId="0" fillId="0" borderId="1" xfId="1" applyNumberFormat="1" applyFont="1" applyBorder="1" applyAlignment="1">
      <alignment vertical="center"/>
    </xf>
    <xf numFmtId="1" fontId="0" fillId="11" borderId="1" xfId="1" applyNumberFormat="1" applyFont="1" applyFill="1" applyBorder="1" applyAlignment="1">
      <alignment vertical="center"/>
    </xf>
    <xf numFmtId="1" fontId="0" fillId="5" borderId="1" xfId="1" applyNumberFormat="1" applyFont="1" applyFill="1" applyBorder="1" applyAlignment="1">
      <alignment vertical="center"/>
    </xf>
    <xf numFmtId="2" fontId="0" fillId="21" borderId="1" xfId="1" applyNumberFormat="1" applyFont="1" applyFill="1" applyBorder="1" applyAlignment="1">
      <alignment horizontal="center" vertical="center"/>
    </xf>
    <xf numFmtId="14" fontId="0" fillId="0" borderId="0" xfId="1" applyNumberFormat="1" applyFont="1"/>
    <xf numFmtId="0" fontId="0" fillId="0" borderId="23" xfId="1" applyFont="1" applyBorder="1" applyAlignment="1">
      <alignment wrapText="1"/>
    </xf>
    <xf numFmtId="0" fontId="0" fillId="0" borderId="0" xfId="1" applyFont="1" applyAlignment="1">
      <alignment wrapText="1"/>
    </xf>
    <xf numFmtId="0" fontId="0" fillId="0" borderId="1" xfId="1" applyFont="1" applyBorder="1" applyAlignment="1">
      <alignment wrapText="1"/>
    </xf>
    <xf numFmtId="0" fontId="20" fillId="23" borderId="1" xfId="1" applyFont="1" applyFill="1" applyBorder="1" applyAlignment="1">
      <alignment vertical="center"/>
    </xf>
    <xf numFmtId="0" fontId="20" fillId="11" borderId="1" xfId="1" applyFont="1" applyFill="1" applyBorder="1" applyAlignment="1">
      <alignment vertical="center"/>
    </xf>
    <xf numFmtId="0" fontId="20" fillId="5" borderId="1" xfId="1" applyFont="1" applyFill="1" applyBorder="1" applyAlignment="1">
      <alignment vertical="center"/>
    </xf>
    <xf numFmtId="0" fontId="20" fillId="21" borderId="1" xfId="1" applyFont="1" applyFill="1" applyBorder="1" applyAlignment="1">
      <alignment horizontal="center" vertical="center"/>
    </xf>
    <xf numFmtId="14" fontId="0" fillId="0" borderId="1" xfId="1" applyNumberFormat="1" applyFont="1" applyBorder="1" applyAlignment="1">
      <alignment wrapText="1"/>
    </xf>
    <xf numFmtId="2" fontId="0" fillId="0" borderId="1" xfId="1" applyNumberFormat="1" applyFont="1" applyBorder="1"/>
    <xf numFmtId="14" fontId="0" fillId="0" borderId="1" xfId="1" applyNumberFormat="1" applyFont="1" applyBorder="1"/>
    <xf numFmtId="20" fontId="0" fillId="0" borderId="3" xfId="0" applyNumberFormat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/>
    </xf>
    <xf numFmtId="1" fontId="0" fillId="1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5" borderId="30" xfId="0" applyNumberFormat="1" applyFill="1" applyBorder="1" applyAlignment="1">
      <alignment horizontal="center"/>
    </xf>
    <xf numFmtId="1" fontId="0" fillId="13" borderId="30" xfId="0" applyNumberFormat="1" applyFill="1" applyBorder="1" applyAlignment="1">
      <alignment horizontal="center"/>
    </xf>
    <xf numFmtId="1" fontId="0" fillId="3" borderId="30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4" borderId="1" xfId="0" applyNumberFormat="1" applyFill="1" applyBorder="1" applyAlignment="1">
      <alignment horizontal="center"/>
    </xf>
    <xf numFmtId="1" fontId="0" fillId="10" borderId="30" xfId="0" applyNumberFormat="1" applyFill="1" applyBorder="1" applyAlignment="1">
      <alignment horizontal="center"/>
    </xf>
    <xf numFmtId="1" fontId="0" fillId="14" borderId="30" xfId="0" applyNumberFormat="1" applyFill="1" applyBorder="1" applyAlignment="1">
      <alignment horizontal="center"/>
    </xf>
    <xf numFmtId="1" fontId="0" fillId="0" borderId="1" xfId="0" applyNumberFormat="1" applyBorder="1"/>
    <xf numFmtId="0" fontId="0" fillId="0" borderId="3" xfId="1" applyFont="1" applyBorder="1" applyAlignment="1">
      <alignment horizontal="center"/>
    </xf>
    <xf numFmtId="14" fontId="0" fillId="0" borderId="0" xfId="1" applyNumberFormat="1" applyFont="1" applyAlignment="1">
      <alignment wrapText="1"/>
    </xf>
    <xf numFmtId="14" fontId="0" fillId="0" borderId="0" xfId="1" applyNumberFormat="1" applyFont="1" applyAlignment="1">
      <alignment horizontal="center" vertical="center" wrapText="1"/>
    </xf>
    <xf numFmtId="0" fontId="21" fillId="16" borderId="1" xfId="0" applyFont="1" applyFill="1" applyBorder="1" applyAlignment="1">
      <alignment horizontal="center" wrapText="1"/>
    </xf>
    <xf numFmtId="0" fontId="21" fillId="15" borderId="1" xfId="0" applyFont="1" applyFill="1" applyBorder="1" applyAlignment="1">
      <alignment horizontal="center" wrapText="1"/>
    </xf>
    <xf numFmtId="0" fontId="21" fillId="10" borderId="1" xfId="0" applyFont="1" applyFill="1" applyBorder="1" applyAlignment="1">
      <alignment horizontal="center" wrapText="1"/>
    </xf>
    <xf numFmtId="0" fontId="21" fillId="14" borderId="1" xfId="0" applyFont="1" applyFill="1" applyBorder="1" applyAlignment="1">
      <alignment horizontal="center" wrapText="1"/>
    </xf>
    <xf numFmtId="0" fontId="21" fillId="16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1" fillId="1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" fontId="0" fillId="12" borderId="19" xfId="0" applyNumberFormat="1" applyFill="1" applyBorder="1" applyAlignment="1">
      <alignment horizontal="center" vertical="center"/>
    </xf>
    <xf numFmtId="1" fontId="0" fillId="12" borderId="29" xfId="0" applyNumberFormat="1" applyFill="1" applyBorder="1" applyAlignment="1">
      <alignment horizontal="center" vertical="center"/>
    </xf>
    <xf numFmtId="0" fontId="0" fillId="25" borderId="1" xfId="0" applyFill="1" applyBorder="1"/>
    <xf numFmtId="2" fontId="0" fillId="12" borderId="19" xfId="2" applyNumberFormat="1" applyFont="1" applyFill="1" applyBorder="1" applyAlignment="1">
      <alignment horizontal="center" vertical="center"/>
    </xf>
    <xf numFmtId="0" fontId="1" fillId="13" borderId="20" xfId="0" applyFont="1" applyFill="1" applyBorder="1" applyAlignment="1" applyProtection="1">
      <alignment horizontal="center" vertical="center"/>
      <protection locked="0"/>
    </xf>
    <xf numFmtId="0" fontId="1" fillId="13" borderId="3" xfId="0" applyFont="1" applyFill="1" applyBorder="1" applyAlignment="1" applyProtection="1">
      <alignment horizontal="center" vertical="center"/>
      <protection locked="0"/>
    </xf>
    <xf numFmtId="0" fontId="0" fillId="13" borderId="10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1" fontId="0" fillId="2" borderId="1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17" borderId="1" xfId="0" applyNumberForma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17" borderId="3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4" fontId="0" fillId="0" borderId="21" xfId="0" applyNumberFormat="1" applyBorder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0" fillId="11" borderId="28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2" fontId="0" fillId="11" borderId="26" xfId="0" applyNumberFormat="1" applyFill="1" applyBorder="1" applyAlignment="1">
      <alignment horizontal="center"/>
    </xf>
    <xf numFmtId="2" fontId="0" fillId="11" borderId="25" xfId="0" applyNumberFormat="1" applyFill="1" applyBorder="1" applyAlignment="1">
      <alignment horizontal="center" vertical="center"/>
    </xf>
    <xf numFmtId="20" fontId="0" fillId="4" borderId="2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2" fontId="0" fillId="0" borderId="7" xfId="0" applyNumberFormat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2" fontId="0" fillId="11" borderId="27" xfId="0" applyNumberFormat="1" applyFill="1" applyBorder="1" applyAlignment="1">
      <alignment horizontal="center"/>
    </xf>
    <xf numFmtId="2" fontId="0" fillId="11" borderId="26" xfId="0" applyNumberFormat="1" applyFill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2" fontId="0" fillId="10" borderId="9" xfId="0" applyNumberForma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6" fontId="0" fillId="4" borderId="19" xfId="0" applyNumberForma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167" fontId="0" fillId="16" borderId="1" xfId="0" applyNumberFormat="1" applyFill="1" applyBorder="1" applyAlignment="1">
      <alignment horizontal="center" vertical="center"/>
    </xf>
    <xf numFmtId="167" fontId="0" fillId="15" borderId="1" xfId="0" applyNumberFormat="1" applyFill="1" applyBorder="1" applyAlignment="1">
      <alignment horizontal="center" vertical="center"/>
    </xf>
    <xf numFmtId="2" fontId="0" fillId="16" borderId="1" xfId="0" applyNumberFormat="1" applyFill="1" applyBorder="1" applyAlignment="1">
      <alignment horizontal="center" vertical="center"/>
    </xf>
    <xf numFmtId="2" fontId="0" fillId="15" borderId="1" xfId="0" applyNumberFormat="1" applyFill="1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1" applyFont="1" applyBorder="1" applyAlignment="1">
      <alignment horizontal="center"/>
    </xf>
    <xf numFmtId="0" fontId="0" fillId="0" borderId="0" xfId="1" applyFont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/>
    </xf>
    <xf numFmtId="0" fontId="10" fillId="14" borderId="2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" fontId="2" fillId="0" borderId="33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14" fontId="0" fillId="0" borderId="2" xfId="0" applyNumberFormat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4" borderId="9" xfId="0" applyFont="1" applyFill="1" applyBorder="1" applyAlignment="1">
      <alignment horizontal="center" vertical="center" wrapText="1"/>
    </xf>
    <xf numFmtId="0" fontId="1" fillId="24" borderId="11" xfId="0" applyFont="1" applyFill="1" applyBorder="1" applyAlignment="1">
      <alignment horizontal="center" vertical="center" wrapText="1"/>
    </xf>
    <xf numFmtId="0" fontId="1" fillId="24" borderId="10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14" fontId="1" fillId="6" borderId="9" xfId="0" applyNumberFormat="1" applyFont="1" applyFill="1" applyBorder="1" applyAlignment="1">
      <alignment horizontal="center" vertical="center" wrapText="1"/>
    </xf>
    <xf numFmtId="14" fontId="1" fillId="6" borderId="11" xfId="0" applyNumberFormat="1" applyFont="1" applyFill="1" applyBorder="1" applyAlignment="1">
      <alignment horizontal="center" vertical="center" wrapText="1"/>
    </xf>
    <xf numFmtId="14" fontId="1" fillId="6" borderId="10" xfId="0" applyNumberFormat="1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14" fontId="1" fillId="24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17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 wrapText="1"/>
    </xf>
    <xf numFmtId="17" fontId="11" fillId="0" borderId="5" xfId="0" applyNumberFormat="1" applyFont="1" applyBorder="1" applyAlignment="1">
      <alignment horizontal="center" vertical="center"/>
    </xf>
    <xf numFmtId="17" fontId="11" fillId="0" borderId="23" xfId="0" applyNumberFormat="1" applyFont="1" applyBorder="1" applyAlignment="1">
      <alignment horizontal="center" vertical="center"/>
    </xf>
    <xf numFmtId="17" fontId="11" fillId="0" borderId="6" xfId="0" applyNumberFormat="1" applyFont="1" applyBorder="1" applyAlignment="1">
      <alignment horizontal="center" vertical="center"/>
    </xf>
    <xf numFmtId="17" fontId="11" fillId="0" borderId="7" xfId="0" applyNumberFormat="1" applyFont="1" applyBorder="1" applyAlignment="1">
      <alignment horizontal="center" vertical="center"/>
    </xf>
    <xf numFmtId="17" fontId="11" fillId="0" borderId="17" xfId="0" applyNumberFormat="1" applyFont="1" applyBorder="1" applyAlignment="1">
      <alignment horizontal="center" vertical="center"/>
    </xf>
    <xf numFmtId="17" fontId="11" fillId="0" borderId="8" xfId="0" applyNumberFormat="1" applyFont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14" fontId="0" fillId="0" borderId="43" xfId="0" applyNumberFormat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4" fillId="0" borderId="37" xfId="0" applyFont="1" applyBorder="1" applyAlignment="1">
      <alignment horizontal="center" vertical="center" wrapText="1"/>
    </xf>
    <xf numFmtId="0" fontId="1" fillId="17" borderId="36" xfId="0" applyFont="1" applyFill="1" applyBorder="1" applyAlignment="1">
      <alignment horizontal="center" vertical="center"/>
    </xf>
    <xf numFmtId="0" fontId="1" fillId="17" borderId="35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2" fontId="1" fillId="0" borderId="2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49" fontId="17" fillId="0" borderId="5" xfId="0" applyNumberFormat="1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16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16" borderId="9" xfId="0" applyFont="1" applyFill="1" applyBorder="1" applyAlignment="1">
      <alignment horizontal="center" wrapText="1"/>
    </xf>
    <xf numFmtId="0" fontId="1" fillId="15" borderId="9" xfId="0" applyFont="1" applyFill="1" applyBorder="1" applyAlignment="1">
      <alignment horizontal="center" wrapText="1"/>
    </xf>
    <xf numFmtId="0" fontId="1" fillId="15" borderId="10" xfId="0" applyFont="1" applyFill="1" applyBorder="1" applyAlignment="1">
      <alignment horizontal="center" wrapText="1"/>
    </xf>
    <xf numFmtId="0" fontId="1" fillId="10" borderId="9" xfId="0" applyFont="1" applyFill="1" applyBorder="1" applyAlignment="1">
      <alignment horizontal="center" wrapText="1"/>
    </xf>
    <xf numFmtId="0" fontId="1" fillId="10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20" fillId="0" borderId="1" xfId="1" applyFont="1" applyBorder="1" applyAlignment="1">
      <alignment horizontal="center" vertical="center" wrapText="1"/>
    </xf>
    <xf numFmtId="0" fontId="0" fillId="0" borderId="1" xfId="1" applyFont="1" applyBorder="1" applyAlignment="1">
      <alignment horizontal="center"/>
    </xf>
    <xf numFmtId="0" fontId="0" fillId="0" borderId="16" xfId="1" applyFont="1" applyBorder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0" fillId="0" borderId="22" xfId="1" applyFont="1" applyBorder="1" applyAlignment="1">
      <alignment horizontal="center" vertical="center"/>
    </xf>
    <xf numFmtId="0" fontId="0" fillId="0" borderId="7" xfId="1" applyFont="1" applyBorder="1" applyAlignment="1">
      <alignment horizontal="center" vertical="center"/>
    </xf>
    <xf numFmtId="0" fontId="0" fillId="0" borderId="17" xfId="1" applyFont="1" applyBorder="1" applyAlignment="1">
      <alignment horizontal="center" vertical="center"/>
    </xf>
    <xf numFmtId="0" fontId="0" fillId="0" borderId="8" xfId="1" applyFont="1" applyBorder="1" applyAlignment="1">
      <alignment horizontal="center" vertical="center"/>
    </xf>
    <xf numFmtId="0" fontId="20" fillId="0" borderId="1" xfId="1" applyFont="1" applyBorder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0" fillId="0" borderId="3" xfId="1" applyFont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center" wrapText="1"/>
    </xf>
    <xf numFmtId="0" fontId="20" fillId="0" borderId="1" xfId="1" applyFont="1" applyBorder="1" applyAlignment="1">
      <alignment horizontal="center" wrapText="1"/>
    </xf>
    <xf numFmtId="0" fontId="0" fillId="0" borderId="33" xfId="1" applyFont="1" applyBorder="1" applyAlignment="1">
      <alignment horizontal="center" vertical="center" wrapText="1"/>
    </xf>
    <xf numFmtId="0" fontId="0" fillId="0" borderId="10" xfId="1" applyFont="1" applyBorder="1" applyAlignment="1">
      <alignment horizontal="center" wrapText="1"/>
    </xf>
    <xf numFmtId="0" fontId="1" fillId="0" borderId="0" xfId="1" applyFont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80F601B7-DD16-4265-A642-70AF3B31E94F}"/>
  </cellStyles>
  <dxfs count="0"/>
  <tableStyles count="0" defaultTableStyle="TableStyleMedium2" defaultPivotStyle="PivotStyleLight16"/>
  <colors>
    <mruColors>
      <color rgb="FFFF66FF"/>
      <color rgb="FF33CCFF"/>
      <color rgb="FF666699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115425</xdr:colOff>
      <xdr:row>2</xdr:row>
      <xdr:rowOff>98366</xdr:rowOff>
    </xdr:from>
    <xdr:to>
      <xdr:col>3</xdr:col>
      <xdr:colOff>682307</xdr:colOff>
      <xdr:row>6</xdr:row>
      <xdr:rowOff>116220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F88D3-6EA5-FFCD-F3EC-68C5667F6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650" y="485824"/>
          <a:ext cx="2173216" cy="7604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91209</xdr:colOff>
      <xdr:row>2</xdr:row>
      <xdr:rowOff>98366</xdr:rowOff>
    </xdr:from>
    <xdr:to>
      <xdr:col>3</xdr:col>
      <xdr:colOff>658091</xdr:colOff>
      <xdr:row>6</xdr:row>
      <xdr:rowOff>116220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899672-8741-4ABE-84B2-828662B5D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369" y="464126"/>
          <a:ext cx="2228042" cy="7646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102093</xdr:colOff>
      <xdr:row>2</xdr:row>
      <xdr:rowOff>87480</xdr:rowOff>
    </xdr:from>
    <xdr:to>
      <xdr:col>2</xdr:col>
      <xdr:colOff>772884</xdr:colOff>
      <xdr:row>6</xdr:row>
      <xdr:rowOff>143008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2219E-992D-4A68-9BBE-F88826869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229" y="451162"/>
          <a:ext cx="2142837" cy="7828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2</xdr:row>
      <xdr:rowOff>38100</xdr:rowOff>
    </xdr:from>
    <xdr:to>
      <xdr:col>4</xdr:col>
      <xdr:colOff>724639</xdr:colOff>
      <xdr:row>4</xdr:row>
      <xdr:rowOff>174106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2F607-5041-4DD1-BD6B-44813B022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411480"/>
          <a:ext cx="1882879" cy="517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205484</xdr:colOff>
      <xdr:row>1</xdr:row>
      <xdr:rowOff>25685</xdr:rowOff>
    </xdr:from>
    <xdr:to>
      <xdr:col>4</xdr:col>
      <xdr:colOff>306519</xdr:colOff>
      <xdr:row>3</xdr:row>
      <xdr:rowOff>171988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D3B1E8-E886-4F4D-B429-9590666566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035" y="744876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A851-3F87-4D0C-8133-32EE00BBF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650" y="508429"/>
          <a:ext cx="1577163" cy="5154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B0C24E-E923-479E-A88E-DBE8FE1E6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18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89DF6-CCE2-43F2-9033-54E799E6F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94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167640</xdr:colOff>
      <xdr:row>1</xdr:row>
      <xdr:rowOff>38100</xdr:rowOff>
    </xdr:from>
    <xdr:to>
      <xdr:col>2</xdr:col>
      <xdr:colOff>967917</xdr:colOff>
      <xdr:row>3</xdr:row>
      <xdr:rowOff>178239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3A161F-5496-48F1-870D-89C4667D45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220980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71669-4DD1-45D6-A124-3F5EDAE05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C35B9-A25D-4B10-A7F7-5265F4A57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1F1FC0-22C7-4EFD-B81E-6FF7E9E2D0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6</xdr:row>
      <xdr:rowOff>91440</xdr:rowOff>
    </xdr:from>
    <xdr:to>
      <xdr:col>2</xdr:col>
      <xdr:colOff>560277</xdr:colOff>
      <xdr:row>8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AB5B82-DFDF-4377-B060-182524C7BF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1" y="1310640"/>
          <a:ext cx="1276556" cy="350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91440</xdr:rowOff>
    </xdr:from>
    <xdr:to>
      <xdr:col>2</xdr:col>
      <xdr:colOff>560277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D87A4A-4CF0-437F-9064-1B82BC066F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47701" y="91440"/>
          <a:ext cx="1322276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3:V842"/>
  <sheetViews>
    <sheetView view="pageBreakPreview" zoomScale="120" zoomScaleNormal="66" zoomScaleSheetLayoutView="120" workbookViewId="0">
      <pane ySplit="11" topLeftCell="A532" activePane="bottomLeft" state="frozen"/>
      <selection pane="bottomLeft" activeCell="D532" sqref="D532"/>
    </sheetView>
  </sheetViews>
  <sheetFormatPr defaultRowHeight="15"/>
  <cols>
    <col min="1" max="1" width="2" customWidth="1"/>
    <col min="2" max="2" width="14.28515625" customWidth="1"/>
    <col min="3" max="3" width="9.85546875" customWidth="1"/>
    <col min="4" max="15" width="10.7109375" customWidth="1"/>
    <col min="16" max="16" width="10.28515625" customWidth="1"/>
    <col min="17" max="19" width="10.140625" customWidth="1"/>
    <col min="20" max="20" width="10.7109375" customWidth="1"/>
    <col min="21" max="21" width="12.140625" customWidth="1"/>
  </cols>
  <sheetData>
    <row r="3" spans="2:21" ht="15" customHeight="1">
      <c r="B3" s="279"/>
      <c r="C3" s="279"/>
      <c r="D3" s="279"/>
      <c r="E3" s="279" t="s">
        <v>0</v>
      </c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80" t="s">
        <v>1</v>
      </c>
      <c r="R3" s="280"/>
      <c r="S3" s="280" t="s">
        <v>2</v>
      </c>
      <c r="T3" s="280"/>
      <c r="U3" s="280"/>
    </row>
    <row r="4" spans="2:21" ht="15" customHeight="1">
      <c r="B4" s="279"/>
      <c r="C4" s="279"/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80"/>
      <c r="R4" s="280"/>
      <c r="S4" s="280"/>
      <c r="T4" s="280"/>
      <c r="U4" s="280"/>
    </row>
    <row r="5" spans="2:21" ht="14.45" customHeight="1">
      <c r="B5" s="279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80"/>
      <c r="R5" s="280"/>
      <c r="S5" s="282"/>
      <c r="T5" s="282"/>
      <c r="U5" s="282"/>
    </row>
    <row r="6" spans="2:21" ht="14.45" customHeight="1">
      <c r="B6" s="279"/>
      <c r="C6" s="279"/>
      <c r="D6" s="279"/>
      <c r="E6" s="283" t="s">
        <v>3</v>
      </c>
      <c r="F6" s="283"/>
      <c r="G6" s="283" t="s">
        <v>4</v>
      </c>
      <c r="H6" s="283"/>
      <c r="I6" s="283"/>
      <c r="J6" s="283"/>
      <c r="K6" s="283" t="s">
        <v>5</v>
      </c>
      <c r="L6" s="283"/>
      <c r="M6" s="283" t="s">
        <v>6</v>
      </c>
      <c r="N6" s="283"/>
      <c r="O6" s="283"/>
      <c r="P6" s="283"/>
      <c r="Q6" s="279" t="s">
        <v>7</v>
      </c>
      <c r="R6" s="281"/>
      <c r="S6" s="284">
        <f>B12</f>
        <v>46023</v>
      </c>
      <c r="T6" s="284"/>
      <c r="U6" s="284"/>
    </row>
    <row r="7" spans="2:21" ht="14.45" customHeight="1">
      <c r="B7" s="279"/>
      <c r="C7" s="279"/>
      <c r="D7" s="279"/>
      <c r="E7" s="283"/>
      <c r="F7" s="283"/>
      <c r="G7" s="283"/>
      <c r="H7" s="283"/>
      <c r="I7" s="283"/>
      <c r="J7" s="283"/>
      <c r="K7" s="283"/>
      <c r="L7" s="283"/>
      <c r="M7" s="283"/>
      <c r="N7" s="283"/>
      <c r="O7" s="283"/>
      <c r="P7" s="283"/>
      <c r="Q7" s="279"/>
      <c r="R7" s="281"/>
      <c r="S7" s="284"/>
      <c r="T7" s="284"/>
      <c r="U7" s="284"/>
    </row>
    <row r="9" spans="2:21" ht="15" customHeight="1">
      <c r="B9" s="285" t="s">
        <v>8</v>
      </c>
      <c r="C9" s="285" t="s">
        <v>9</v>
      </c>
      <c r="D9" s="294" t="s">
        <v>10</v>
      </c>
      <c r="E9" s="295"/>
      <c r="F9" s="275" t="s">
        <v>11</v>
      </c>
      <c r="G9" s="276"/>
      <c r="H9" s="57" t="s">
        <v>12</v>
      </c>
      <c r="I9" s="298" t="s">
        <v>13</v>
      </c>
      <c r="J9" s="299"/>
      <c r="K9" s="299"/>
      <c r="L9" s="299"/>
      <c r="M9" s="299"/>
      <c r="N9" s="300"/>
      <c r="O9" s="288" t="s">
        <v>14</v>
      </c>
      <c r="P9" s="288"/>
      <c r="Q9" s="289" t="s">
        <v>15</v>
      </c>
      <c r="R9" s="289"/>
      <c r="S9" s="290" t="s">
        <v>16</v>
      </c>
      <c r="T9" s="290"/>
      <c r="U9" s="273" t="s">
        <v>17</v>
      </c>
    </row>
    <row r="10" spans="2:21" ht="15" customHeight="1">
      <c r="B10" s="286"/>
      <c r="C10" s="286"/>
      <c r="D10" s="296"/>
      <c r="E10" s="297"/>
      <c r="F10" s="277"/>
      <c r="G10" s="278"/>
      <c r="H10" s="58"/>
      <c r="I10" s="301" t="s">
        <v>18</v>
      </c>
      <c r="J10" s="302"/>
      <c r="K10" s="303"/>
      <c r="L10" s="304" t="s">
        <v>19</v>
      </c>
      <c r="M10" s="305"/>
      <c r="N10" s="306"/>
      <c r="O10" s="68" t="s">
        <v>20</v>
      </c>
      <c r="P10" s="68" t="s">
        <v>21</v>
      </c>
      <c r="Q10" s="69" t="s">
        <v>22</v>
      </c>
      <c r="R10" s="69" t="s">
        <v>23</v>
      </c>
      <c r="S10" s="256" t="s">
        <v>22</v>
      </c>
      <c r="T10" s="256" t="s">
        <v>23</v>
      </c>
      <c r="U10" s="274"/>
    </row>
    <row r="11" spans="2:21" ht="15" customHeight="1">
      <c r="B11" s="287"/>
      <c r="C11" s="287"/>
      <c r="D11" s="259" t="s">
        <v>24</v>
      </c>
      <c r="E11" s="70" t="s">
        <v>25</v>
      </c>
      <c r="F11" s="257" t="s">
        <v>26</v>
      </c>
      <c r="G11" s="257" t="s">
        <v>27</v>
      </c>
      <c r="H11" s="257" t="s">
        <v>28</v>
      </c>
      <c r="I11" s="71" t="s">
        <v>29</v>
      </c>
      <c r="J11" s="71" t="s">
        <v>30</v>
      </c>
      <c r="K11" s="71" t="s">
        <v>12</v>
      </c>
      <c r="L11" s="67" t="s">
        <v>29</v>
      </c>
      <c r="M11" s="67" t="s">
        <v>30</v>
      </c>
      <c r="N11" s="67" t="s">
        <v>12</v>
      </c>
      <c r="O11" s="190" t="s">
        <v>31</v>
      </c>
      <c r="P11" s="251" t="s">
        <v>32</v>
      </c>
      <c r="Q11" s="191" t="s">
        <v>33</v>
      </c>
      <c r="R11" s="191" t="s">
        <v>34</v>
      </c>
      <c r="S11" s="192" t="s">
        <v>33</v>
      </c>
      <c r="T11" s="192" t="s">
        <v>34</v>
      </c>
      <c r="U11" s="193" t="s">
        <v>9</v>
      </c>
    </row>
    <row r="12" spans="2:21">
      <c r="B12" s="291">
        <v>46023</v>
      </c>
      <c r="C12" s="19">
        <v>0.29166666666666669</v>
      </c>
      <c r="D12" s="5">
        <v>222134</v>
      </c>
      <c r="E12" s="25">
        <v>524526</v>
      </c>
      <c r="F12" s="10">
        <v>1.2934000000000001</v>
      </c>
      <c r="G12" s="10">
        <v>0.88360000000000005</v>
      </c>
      <c r="H12" s="240"/>
      <c r="I12" s="9">
        <v>99560</v>
      </c>
      <c r="J12" s="9">
        <v>223561</v>
      </c>
      <c r="K12" s="9"/>
      <c r="L12" s="27">
        <v>84586</v>
      </c>
      <c r="M12" s="27">
        <v>61336</v>
      </c>
      <c r="N12" s="26"/>
      <c r="O12" s="106"/>
      <c r="P12" s="106"/>
      <c r="Q12" s="107"/>
      <c r="R12" s="107"/>
      <c r="S12" s="108"/>
      <c r="T12" s="108"/>
      <c r="U12" s="61"/>
    </row>
    <row r="13" spans="2:21">
      <c r="B13" s="292"/>
      <c r="C13" s="19">
        <v>0.33333333333333298</v>
      </c>
      <c r="D13" s="5">
        <v>222134</v>
      </c>
      <c r="E13" s="25">
        <v>524526</v>
      </c>
      <c r="F13" s="10">
        <v>1.2934000000000001</v>
      </c>
      <c r="G13" s="10">
        <v>0.88360000000000005</v>
      </c>
      <c r="H13" s="240"/>
      <c r="I13" s="9">
        <v>99560</v>
      </c>
      <c r="J13" s="9">
        <v>223561</v>
      </c>
      <c r="K13" s="9"/>
      <c r="L13" s="27">
        <v>84586</v>
      </c>
      <c r="M13" s="27">
        <v>61336</v>
      </c>
      <c r="N13" s="26"/>
      <c r="O13" s="106"/>
      <c r="P13" s="106"/>
      <c r="Q13" s="107"/>
      <c r="R13" s="107"/>
      <c r="S13" s="108"/>
      <c r="T13" s="108"/>
      <c r="U13" s="61"/>
    </row>
    <row r="14" spans="2:21">
      <c r="B14" s="292"/>
      <c r="C14" s="19">
        <v>0.375</v>
      </c>
      <c r="D14" s="5">
        <v>222134</v>
      </c>
      <c r="E14" s="25">
        <v>524526</v>
      </c>
      <c r="F14" s="10">
        <v>1.2934000000000001</v>
      </c>
      <c r="G14" s="10">
        <v>0.88360000000000005</v>
      </c>
      <c r="H14" s="240"/>
      <c r="I14" s="9">
        <v>99560</v>
      </c>
      <c r="J14" s="9">
        <v>223561</v>
      </c>
      <c r="K14" s="9"/>
      <c r="L14" s="27">
        <v>84586</v>
      </c>
      <c r="M14" s="27">
        <v>61336</v>
      </c>
      <c r="N14" s="26"/>
      <c r="O14" s="106"/>
      <c r="P14" s="106"/>
      <c r="Q14" s="107"/>
      <c r="R14" s="107"/>
      <c r="S14" s="108"/>
      <c r="T14" s="108"/>
      <c r="U14" s="61"/>
    </row>
    <row r="15" spans="2:21">
      <c r="B15" s="292"/>
      <c r="C15" s="19">
        <v>0.41666666666666702</v>
      </c>
      <c r="D15" s="5">
        <v>222134</v>
      </c>
      <c r="E15" s="25">
        <v>524526</v>
      </c>
      <c r="F15" s="10">
        <v>1.2934000000000001</v>
      </c>
      <c r="G15" s="10">
        <v>0.88360000000000005</v>
      </c>
      <c r="H15" s="240"/>
      <c r="I15" s="9">
        <v>99560</v>
      </c>
      <c r="J15" s="9">
        <v>223561</v>
      </c>
      <c r="K15" s="9"/>
      <c r="L15" s="27">
        <v>84586</v>
      </c>
      <c r="M15" s="27">
        <v>61336</v>
      </c>
      <c r="N15" s="26"/>
      <c r="O15" s="106"/>
      <c r="P15" s="106"/>
      <c r="Q15" s="107"/>
      <c r="R15" s="107"/>
      <c r="S15" s="108"/>
      <c r="T15" s="108"/>
      <c r="U15" s="61"/>
    </row>
    <row r="16" spans="2:21">
      <c r="B16" s="292"/>
      <c r="C16" s="19">
        <v>0.45833333333333298</v>
      </c>
      <c r="D16" s="5">
        <v>222134</v>
      </c>
      <c r="E16" s="25">
        <v>524526</v>
      </c>
      <c r="F16" s="10">
        <v>1.2934000000000001</v>
      </c>
      <c r="G16" s="10">
        <v>0.88360000000000005</v>
      </c>
      <c r="H16" s="240"/>
      <c r="I16" s="9">
        <v>99560</v>
      </c>
      <c r="J16" s="9">
        <v>223561</v>
      </c>
      <c r="K16" s="9"/>
      <c r="L16" s="27">
        <v>84586</v>
      </c>
      <c r="M16" s="27">
        <v>61336</v>
      </c>
      <c r="N16" s="26"/>
      <c r="O16" s="106"/>
      <c r="P16" s="106"/>
      <c r="Q16" s="107"/>
      <c r="R16" s="107"/>
      <c r="S16" s="108"/>
      <c r="T16" s="108"/>
      <c r="U16" s="61"/>
    </row>
    <row r="17" spans="2:21">
      <c r="B17" s="292"/>
      <c r="C17" s="19">
        <v>0.5</v>
      </c>
      <c r="D17" s="5">
        <v>222134</v>
      </c>
      <c r="E17" s="25">
        <v>524526</v>
      </c>
      <c r="F17" s="10">
        <v>1.2934000000000001</v>
      </c>
      <c r="G17" s="10">
        <v>0.88360000000000005</v>
      </c>
      <c r="H17" s="240"/>
      <c r="I17" s="9">
        <v>99560</v>
      </c>
      <c r="J17" s="9">
        <v>223561</v>
      </c>
      <c r="K17" s="9"/>
      <c r="L17" s="27">
        <v>84586</v>
      </c>
      <c r="M17" s="27">
        <v>61336</v>
      </c>
      <c r="N17" s="26"/>
      <c r="O17" s="106"/>
      <c r="P17" s="106"/>
      <c r="Q17" s="107"/>
      <c r="R17" s="107"/>
      <c r="S17" s="108"/>
      <c r="T17" s="108"/>
      <c r="U17" s="61"/>
    </row>
    <row r="18" spans="2:21">
      <c r="B18" s="292"/>
      <c r="C18" s="19">
        <v>0.54166666666666696</v>
      </c>
      <c r="D18" s="5">
        <v>222134</v>
      </c>
      <c r="E18" s="25">
        <v>524526</v>
      </c>
      <c r="F18" s="10">
        <v>1.2934000000000001</v>
      </c>
      <c r="G18" s="10">
        <v>0.88360000000000005</v>
      </c>
      <c r="H18" s="240"/>
      <c r="I18" s="9">
        <v>99560</v>
      </c>
      <c r="J18" s="9">
        <v>223561</v>
      </c>
      <c r="K18" s="9"/>
      <c r="L18" s="27">
        <v>84586</v>
      </c>
      <c r="M18" s="27">
        <v>61336</v>
      </c>
      <c r="N18" s="26"/>
      <c r="O18" s="106"/>
      <c r="P18" s="106"/>
      <c r="Q18" s="107"/>
      <c r="R18" s="107"/>
      <c r="S18" s="108"/>
      <c r="T18" s="108"/>
      <c r="U18" s="61"/>
    </row>
    <row r="19" spans="2:21">
      <c r="B19" s="292"/>
      <c r="C19" s="19">
        <v>0.58333333333333304</v>
      </c>
      <c r="D19" s="5">
        <v>222134</v>
      </c>
      <c r="E19" s="25">
        <v>524526</v>
      </c>
      <c r="F19" s="10">
        <v>1.2934000000000001</v>
      </c>
      <c r="G19" s="10">
        <v>0.88360000000000005</v>
      </c>
      <c r="H19" s="240"/>
      <c r="I19" s="9">
        <v>99560</v>
      </c>
      <c r="J19" s="9">
        <v>223561</v>
      </c>
      <c r="K19" s="9"/>
      <c r="L19" s="27">
        <v>84586</v>
      </c>
      <c r="M19" s="27">
        <v>61336</v>
      </c>
      <c r="N19" s="26"/>
      <c r="O19" s="106"/>
      <c r="P19" s="106"/>
      <c r="Q19" s="107"/>
      <c r="R19" s="107"/>
      <c r="S19" s="108"/>
      <c r="T19" s="108"/>
      <c r="U19" s="65"/>
    </row>
    <row r="20" spans="2:21">
      <c r="B20" s="292"/>
      <c r="C20" s="19">
        <v>0.625</v>
      </c>
      <c r="D20" s="5">
        <v>222134</v>
      </c>
      <c r="E20" s="25">
        <v>524526</v>
      </c>
      <c r="F20" s="10">
        <v>1.2934000000000001</v>
      </c>
      <c r="G20" s="10">
        <v>0.88360000000000005</v>
      </c>
      <c r="H20" s="240"/>
      <c r="I20" s="9">
        <v>99560</v>
      </c>
      <c r="J20" s="9">
        <v>223561</v>
      </c>
      <c r="K20" s="9"/>
      <c r="L20" s="27">
        <v>84586</v>
      </c>
      <c r="M20" s="27">
        <v>61336</v>
      </c>
      <c r="N20" s="26"/>
      <c r="O20" s="106"/>
      <c r="P20" s="106"/>
      <c r="Q20" s="107"/>
      <c r="R20" s="107"/>
      <c r="S20" s="108"/>
      <c r="T20" s="108"/>
      <c r="U20" s="61"/>
    </row>
    <row r="21" spans="2:21">
      <c r="B21" s="292"/>
      <c r="C21" s="19">
        <v>0.66666666666666596</v>
      </c>
      <c r="D21" s="5">
        <v>222134</v>
      </c>
      <c r="E21" s="25">
        <v>524526</v>
      </c>
      <c r="F21" s="10">
        <v>1.2934000000000001</v>
      </c>
      <c r="G21" s="10">
        <v>0.88360000000000005</v>
      </c>
      <c r="H21" s="240"/>
      <c r="I21" s="9">
        <v>99560</v>
      </c>
      <c r="J21" s="9">
        <v>223561</v>
      </c>
      <c r="K21" s="9"/>
      <c r="L21" s="27">
        <v>84586</v>
      </c>
      <c r="M21" s="27">
        <v>61336</v>
      </c>
      <c r="N21" s="26"/>
      <c r="O21" s="106"/>
      <c r="P21" s="106"/>
      <c r="Q21" s="107"/>
      <c r="R21" s="107"/>
      <c r="S21" s="108"/>
      <c r="T21" s="108"/>
      <c r="U21" s="61"/>
    </row>
    <row r="22" spans="2:21">
      <c r="B22" s="292"/>
      <c r="C22" s="19">
        <v>0.70833333333333304</v>
      </c>
      <c r="D22" s="5">
        <v>222134</v>
      </c>
      <c r="E22" s="25">
        <v>524526</v>
      </c>
      <c r="F22" s="10">
        <v>1.2934000000000001</v>
      </c>
      <c r="G22" s="10">
        <v>0.88360000000000005</v>
      </c>
      <c r="H22" s="240"/>
      <c r="I22" s="9">
        <v>99560</v>
      </c>
      <c r="J22" s="9">
        <v>223561</v>
      </c>
      <c r="K22" s="9"/>
      <c r="L22" s="27">
        <v>84586</v>
      </c>
      <c r="M22" s="27">
        <v>61336</v>
      </c>
      <c r="N22" s="26"/>
      <c r="O22" s="106"/>
      <c r="P22" s="106"/>
      <c r="Q22" s="107"/>
      <c r="R22" s="107"/>
      <c r="S22" s="108"/>
      <c r="T22" s="108"/>
      <c r="U22" s="61"/>
    </row>
    <row r="23" spans="2:21">
      <c r="B23" s="292"/>
      <c r="C23" s="19">
        <v>0.75</v>
      </c>
      <c r="D23" s="5">
        <v>222134</v>
      </c>
      <c r="E23" s="25">
        <v>524526</v>
      </c>
      <c r="F23" s="10">
        <v>1.2934000000000001</v>
      </c>
      <c r="G23" s="10">
        <v>0.88360000000000005</v>
      </c>
      <c r="H23" s="240"/>
      <c r="I23" s="9">
        <v>99560</v>
      </c>
      <c r="J23" s="9">
        <v>223561</v>
      </c>
      <c r="K23" s="9"/>
      <c r="L23" s="27">
        <v>84586</v>
      </c>
      <c r="M23" s="27">
        <v>61336</v>
      </c>
      <c r="N23" s="26"/>
      <c r="O23" s="106"/>
      <c r="P23" s="106"/>
      <c r="Q23" s="107"/>
      <c r="R23" s="107"/>
      <c r="S23" s="108"/>
      <c r="T23" s="108"/>
      <c r="U23" s="61"/>
    </row>
    <row r="24" spans="2:21">
      <c r="B24" s="292"/>
      <c r="C24" s="19">
        <v>0.79166666666666596</v>
      </c>
      <c r="D24" s="5">
        <v>222134</v>
      </c>
      <c r="E24" s="25">
        <v>524526</v>
      </c>
      <c r="F24" s="10">
        <v>1.2934000000000001</v>
      </c>
      <c r="G24" s="10">
        <v>0.88360000000000005</v>
      </c>
      <c r="H24" s="240"/>
      <c r="I24" s="9">
        <v>99560</v>
      </c>
      <c r="J24" s="9">
        <v>223561</v>
      </c>
      <c r="K24" s="9"/>
      <c r="L24" s="27">
        <v>84586</v>
      </c>
      <c r="M24" s="27">
        <v>61336</v>
      </c>
      <c r="N24" s="26"/>
      <c r="O24" s="106"/>
      <c r="P24" s="106"/>
      <c r="Q24" s="107"/>
      <c r="R24" s="107"/>
      <c r="S24" s="108"/>
      <c r="T24" s="108"/>
      <c r="U24" s="61"/>
    </row>
    <row r="25" spans="2:21">
      <c r="B25" s="292"/>
      <c r="C25" s="19">
        <v>0.83333333333333304</v>
      </c>
      <c r="D25" s="5">
        <v>222134</v>
      </c>
      <c r="E25" s="25">
        <v>524526</v>
      </c>
      <c r="F25" s="10">
        <v>1.2934000000000001</v>
      </c>
      <c r="G25" s="10">
        <v>0.88360000000000005</v>
      </c>
      <c r="H25" s="240"/>
      <c r="I25" s="9">
        <v>99560</v>
      </c>
      <c r="J25" s="9">
        <v>223561</v>
      </c>
      <c r="K25" s="9"/>
      <c r="L25" s="27">
        <v>84586</v>
      </c>
      <c r="M25" s="27">
        <v>61336</v>
      </c>
      <c r="N25" s="26"/>
      <c r="O25" s="106"/>
      <c r="P25" s="106"/>
      <c r="Q25" s="107"/>
      <c r="R25" s="107"/>
      <c r="S25" s="108"/>
      <c r="T25" s="108"/>
      <c r="U25" s="61"/>
    </row>
    <row r="26" spans="2:21">
      <c r="B26" s="292"/>
      <c r="C26" s="19">
        <v>0.875</v>
      </c>
      <c r="D26" s="5">
        <v>222134</v>
      </c>
      <c r="E26" s="25">
        <v>524526</v>
      </c>
      <c r="F26" s="10">
        <v>1.2934000000000001</v>
      </c>
      <c r="G26" s="10">
        <v>0.88360000000000005</v>
      </c>
      <c r="H26" s="240"/>
      <c r="I26" s="9">
        <v>99560</v>
      </c>
      <c r="J26" s="9">
        <v>223561</v>
      </c>
      <c r="K26" s="9"/>
      <c r="L26" s="27">
        <v>84586</v>
      </c>
      <c r="M26" s="27">
        <v>61336</v>
      </c>
      <c r="N26" s="26"/>
      <c r="O26" s="106"/>
      <c r="P26" s="106"/>
      <c r="Q26" s="107"/>
      <c r="R26" s="107"/>
      <c r="S26" s="108"/>
      <c r="T26" s="108"/>
      <c r="U26" s="61"/>
    </row>
    <row r="27" spans="2:21">
      <c r="B27" s="292"/>
      <c r="C27" s="19">
        <v>0.91666666666666596</v>
      </c>
      <c r="D27" s="5">
        <v>222134</v>
      </c>
      <c r="E27" s="25">
        <v>524526</v>
      </c>
      <c r="F27" s="10">
        <v>1.2934000000000001</v>
      </c>
      <c r="G27" s="10">
        <v>0.88360000000000005</v>
      </c>
      <c r="H27" s="240"/>
      <c r="I27" s="9">
        <v>99560</v>
      </c>
      <c r="J27" s="9">
        <v>223561</v>
      </c>
      <c r="K27" s="9"/>
      <c r="L27" s="27">
        <v>84586</v>
      </c>
      <c r="M27" s="27">
        <v>61336</v>
      </c>
      <c r="N27" s="26"/>
      <c r="O27" s="106"/>
      <c r="P27" s="106"/>
      <c r="Q27" s="107"/>
      <c r="R27" s="107"/>
      <c r="S27" s="108"/>
      <c r="T27" s="108"/>
      <c r="U27" s="61"/>
    </row>
    <row r="28" spans="2:21">
      <c r="B28" s="292"/>
      <c r="C28" s="19">
        <v>0.95833333333333304</v>
      </c>
      <c r="D28" s="5">
        <v>222134</v>
      </c>
      <c r="E28" s="25">
        <v>524526</v>
      </c>
      <c r="F28" s="10">
        <v>1.2934000000000001</v>
      </c>
      <c r="G28" s="10">
        <v>0.88360000000000005</v>
      </c>
      <c r="H28" s="240"/>
      <c r="I28" s="9">
        <v>99560</v>
      </c>
      <c r="J28" s="9">
        <v>223561</v>
      </c>
      <c r="K28" s="9"/>
      <c r="L28" s="27">
        <v>84586</v>
      </c>
      <c r="M28" s="27">
        <v>61336</v>
      </c>
      <c r="N28" s="26"/>
      <c r="O28" s="106"/>
      <c r="P28" s="106"/>
      <c r="Q28" s="107"/>
      <c r="R28" s="107"/>
      <c r="S28" s="108"/>
      <c r="T28" s="108"/>
      <c r="U28" s="61"/>
    </row>
    <row r="29" spans="2:21">
      <c r="B29" s="292"/>
      <c r="C29" s="19">
        <v>1</v>
      </c>
      <c r="D29" s="5">
        <v>222134</v>
      </c>
      <c r="E29" s="25">
        <v>524526</v>
      </c>
      <c r="F29" s="10">
        <v>1.2934000000000001</v>
      </c>
      <c r="G29" s="10">
        <v>0.88360000000000005</v>
      </c>
      <c r="H29" s="240"/>
      <c r="I29" s="9">
        <v>99560</v>
      </c>
      <c r="J29" s="9">
        <v>223561</v>
      </c>
      <c r="K29" s="9"/>
      <c r="L29" s="27">
        <v>84586</v>
      </c>
      <c r="M29" s="27">
        <v>61336</v>
      </c>
      <c r="N29" s="26"/>
      <c r="O29" s="63"/>
      <c r="P29" s="63"/>
      <c r="Q29" s="62"/>
      <c r="R29" s="62"/>
      <c r="S29" s="64"/>
      <c r="T29" s="64"/>
      <c r="U29" s="61"/>
    </row>
    <row r="30" spans="2:21">
      <c r="B30" s="292"/>
      <c r="C30" s="19">
        <v>1.0416666666666701</v>
      </c>
      <c r="D30" s="5">
        <v>222134</v>
      </c>
      <c r="E30" s="25">
        <v>524526</v>
      </c>
      <c r="F30" s="10">
        <v>1.2934000000000001</v>
      </c>
      <c r="G30" s="10">
        <v>0.88360000000000005</v>
      </c>
      <c r="H30" s="240"/>
      <c r="I30" s="9">
        <v>99560</v>
      </c>
      <c r="J30" s="9">
        <v>223561</v>
      </c>
      <c r="K30" s="9"/>
      <c r="L30" s="27">
        <v>84586</v>
      </c>
      <c r="M30" s="27">
        <v>61336</v>
      </c>
      <c r="N30" s="26"/>
      <c r="O30" s="63"/>
      <c r="P30" s="63"/>
      <c r="Q30" s="62"/>
      <c r="R30" s="62"/>
      <c r="S30" s="64"/>
      <c r="T30" s="64"/>
      <c r="U30" s="61"/>
    </row>
    <row r="31" spans="2:21">
      <c r="B31" s="292"/>
      <c r="C31" s="19">
        <v>1.0833333333333399</v>
      </c>
      <c r="D31" s="5">
        <v>222134</v>
      </c>
      <c r="E31" s="25">
        <v>524526</v>
      </c>
      <c r="F31" s="10">
        <v>1.2934000000000001</v>
      </c>
      <c r="G31" s="10">
        <v>0.88360000000000005</v>
      </c>
      <c r="H31" s="240"/>
      <c r="I31" s="9">
        <v>99560</v>
      </c>
      <c r="J31" s="9">
        <v>223561</v>
      </c>
      <c r="K31" s="9"/>
      <c r="L31" s="27">
        <v>84586</v>
      </c>
      <c r="M31" s="27">
        <v>61336</v>
      </c>
      <c r="N31" s="26"/>
      <c r="O31" s="63"/>
      <c r="P31" s="63"/>
      <c r="Q31" s="62"/>
      <c r="R31" s="62"/>
      <c r="S31" s="64"/>
      <c r="T31" s="64"/>
      <c r="U31" s="61"/>
    </row>
    <row r="32" spans="2:21">
      <c r="B32" s="292"/>
      <c r="C32" s="19">
        <v>1.125</v>
      </c>
      <c r="D32" s="5">
        <v>222134</v>
      </c>
      <c r="E32" s="25">
        <v>524526</v>
      </c>
      <c r="F32" s="10">
        <v>1.2934000000000001</v>
      </c>
      <c r="G32" s="10">
        <v>0.88360000000000005</v>
      </c>
      <c r="H32" s="240"/>
      <c r="I32" s="9">
        <v>99560</v>
      </c>
      <c r="J32" s="9">
        <v>223561</v>
      </c>
      <c r="K32" s="9"/>
      <c r="L32" s="27">
        <v>84586</v>
      </c>
      <c r="M32" s="27">
        <v>61336</v>
      </c>
      <c r="N32" s="26"/>
      <c r="O32" s="63"/>
      <c r="P32" s="63"/>
      <c r="Q32" s="62"/>
      <c r="R32" s="62"/>
      <c r="S32" s="64"/>
      <c r="T32" s="64"/>
      <c r="U32" s="61"/>
    </row>
    <row r="33" spans="2:21">
      <c r="B33" s="292"/>
      <c r="C33" s="19">
        <v>1.1666666666666701</v>
      </c>
      <c r="D33" s="5">
        <v>222134</v>
      </c>
      <c r="E33" s="25">
        <v>524526</v>
      </c>
      <c r="F33" s="10">
        <v>1.2934000000000001</v>
      </c>
      <c r="G33" s="10">
        <v>0.88360000000000005</v>
      </c>
      <c r="H33" s="240"/>
      <c r="I33" s="9">
        <v>99560</v>
      </c>
      <c r="J33" s="9">
        <v>223561</v>
      </c>
      <c r="K33" s="9"/>
      <c r="L33" s="27">
        <v>84586</v>
      </c>
      <c r="M33" s="27">
        <v>61336</v>
      </c>
      <c r="N33" s="26"/>
      <c r="O33" s="106"/>
      <c r="P33" s="106"/>
      <c r="Q33" s="107"/>
      <c r="R33" s="107"/>
      <c r="S33" s="108"/>
      <c r="T33" s="108"/>
      <c r="U33" s="61"/>
    </row>
    <row r="34" spans="2:21">
      <c r="B34" s="292"/>
      <c r="C34" s="19">
        <v>1.2083333333333399</v>
      </c>
      <c r="D34" s="5">
        <v>222134</v>
      </c>
      <c r="E34" s="25">
        <v>524526</v>
      </c>
      <c r="F34" s="10">
        <v>1.2934000000000001</v>
      </c>
      <c r="G34" s="10">
        <v>0.88360000000000005</v>
      </c>
      <c r="H34" s="240"/>
      <c r="I34" s="9">
        <v>99560</v>
      </c>
      <c r="J34" s="9">
        <v>223561</v>
      </c>
      <c r="K34" s="9"/>
      <c r="L34" s="27">
        <v>84586</v>
      </c>
      <c r="M34" s="27">
        <v>61336</v>
      </c>
      <c r="N34" s="26"/>
      <c r="O34" s="106"/>
      <c r="P34" s="106"/>
      <c r="Q34" s="107"/>
      <c r="R34" s="107"/>
      <c r="S34" s="108"/>
      <c r="T34" s="108"/>
      <c r="U34" s="61"/>
    </row>
    <row r="35" spans="2:21">
      <c r="B35" s="292"/>
      <c r="C35" s="19">
        <v>1.25</v>
      </c>
      <c r="D35" s="5">
        <v>222134</v>
      </c>
      <c r="E35" s="25">
        <v>524526</v>
      </c>
      <c r="F35" s="10">
        <v>1.2934000000000001</v>
      </c>
      <c r="G35" s="10">
        <v>0.88360000000000005</v>
      </c>
      <c r="H35" s="240"/>
      <c r="I35" s="9">
        <v>99560</v>
      </c>
      <c r="J35" s="9">
        <v>223561</v>
      </c>
      <c r="K35" s="9"/>
      <c r="L35" s="27">
        <v>84586</v>
      </c>
      <c r="M35" s="27">
        <v>61336</v>
      </c>
      <c r="N35" s="26"/>
      <c r="O35" s="106"/>
      <c r="P35" s="106"/>
      <c r="Q35" s="107"/>
      <c r="R35" s="107"/>
      <c r="S35" s="108"/>
      <c r="T35" s="108"/>
      <c r="U35" s="61"/>
    </row>
    <row r="36" spans="2:21">
      <c r="B36" s="292"/>
      <c r="C36" s="19">
        <v>1.2916666666666701</v>
      </c>
      <c r="D36" s="5">
        <v>222134</v>
      </c>
      <c r="E36" s="25">
        <v>524526</v>
      </c>
      <c r="F36" s="10">
        <v>1.2934000000000001</v>
      </c>
      <c r="G36" s="10">
        <v>0.88360000000000005</v>
      </c>
      <c r="H36" s="240"/>
      <c r="I36" s="9">
        <v>99560</v>
      </c>
      <c r="J36" s="9">
        <v>223561</v>
      </c>
      <c r="K36" s="9"/>
      <c r="L36" s="27">
        <v>84586</v>
      </c>
      <c r="M36" s="27">
        <v>61336</v>
      </c>
      <c r="N36" s="26"/>
      <c r="O36" s="106"/>
      <c r="P36" s="106"/>
      <c r="Q36" s="107"/>
      <c r="R36" s="107"/>
      <c r="S36" s="108"/>
      <c r="T36" s="108"/>
      <c r="U36" s="61"/>
    </row>
    <row r="37" spans="2:21">
      <c r="B37" s="293"/>
      <c r="C37" s="6"/>
      <c r="D37" s="13" cm="1">
        <f t="array" ref="D37">IFERROR(LOOKUP(2,1/(D12:D36&gt;0),D12:D36-D12),0)</f>
        <v>0</v>
      </c>
      <c r="E37" s="13" cm="1">
        <f t="array" ref="E37">IFERROR(LOOKUP(2,1/(E12:E36&gt;0),E12:E36-E12),0)</f>
        <v>0</v>
      </c>
      <c r="F37" s="13" cm="1">
        <f t="array" ref="F37">IFERROR(LOOKUP(2,1/(F12:F36&gt;0),F12:F36-F12),0)</f>
        <v>0</v>
      </c>
      <c r="G37" s="13" cm="1">
        <f t="array" ref="G37">IFERROR(LOOKUP(2,1/(G12:G36&gt;0),G12:G36-G12),0)</f>
        <v>0</v>
      </c>
      <c r="H37" s="13">
        <f>F37+G37</f>
        <v>0</v>
      </c>
      <c r="I37" s="13" cm="1">
        <f t="array" ref="I37">IFERROR(LOOKUP(2,1/(I12:I36&gt;0),I12:I36-I12),0)</f>
        <v>0</v>
      </c>
      <c r="J37" s="13" cm="1">
        <f t="array" ref="J37">IFERROR(LOOKUP(2,1/(J12:J36&gt;0),J12:J36-J12),0)</f>
        <v>0</v>
      </c>
      <c r="K37" s="13">
        <f>I37+J37</f>
        <v>0</v>
      </c>
      <c r="L37" s="13" cm="1">
        <f t="array" ref="L37">IFERROR(LOOKUP(2,1/(L12:L36&gt;0),L12:L36-L12),0)</f>
        <v>0</v>
      </c>
      <c r="M37" s="13" cm="1">
        <f t="array" ref="M37">IFERROR(LOOKUP(2,1/(M12:M36&gt;0),M12:M36-M12),0)</f>
        <v>0</v>
      </c>
      <c r="N37" s="13">
        <f>L37+M37</f>
        <v>0</v>
      </c>
      <c r="O37" s="109">
        <f t="shared" ref="O37:T37" si="0">IFERROR(AVERAGE(O12:O36),0)</f>
        <v>0</v>
      </c>
      <c r="P37" s="109">
        <f t="shared" si="0"/>
        <v>0</v>
      </c>
      <c r="Q37" s="109">
        <f t="shared" si="0"/>
        <v>0</v>
      </c>
      <c r="R37" s="109">
        <f t="shared" si="0"/>
        <v>0</v>
      </c>
      <c r="S37" s="109">
        <f t="shared" si="0"/>
        <v>0</v>
      </c>
      <c r="T37" s="109">
        <f t="shared" si="0"/>
        <v>0</v>
      </c>
      <c r="U37" s="4">
        <f>COUNT(U12:U36)</f>
        <v>0</v>
      </c>
    </row>
    <row r="38" spans="2:21">
      <c r="B38" s="291">
        <f>B12+1</f>
        <v>46024</v>
      </c>
      <c r="C38" s="19">
        <v>0.29166666666666669</v>
      </c>
      <c r="D38" s="5">
        <v>222134</v>
      </c>
      <c r="E38" s="25">
        <v>524526</v>
      </c>
      <c r="F38" s="10">
        <v>1.2934000000000001</v>
      </c>
      <c r="G38" s="10">
        <v>0.88360000000000005</v>
      </c>
      <c r="H38" s="240"/>
      <c r="I38" s="9">
        <v>99560</v>
      </c>
      <c r="J38" s="9">
        <v>223561</v>
      </c>
      <c r="K38" s="9"/>
      <c r="L38" s="27">
        <v>84586</v>
      </c>
      <c r="M38" s="27">
        <v>61336</v>
      </c>
      <c r="N38" s="26"/>
      <c r="O38" s="106"/>
      <c r="P38" s="106"/>
      <c r="Q38" s="107"/>
      <c r="R38" s="107"/>
      <c r="S38" s="108"/>
      <c r="T38" s="108"/>
      <c r="U38" s="61"/>
    </row>
    <row r="39" spans="2:21">
      <c r="B39" s="292"/>
      <c r="C39" s="19">
        <v>0.33333333333333298</v>
      </c>
      <c r="D39" s="5">
        <v>222134</v>
      </c>
      <c r="E39" s="25">
        <v>524526</v>
      </c>
      <c r="F39" s="10">
        <v>1.2934000000000001</v>
      </c>
      <c r="G39" s="10">
        <v>0.88360000000000005</v>
      </c>
      <c r="H39" s="240"/>
      <c r="I39" s="9">
        <v>99560</v>
      </c>
      <c r="J39" s="9">
        <v>223561</v>
      </c>
      <c r="K39" s="9"/>
      <c r="L39" s="27">
        <v>84586</v>
      </c>
      <c r="M39" s="27">
        <v>61336</v>
      </c>
      <c r="N39" s="26"/>
      <c r="O39" s="106"/>
      <c r="P39" s="106"/>
      <c r="Q39" s="107"/>
      <c r="R39" s="107"/>
      <c r="S39" s="108"/>
      <c r="T39" s="108"/>
      <c r="U39" s="61"/>
    </row>
    <row r="40" spans="2:21">
      <c r="B40" s="292"/>
      <c r="C40" s="19">
        <v>0.375</v>
      </c>
      <c r="D40" s="5">
        <v>222134</v>
      </c>
      <c r="E40" s="25">
        <v>524526</v>
      </c>
      <c r="F40" s="10">
        <v>1.2934000000000001</v>
      </c>
      <c r="G40" s="10">
        <v>0.88360000000000005</v>
      </c>
      <c r="H40" s="240"/>
      <c r="I40" s="9">
        <v>99560</v>
      </c>
      <c r="J40" s="9">
        <v>223561</v>
      </c>
      <c r="K40" s="9"/>
      <c r="L40" s="27">
        <v>84586</v>
      </c>
      <c r="M40" s="27">
        <v>61336</v>
      </c>
      <c r="N40" s="26"/>
      <c r="O40" s="106"/>
      <c r="P40" s="106"/>
      <c r="Q40" s="107"/>
      <c r="R40" s="107"/>
      <c r="S40" s="108"/>
      <c r="T40" s="108"/>
      <c r="U40" s="61"/>
    </row>
    <row r="41" spans="2:21">
      <c r="B41" s="292"/>
      <c r="C41" s="19">
        <v>0.41666666666666702</v>
      </c>
      <c r="D41" s="5">
        <v>222134</v>
      </c>
      <c r="E41" s="25">
        <v>524526</v>
      </c>
      <c r="F41" s="10">
        <v>1.2934000000000001</v>
      </c>
      <c r="G41" s="10">
        <v>0.88360000000000005</v>
      </c>
      <c r="H41" s="240"/>
      <c r="I41" s="9">
        <v>99560</v>
      </c>
      <c r="J41" s="9">
        <v>223561</v>
      </c>
      <c r="K41" s="9"/>
      <c r="L41" s="27">
        <v>84586</v>
      </c>
      <c r="M41" s="27">
        <v>61336</v>
      </c>
      <c r="N41" s="26"/>
      <c r="O41" s="106"/>
      <c r="P41" s="106"/>
      <c r="Q41" s="107"/>
      <c r="R41" s="107"/>
      <c r="S41" s="108"/>
      <c r="T41" s="108"/>
      <c r="U41" s="61"/>
    </row>
    <row r="42" spans="2:21">
      <c r="B42" s="292"/>
      <c r="C42" s="19">
        <v>0.45833333333333298</v>
      </c>
      <c r="D42" s="5">
        <v>222134</v>
      </c>
      <c r="E42" s="25">
        <v>524526</v>
      </c>
      <c r="F42" s="10">
        <v>1.2934000000000001</v>
      </c>
      <c r="G42" s="10">
        <v>0.88360000000000005</v>
      </c>
      <c r="H42" s="240"/>
      <c r="I42" s="9">
        <v>99560</v>
      </c>
      <c r="J42" s="9">
        <v>223561</v>
      </c>
      <c r="K42" s="9"/>
      <c r="L42" s="27">
        <v>84586</v>
      </c>
      <c r="M42" s="27">
        <v>61336</v>
      </c>
      <c r="N42" s="26"/>
      <c r="O42" s="106"/>
      <c r="P42" s="106"/>
      <c r="Q42" s="107"/>
      <c r="R42" s="107"/>
      <c r="S42" s="108"/>
      <c r="T42" s="108"/>
      <c r="U42" s="61"/>
    </row>
    <row r="43" spans="2:21">
      <c r="B43" s="292"/>
      <c r="C43" s="19">
        <v>0.5</v>
      </c>
      <c r="D43" s="5">
        <v>222134</v>
      </c>
      <c r="E43" s="25">
        <v>524526</v>
      </c>
      <c r="F43" s="10">
        <v>1.2934000000000001</v>
      </c>
      <c r="G43" s="10">
        <v>0.88360000000000005</v>
      </c>
      <c r="H43" s="240"/>
      <c r="I43" s="9">
        <v>99560</v>
      </c>
      <c r="J43" s="9">
        <v>223561</v>
      </c>
      <c r="K43" s="9"/>
      <c r="L43" s="27">
        <v>84586</v>
      </c>
      <c r="M43" s="27">
        <v>61336</v>
      </c>
      <c r="N43" s="26"/>
      <c r="O43" s="106"/>
      <c r="P43" s="106"/>
      <c r="Q43" s="107"/>
      <c r="R43" s="107"/>
      <c r="S43" s="108"/>
      <c r="T43" s="108"/>
      <c r="U43" s="61"/>
    </row>
    <row r="44" spans="2:21">
      <c r="B44" s="292"/>
      <c r="C44" s="19">
        <v>0.54166666666666696</v>
      </c>
      <c r="D44" s="5">
        <v>222134</v>
      </c>
      <c r="E44" s="25">
        <v>524526</v>
      </c>
      <c r="F44" s="10">
        <v>1.2934000000000001</v>
      </c>
      <c r="G44" s="10">
        <v>0.88360000000000005</v>
      </c>
      <c r="H44" s="240"/>
      <c r="I44" s="9">
        <v>99560</v>
      </c>
      <c r="J44" s="9">
        <v>223561</v>
      </c>
      <c r="K44" s="9"/>
      <c r="L44" s="27">
        <v>84586</v>
      </c>
      <c r="M44" s="27">
        <v>61336</v>
      </c>
      <c r="N44" s="26"/>
      <c r="O44" s="106"/>
      <c r="P44" s="106"/>
      <c r="Q44" s="107"/>
      <c r="R44" s="107"/>
      <c r="S44" s="108"/>
      <c r="T44" s="108"/>
      <c r="U44" s="61"/>
    </row>
    <row r="45" spans="2:21">
      <c r="B45" s="292"/>
      <c r="C45" s="19">
        <v>0.58333333333333304</v>
      </c>
      <c r="D45" s="5">
        <v>222134</v>
      </c>
      <c r="E45" s="25">
        <v>524526</v>
      </c>
      <c r="F45" s="10">
        <v>1.2934000000000001</v>
      </c>
      <c r="G45" s="10">
        <v>0.88360000000000005</v>
      </c>
      <c r="H45" s="240"/>
      <c r="I45" s="9">
        <v>99560</v>
      </c>
      <c r="J45" s="9">
        <v>223561</v>
      </c>
      <c r="K45" s="9"/>
      <c r="L45" s="27">
        <v>84586</v>
      </c>
      <c r="M45" s="27">
        <v>61336</v>
      </c>
      <c r="N45" s="26"/>
      <c r="O45" s="106"/>
      <c r="P45" s="106"/>
      <c r="Q45" s="107"/>
      <c r="R45" s="107"/>
      <c r="S45" s="108"/>
      <c r="T45" s="108"/>
      <c r="U45" s="65"/>
    </row>
    <row r="46" spans="2:21">
      <c r="B46" s="292"/>
      <c r="C46" s="19">
        <v>0.625</v>
      </c>
      <c r="D46" s="5">
        <v>222134</v>
      </c>
      <c r="E46" s="25">
        <v>524526</v>
      </c>
      <c r="F46" s="10">
        <v>1.2934000000000001</v>
      </c>
      <c r="G46" s="10">
        <v>0.88360000000000005</v>
      </c>
      <c r="H46" s="240"/>
      <c r="I46" s="9">
        <v>99560</v>
      </c>
      <c r="J46" s="9">
        <v>223561</v>
      </c>
      <c r="K46" s="9"/>
      <c r="L46" s="27">
        <v>84586</v>
      </c>
      <c r="M46" s="27">
        <v>61336</v>
      </c>
      <c r="N46" s="26"/>
      <c r="O46" s="106"/>
      <c r="P46" s="106"/>
      <c r="Q46" s="107"/>
      <c r="R46" s="107"/>
      <c r="S46" s="108"/>
      <c r="T46" s="108"/>
      <c r="U46" s="61"/>
    </row>
    <row r="47" spans="2:21">
      <c r="B47" s="292"/>
      <c r="C47" s="19">
        <v>0.66666666666666596</v>
      </c>
      <c r="D47" s="5">
        <v>222134</v>
      </c>
      <c r="E47" s="25">
        <v>524526</v>
      </c>
      <c r="F47" s="10">
        <v>1.2934000000000001</v>
      </c>
      <c r="G47" s="10">
        <v>0.88360000000000005</v>
      </c>
      <c r="H47" s="240"/>
      <c r="I47" s="9">
        <v>99560</v>
      </c>
      <c r="J47" s="9">
        <v>223561</v>
      </c>
      <c r="K47" s="9"/>
      <c r="L47" s="27">
        <v>84586</v>
      </c>
      <c r="M47" s="27">
        <v>61336</v>
      </c>
      <c r="N47" s="26"/>
      <c r="O47" s="106"/>
      <c r="P47" s="106"/>
      <c r="Q47" s="107"/>
      <c r="R47" s="107"/>
      <c r="S47" s="108"/>
      <c r="T47" s="108"/>
      <c r="U47" s="61"/>
    </row>
    <row r="48" spans="2:21">
      <c r="B48" s="292"/>
      <c r="C48" s="19">
        <v>0.70833333333333304</v>
      </c>
      <c r="D48" s="5">
        <v>222134</v>
      </c>
      <c r="E48" s="25">
        <v>524526</v>
      </c>
      <c r="F48" s="10">
        <v>1.2934000000000001</v>
      </c>
      <c r="G48" s="10">
        <v>0.88360000000000005</v>
      </c>
      <c r="H48" s="240"/>
      <c r="I48" s="9">
        <v>99560</v>
      </c>
      <c r="J48" s="9">
        <v>223561</v>
      </c>
      <c r="K48" s="9"/>
      <c r="L48" s="27">
        <v>84586</v>
      </c>
      <c r="M48" s="27">
        <v>61336</v>
      </c>
      <c r="N48" s="26"/>
      <c r="O48" s="106"/>
      <c r="P48" s="106"/>
      <c r="Q48" s="107"/>
      <c r="R48" s="107"/>
      <c r="S48" s="108"/>
      <c r="T48" s="108"/>
      <c r="U48" s="61"/>
    </row>
    <row r="49" spans="2:21">
      <c r="B49" s="292"/>
      <c r="C49" s="19">
        <v>0.75</v>
      </c>
      <c r="D49" s="5">
        <v>222134</v>
      </c>
      <c r="E49" s="25">
        <v>524526</v>
      </c>
      <c r="F49" s="10">
        <v>1.2934000000000001</v>
      </c>
      <c r="G49" s="10">
        <v>0.88360000000000005</v>
      </c>
      <c r="H49" s="240"/>
      <c r="I49" s="9">
        <v>99560</v>
      </c>
      <c r="J49" s="9">
        <v>223561</v>
      </c>
      <c r="K49" s="9"/>
      <c r="L49" s="27">
        <v>84586</v>
      </c>
      <c r="M49" s="27">
        <v>61336</v>
      </c>
      <c r="N49" s="26"/>
      <c r="O49" s="106"/>
      <c r="P49" s="106"/>
      <c r="Q49" s="107"/>
      <c r="R49" s="107"/>
      <c r="S49" s="108"/>
      <c r="T49" s="108"/>
      <c r="U49" s="61"/>
    </row>
    <row r="50" spans="2:21">
      <c r="B50" s="292"/>
      <c r="C50" s="19">
        <v>0.79166666666666596</v>
      </c>
      <c r="D50" s="5">
        <v>222134</v>
      </c>
      <c r="E50" s="25">
        <v>524526</v>
      </c>
      <c r="F50" s="10">
        <v>1.2934000000000001</v>
      </c>
      <c r="G50" s="10">
        <v>0.88360000000000005</v>
      </c>
      <c r="H50" s="240"/>
      <c r="I50" s="9">
        <v>99560</v>
      </c>
      <c r="J50" s="9">
        <v>223561</v>
      </c>
      <c r="K50" s="9"/>
      <c r="L50" s="27">
        <v>84586</v>
      </c>
      <c r="M50" s="27">
        <v>61336</v>
      </c>
      <c r="N50" s="26"/>
      <c r="O50" s="106"/>
      <c r="P50" s="106"/>
      <c r="Q50" s="107"/>
      <c r="R50" s="107"/>
      <c r="S50" s="108"/>
      <c r="T50" s="108"/>
      <c r="U50" s="61"/>
    </row>
    <row r="51" spans="2:21">
      <c r="B51" s="292"/>
      <c r="C51" s="19">
        <v>0.83333333333333304</v>
      </c>
      <c r="D51" s="5">
        <v>222134</v>
      </c>
      <c r="E51" s="25">
        <v>524526</v>
      </c>
      <c r="F51" s="10">
        <v>1.2934000000000001</v>
      </c>
      <c r="G51" s="10">
        <v>0.88360000000000005</v>
      </c>
      <c r="H51" s="240"/>
      <c r="I51" s="9">
        <v>99560</v>
      </c>
      <c r="J51" s="9">
        <v>223561</v>
      </c>
      <c r="K51" s="9"/>
      <c r="L51" s="27">
        <v>84586</v>
      </c>
      <c r="M51" s="27">
        <v>61336</v>
      </c>
      <c r="N51" s="26"/>
      <c r="O51" s="106"/>
      <c r="P51" s="106"/>
      <c r="Q51" s="107"/>
      <c r="R51" s="107"/>
      <c r="S51" s="108"/>
      <c r="T51" s="108"/>
      <c r="U51" s="61"/>
    </row>
    <row r="52" spans="2:21">
      <c r="B52" s="292"/>
      <c r="C52" s="19">
        <v>0.875</v>
      </c>
      <c r="D52" s="5">
        <v>222134</v>
      </c>
      <c r="E52" s="25">
        <v>524526</v>
      </c>
      <c r="F52" s="10">
        <v>1.2934000000000001</v>
      </c>
      <c r="G52" s="10">
        <v>0.88360000000000005</v>
      </c>
      <c r="H52" s="240"/>
      <c r="I52" s="9">
        <v>99560</v>
      </c>
      <c r="J52" s="9">
        <v>223561</v>
      </c>
      <c r="K52" s="9"/>
      <c r="L52" s="27">
        <v>84586</v>
      </c>
      <c r="M52" s="27">
        <v>61336</v>
      </c>
      <c r="N52" s="26"/>
      <c r="O52" s="106"/>
      <c r="P52" s="106"/>
      <c r="Q52" s="107"/>
      <c r="R52" s="107"/>
      <c r="S52" s="108"/>
      <c r="T52" s="108"/>
      <c r="U52" s="61"/>
    </row>
    <row r="53" spans="2:21">
      <c r="B53" s="292"/>
      <c r="C53" s="19">
        <v>0.91666666666666596</v>
      </c>
      <c r="D53" s="5">
        <v>222134</v>
      </c>
      <c r="E53" s="25">
        <v>524526</v>
      </c>
      <c r="F53" s="10">
        <v>1.2934000000000001</v>
      </c>
      <c r="G53" s="10">
        <v>0.88360000000000005</v>
      </c>
      <c r="H53" s="240"/>
      <c r="I53" s="9">
        <v>99560</v>
      </c>
      <c r="J53" s="9">
        <v>223561</v>
      </c>
      <c r="K53" s="9"/>
      <c r="L53" s="27">
        <v>84586</v>
      </c>
      <c r="M53" s="27">
        <v>61336</v>
      </c>
      <c r="N53" s="26"/>
      <c r="O53" s="106"/>
      <c r="P53" s="106"/>
      <c r="Q53" s="107"/>
      <c r="R53" s="107"/>
      <c r="S53" s="108"/>
      <c r="T53" s="108"/>
      <c r="U53" s="61"/>
    </row>
    <row r="54" spans="2:21">
      <c r="B54" s="292"/>
      <c r="C54" s="19">
        <v>0.95833333333333304</v>
      </c>
      <c r="D54" s="5">
        <v>222134</v>
      </c>
      <c r="E54" s="25">
        <v>524526</v>
      </c>
      <c r="F54" s="10">
        <v>1.2934000000000001</v>
      </c>
      <c r="G54" s="10">
        <v>0.88360000000000005</v>
      </c>
      <c r="H54" s="240"/>
      <c r="I54" s="9">
        <v>99560</v>
      </c>
      <c r="J54" s="9">
        <v>223561</v>
      </c>
      <c r="K54" s="9"/>
      <c r="L54" s="27">
        <v>84586</v>
      </c>
      <c r="M54" s="27">
        <v>61336</v>
      </c>
      <c r="N54" s="26"/>
      <c r="O54" s="106"/>
      <c r="P54" s="106"/>
      <c r="Q54" s="107"/>
      <c r="R54" s="107"/>
      <c r="S54" s="108"/>
      <c r="T54" s="108"/>
      <c r="U54" s="61"/>
    </row>
    <row r="55" spans="2:21">
      <c r="B55" s="292"/>
      <c r="C55" s="19">
        <v>1</v>
      </c>
      <c r="D55" s="5">
        <v>222134</v>
      </c>
      <c r="E55" s="25">
        <v>524526</v>
      </c>
      <c r="F55" s="10">
        <v>1.2934000000000001</v>
      </c>
      <c r="G55" s="10">
        <v>0.88360000000000005</v>
      </c>
      <c r="H55" s="240"/>
      <c r="I55" s="9">
        <v>99560</v>
      </c>
      <c r="J55" s="9">
        <v>223561</v>
      </c>
      <c r="K55" s="9"/>
      <c r="L55" s="27">
        <v>84586</v>
      </c>
      <c r="M55" s="27">
        <v>61336</v>
      </c>
      <c r="N55" s="26"/>
      <c r="O55" s="63"/>
      <c r="P55" s="63"/>
      <c r="Q55" s="62"/>
      <c r="R55" s="62"/>
      <c r="S55" s="64"/>
      <c r="T55" s="64"/>
      <c r="U55" s="61"/>
    </row>
    <row r="56" spans="2:21">
      <c r="B56" s="292"/>
      <c r="C56" s="19">
        <v>1.0416666666666701</v>
      </c>
      <c r="D56" s="5">
        <v>222134</v>
      </c>
      <c r="E56" s="25">
        <v>524526</v>
      </c>
      <c r="F56" s="10">
        <v>1.2934000000000001</v>
      </c>
      <c r="G56" s="10">
        <v>0.88360000000000005</v>
      </c>
      <c r="H56" s="240"/>
      <c r="I56" s="9">
        <v>99560</v>
      </c>
      <c r="J56" s="9">
        <v>223561</v>
      </c>
      <c r="K56" s="9"/>
      <c r="L56" s="27">
        <v>84586</v>
      </c>
      <c r="M56" s="27">
        <v>61336</v>
      </c>
      <c r="N56" s="26"/>
      <c r="O56" s="63"/>
      <c r="P56" s="63"/>
      <c r="Q56" s="62"/>
      <c r="R56" s="62"/>
      <c r="S56" s="64"/>
      <c r="T56" s="64"/>
      <c r="U56" s="61"/>
    </row>
    <row r="57" spans="2:21">
      <c r="B57" s="292"/>
      <c r="C57" s="19">
        <v>1.0833333333333399</v>
      </c>
      <c r="D57" s="5">
        <v>222134</v>
      </c>
      <c r="E57" s="25">
        <v>524526</v>
      </c>
      <c r="F57" s="10">
        <v>1.2934000000000001</v>
      </c>
      <c r="G57" s="10">
        <v>0.88360000000000005</v>
      </c>
      <c r="H57" s="240"/>
      <c r="I57" s="9">
        <v>99560</v>
      </c>
      <c r="J57" s="9">
        <v>223561</v>
      </c>
      <c r="K57" s="9"/>
      <c r="L57" s="27">
        <v>84586</v>
      </c>
      <c r="M57" s="27">
        <v>61336</v>
      </c>
      <c r="N57" s="26"/>
      <c r="O57" s="63"/>
      <c r="P57" s="63"/>
      <c r="Q57" s="62"/>
      <c r="R57" s="62"/>
      <c r="S57" s="64"/>
      <c r="T57" s="64"/>
      <c r="U57" s="61"/>
    </row>
    <row r="58" spans="2:21">
      <c r="B58" s="292"/>
      <c r="C58" s="19">
        <v>1.125</v>
      </c>
      <c r="D58" s="5">
        <v>222134</v>
      </c>
      <c r="E58" s="25">
        <v>524526</v>
      </c>
      <c r="F58" s="10">
        <v>1.2934000000000001</v>
      </c>
      <c r="G58" s="10">
        <v>0.88360000000000005</v>
      </c>
      <c r="H58" s="240"/>
      <c r="I58" s="9">
        <v>99560</v>
      </c>
      <c r="J58" s="9">
        <v>223561</v>
      </c>
      <c r="K58" s="9"/>
      <c r="L58" s="27">
        <v>84586</v>
      </c>
      <c r="M58" s="27">
        <v>61336</v>
      </c>
      <c r="N58" s="26"/>
      <c r="O58" s="63"/>
      <c r="P58" s="63"/>
      <c r="Q58" s="62"/>
      <c r="R58" s="62"/>
      <c r="S58" s="64"/>
      <c r="T58" s="64"/>
      <c r="U58" s="61"/>
    </row>
    <row r="59" spans="2:21">
      <c r="B59" s="292"/>
      <c r="C59" s="19">
        <v>1.1666666666666701</v>
      </c>
      <c r="D59" s="5">
        <v>222134</v>
      </c>
      <c r="E59" s="25">
        <v>524526</v>
      </c>
      <c r="F59" s="10">
        <v>1.2934000000000001</v>
      </c>
      <c r="G59" s="10">
        <v>0.88360000000000005</v>
      </c>
      <c r="H59" s="240"/>
      <c r="I59" s="9">
        <v>99560</v>
      </c>
      <c r="J59" s="9">
        <v>223561</v>
      </c>
      <c r="K59" s="9"/>
      <c r="L59" s="27">
        <v>84586</v>
      </c>
      <c r="M59" s="27">
        <v>61336</v>
      </c>
      <c r="N59" s="26"/>
      <c r="O59" s="106"/>
      <c r="P59" s="106"/>
      <c r="Q59" s="107"/>
      <c r="R59" s="107"/>
      <c r="S59" s="108"/>
      <c r="T59" s="108"/>
      <c r="U59" s="61"/>
    </row>
    <row r="60" spans="2:21">
      <c r="B60" s="292"/>
      <c r="C60" s="19">
        <v>1.2083333333333399</v>
      </c>
      <c r="D60" s="5">
        <v>222134</v>
      </c>
      <c r="E60" s="25">
        <v>524526</v>
      </c>
      <c r="F60" s="10">
        <v>1.2934000000000001</v>
      </c>
      <c r="G60" s="10">
        <v>0.88360000000000005</v>
      </c>
      <c r="H60" s="240"/>
      <c r="I60" s="9">
        <v>99560</v>
      </c>
      <c r="J60" s="9">
        <v>223561</v>
      </c>
      <c r="K60" s="9"/>
      <c r="L60" s="27">
        <v>84586</v>
      </c>
      <c r="M60" s="27">
        <v>61336</v>
      </c>
      <c r="N60" s="26"/>
      <c r="O60" s="106"/>
      <c r="P60" s="106"/>
      <c r="Q60" s="107"/>
      <c r="R60" s="107"/>
      <c r="S60" s="108"/>
      <c r="T60" s="108"/>
      <c r="U60" s="61"/>
    </row>
    <row r="61" spans="2:21">
      <c r="B61" s="292"/>
      <c r="C61" s="19">
        <v>1.25</v>
      </c>
      <c r="D61" s="5">
        <v>222134</v>
      </c>
      <c r="E61" s="25">
        <v>524526</v>
      </c>
      <c r="F61" s="10">
        <v>1.2934000000000001</v>
      </c>
      <c r="G61" s="10">
        <v>0.88360000000000005</v>
      </c>
      <c r="H61" s="240"/>
      <c r="I61" s="9">
        <v>99560</v>
      </c>
      <c r="J61" s="9">
        <v>223561</v>
      </c>
      <c r="K61" s="9"/>
      <c r="L61" s="27">
        <v>84586</v>
      </c>
      <c r="M61" s="27">
        <v>61336</v>
      </c>
      <c r="N61" s="26"/>
      <c r="O61" s="106"/>
      <c r="P61" s="106"/>
      <c r="Q61" s="107"/>
      <c r="R61" s="107"/>
      <c r="S61" s="108"/>
      <c r="T61" s="108"/>
      <c r="U61" s="61"/>
    </row>
    <row r="62" spans="2:21">
      <c r="B62" s="292"/>
      <c r="C62" s="19">
        <v>1.2916666666666701</v>
      </c>
      <c r="D62" s="5">
        <v>222134</v>
      </c>
      <c r="E62" s="25">
        <v>524526</v>
      </c>
      <c r="F62" s="10">
        <v>1.2934000000000001</v>
      </c>
      <c r="G62" s="10">
        <v>0.88360000000000005</v>
      </c>
      <c r="H62" s="240"/>
      <c r="I62" s="9">
        <v>99560</v>
      </c>
      <c r="J62" s="9">
        <v>223561</v>
      </c>
      <c r="K62" s="9"/>
      <c r="L62" s="27">
        <v>84586</v>
      </c>
      <c r="M62" s="27">
        <v>61336</v>
      </c>
      <c r="N62" s="26"/>
      <c r="O62" s="106"/>
      <c r="P62" s="106"/>
      <c r="Q62" s="107"/>
      <c r="R62" s="107"/>
      <c r="S62" s="108"/>
      <c r="T62" s="108"/>
      <c r="U62" s="61"/>
    </row>
    <row r="63" spans="2:21">
      <c r="B63" s="293"/>
      <c r="C63" s="6"/>
      <c r="D63" s="13" cm="1">
        <f t="array" ref="D63">IFERROR(LOOKUP(2,1/(D38:D62&gt;0),D38:D62-D38),0)</f>
        <v>0</v>
      </c>
      <c r="E63" s="13" cm="1">
        <f t="array" ref="E63">IFERROR(LOOKUP(2,1/(E38:E62&gt;0),E38:E62-E38),0)</f>
        <v>0</v>
      </c>
      <c r="F63" s="13" cm="1">
        <f t="array" ref="F63">IFERROR(LOOKUP(2,1/(F38:F62&gt;0),F38:F62-F38),0)</f>
        <v>0</v>
      </c>
      <c r="G63" s="13" cm="1">
        <f t="array" ref="G63">IFERROR(LOOKUP(2,1/(G38:G62&gt;0),G38:G62-G38),0)</f>
        <v>0</v>
      </c>
      <c r="H63" s="13">
        <f>F63+G63</f>
        <v>0</v>
      </c>
      <c r="I63" s="13" cm="1">
        <f t="array" ref="I63">IFERROR(LOOKUP(2,1/(I38:I62&gt;0),I38:I62-I38),0)</f>
        <v>0</v>
      </c>
      <c r="J63" s="13" cm="1">
        <f t="array" ref="J63">IFERROR(LOOKUP(2,1/(J38:J62&gt;0),J38:J62-J38),0)</f>
        <v>0</v>
      </c>
      <c r="K63" s="13">
        <f>I63+J63</f>
        <v>0</v>
      </c>
      <c r="L63" s="13" cm="1">
        <f t="array" ref="L63">IFERROR(LOOKUP(2,1/(L38:L62&gt;0),L38:L62-L38),0)</f>
        <v>0</v>
      </c>
      <c r="M63" s="13" cm="1">
        <f t="array" ref="M63">IFERROR(LOOKUP(2,1/(M38:M62&gt;0),M38:M62-M38),0)</f>
        <v>0</v>
      </c>
      <c r="N63" s="13">
        <f>L63+M63</f>
        <v>0</v>
      </c>
      <c r="O63" s="109">
        <f t="shared" ref="O63:T63" si="1">IFERROR(AVERAGE(O38:O62),0)</f>
        <v>0</v>
      </c>
      <c r="P63" s="109">
        <f t="shared" si="1"/>
        <v>0</v>
      </c>
      <c r="Q63" s="109">
        <f t="shared" si="1"/>
        <v>0</v>
      </c>
      <c r="R63" s="109">
        <f t="shared" si="1"/>
        <v>0</v>
      </c>
      <c r="S63" s="109">
        <f t="shared" si="1"/>
        <v>0</v>
      </c>
      <c r="T63" s="109">
        <f t="shared" si="1"/>
        <v>0</v>
      </c>
      <c r="U63" s="4">
        <f>COUNT(U38:U62)</f>
        <v>0</v>
      </c>
    </row>
    <row r="64" spans="2:21">
      <c r="B64" s="291">
        <f t="shared" ref="B64" si="2">B38+1</f>
        <v>46025</v>
      </c>
      <c r="C64" s="19">
        <v>0.29166666666666669</v>
      </c>
      <c r="D64" s="5">
        <v>222134</v>
      </c>
      <c r="E64" s="25">
        <v>524526</v>
      </c>
      <c r="F64" s="10">
        <v>1.2934000000000001</v>
      </c>
      <c r="G64" s="10">
        <v>0.88360000000000005</v>
      </c>
      <c r="H64" s="240"/>
      <c r="I64" s="9">
        <v>99560</v>
      </c>
      <c r="J64" s="9">
        <v>223561</v>
      </c>
      <c r="K64" s="9"/>
      <c r="L64" s="27">
        <v>84586</v>
      </c>
      <c r="M64" s="27">
        <v>61336</v>
      </c>
      <c r="N64" s="26"/>
      <c r="O64" s="106"/>
      <c r="P64" s="106"/>
      <c r="Q64" s="107"/>
      <c r="R64" s="107"/>
      <c r="S64" s="108"/>
      <c r="T64" s="108"/>
      <c r="U64" s="61"/>
    </row>
    <row r="65" spans="2:21">
      <c r="B65" s="292"/>
      <c r="C65" s="19">
        <v>0.33333333333333298</v>
      </c>
      <c r="D65" s="5">
        <v>222134</v>
      </c>
      <c r="E65" s="25">
        <v>524526</v>
      </c>
      <c r="F65" s="10">
        <v>1.2934000000000001</v>
      </c>
      <c r="G65" s="10">
        <v>0.88360000000000005</v>
      </c>
      <c r="H65" s="240"/>
      <c r="I65" s="9">
        <v>99560</v>
      </c>
      <c r="J65" s="9">
        <v>223561</v>
      </c>
      <c r="K65" s="9"/>
      <c r="L65" s="27">
        <v>84586</v>
      </c>
      <c r="M65" s="27">
        <v>61336</v>
      </c>
      <c r="N65" s="26"/>
      <c r="O65" s="106"/>
      <c r="P65" s="106"/>
      <c r="Q65" s="107"/>
      <c r="R65" s="107"/>
      <c r="S65" s="108"/>
      <c r="T65" s="108"/>
      <c r="U65" s="61"/>
    </row>
    <row r="66" spans="2:21">
      <c r="B66" s="292"/>
      <c r="C66" s="19">
        <v>0.375</v>
      </c>
      <c r="D66" s="5">
        <v>222134</v>
      </c>
      <c r="E66" s="25">
        <v>524526</v>
      </c>
      <c r="F66" s="10">
        <v>1.2934000000000001</v>
      </c>
      <c r="G66" s="10">
        <v>0.88360000000000005</v>
      </c>
      <c r="H66" s="240"/>
      <c r="I66" s="9">
        <v>99560</v>
      </c>
      <c r="J66" s="9">
        <v>223561</v>
      </c>
      <c r="K66" s="9"/>
      <c r="L66" s="27">
        <v>84586</v>
      </c>
      <c r="M66" s="27">
        <v>61336</v>
      </c>
      <c r="N66" s="26"/>
      <c r="O66" s="106"/>
      <c r="P66" s="106"/>
      <c r="Q66" s="107"/>
      <c r="R66" s="107"/>
      <c r="S66" s="108"/>
      <c r="T66" s="108"/>
      <c r="U66" s="61"/>
    </row>
    <row r="67" spans="2:21">
      <c r="B67" s="292"/>
      <c r="C67" s="19">
        <v>0.41666666666666702</v>
      </c>
      <c r="D67" s="5">
        <v>222134</v>
      </c>
      <c r="E67" s="25">
        <v>524526</v>
      </c>
      <c r="F67" s="10">
        <v>1.2934000000000001</v>
      </c>
      <c r="G67" s="10">
        <v>0.88360000000000005</v>
      </c>
      <c r="H67" s="240"/>
      <c r="I67" s="9">
        <v>99560</v>
      </c>
      <c r="J67" s="9">
        <v>223561</v>
      </c>
      <c r="K67" s="9"/>
      <c r="L67" s="27">
        <v>84586</v>
      </c>
      <c r="M67" s="27">
        <v>61336</v>
      </c>
      <c r="N67" s="26"/>
      <c r="O67" s="106"/>
      <c r="P67" s="106"/>
      <c r="Q67" s="107"/>
      <c r="R67" s="107"/>
      <c r="S67" s="108"/>
      <c r="T67" s="108"/>
      <c r="U67" s="61"/>
    </row>
    <row r="68" spans="2:21">
      <c r="B68" s="292"/>
      <c r="C68" s="19">
        <v>0.45833333333333298</v>
      </c>
      <c r="D68" s="5">
        <v>222134</v>
      </c>
      <c r="E68" s="25">
        <v>524526</v>
      </c>
      <c r="F68" s="10">
        <v>1.2934000000000001</v>
      </c>
      <c r="G68" s="10">
        <v>0.88360000000000005</v>
      </c>
      <c r="H68" s="240"/>
      <c r="I68" s="9">
        <v>99560</v>
      </c>
      <c r="J68" s="9">
        <v>223561</v>
      </c>
      <c r="K68" s="9"/>
      <c r="L68" s="27">
        <v>84586</v>
      </c>
      <c r="M68" s="27">
        <v>61336</v>
      </c>
      <c r="N68" s="26"/>
      <c r="O68" s="106"/>
      <c r="P68" s="106"/>
      <c r="Q68" s="107"/>
      <c r="R68" s="107"/>
      <c r="S68" s="108"/>
      <c r="T68" s="108"/>
      <c r="U68" s="61"/>
    </row>
    <row r="69" spans="2:21">
      <c r="B69" s="292"/>
      <c r="C69" s="19">
        <v>0.5</v>
      </c>
      <c r="D69" s="5">
        <v>222134</v>
      </c>
      <c r="E69" s="25">
        <v>524526</v>
      </c>
      <c r="F69" s="10">
        <v>1.2934000000000001</v>
      </c>
      <c r="G69" s="10">
        <v>0.88360000000000005</v>
      </c>
      <c r="H69" s="240"/>
      <c r="I69" s="9">
        <v>99560</v>
      </c>
      <c r="J69" s="9">
        <v>223561</v>
      </c>
      <c r="K69" s="9"/>
      <c r="L69" s="27">
        <v>84586</v>
      </c>
      <c r="M69" s="27">
        <v>61336</v>
      </c>
      <c r="N69" s="26"/>
      <c r="O69" s="106"/>
      <c r="P69" s="106"/>
      <c r="Q69" s="107"/>
      <c r="R69" s="107"/>
      <c r="S69" s="108"/>
      <c r="T69" s="108"/>
      <c r="U69" s="61"/>
    </row>
    <row r="70" spans="2:21">
      <c r="B70" s="292"/>
      <c r="C70" s="19">
        <v>0.54166666666666696</v>
      </c>
      <c r="D70" s="5">
        <v>222134</v>
      </c>
      <c r="E70" s="25">
        <v>524526</v>
      </c>
      <c r="F70" s="10">
        <v>1.2934000000000001</v>
      </c>
      <c r="G70" s="10">
        <v>0.88360000000000005</v>
      </c>
      <c r="H70" s="240"/>
      <c r="I70" s="9">
        <v>99560</v>
      </c>
      <c r="J70" s="9">
        <v>223561</v>
      </c>
      <c r="K70" s="9"/>
      <c r="L70" s="27">
        <v>84586</v>
      </c>
      <c r="M70" s="27">
        <v>61336</v>
      </c>
      <c r="N70" s="26"/>
      <c r="O70" s="106"/>
      <c r="P70" s="106"/>
      <c r="Q70" s="107"/>
      <c r="R70" s="107"/>
      <c r="S70" s="108"/>
      <c r="T70" s="108"/>
      <c r="U70" s="61"/>
    </row>
    <row r="71" spans="2:21">
      <c r="B71" s="292"/>
      <c r="C71" s="19">
        <v>0.58333333333333304</v>
      </c>
      <c r="D71" s="5">
        <v>222134</v>
      </c>
      <c r="E71" s="25">
        <v>524526</v>
      </c>
      <c r="F71" s="10">
        <v>1.2934000000000001</v>
      </c>
      <c r="G71" s="10">
        <v>0.88360000000000005</v>
      </c>
      <c r="H71" s="240"/>
      <c r="I71" s="9">
        <v>99560</v>
      </c>
      <c r="J71" s="9">
        <v>223561</v>
      </c>
      <c r="K71" s="9"/>
      <c r="L71" s="27">
        <v>84586</v>
      </c>
      <c r="M71" s="27">
        <v>61336</v>
      </c>
      <c r="N71" s="26"/>
      <c r="O71" s="106"/>
      <c r="P71" s="106"/>
      <c r="Q71" s="107"/>
      <c r="R71" s="107"/>
      <c r="S71" s="108"/>
      <c r="T71" s="108"/>
      <c r="U71" s="65"/>
    </row>
    <row r="72" spans="2:21">
      <c r="B72" s="292"/>
      <c r="C72" s="19">
        <v>0.625</v>
      </c>
      <c r="D72" s="5">
        <v>222134</v>
      </c>
      <c r="E72" s="25">
        <v>524526</v>
      </c>
      <c r="F72" s="10">
        <v>1.2934000000000001</v>
      </c>
      <c r="G72" s="10">
        <v>0.88360000000000005</v>
      </c>
      <c r="H72" s="240"/>
      <c r="I72" s="9">
        <v>99560</v>
      </c>
      <c r="J72" s="9">
        <v>223561</v>
      </c>
      <c r="K72" s="9"/>
      <c r="L72" s="27">
        <v>84586</v>
      </c>
      <c r="M72" s="27">
        <v>61336</v>
      </c>
      <c r="N72" s="26"/>
      <c r="O72" s="106"/>
      <c r="P72" s="106"/>
      <c r="Q72" s="107"/>
      <c r="R72" s="107"/>
      <c r="S72" s="108"/>
      <c r="T72" s="108"/>
      <c r="U72" s="61"/>
    </row>
    <row r="73" spans="2:21">
      <c r="B73" s="292"/>
      <c r="C73" s="19">
        <v>0.66666666666666596</v>
      </c>
      <c r="D73" s="5">
        <v>222134</v>
      </c>
      <c r="E73" s="25">
        <v>524526</v>
      </c>
      <c r="F73" s="10">
        <v>1.2934000000000001</v>
      </c>
      <c r="G73" s="10">
        <v>0.88360000000000005</v>
      </c>
      <c r="H73" s="240"/>
      <c r="I73" s="9">
        <v>99560</v>
      </c>
      <c r="J73" s="9">
        <v>223561</v>
      </c>
      <c r="K73" s="9"/>
      <c r="L73" s="27">
        <v>84586</v>
      </c>
      <c r="M73" s="27">
        <v>61336</v>
      </c>
      <c r="N73" s="26"/>
      <c r="O73" s="106"/>
      <c r="P73" s="106"/>
      <c r="Q73" s="107"/>
      <c r="R73" s="107"/>
      <c r="S73" s="108"/>
      <c r="T73" s="108"/>
      <c r="U73" s="61"/>
    </row>
    <row r="74" spans="2:21">
      <c r="B74" s="292"/>
      <c r="C74" s="19">
        <v>0.70833333333333304</v>
      </c>
      <c r="D74" s="5">
        <v>222134</v>
      </c>
      <c r="E74" s="25">
        <v>524526</v>
      </c>
      <c r="F74" s="10">
        <v>1.2934000000000001</v>
      </c>
      <c r="G74" s="10">
        <v>0.88360000000000005</v>
      </c>
      <c r="H74" s="240"/>
      <c r="I74" s="9">
        <v>99560</v>
      </c>
      <c r="J74" s="9">
        <v>223561</v>
      </c>
      <c r="K74" s="9"/>
      <c r="L74" s="27">
        <v>84586</v>
      </c>
      <c r="M74" s="27">
        <v>61336</v>
      </c>
      <c r="N74" s="26"/>
      <c r="O74" s="106"/>
      <c r="P74" s="106"/>
      <c r="Q74" s="107"/>
      <c r="R74" s="107"/>
      <c r="S74" s="108"/>
      <c r="T74" s="108"/>
      <c r="U74" s="61"/>
    </row>
    <row r="75" spans="2:21">
      <c r="B75" s="292"/>
      <c r="C75" s="19">
        <v>0.75</v>
      </c>
      <c r="D75" s="5">
        <v>222134</v>
      </c>
      <c r="E75" s="25">
        <v>524526</v>
      </c>
      <c r="F75" s="10">
        <v>1.2934000000000001</v>
      </c>
      <c r="G75" s="10">
        <v>0.88360000000000005</v>
      </c>
      <c r="H75" s="240"/>
      <c r="I75" s="9">
        <v>99560</v>
      </c>
      <c r="J75" s="9">
        <v>223561</v>
      </c>
      <c r="K75" s="9"/>
      <c r="L75" s="27">
        <v>84586</v>
      </c>
      <c r="M75" s="27">
        <v>61336</v>
      </c>
      <c r="N75" s="26"/>
      <c r="O75" s="106"/>
      <c r="P75" s="106"/>
      <c r="Q75" s="107"/>
      <c r="R75" s="107"/>
      <c r="S75" s="108"/>
      <c r="T75" s="108"/>
      <c r="U75" s="61"/>
    </row>
    <row r="76" spans="2:21">
      <c r="B76" s="292"/>
      <c r="C76" s="19">
        <v>0.79166666666666596</v>
      </c>
      <c r="D76" s="5">
        <v>222134</v>
      </c>
      <c r="E76" s="25">
        <v>524526</v>
      </c>
      <c r="F76" s="10">
        <v>1.2934000000000001</v>
      </c>
      <c r="G76" s="10">
        <v>0.88360000000000005</v>
      </c>
      <c r="H76" s="240"/>
      <c r="I76" s="9">
        <v>99560</v>
      </c>
      <c r="J76" s="9">
        <v>223561</v>
      </c>
      <c r="K76" s="9"/>
      <c r="L76" s="27">
        <v>84586</v>
      </c>
      <c r="M76" s="27">
        <v>61336</v>
      </c>
      <c r="N76" s="26"/>
      <c r="O76" s="106"/>
      <c r="P76" s="106"/>
      <c r="Q76" s="107"/>
      <c r="R76" s="107"/>
      <c r="S76" s="108"/>
      <c r="T76" s="108"/>
      <c r="U76" s="61"/>
    </row>
    <row r="77" spans="2:21">
      <c r="B77" s="292"/>
      <c r="C77" s="19">
        <v>0.83333333333333304</v>
      </c>
      <c r="D77" s="5">
        <v>222134</v>
      </c>
      <c r="E77" s="25">
        <v>524526</v>
      </c>
      <c r="F77" s="10">
        <v>1.2934000000000001</v>
      </c>
      <c r="G77" s="10">
        <v>0.88360000000000005</v>
      </c>
      <c r="H77" s="240"/>
      <c r="I77" s="9">
        <v>99560</v>
      </c>
      <c r="J77" s="9">
        <v>223561</v>
      </c>
      <c r="K77" s="9"/>
      <c r="L77" s="27">
        <v>84586</v>
      </c>
      <c r="M77" s="27">
        <v>61336</v>
      </c>
      <c r="N77" s="26"/>
      <c r="O77" s="106"/>
      <c r="P77" s="106"/>
      <c r="Q77" s="107"/>
      <c r="R77" s="107"/>
      <c r="S77" s="108"/>
      <c r="T77" s="108"/>
      <c r="U77" s="61"/>
    </row>
    <row r="78" spans="2:21">
      <c r="B78" s="292"/>
      <c r="C78" s="19">
        <v>0.875</v>
      </c>
      <c r="D78" s="5">
        <v>222134</v>
      </c>
      <c r="E78" s="25">
        <v>524526</v>
      </c>
      <c r="F78" s="10">
        <v>1.2934000000000001</v>
      </c>
      <c r="G78" s="10">
        <v>0.88360000000000005</v>
      </c>
      <c r="H78" s="240"/>
      <c r="I78" s="9">
        <v>99560</v>
      </c>
      <c r="J78" s="9">
        <v>223561</v>
      </c>
      <c r="K78" s="9"/>
      <c r="L78" s="27">
        <v>84586</v>
      </c>
      <c r="M78" s="27">
        <v>61336</v>
      </c>
      <c r="N78" s="26"/>
      <c r="O78" s="106"/>
      <c r="P78" s="106"/>
      <c r="Q78" s="107"/>
      <c r="R78" s="107"/>
      <c r="S78" s="108"/>
      <c r="T78" s="108"/>
      <c r="U78" s="61"/>
    </row>
    <row r="79" spans="2:21">
      <c r="B79" s="292"/>
      <c r="C79" s="19">
        <v>0.91666666666666596</v>
      </c>
      <c r="D79" s="5">
        <v>222134</v>
      </c>
      <c r="E79" s="25">
        <v>524526</v>
      </c>
      <c r="F79" s="10">
        <v>1.2934000000000001</v>
      </c>
      <c r="G79" s="10">
        <v>0.88360000000000005</v>
      </c>
      <c r="H79" s="240"/>
      <c r="I79" s="9">
        <v>99560</v>
      </c>
      <c r="J79" s="9">
        <v>223561</v>
      </c>
      <c r="K79" s="9"/>
      <c r="L79" s="27">
        <v>84586</v>
      </c>
      <c r="M79" s="27">
        <v>61336</v>
      </c>
      <c r="N79" s="26"/>
      <c r="O79" s="106"/>
      <c r="P79" s="106"/>
      <c r="Q79" s="107"/>
      <c r="R79" s="107"/>
      <c r="S79" s="108"/>
      <c r="T79" s="108"/>
      <c r="U79" s="61"/>
    </row>
    <row r="80" spans="2:21">
      <c r="B80" s="292"/>
      <c r="C80" s="19">
        <v>0.95833333333333304</v>
      </c>
      <c r="D80" s="5">
        <v>222134</v>
      </c>
      <c r="E80" s="25">
        <v>524526</v>
      </c>
      <c r="F80" s="10">
        <v>1.2934000000000001</v>
      </c>
      <c r="G80" s="10">
        <v>0.88360000000000005</v>
      </c>
      <c r="H80" s="240"/>
      <c r="I80" s="9">
        <v>99560</v>
      </c>
      <c r="J80" s="9">
        <v>223561</v>
      </c>
      <c r="K80" s="9"/>
      <c r="L80" s="27">
        <v>84586</v>
      </c>
      <c r="M80" s="27">
        <v>61336</v>
      </c>
      <c r="N80" s="26"/>
      <c r="O80" s="106"/>
      <c r="P80" s="106"/>
      <c r="Q80" s="107"/>
      <c r="R80" s="107"/>
      <c r="S80" s="108"/>
      <c r="T80" s="108"/>
      <c r="U80" s="61"/>
    </row>
    <row r="81" spans="2:21">
      <c r="B81" s="292"/>
      <c r="C81" s="19">
        <v>1</v>
      </c>
      <c r="D81" s="5">
        <v>222134</v>
      </c>
      <c r="E81" s="25">
        <v>524526</v>
      </c>
      <c r="F81" s="10">
        <v>1.2934000000000001</v>
      </c>
      <c r="G81" s="10">
        <v>0.88360000000000005</v>
      </c>
      <c r="H81" s="240"/>
      <c r="I81" s="9">
        <v>99560</v>
      </c>
      <c r="J81" s="9">
        <v>223561</v>
      </c>
      <c r="K81" s="9"/>
      <c r="L81" s="27">
        <v>84586</v>
      </c>
      <c r="M81" s="27">
        <v>61336</v>
      </c>
      <c r="N81" s="26"/>
      <c r="O81" s="63"/>
      <c r="P81" s="63"/>
      <c r="Q81" s="62"/>
      <c r="R81" s="62"/>
      <c r="S81" s="64"/>
      <c r="T81" s="64"/>
      <c r="U81" s="61"/>
    </row>
    <row r="82" spans="2:21">
      <c r="B82" s="292"/>
      <c r="C82" s="19">
        <v>1.0416666666666701</v>
      </c>
      <c r="D82" s="5">
        <v>222134</v>
      </c>
      <c r="E82" s="25">
        <v>524526</v>
      </c>
      <c r="F82" s="10">
        <v>1.2934000000000001</v>
      </c>
      <c r="G82" s="10">
        <v>0.88360000000000005</v>
      </c>
      <c r="H82" s="240"/>
      <c r="I82" s="9">
        <v>99560</v>
      </c>
      <c r="J82" s="9">
        <v>223561</v>
      </c>
      <c r="K82" s="9"/>
      <c r="L82" s="27">
        <v>84586</v>
      </c>
      <c r="M82" s="27">
        <v>61336</v>
      </c>
      <c r="N82" s="26"/>
      <c r="O82" s="63"/>
      <c r="P82" s="63"/>
      <c r="Q82" s="62"/>
      <c r="R82" s="62"/>
      <c r="S82" s="64"/>
      <c r="T82" s="64"/>
      <c r="U82" s="61"/>
    </row>
    <row r="83" spans="2:21">
      <c r="B83" s="292"/>
      <c r="C83" s="19">
        <v>1.0833333333333399</v>
      </c>
      <c r="D83" s="5">
        <v>222134</v>
      </c>
      <c r="E83" s="25">
        <v>524526</v>
      </c>
      <c r="F83" s="10">
        <v>1.2934000000000001</v>
      </c>
      <c r="G83" s="10">
        <v>0.88360000000000005</v>
      </c>
      <c r="H83" s="240"/>
      <c r="I83" s="9">
        <v>99560</v>
      </c>
      <c r="J83" s="9">
        <v>223561</v>
      </c>
      <c r="K83" s="9"/>
      <c r="L83" s="27">
        <v>84586</v>
      </c>
      <c r="M83" s="27">
        <v>61336</v>
      </c>
      <c r="N83" s="26"/>
      <c r="O83" s="63"/>
      <c r="P83" s="63"/>
      <c r="Q83" s="62"/>
      <c r="R83" s="62"/>
      <c r="S83" s="64"/>
      <c r="T83" s="64"/>
      <c r="U83" s="61"/>
    </row>
    <row r="84" spans="2:21">
      <c r="B84" s="292"/>
      <c r="C84" s="19">
        <v>1.125</v>
      </c>
      <c r="D84" s="5">
        <v>222134</v>
      </c>
      <c r="E84" s="25">
        <v>524526</v>
      </c>
      <c r="F84" s="10">
        <v>1.2934000000000001</v>
      </c>
      <c r="G84" s="10">
        <v>0.88360000000000005</v>
      </c>
      <c r="H84" s="240"/>
      <c r="I84" s="9">
        <v>99560</v>
      </c>
      <c r="J84" s="9">
        <v>223561</v>
      </c>
      <c r="K84" s="9"/>
      <c r="L84" s="27">
        <v>84586</v>
      </c>
      <c r="M84" s="27">
        <v>61336</v>
      </c>
      <c r="N84" s="26"/>
      <c r="O84" s="63"/>
      <c r="P84" s="63"/>
      <c r="Q84" s="62"/>
      <c r="R84" s="62"/>
      <c r="S84" s="64"/>
      <c r="T84" s="64"/>
      <c r="U84" s="61"/>
    </row>
    <row r="85" spans="2:21">
      <c r="B85" s="292"/>
      <c r="C85" s="19">
        <v>1.1666666666666701</v>
      </c>
      <c r="D85" s="5">
        <v>222134</v>
      </c>
      <c r="E85" s="25">
        <v>524526</v>
      </c>
      <c r="F85" s="10">
        <v>1.2934000000000001</v>
      </c>
      <c r="G85" s="10">
        <v>0.88360000000000005</v>
      </c>
      <c r="H85" s="240"/>
      <c r="I85" s="9">
        <v>99560</v>
      </c>
      <c r="J85" s="9">
        <v>223561</v>
      </c>
      <c r="K85" s="9"/>
      <c r="L85" s="27">
        <v>84586</v>
      </c>
      <c r="M85" s="27">
        <v>61336</v>
      </c>
      <c r="N85" s="26"/>
      <c r="O85" s="106"/>
      <c r="P85" s="106"/>
      <c r="Q85" s="107"/>
      <c r="R85" s="107"/>
      <c r="S85" s="108"/>
      <c r="T85" s="108"/>
      <c r="U85" s="61"/>
    </row>
    <row r="86" spans="2:21">
      <c r="B86" s="292"/>
      <c r="C86" s="19">
        <v>1.2083333333333399</v>
      </c>
      <c r="D86" s="5">
        <v>222134</v>
      </c>
      <c r="E86" s="25">
        <v>524526</v>
      </c>
      <c r="F86" s="10">
        <v>1.2934000000000001</v>
      </c>
      <c r="G86" s="10">
        <v>0.88360000000000005</v>
      </c>
      <c r="H86" s="240"/>
      <c r="I86" s="9">
        <v>99560</v>
      </c>
      <c r="J86" s="9">
        <v>223561</v>
      </c>
      <c r="K86" s="9"/>
      <c r="L86" s="27">
        <v>84586</v>
      </c>
      <c r="M86" s="27">
        <v>61336</v>
      </c>
      <c r="N86" s="26"/>
      <c r="O86" s="106"/>
      <c r="P86" s="106"/>
      <c r="Q86" s="107"/>
      <c r="R86" s="107"/>
      <c r="S86" s="108"/>
      <c r="T86" s="108"/>
      <c r="U86" s="61"/>
    </row>
    <row r="87" spans="2:21">
      <c r="B87" s="292"/>
      <c r="C87" s="19">
        <v>1.25</v>
      </c>
      <c r="D87" s="5">
        <v>222134</v>
      </c>
      <c r="E87" s="25">
        <v>524526</v>
      </c>
      <c r="F87" s="10">
        <v>1.2934000000000001</v>
      </c>
      <c r="G87" s="10">
        <v>0.88360000000000005</v>
      </c>
      <c r="H87" s="240"/>
      <c r="I87" s="9">
        <v>99560</v>
      </c>
      <c r="J87" s="9">
        <v>223561</v>
      </c>
      <c r="K87" s="9"/>
      <c r="L87" s="27">
        <v>84586</v>
      </c>
      <c r="M87" s="27">
        <v>61336</v>
      </c>
      <c r="N87" s="26"/>
      <c r="O87" s="106"/>
      <c r="P87" s="106"/>
      <c r="Q87" s="107"/>
      <c r="R87" s="107"/>
      <c r="S87" s="108"/>
      <c r="T87" s="108"/>
      <c r="U87" s="61"/>
    </row>
    <row r="88" spans="2:21">
      <c r="B88" s="292"/>
      <c r="C88" s="19">
        <v>1.2916666666666701</v>
      </c>
      <c r="D88" s="5">
        <v>222134</v>
      </c>
      <c r="E88" s="25">
        <v>524526</v>
      </c>
      <c r="F88" s="10">
        <v>1.2934000000000001</v>
      </c>
      <c r="G88" s="10">
        <v>0.88360000000000005</v>
      </c>
      <c r="H88" s="240"/>
      <c r="I88" s="9">
        <v>99560</v>
      </c>
      <c r="J88" s="9">
        <v>223561</v>
      </c>
      <c r="K88" s="9"/>
      <c r="L88" s="27">
        <v>84586</v>
      </c>
      <c r="M88" s="27">
        <v>61336</v>
      </c>
      <c r="N88" s="26"/>
      <c r="O88" s="106"/>
      <c r="P88" s="106"/>
      <c r="Q88" s="107"/>
      <c r="R88" s="107"/>
      <c r="S88" s="108"/>
      <c r="T88" s="108"/>
      <c r="U88" s="61"/>
    </row>
    <row r="89" spans="2:21">
      <c r="B89" s="293"/>
      <c r="C89" s="6"/>
      <c r="D89" s="13" cm="1">
        <f t="array" ref="D89">IFERROR(LOOKUP(2,1/(D64:D88&gt;0),D64:D88-D64),0)</f>
        <v>0</v>
      </c>
      <c r="E89" s="13" cm="1">
        <f t="array" ref="E89">IFERROR(LOOKUP(2,1/(E64:E88&gt;0),E64:E88-E64),0)</f>
        <v>0</v>
      </c>
      <c r="F89" s="13" cm="1">
        <f t="array" ref="F89">IFERROR(LOOKUP(2,1/(F64:F88&gt;0),F64:F88-F64),0)</f>
        <v>0</v>
      </c>
      <c r="G89" s="13" cm="1">
        <f t="array" ref="G89">IFERROR(LOOKUP(2,1/(G64:G88&gt;0),G64:G88-G64),0)</f>
        <v>0</v>
      </c>
      <c r="H89" s="13">
        <f>F89+G89</f>
        <v>0</v>
      </c>
      <c r="I89" s="13" cm="1">
        <f t="array" ref="I89">IFERROR(LOOKUP(2,1/(I64:I88&gt;0),I64:I88-I64),0)</f>
        <v>0</v>
      </c>
      <c r="J89" s="13" cm="1">
        <f t="array" ref="J89">IFERROR(LOOKUP(2,1/(J64:J88&gt;0),J64:J88-J64),0)</f>
        <v>0</v>
      </c>
      <c r="K89" s="13">
        <f>I89+J89</f>
        <v>0</v>
      </c>
      <c r="L89" s="13" cm="1">
        <f t="array" ref="L89">IFERROR(LOOKUP(2,1/(L64:L88&gt;0),L64:L88-L64),0)</f>
        <v>0</v>
      </c>
      <c r="M89" s="13" cm="1">
        <f t="array" ref="M89">IFERROR(LOOKUP(2,1/(M64:M88&gt;0),M64:M88-M64),0)</f>
        <v>0</v>
      </c>
      <c r="N89" s="13">
        <f>L89+M89</f>
        <v>0</v>
      </c>
      <c r="O89" s="109">
        <f t="shared" ref="O89:T89" si="3">IFERROR(AVERAGE(O64:O88),0)</f>
        <v>0</v>
      </c>
      <c r="P89" s="109">
        <f t="shared" si="3"/>
        <v>0</v>
      </c>
      <c r="Q89" s="109">
        <f t="shared" si="3"/>
        <v>0</v>
      </c>
      <c r="R89" s="109">
        <f t="shared" si="3"/>
        <v>0</v>
      </c>
      <c r="S89" s="109">
        <f t="shared" si="3"/>
        <v>0</v>
      </c>
      <c r="T89" s="109">
        <f t="shared" si="3"/>
        <v>0</v>
      </c>
      <c r="U89" s="4">
        <f>COUNT(U64:U88)</f>
        <v>0</v>
      </c>
    </row>
    <row r="90" spans="2:21">
      <c r="B90" s="291">
        <f t="shared" ref="B90" si="4">B64+1</f>
        <v>46026</v>
      </c>
      <c r="C90" s="19">
        <v>0.29166666666666669</v>
      </c>
      <c r="D90" s="5">
        <v>222134</v>
      </c>
      <c r="E90" s="25">
        <v>524526</v>
      </c>
      <c r="F90" s="10">
        <v>1.2934000000000001</v>
      </c>
      <c r="G90" s="10">
        <v>0.88360000000000005</v>
      </c>
      <c r="H90" s="240"/>
      <c r="I90" s="9">
        <v>99560</v>
      </c>
      <c r="J90" s="9">
        <v>223561</v>
      </c>
      <c r="K90" s="9"/>
      <c r="L90" s="27">
        <v>84586</v>
      </c>
      <c r="M90" s="27">
        <v>61336</v>
      </c>
      <c r="N90" s="26"/>
      <c r="O90" s="106"/>
      <c r="P90" s="106"/>
      <c r="Q90" s="107"/>
      <c r="R90" s="107"/>
      <c r="S90" s="108"/>
      <c r="T90" s="108"/>
      <c r="U90" s="61"/>
    </row>
    <row r="91" spans="2:21">
      <c r="B91" s="292"/>
      <c r="C91" s="19">
        <v>0.33333333333333298</v>
      </c>
      <c r="D91" s="5">
        <v>222134</v>
      </c>
      <c r="E91" s="25">
        <v>524526</v>
      </c>
      <c r="F91" s="10">
        <v>1.2934000000000001</v>
      </c>
      <c r="G91" s="10">
        <v>0.88360000000000005</v>
      </c>
      <c r="H91" s="240"/>
      <c r="I91" s="9">
        <v>99560</v>
      </c>
      <c r="J91" s="9">
        <v>223561</v>
      </c>
      <c r="K91" s="9"/>
      <c r="L91" s="27">
        <v>84586</v>
      </c>
      <c r="M91" s="27">
        <v>61336</v>
      </c>
      <c r="N91" s="26"/>
      <c r="O91" s="106"/>
      <c r="P91" s="106"/>
      <c r="Q91" s="107"/>
      <c r="R91" s="107"/>
      <c r="S91" s="108"/>
      <c r="T91" s="108"/>
      <c r="U91" s="61"/>
    </row>
    <row r="92" spans="2:21">
      <c r="B92" s="292"/>
      <c r="C92" s="19">
        <v>0.375</v>
      </c>
      <c r="D92" s="5">
        <v>222134</v>
      </c>
      <c r="E92" s="25">
        <v>524526</v>
      </c>
      <c r="F92" s="10">
        <v>1.2934000000000001</v>
      </c>
      <c r="G92" s="10">
        <v>0.88360000000000005</v>
      </c>
      <c r="H92" s="240"/>
      <c r="I92" s="9">
        <v>99560</v>
      </c>
      <c r="J92" s="9">
        <v>223561</v>
      </c>
      <c r="K92" s="9"/>
      <c r="L92" s="27">
        <v>84586</v>
      </c>
      <c r="M92" s="27">
        <v>61336</v>
      </c>
      <c r="N92" s="26"/>
      <c r="O92" s="106"/>
      <c r="P92" s="106"/>
      <c r="Q92" s="107"/>
      <c r="R92" s="107"/>
      <c r="S92" s="108"/>
      <c r="T92" s="108"/>
      <c r="U92" s="61"/>
    </row>
    <row r="93" spans="2:21">
      <c r="B93" s="292"/>
      <c r="C93" s="19">
        <v>0.41666666666666702</v>
      </c>
      <c r="D93" s="5">
        <v>222134</v>
      </c>
      <c r="E93" s="25">
        <v>524526</v>
      </c>
      <c r="F93" s="10">
        <v>1.2934000000000001</v>
      </c>
      <c r="G93" s="10">
        <v>0.88360000000000005</v>
      </c>
      <c r="H93" s="240"/>
      <c r="I93" s="9">
        <v>99560</v>
      </c>
      <c r="J93" s="9">
        <v>223561</v>
      </c>
      <c r="K93" s="9"/>
      <c r="L93" s="27">
        <v>84586</v>
      </c>
      <c r="M93" s="27">
        <v>61336</v>
      </c>
      <c r="N93" s="26"/>
      <c r="O93" s="106"/>
      <c r="P93" s="106"/>
      <c r="Q93" s="107"/>
      <c r="R93" s="107"/>
      <c r="S93" s="108"/>
      <c r="T93" s="108"/>
      <c r="U93" s="61"/>
    </row>
    <row r="94" spans="2:21">
      <c r="B94" s="292"/>
      <c r="C94" s="19">
        <v>0.45833333333333298</v>
      </c>
      <c r="D94" s="5">
        <v>222134</v>
      </c>
      <c r="E94" s="25">
        <v>524526</v>
      </c>
      <c r="F94" s="10">
        <v>1.2934000000000001</v>
      </c>
      <c r="G94" s="10">
        <v>0.88360000000000005</v>
      </c>
      <c r="H94" s="240"/>
      <c r="I94" s="9">
        <v>99560</v>
      </c>
      <c r="J94" s="9">
        <v>223561</v>
      </c>
      <c r="K94" s="9"/>
      <c r="L94" s="27">
        <v>84586</v>
      </c>
      <c r="M94" s="27">
        <v>61336</v>
      </c>
      <c r="N94" s="26"/>
      <c r="O94" s="106"/>
      <c r="P94" s="106"/>
      <c r="Q94" s="107"/>
      <c r="R94" s="107"/>
      <c r="S94" s="108"/>
      <c r="T94" s="108"/>
      <c r="U94" s="61"/>
    </row>
    <row r="95" spans="2:21">
      <c r="B95" s="292"/>
      <c r="C95" s="19">
        <v>0.5</v>
      </c>
      <c r="D95" s="5">
        <v>222134</v>
      </c>
      <c r="E95" s="25">
        <v>524526</v>
      </c>
      <c r="F95" s="10">
        <v>1.2934000000000001</v>
      </c>
      <c r="G95" s="10">
        <v>0.88360000000000005</v>
      </c>
      <c r="H95" s="240"/>
      <c r="I95" s="9">
        <v>99560</v>
      </c>
      <c r="J95" s="9">
        <v>223561</v>
      </c>
      <c r="K95" s="9"/>
      <c r="L95" s="27">
        <v>84586</v>
      </c>
      <c r="M95" s="27">
        <v>61336</v>
      </c>
      <c r="N95" s="26"/>
      <c r="O95" s="106"/>
      <c r="P95" s="106"/>
      <c r="Q95" s="107"/>
      <c r="R95" s="107"/>
      <c r="S95" s="108"/>
      <c r="T95" s="108"/>
      <c r="U95" s="61"/>
    </row>
    <row r="96" spans="2:21">
      <c r="B96" s="292"/>
      <c r="C96" s="19">
        <v>0.54166666666666696</v>
      </c>
      <c r="D96" s="5">
        <v>222134</v>
      </c>
      <c r="E96" s="25">
        <v>524526</v>
      </c>
      <c r="F96" s="10">
        <v>1.2934000000000001</v>
      </c>
      <c r="G96" s="10">
        <v>0.88360000000000005</v>
      </c>
      <c r="H96" s="240"/>
      <c r="I96" s="9">
        <v>99560</v>
      </c>
      <c r="J96" s="9">
        <v>223561</v>
      </c>
      <c r="K96" s="9"/>
      <c r="L96" s="27">
        <v>84586</v>
      </c>
      <c r="M96" s="27">
        <v>61336</v>
      </c>
      <c r="N96" s="26"/>
      <c r="O96" s="106"/>
      <c r="P96" s="106"/>
      <c r="Q96" s="107"/>
      <c r="R96" s="107"/>
      <c r="S96" s="108"/>
      <c r="T96" s="108"/>
      <c r="U96" s="61"/>
    </row>
    <row r="97" spans="2:21">
      <c r="B97" s="292"/>
      <c r="C97" s="19">
        <v>0.58333333333333304</v>
      </c>
      <c r="D97" s="5">
        <v>222134</v>
      </c>
      <c r="E97" s="25">
        <v>524526</v>
      </c>
      <c r="F97" s="10">
        <v>1.2934000000000001</v>
      </c>
      <c r="G97" s="10">
        <v>0.88360000000000005</v>
      </c>
      <c r="H97" s="240"/>
      <c r="I97" s="9">
        <v>99560</v>
      </c>
      <c r="J97" s="9">
        <v>223561</v>
      </c>
      <c r="K97" s="9"/>
      <c r="L97" s="27">
        <v>84586</v>
      </c>
      <c r="M97" s="27">
        <v>61336</v>
      </c>
      <c r="N97" s="26"/>
      <c r="O97" s="106"/>
      <c r="P97" s="106"/>
      <c r="Q97" s="107"/>
      <c r="R97" s="107"/>
      <c r="S97" s="108"/>
      <c r="T97" s="108"/>
      <c r="U97" s="65"/>
    </row>
    <row r="98" spans="2:21">
      <c r="B98" s="292"/>
      <c r="C98" s="19">
        <v>0.625</v>
      </c>
      <c r="D98" s="5">
        <v>222134</v>
      </c>
      <c r="E98" s="25">
        <v>524526</v>
      </c>
      <c r="F98" s="10">
        <v>1.2934000000000001</v>
      </c>
      <c r="G98" s="10">
        <v>0.88360000000000005</v>
      </c>
      <c r="H98" s="240"/>
      <c r="I98" s="9">
        <v>99560</v>
      </c>
      <c r="J98" s="9">
        <v>223561</v>
      </c>
      <c r="K98" s="9"/>
      <c r="L98" s="27">
        <v>84586</v>
      </c>
      <c r="M98" s="27">
        <v>61336</v>
      </c>
      <c r="N98" s="26"/>
      <c r="O98" s="106"/>
      <c r="P98" s="106"/>
      <c r="Q98" s="107"/>
      <c r="R98" s="107"/>
      <c r="S98" s="108"/>
      <c r="T98" s="108"/>
      <c r="U98" s="61"/>
    </row>
    <row r="99" spans="2:21">
      <c r="B99" s="292"/>
      <c r="C99" s="19">
        <v>0.66666666666666596</v>
      </c>
      <c r="D99" s="5">
        <v>222134</v>
      </c>
      <c r="E99" s="25">
        <v>524526</v>
      </c>
      <c r="F99" s="10">
        <v>1.2934000000000001</v>
      </c>
      <c r="G99" s="10">
        <v>0.88360000000000005</v>
      </c>
      <c r="H99" s="240"/>
      <c r="I99" s="9">
        <v>99560</v>
      </c>
      <c r="J99" s="9">
        <v>223561</v>
      </c>
      <c r="K99" s="9"/>
      <c r="L99" s="27">
        <v>84586</v>
      </c>
      <c r="M99" s="27">
        <v>61336</v>
      </c>
      <c r="N99" s="26"/>
      <c r="O99" s="106"/>
      <c r="P99" s="106"/>
      <c r="Q99" s="107"/>
      <c r="R99" s="107"/>
      <c r="S99" s="108"/>
      <c r="T99" s="108"/>
      <c r="U99" s="61"/>
    </row>
    <row r="100" spans="2:21">
      <c r="B100" s="292"/>
      <c r="C100" s="19">
        <v>0.70833333333333304</v>
      </c>
      <c r="D100" s="5">
        <v>222134</v>
      </c>
      <c r="E100" s="25">
        <v>524526</v>
      </c>
      <c r="F100" s="10">
        <v>1.2934000000000001</v>
      </c>
      <c r="G100" s="10">
        <v>0.88360000000000005</v>
      </c>
      <c r="H100" s="240"/>
      <c r="I100" s="9">
        <v>99560</v>
      </c>
      <c r="J100" s="9">
        <v>223561</v>
      </c>
      <c r="K100" s="9"/>
      <c r="L100" s="27">
        <v>84586</v>
      </c>
      <c r="M100" s="27">
        <v>61336</v>
      </c>
      <c r="N100" s="26"/>
      <c r="O100" s="106"/>
      <c r="P100" s="106"/>
      <c r="Q100" s="107"/>
      <c r="R100" s="107"/>
      <c r="S100" s="108"/>
      <c r="T100" s="108"/>
      <c r="U100" s="61"/>
    </row>
    <row r="101" spans="2:21">
      <c r="B101" s="292"/>
      <c r="C101" s="19">
        <v>0.75</v>
      </c>
      <c r="D101" s="5">
        <v>222134</v>
      </c>
      <c r="E101" s="25">
        <v>524526</v>
      </c>
      <c r="F101" s="10">
        <v>1.2934000000000001</v>
      </c>
      <c r="G101" s="10">
        <v>0.88360000000000005</v>
      </c>
      <c r="H101" s="240"/>
      <c r="I101" s="9">
        <v>99560</v>
      </c>
      <c r="J101" s="9">
        <v>223561</v>
      </c>
      <c r="K101" s="9"/>
      <c r="L101" s="27">
        <v>84586</v>
      </c>
      <c r="M101" s="27">
        <v>61336</v>
      </c>
      <c r="N101" s="26"/>
      <c r="O101" s="106"/>
      <c r="P101" s="106"/>
      <c r="Q101" s="107"/>
      <c r="R101" s="107"/>
      <c r="S101" s="108"/>
      <c r="T101" s="108"/>
      <c r="U101" s="61"/>
    </row>
    <row r="102" spans="2:21">
      <c r="B102" s="292"/>
      <c r="C102" s="19">
        <v>0.79166666666666596</v>
      </c>
      <c r="D102" s="5">
        <v>222134</v>
      </c>
      <c r="E102" s="25">
        <v>524526</v>
      </c>
      <c r="F102" s="10">
        <v>1.2934000000000001</v>
      </c>
      <c r="G102" s="10">
        <v>0.88360000000000005</v>
      </c>
      <c r="H102" s="240"/>
      <c r="I102" s="9">
        <v>99560</v>
      </c>
      <c r="J102" s="9">
        <v>223561</v>
      </c>
      <c r="K102" s="9"/>
      <c r="L102" s="27">
        <v>84586</v>
      </c>
      <c r="M102" s="27">
        <v>61336</v>
      </c>
      <c r="N102" s="26"/>
      <c r="O102" s="106"/>
      <c r="P102" s="106"/>
      <c r="Q102" s="107"/>
      <c r="R102" s="107"/>
      <c r="S102" s="108"/>
      <c r="T102" s="108"/>
      <c r="U102" s="61"/>
    </row>
    <row r="103" spans="2:21">
      <c r="B103" s="292"/>
      <c r="C103" s="19">
        <v>0.83333333333333304</v>
      </c>
      <c r="D103" s="5">
        <v>222134</v>
      </c>
      <c r="E103" s="25">
        <v>524526</v>
      </c>
      <c r="F103" s="10">
        <v>1.2934000000000001</v>
      </c>
      <c r="G103" s="10">
        <v>0.88360000000000005</v>
      </c>
      <c r="H103" s="240"/>
      <c r="I103" s="9">
        <v>99560</v>
      </c>
      <c r="J103" s="9">
        <v>223561</v>
      </c>
      <c r="K103" s="9"/>
      <c r="L103" s="27">
        <v>84586</v>
      </c>
      <c r="M103" s="27">
        <v>61336</v>
      </c>
      <c r="N103" s="26"/>
      <c r="O103" s="106"/>
      <c r="P103" s="106"/>
      <c r="Q103" s="107"/>
      <c r="R103" s="107"/>
      <c r="S103" s="108"/>
      <c r="T103" s="108"/>
      <c r="U103" s="61"/>
    </row>
    <row r="104" spans="2:21">
      <c r="B104" s="292"/>
      <c r="C104" s="19">
        <v>0.875</v>
      </c>
      <c r="D104" s="5">
        <v>222134</v>
      </c>
      <c r="E104" s="25">
        <v>524526</v>
      </c>
      <c r="F104" s="10">
        <v>1.2934000000000001</v>
      </c>
      <c r="G104" s="10">
        <v>0.88360000000000005</v>
      </c>
      <c r="H104" s="240"/>
      <c r="I104" s="9">
        <v>99560</v>
      </c>
      <c r="J104" s="9">
        <v>223561</v>
      </c>
      <c r="K104" s="9"/>
      <c r="L104" s="27">
        <v>84586</v>
      </c>
      <c r="M104" s="27">
        <v>61336</v>
      </c>
      <c r="N104" s="26"/>
      <c r="O104" s="106"/>
      <c r="P104" s="106"/>
      <c r="Q104" s="107"/>
      <c r="R104" s="107"/>
      <c r="S104" s="108"/>
      <c r="T104" s="108"/>
      <c r="U104" s="61"/>
    </row>
    <row r="105" spans="2:21">
      <c r="B105" s="292"/>
      <c r="C105" s="19">
        <v>0.91666666666666596</v>
      </c>
      <c r="D105" s="5">
        <v>222134</v>
      </c>
      <c r="E105" s="25">
        <v>524526</v>
      </c>
      <c r="F105" s="10">
        <v>1.2934000000000001</v>
      </c>
      <c r="G105" s="10">
        <v>0.88360000000000005</v>
      </c>
      <c r="H105" s="240"/>
      <c r="I105" s="9">
        <v>99560</v>
      </c>
      <c r="J105" s="9">
        <v>223561</v>
      </c>
      <c r="K105" s="9"/>
      <c r="L105" s="27">
        <v>84586</v>
      </c>
      <c r="M105" s="27">
        <v>61336</v>
      </c>
      <c r="N105" s="26"/>
      <c r="O105" s="106"/>
      <c r="P105" s="106"/>
      <c r="Q105" s="107"/>
      <c r="R105" s="107"/>
      <c r="S105" s="108"/>
      <c r="T105" s="108"/>
      <c r="U105" s="61"/>
    </row>
    <row r="106" spans="2:21">
      <c r="B106" s="292"/>
      <c r="C106" s="19">
        <v>0.95833333333333304</v>
      </c>
      <c r="D106" s="5">
        <v>222134</v>
      </c>
      <c r="E106" s="25">
        <v>524526</v>
      </c>
      <c r="F106" s="10">
        <v>1.2934000000000001</v>
      </c>
      <c r="G106" s="10">
        <v>0.88360000000000005</v>
      </c>
      <c r="H106" s="240"/>
      <c r="I106" s="9">
        <v>99560</v>
      </c>
      <c r="J106" s="9">
        <v>223561</v>
      </c>
      <c r="K106" s="9"/>
      <c r="L106" s="27">
        <v>84586</v>
      </c>
      <c r="M106" s="27">
        <v>61336</v>
      </c>
      <c r="N106" s="26"/>
      <c r="O106" s="106"/>
      <c r="P106" s="106"/>
      <c r="Q106" s="107"/>
      <c r="R106" s="107"/>
      <c r="S106" s="108"/>
      <c r="T106" s="108"/>
      <c r="U106" s="61"/>
    </row>
    <row r="107" spans="2:21">
      <c r="B107" s="292"/>
      <c r="C107" s="19">
        <v>1</v>
      </c>
      <c r="D107" s="5">
        <v>222134</v>
      </c>
      <c r="E107" s="25">
        <v>524526</v>
      </c>
      <c r="F107" s="10">
        <v>1.2934000000000001</v>
      </c>
      <c r="G107" s="10">
        <v>0.88360000000000005</v>
      </c>
      <c r="H107" s="240"/>
      <c r="I107" s="9">
        <v>99560</v>
      </c>
      <c r="J107" s="9">
        <v>223561</v>
      </c>
      <c r="K107" s="9"/>
      <c r="L107" s="27">
        <v>84586</v>
      </c>
      <c r="M107" s="27">
        <v>61336</v>
      </c>
      <c r="N107" s="26"/>
      <c r="O107" s="63"/>
      <c r="P107" s="63"/>
      <c r="Q107" s="62"/>
      <c r="R107" s="62"/>
      <c r="S107" s="64"/>
      <c r="T107" s="64"/>
      <c r="U107" s="61"/>
    </row>
    <row r="108" spans="2:21">
      <c r="B108" s="292"/>
      <c r="C108" s="19">
        <v>1.0416666666666701</v>
      </c>
      <c r="D108" s="5">
        <v>222134</v>
      </c>
      <c r="E108" s="25">
        <v>524526</v>
      </c>
      <c r="F108" s="10">
        <v>1.2934000000000001</v>
      </c>
      <c r="G108" s="10">
        <v>0.88360000000000005</v>
      </c>
      <c r="H108" s="240"/>
      <c r="I108" s="9">
        <v>99560</v>
      </c>
      <c r="J108" s="9">
        <v>223561</v>
      </c>
      <c r="K108" s="9"/>
      <c r="L108" s="27">
        <v>84586</v>
      </c>
      <c r="M108" s="27">
        <v>61336</v>
      </c>
      <c r="N108" s="26"/>
      <c r="O108" s="63"/>
      <c r="P108" s="63"/>
      <c r="Q108" s="62"/>
      <c r="R108" s="62"/>
      <c r="S108" s="64"/>
      <c r="T108" s="64"/>
      <c r="U108" s="61"/>
    </row>
    <row r="109" spans="2:21">
      <c r="B109" s="292"/>
      <c r="C109" s="19">
        <v>1.0833333333333399</v>
      </c>
      <c r="D109" s="5">
        <v>222134</v>
      </c>
      <c r="E109" s="25">
        <v>524526</v>
      </c>
      <c r="F109" s="10">
        <v>1.2934000000000001</v>
      </c>
      <c r="G109" s="10">
        <v>0.88360000000000005</v>
      </c>
      <c r="H109" s="240"/>
      <c r="I109" s="9">
        <v>99560</v>
      </c>
      <c r="J109" s="9">
        <v>223561</v>
      </c>
      <c r="K109" s="9"/>
      <c r="L109" s="27">
        <v>84586</v>
      </c>
      <c r="M109" s="27">
        <v>61336</v>
      </c>
      <c r="N109" s="26"/>
      <c r="O109" s="63"/>
      <c r="P109" s="63"/>
      <c r="Q109" s="62"/>
      <c r="R109" s="62"/>
      <c r="S109" s="64"/>
      <c r="T109" s="64"/>
      <c r="U109" s="61"/>
    </row>
    <row r="110" spans="2:21">
      <c r="B110" s="292"/>
      <c r="C110" s="19">
        <v>1.125</v>
      </c>
      <c r="D110" s="5">
        <v>222134</v>
      </c>
      <c r="E110" s="25">
        <v>524526</v>
      </c>
      <c r="F110" s="10">
        <v>1.2934000000000001</v>
      </c>
      <c r="G110" s="10">
        <v>0.88360000000000005</v>
      </c>
      <c r="H110" s="240"/>
      <c r="I110" s="9">
        <v>99560</v>
      </c>
      <c r="J110" s="9">
        <v>223561</v>
      </c>
      <c r="K110" s="9"/>
      <c r="L110" s="27">
        <v>84586</v>
      </c>
      <c r="M110" s="27">
        <v>61336</v>
      </c>
      <c r="N110" s="26"/>
      <c r="O110" s="63"/>
      <c r="P110" s="63"/>
      <c r="Q110" s="62"/>
      <c r="R110" s="62"/>
      <c r="S110" s="64"/>
      <c r="T110" s="64"/>
      <c r="U110" s="61"/>
    </row>
    <row r="111" spans="2:21">
      <c r="B111" s="292"/>
      <c r="C111" s="19">
        <v>1.1666666666666701</v>
      </c>
      <c r="D111" s="5">
        <v>222134</v>
      </c>
      <c r="E111" s="25">
        <v>524526</v>
      </c>
      <c r="F111" s="10">
        <v>1.2934000000000001</v>
      </c>
      <c r="G111" s="10">
        <v>0.88360000000000005</v>
      </c>
      <c r="H111" s="240"/>
      <c r="I111" s="9">
        <v>99560</v>
      </c>
      <c r="J111" s="9">
        <v>223561</v>
      </c>
      <c r="K111" s="9"/>
      <c r="L111" s="27">
        <v>84586</v>
      </c>
      <c r="M111" s="27">
        <v>61336</v>
      </c>
      <c r="N111" s="26"/>
      <c r="O111" s="106"/>
      <c r="P111" s="106"/>
      <c r="Q111" s="107"/>
      <c r="R111" s="107"/>
      <c r="S111" s="108"/>
      <c r="T111" s="108"/>
      <c r="U111" s="61"/>
    </row>
    <row r="112" spans="2:21">
      <c r="B112" s="292"/>
      <c r="C112" s="19">
        <v>1.2083333333333399</v>
      </c>
      <c r="D112" s="5">
        <v>222134</v>
      </c>
      <c r="E112" s="25">
        <v>524526</v>
      </c>
      <c r="F112" s="10">
        <v>1.2934000000000001</v>
      </c>
      <c r="G112" s="10">
        <v>0.88360000000000005</v>
      </c>
      <c r="H112" s="240"/>
      <c r="I112" s="9">
        <v>99560</v>
      </c>
      <c r="J112" s="9">
        <v>223561</v>
      </c>
      <c r="K112" s="9"/>
      <c r="L112" s="27">
        <v>84586</v>
      </c>
      <c r="M112" s="27">
        <v>61336</v>
      </c>
      <c r="N112" s="26"/>
      <c r="O112" s="106"/>
      <c r="P112" s="106"/>
      <c r="Q112" s="107"/>
      <c r="R112" s="107"/>
      <c r="S112" s="108"/>
      <c r="T112" s="108"/>
      <c r="U112" s="61"/>
    </row>
    <row r="113" spans="2:21">
      <c r="B113" s="292"/>
      <c r="C113" s="19">
        <v>1.25</v>
      </c>
      <c r="D113" s="5">
        <v>222134</v>
      </c>
      <c r="E113" s="25">
        <v>524526</v>
      </c>
      <c r="F113" s="10">
        <v>1.2934000000000001</v>
      </c>
      <c r="G113" s="10">
        <v>0.88360000000000005</v>
      </c>
      <c r="H113" s="240"/>
      <c r="I113" s="9">
        <v>99560</v>
      </c>
      <c r="J113" s="9">
        <v>223561</v>
      </c>
      <c r="K113" s="9"/>
      <c r="L113" s="27">
        <v>84586</v>
      </c>
      <c r="M113" s="27">
        <v>61336</v>
      </c>
      <c r="N113" s="26"/>
      <c r="O113" s="106"/>
      <c r="P113" s="106"/>
      <c r="Q113" s="107"/>
      <c r="R113" s="107"/>
      <c r="S113" s="108"/>
      <c r="T113" s="108"/>
      <c r="U113" s="61"/>
    </row>
    <row r="114" spans="2:21">
      <c r="B114" s="292"/>
      <c r="C114" s="19">
        <v>1.2916666666666701</v>
      </c>
      <c r="D114" s="5">
        <v>222134</v>
      </c>
      <c r="E114" s="25">
        <v>524526</v>
      </c>
      <c r="F114" s="10">
        <v>1.2934000000000001</v>
      </c>
      <c r="G114" s="10">
        <v>0.88360000000000005</v>
      </c>
      <c r="H114" s="240"/>
      <c r="I114" s="9">
        <v>99560</v>
      </c>
      <c r="J114" s="9">
        <v>223561</v>
      </c>
      <c r="K114" s="9"/>
      <c r="L114" s="27">
        <v>84586</v>
      </c>
      <c r="M114" s="27">
        <v>61336</v>
      </c>
      <c r="N114" s="26"/>
      <c r="O114" s="106"/>
      <c r="P114" s="106"/>
      <c r="Q114" s="107"/>
      <c r="R114" s="107"/>
      <c r="S114" s="108"/>
      <c r="T114" s="108"/>
      <c r="U114" s="61"/>
    </row>
    <row r="115" spans="2:21">
      <c r="B115" s="293"/>
      <c r="C115" s="6"/>
      <c r="D115" s="13" cm="1">
        <f t="array" ref="D115">IFERROR(LOOKUP(2,1/(D90:D114&gt;0),D90:D114-D90),0)</f>
        <v>0</v>
      </c>
      <c r="E115" s="13" cm="1">
        <f t="array" ref="E115">IFERROR(LOOKUP(2,1/(E90:E114&gt;0),E90:E114-E90),0)</f>
        <v>0</v>
      </c>
      <c r="F115" s="13" cm="1">
        <f t="array" ref="F115">IFERROR(LOOKUP(2,1/(F90:F114&gt;0),F90:F114-F90),0)</f>
        <v>0</v>
      </c>
      <c r="G115" s="13" cm="1">
        <f t="array" ref="G115">IFERROR(LOOKUP(2,1/(G90:G114&gt;0),G90:G114-G90),0)</f>
        <v>0</v>
      </c>
      <c r="H115" s="13">
        <f>F115+G115</f>
        <v>0</v>
      </c>
      <c r="I115" s="13" cm="1">
        <f t="array" ref="I115">IFERROR(LOOKUP(2,1/(I90:I114&gt;0),I90:I114-I90),0)</f>
        <v>0</v>
      </c>
      <c r="J115" s="13" cm="1">
        <f t="array" ref="J115">IFERROR(LOOKUP(2,1/(J90:J114&gt;0),J90:J114-J90),0)</f>
        <v>0</v>
      </c>
      <c r="K115" s="13">
        <f>I115+J115</f>
        <v>0</v>
      </c>
      <c r="L115" s="13" cm="1">
        <f t="array" ref="L115">IFERROR(LOOKUP(2,1/(L90:L114&gt;0),L90:L114-L90),0)</f>
        <v>0</v>
      </c>
      <c r="M115" s="13" cm="1">
        <f t="array" ref="M115">IFERROR(LOOKUP(2,1/(M90:M114&gt;0),M90:M114-M90),0)</f>
        <v>0</v>
      </c>
      <c r="N115" s="13">
        <f>L115+M115</f>
        <v>0</v>
      </c>
      <c r="O115" s="109">
        <f t="shared" ref="O115:T115" si="5">IFERROR(AVERAGE(O90:O114),0)</f>
        <v>0</v>
      </c>
      <c r="P115" s="109">
        <f t="shared" si="5"/>
        <v>0</v>
      </c>
      <c r="Q115" s="109">
        <f t="shared" si="5"/>
        <v>0</v>
      </c>
      <c r="R115" s="109">
        <f t="shared" si="5"/>
        <v>0</v>
      </c>
      <c r="S115" s="109">
        <f t="shared" si="5"/>
        <v>0</v>
      </c>
      <c r="T115" s="109">
        <f t="shared" si="5"/>
        <v>0</v>
      </c>
      <c r="U115" s="4">
        <f>COUNT(U90:U114)</f>
        <v>0</v>
      </c>
    </row>
    <row r="116" spans="2:21">
      <c r="B116" s="291">
        <f t="shared" ref="B116" si="6">B90+1</f>
        <v>46027</v>
      </c>
      <c r="C116" s="19">
        <v>0.29166666666666669</v>
      </c>
      <c r="D116" s="5">
        <v>222134</v>
      </c>
      <c r="E116" s="25">
        <v>524526</v>
      </c>
      <c r="F116" s="10">
        <v>1.2934000000000001</v>
      </c>
      <c r="G116" s="10">
        <v>0.88360000000000005</v>
      </c>
      <c r="H116" s="240"/>
      <c r="I116" s="9">
        <v>99560</v>
      </c>
      <c r="J116" s="9">
        <v>223561</v>
      </c>
      <c r="K116" s="9"/>
      <c r="L116" s="27">
        <v>84586</v>
      </c>
      <c r="M116" s="27">
        <v>61336</v>
      </c>
      <c r="N116" s="26"/>
      <c r="O116" s="106"/>
      <c r="P116" s="106"/>
      <c r="Q116" s="107"/>
      <c r="R116" s="107"/>
      <c r="S116" s="108"/>
      <c r="T116" s="108"/>
      <c r="U116" s="61"/>
    </row>
    <row r="117" spans="2:21">
      <c r="B117" s="292"/>
      <c r="C117" s="19">
        <v>0.33333333333333298</v>
      </c>
      <c r="D117" s="5">
        <v>222134</v>
      </c>
      <c r="E117" s="25">
        <v>524526</v>
      </c>
      <c r="F117" s="10">
        <v>1.2934000000000001</v>
      </c>
      <c r="G117" s="10">
        <v>0.88360000000000005</v>
      </c>
      <c r="H117" s="240"/>
      <c r="I117" s="9">
        <v>99560</v>
      </c>
      <c r="J117" s="9">
        <v>223561</v>
      </c>
      <c r="K117" s="9"/>
      <c r="L117" s="27">
        <v>84586</v>
      </c>
      <c r="M117" s="27">
        <v>61336</v>
      </c>
      <c r="N117" s="26"/>
      <c r="O117" s="106"/>
      <c r="P117" s="106"/>
      <c r="Q117" s="107"/>
      <c r="R117" s="107"/>
      <c r="S117" s="108"/>
      <c r="T117" s="108"/>
      <c r="U117" s="61"/>
    </row>
    <row r="118" spans="2:21">
      <c r="B118" s="292"/>
      <c r="C118" s="19">
        <v>0.375</v>
      </c>
      <c r="D118" s="5">
        <v>222134</v>
      </c>
      <c r="E118" s="25">
        <v>524526</v>
      </c>
      <c r="F118" s="10">
        <v>1.2934000000000001</v>
      </c>
      <c r="G118" s="10">
        <v>0.88360000000000005</v>
      </c>
      <c r="H118" s="240"/>
      <c r="I118" s="9">
        <v>99560</v>
      </c>
      <c r="J118" s="9">
        <v>223561</v>
      </c>
      <c r="K118" s="9"/>
      <c r="L118" s="27">
        <v>84586</v>
      </c>
      <c r="M118" s="27">
        <v>61336</v>
      </c>
      <c r="N118" s="26"/>
      <c r="O118" s="106"/>
      <c r="P118" s="106"/>
      <c r="Q118" s="107"/>
      <c r="R118" s="107"/>
      <c r="S118" s="108"/>
      <c r="T118" s="108"/>
      <c r="U118" s="61"/>
    </row>
    <row r="119" spans="2:21">
      <c r="B119" s="292"/>
      <c r="C119" s="19">
        <v>0.41666666666666702</v>
      </c>
      <c r="D119" s="5">
        <v>222134</v>
      </c>
      <c r="E119" s="25">
        <v>524526</v>
      </c>
      <c r="F119" s="10">
        <v>1.2934000000000001</v>
      </c>
      <c r="G119" s="10">
        <v>0.88360000000000005</v>
      </c>
      <c r="H119" s="240"/>
      <c r="I119" s="9">
        <v>99560</v>
      </c>
      <c r="J119" s="9">
        <v>223561</v>
      </c>
      <c r="K119" s="9"/>
      <c r="L119" s="27">
        <v>84586</v>
      </c>
      <c r="M119" s="27">
        <v>61336</v>
      </c>
      <c r="N119" s="26"/>
      <c r="O119" s="106"/>
      <c r="P119" s="106"/>
      <c r="Q119" s="107"/>
      <c r="R119" s="107"/>
      <c r="S119" s="108"/>
      <c r="T119" s="108"/>
      <c r="U119" s="61"/>
    </row>
    <row r="120" spans="2:21">
      <c r="B120" s="292"/>
      <c r="C120" s="19">
        <v>0.45833333333333298</v>
      </c>
      <c r="D120" s="5">
        <v>222134</v>
      </c>
      <c r="E120" s="25">
        <v>524526</v>
      </c>
      <c r="F120" s="10">
        <v>1.2934000000000001</v>
      </c>
      <c r="G120" s="10">
        <v>0.88360000000000005</v>
      </c>
      <c r="H120" s="240"/>
      <c r="I120" s="9">
        <v>99560</v>
      </c>
      <c r="J120" s="9">
        <v>223561</v>
      </c>
      <c r="K120" s="9"/>
      <c r="L120" s="27">
        <v>84586</v>
      </c>
      <c r="M120" s="27">
        <v>61336</v>
      </c>
      <c r="N120" s="26"/>
      <c r="O120" s="106"/>
      <c r="P120" s="106"/>
      <c r="Q120" s="107"/>
      <c r="R120" s="107"/>
      <c r="S120" s="108"/>
      <c r="T120" s="108"/>
      <c r="U120" s="61"/>
    </row>
    <row r="121" spans="2:21">
      <c r="B121" s="292"/>
      <c r="C121" s="19">
        <v>0.5</v>
      </c>
      <c r="D121" s="5">
        <v>222134</v>
      </c>
      <c r="E121" s="25">
        <v>524526</v>
      </c>
      <c r="F121" s="10">
        <v>1.2934000000000001</v>
      </c>
      <c r="G121" s="10">
        <v>0.88360000000000005</v>
      </c>
      <c r="H121" s="240"/>
      <c r="I121" s="9">
        <v>99560</v>
      </c>
      <c r="J121" s="9">
        <v>223561</v>
      </c>
      <c r="K121" s="9"/>
      <c r="L121" s="27">
        <v>84586</v>
      </c>
      <c r="M121" s="27">
        <v>61336</v>
      </c>
      <c r="N121" s="26"/>
      <c r="O121" s="106"/>
      <c r="P121" s="106"/>
      <c r="Q121" s="107"/>
      <c r="R121" s="107"/>
      <c r="S121" s="108"/>
      <c r="T121" s="108"/>
      <c r="U121" s="61"/>
    </row>
    <row r="122" spans="2:21">
      <c r="B122" s="292"/>
      <c r="C122" s="19">
        <v>0.54166666666666696</v>
      </c>
      <c r="D122" s="5">
        <v>222134</v>
      </c>
      <c r="E122" s="25">
        <v>524526</v>
      </c>
      <c r="F122" s="10">
        <v>1.2934000000000001</v>
      </c>
      <c r="G122" s="10">
        <v>0.88360000000000005</v>
      </c>
      <c r="H122" s="240"/>
      <c r="I122" s="9">
        <v>99560</v>
      </c>
      <c r="J122" s="9">
        <v>223561</v>
      </c>
      <c r="K122" s="9"/>
      <c r="L122" s="27">
        <v>84586</v>
      </c>
      <c r="M122" s="27">
        <v>61336</v>
      </c>
      <c r="N122" s="26"/>
      <c r="O122" s="106"/>
      <c r="P122" s="106"/>
      <c r="Q122" s="107"/>
      <c r="R122" s="107"/>
      <c r="S122" s="108"/>
      <c r="T122" s="108"/>
      <c r="U122" s="61"/>
    </row>
    <row r="123" spans="2:21">
      <c r="B123" s="292"/>
      <c r="C123" s="19">
        <v>0.58333333333333304</v>
      </c>
      <c r="D123" s="5">
        <v>222134</v>
      </c>
      <c r="E123" s="25">
        <v>524526</v>
      </c>
      <c r="F123" s="10">
        <v>1.2934000000000001</v>
      </c>
      <c r="G123" s="10">
        <v>0.88360000000000005</v>
      </c>
      <c r="H123" s="240"/>
      <c r="I123" s="9">
        <v>99560</v>
      </c>
      <c r="J123" s="9">
        <v>223561</v>
      </c>
      <c r="K123" s="9"/>
      <c r="L123" s="27">
        <v>84586</v>
      </c>
      <c r="M123" s="27">
        <v>61336</v>
      </c>
      <c r="N123" s="26"/>
      <c r="O123" s="106"/>
      <c r="P123" s="106"/>
      <c r="Q123" s="107"/>
      <c r="R123" s="107"/>
      <c r="S123" s="108"/>
      <c r="T123" s="108"/>
      <c r="U123" s="65"/>
    </row>
    <row r="124" spans="2:21">
      <c r="B124" s="292"/>
      <c r="C124" s="19">
        <v>0.625</v>
      </c>
      <c r="D124" s="5">
        <v>222134</v>
      </c>
      <c r="E124" s="25">
        <v>524526</v>
      </c>
      <c r="F124" s="10">
        <v>1.2934000000000001</v>
      </c>
      <c r="G124" s="10">
        <v>0.88360000000000005</v>
      </c>
      <c r="H124" s="240"/>
      <c r="I124" s="9">
        <v>99560</v>
      </c>
      <c r="J124" s="9">
        <v>223561</v>
      </c>
      <c r="K124" s="9"/>
      <c r="L124" s="27">
        <v>84586</v>
      </c>
      <c r="M124" s="27">
        <v>61336</v>
      </c>
      <c r="N124" s="26"/>
      <c r="O124" s="106"/>
      <c r="P124" s="106"/>
      <c r="Q124" s="107"/>
      <c r="R124" s="107"/>
      <c r="S124" s="108"/>
      <c r="T124" s="108"/>
      <c r="U124" s="61"/>
    </row>
    <row r="125" spans="2:21">
      <c r="B125" s="292"/>
      <c r="C125" s="19">
        <v>0.66666666666666596</v>
      </c>
      <c r="D125" s="5">
        <v>222134</v>
      </c>
      <c r="E125" s="25">
        <v>524526</v>
      </c>
      <c r="F125" s="10">
        <v>1.2934000000000001</v>
      </c>
      <c r="G125" s="10">
        <v>0.88360000000000005</v>
      </c>
      <c r="H125" s="240"/>
      <c r="I125" s="9">
        <v>99560</v>
      </c>
      <c r="J125" s="9">
        <v>223561</v>
      </c>
      <c r="K125" s="9"/>
      <c r="L125" s="27">
        <v>84586</v>
      </c>
      <c r="M125" s="27">
        <v>61336</v>
      </c>
      <c r="N125" s="26"/>
      <c r="O125" s="106"/>
      <c r="P125" s="106"/>
      <c r="Q125" s="107"/>
      <c r="R125" s="107"/>
      <c r="S125" s="108"/>
      <c r="T125" s="108"/>
      <c r="U125" s="61"/>
    </row>
    <row r="126" spans="2:21">
      <c r="B126" s="292"/>
      <c r="C126" s="19">
        <v>0.70833333333333304</v>
      </c>
      <c r="D126" s="5">
        <v>222134</v>
      </c>
      <c r="E126" s="25">
        <v>524526</v>
      </c>
      <c r="F126" s="10">
        <v>1.2934000000000001</v>
      </c>
      <c r="G126" s="10">
        <v>0.88360000000000005</v>
      </c>
      <c r="H126" s="240"/>
      <c r="I126" s="9">
        <v>99560</v>
      </c>
      <c r="J126" s="9">
        <v>223561</v>
      </c>
      <c r="K126" s="9"/>
      <c r="L126" s="27">
        <v>84586</v>
      </c>
      <c r="M126" s="27">
        <v>61336</v>
      </c>
      <c r="N126" s="26"/>
      <c r="O126" s="106"/>
      <c r="P126" s="106"/>
      <c r="Q126" s="107"/>
      <c r="R126" s="107"/>
      <c r="S126" s="108"/>
      <c r="T126" s="108"/>
      <c r="U126" s="61"/>
    </row>
    <row r="127" spans="2:21">
      <c r="B127" s="292"/>
      <c r="C127" s="19">
        <v>0.75</v>
      </c>
      <c r="D127" s="5">
        <v>222134</v>
      </c>
      <c r="E127" s="25">
        <v>524526</v>
      </c>
      <c r="F127" s="10">
        <v>1.2934000000000001</v>
      </c>
      <c r="G127" s="10">
        <v>0.88360000000000005</v>
      </c>
      <c r="H127" s="240"/>
      <c r="I127" s="9">
        <v>99560</v>
      </c>
      <c r="J127" s="9">
        <v>223561</v>
      </c>
      <c r="K127" s="9"/>
      <c r="L127" s="27">
        <v>84586</v>
      </c>
      <c r="M127" s="27">
        <v>61336</v>
      </c>
      <c r="N127" s="26"/>
      <c r="O127" s="106"/>
      <c r="P127" s="106"/>
      <c r="Q127" s="107"/>
      <c r="R127" s="107"/>
      <c r="S127" s="108"/>
      <c r="T127" s="108"/>
      <c r="U127" s="61"/>
    </row>
    <row r="128" spans="2:21">
      <c r="B128" s="292"/>
      <c r="C128" s="19">
        <v>0.79166666666666596</v>
      </c>
      <c r="D128" s="5">
        <v>222134</v>
      </c>
      <c r="E128" s="25">
        <v>524526</v>
      </c>
      <c r="F128" s="10">
        <v>1.2934000000000001</v>
      </c>
      <c r="G128" s="10">
        <v>0.88360000000000005</v>
      </c>
      <c r="H128" s="240"/>
      <c r="I128" s="9">
        <v>99560</v>
      </c>
      <c r="J128" s="9">
        <v>223561</v>
      </c>
      <c r="K128" s="9"/>
      <c r="L128" s="27">
        <v>84586</v>
      </c>
      <c r="M128" s="27">
        <v>61336</v>
      </c>
      <c r="N128" s="26"/>
      <c r="O128" s="106"/>
      <c r="P128" s="106"/>
      <c r="Q128" s="107"/>
      <c r="R128" s="107"/>
      <c r="S128" s="108"/>
      <c r="T128" s="108"/>
      <c r="U128" s="61"/>
    </row>
    <row r="129" spans="2:21">
      <c r="B129" s="292"/>
      <c r="C129" s="19">
        <v>0.83333333333333304</v>
      </c>
      <c r="D129" s="5">
        <v>222134</v>
      </c>
      <c r="E129" s="25">
        <v>524526</v>
      </c>
      <c r="F129" s="10">
        <v>1.2934000000000001</v>
      </c>
      <c r="G129" s="10">
        <v>0.88360000000000005</v>
      </c>
      <c r="H129" s="240"/>
      <c r="I129" s="9">
        <v>99560</v>
      </c>
      <c r="J129" s="9">
        <v>223561</v>
      </c>
      <c r="K129" s="9"/>
      <c r="L129" s="27">
        <v>84586</v>
      </c>
      <c r="M129" s="27">
        <v>61336</v>
      </c>
      <c r="N129" s="26"/>
      <c r="O129" s="106"/>
      <c r="P129" s="106"/>
      <c r="Q129" s="107"/>
      <c r="R129" s="107"/>
      <c r="S129" s="108"/>
      <c r="T129" s="108"/>
      <c r="U129" s="61"/>
    </row>
    <row r="130" spans="2:21">
      <c r="B130" s="292"/>
      <c r="C130" s="19">
        <v>0.875</v>
      </c>
      <c r="D130" s="5">
        <v>222134</v>
      </c>
      <c r="E130" s="25">
        <v>524526</v>
      </c>
      <c r="F130" s="10">
        <v>1.2934000000000001</v>
      </c>
      <c r="G130" s="10">
        <v>0.88360000000000005</v>
      </c>
      <c r="H130" s="240"/>
      <c r="I130" s="9">
        <v>99560</v>
      </c>
      <c r="J130" s="9">
        <v>223561</v>
      </c>
      <c r="K130" s="9"/>
      <c r="L130" s="27">
        <v>84586</v>
      </c>
      <c r="M130" s="27">
        <v>61336</v>
      </c>
      <c r="N130" s="26"/>
      <c r="O130" s="106"/>
      <c r="P130" s="106"/>
      <c r="Q130" s="107"/>
      <c r="R130" s="107"/>
      <c r="S130" s="108"/>
      <c r="T130" s="108"/>
      <c r="U130" s="61"/>
    </row>
    <row r="131" spans="2:21">
      <c r="B131" s="292"/>
      <c r="C131" s="19">
        <v>0.91666666666666596</v>
      </c>
      <c r="D131" s="5">
        <v>222134</v>
      </c>
      <c r="E131" s="25">
        <v>524526</v>
      </c>
      <c r="F131" s="10">
        <v>1.2934000000000001</v>
      </c>
      <c r="G131" s="10">
        <v>0.88360000000000005</v>
      </c>
      <c r="H131" s="240"/>
      <c r="I131" s="9">
        <v>99560</v>
      </c>
      <c r="J131" s="9">
        <v>223561</v>
      </c>
      <c r="K131" s="9"/>
      <c r="L131" s="27">
        <v>84586</v>
      </c>
      <c r="M131" s="27">
        <v>61336</v>
      </c>
      <c r="N131" s="26"/>
      <c r="O131" s="106"/>
      <c r="P131" s="106"/>
      <c r="Q131" s="107"/>
      <c r="R131" s="107"/>
      <c r="S131" s="108"/>
      <c r="T131" s="108"/>
      <c r="U131" s="61"/>
    </row>
    <row r="132" spans="2:21">
      <c r="B132" s="292"/>
      <c r="C132" s="19">
        <v>0.95833333333333304</v>
      </c>
      <c r="D132" s="5">
        <v>222134</v>
      </c>
      <c r="E132" s="25">
        <v>524526</v>
      </c>
      <c r="F132" s="10">
        <v>1.2934000000000001</v>
      </c>
      <c r="G132" s="10">
        <v>0.88360000000000005</v>
      </c>
      <c r="H132" s="240"/>
      <c r="I132" s="9">
        <v>99560</v>
      </c>
      <c r="J132" s="9">
        <v>223561</v>
      </c>
      <c r="K132" s="9"/>
      <c r="L132" s="27">
        <v>84586</v>
      </c>
      <c r="M132" s="27">
        <v>61336</v>
      </c>
      <c r="N132" s="26"/>
      <c r="O132" s="106"/>
      <c r="P132" s="106"/>
      <c r="Q132" s="107"/>
      <c r="R132" s="107"/>
      <c r="S132" s="108"/>
      <c r="T132" s="108"/>
      <c r="U132" s="61"/>
    </row>
    <row r="133" spans="2:21">
      <c r="B133" s="292"/>
      <c r="C133" s="19">
        <v>1</v>
      </c>
      <c r="D133" s="5">
        <v>222134</v>
      </c>
      <c r="E133" s="25">
        <v>524526</v>
      </c>
      <c r="F133" s="10">
        <v>1.2934000000000001</v>
      </c>
      <c r="G133" s="10">
        <v>0.88360000000000005</v>
      </c>
      <c r="H133" s="240"/>
      <c r="I133" s="9">
        <v>99560</v>
      </c>
      <c r="J133" s="9">
        <v>223561</v>
      </c>
      <c r="K133" s="9"/>
      <c r="L133" s="27">
        <v>84586</v>
      </c>
      <c r="M133" s="27">
        <v>61336</v>
      </c>
      <c r="N133" s="26"/>
      <c r="O133" s="63"/>
      <c r="P133" s="63"/>
      <c r="Q133" s="62"/>
      <c r="R133" s="62"/>
      <c r="S133" s="64"/>
      <c r="T133" s="64"/>
      <c r="U133" s="61"/>
    </row>
    <row r="134" spans="2:21">
      <c r="B134" s="292"/>
      <c r="C134" s="19">
        <v>1.0416666666666701</v>
      </c>
      <c r="D134" s="5">
        <v>222134</v>
      </c>
      <c r="E134" s="25">
        <v>524526</v>
      </c>
      <c r="F134" s="10">
        <v>1.2934000000000001</v>
      </c>
      <c r="G134" s="10">
        <v>0.88360000000000005</v>
      </c>
      <c r="H134" s="240"/>
      <c r="I134" s="9">
        <v>99560</v>
      </c>
      <c r="J134" s="9">
        <v>223561</v>
      </c>
      <c r="K134" s="9"/>
      <c r="L134" s="27">
        <v>84586</v>
      </c>
      <c r="M134" s="27">
        <v>61336</v>
      </c>
      <c r="N134" s="26"/>
      <c r="O134" s="63"/>
      <c r="P134" s="63"/>
      <c r="Q134" s="62"/>
      <c r="R134" s="62"/>
      <c r="S134" s="64"/>
      <c r="T134" s="64"/>
      <c r="U134" s="61"/>
    </row>
    <row r="135" spans="2:21">
      <c r="B135" s="292"/>
      <c r="C135" s="19">
        <v>1.0833333333333399</v>
      </c>
      <c r="D135" s="5">
        <v>222134</v>
      </c>
      <c r="E135" s="25">
        <v>524526</v>
      </c>
      <c r="F135" s="10">
        <v>1.2934000000000001</v>
      </c>
      <c r="G135" s="10">
        <v>0.88360000000000005</v>
      </c>
      <c r="H135" s="240"/>
      <c r="I135" s="9">
        <v>99560</v>
      </c>
      <c r="J135" s="9">
        <v>223561</v>
      </c>
      <c r="K135" s="9"/>
      <c r="L135" s="27">
        <v>84586</v>
      </c>
      <c r="M135" s="27">
        <v>61336</v>
      </c>
      <c r="N135" s="26"/>
      <c r="O135" s="63"/>
      <c r="P135" s="63"/>
      <c r="Q135" s="62"/>
      <c r="R135" s="62"/>
      <c r="S135" s="64"/>
      <c r="T135" s="64"/>
      <c r="U135" s="61"/>
    </row>
    <row r="136" spans="2:21">
      <c r="B136" s="292"/>
      <c r="C136" s="19">
        <v>1.125</v>
      </c>
      <c r="D136" s="5">
        <v>222134</v>
      </c>
      <c r="E136" s="25">
        <v>524526</v>
      </c>
      <c r="F136" s="10">
        <v>1.2934000000000001</v>
      </c>
      <c r="G136" s="10">
        <v>0.88360000000000005</v>
      </c>
      <c r="H136" s="240"/>
      <c r="I136" s="9">
        <v>99560</v>
      </c>
      <c r="J136" s="9">
        <v>223561</v>
      </c>
      <c r="K136" s="9"/>
      <c r="L136" s="27">
        <v>84586</v>
      </c>
      <c r="M136" s="27">
        <v>61336</v>
      </c>
      <c r="N136" s="26"/>
      <c r="O136" s="63"/>
      <c r="P136" s="63"/>
      <c r="Q136" s="62"/>
      <c r="R136" s="62"/>
      <c r="S136" s="64"/>
      <c r="T136" s="64"/>
      <c r="U136" s="61"/>
    </row>
    <row r="137" spans="2:21">
      <c r="B137" s="292"/>
      <c r="C137" s="19">
        <v>1.1666666666666701</v>
      </c>
      <c r="D137" s="5">
        <v>222134</v>
      </c>
      <c r="E137" s="25">
        <v>524526</v>
      </c>
      <c r="F137" s="10">
        <v>1.2934000000000001</v>
      </c>
      <c r="G137" s="10">
        <v>0.88360000000000005</v>
      </c>
      <c r="H137" s="240"/>
      <c r="I137" s="9">
        <v>99560</v>
      </c>
      <c r="J137" s="9">
        <v>223561</v>
      </c>
      <c r="K137" s="9"/>
      <c r="L137" s="27">
        <v>84586</v>
      </c>
      <c r="M137" s="27">
        <v>61336</v>
      </c>
      <c r="N137" s="26"/>
      <c r="O137" s="106"/>
      <c r="P137" s="106"/>
      <c r="Q137" s="107"/>
      <c r="R137" s="107"/>
      <c r="S137" s="108"/>
      <c r="T137" s="108"/>
      <c r="U137" s="61"/>
    </row>
    <row r="138" spans="2:21">
      <c r="B138" s="292"/>
      <c r="C138" s="19">
        <v>1.2083333333333399</v>
      </c>
      <c r="D138" s="5">
        <v>222134</v>
      </c>
      <c r="E138" s="25">
        <v>524526</v>
      </c>
      <c r="F138" s="10">
        <v>1.2934000000000001</v>
      </c>
      <c r="G138" s="10">
        <v>0.88360000000000005</v>
      </c>
      <c r="H138" s="240"/>
      <c r="I138" s="9">
        <v>99560</v>
      </c>
      <c r="J138" s="9">
        <v>223561</v>
      </c>
      <c r="K138" s="9"/>
      <c r="L138" s="27">
        <v>84586</v>
      </c>
      <c r="M138" s="27">
        <v>61336</v>
      </c>
      <c r="N138" s="26"/>
      <c r="O138" s="106"/>
      <c r="P138" s="106"/>
      <c r="Q138" s="107"/>
      <c r="R138" s="107"/>
      <c r="S138" s="108"/>
      <c r="T138" s="108"/>
      <c r="U138" s="61"/>
    </row>
    <row r="139" spans="2:21">
      <c r="B139" s="292"/>
      <c r="C139" s="19">
        <v>1.25</v>
      </c>
      <c r="D139" s="5">
        <v>222134</v>
      </c>
      <c r="E139" s="25">
        <v>524526</v>
      </c>
      <c r="F139" s="10">
        <v>1.2934000000000001</v>
      </c>
      <c r="G139" s="10">
        <v>0.88360000000000005</v>
      </c>
      <c r="H139" s="240"/>
      <c r="I139" s="9">
        <v>99560</v>
      </c>
      <c r="J139" s="9">
        <v>223561</v>
      </c>
      <c r="K139" s="9"/>
      <c r="L139" s="27">
        <v>84586</v>
      </c>
      <c r="M139" s="27">
        <v>61336</v>
      </c>
      <c r="N139" s="26"/>
      <c r="O139" s="106"/>
      <c r="P139" s="106"/>
      <c r="Q139" s="107"/>
      <c r="R139" s="107"/>
      <c r="S139" s="108"/>
      <c r="T139" s="108"/>
      <c r="U139" s="61"/>
    </row>
    <row r="140" spans="2:21">
      <c r="B140" s="292"/>
      <c r="C140" s="19">
        <v>1.2916666666666701</v>
      </c>
      <c r="D140" s="5">
        <v>222134</v>
      </c>
      <c r="E140" s="25">
        <v>524526</v>
      </c>
      <c r="F140" s="10">
        <v>1.2934000000000001</v>
      </c>
      <c r="G140" s="10">
        <v>0.88360000000000005</v>
      </c>
      <c r="H140" s="240"/>
      <c r="I140" s="9">
        <v>99560</v>
      </c>
      <c r="J140" s="9">
        <v>223561</v>
      </c>
      <c r="K140" s="9"/>
      <c r="L140" s="27">
        <v>84586</v>
      </c>
      <c r="M140" s="27">
        <v>61336</v>
      </c>
      <c r="N140" s="26"/>
      <c r="O140" s="106"/>
      <c r="P140" s="106"/>
      <c r="Q140" s="107"/>
      <c r="R140" s="107"/>
      <c r="S140" s="108"/>
      <c r="T140" s="108"/>
      <c r="U140" s="61"/>
    </row>
    <row r="141" spans="2:21">
      <c r="B141" s="293"/>
      <c r="C141" s="6"/>
      <c r="D141" s="13" cm="1">
        <f t="array" ref="D141">IFERROR(LOOKUP(2,1/(D116:D140&gt;0),D116:D140-D116),0)</f>
        <v>0</v>
      </c>
      <c r="E141" s="13" cm="1">
        <f t="array" ref="E141">IFERROR(LOOKUP(2,1/(E116:E140&gt;0),E116:E140-E116),0)</f>
        <v>0</v>
      </c>
      <c r="F141" s="13" cm="1">
        <f t="array" ref="F141">IFERROR(LOOKUP(2,1/(F116:F140&gt;0),F116:F140-F116),0)</f>
        <v>0</v>
      </c>
      <c r="G141" s="13" cm="1">
        <f t="array" ref="G141">IFERROR(LOOKUP(2,1/(G116:G140&gt;0),G116:G140-G116),0)</f>
        <v>0</v>
      </c>
      <c r="H141" s="13">
        <f>F141+G141</f>
        <v>0</v>
      </c>
      <c r="I141" s="13" cm="1">
        <f t="array" ref="I141">IFERROR(LOOKUP(2,1/(I116:I140&gt;0),I116:I140-I116),0)</f>
        <v>0</v>
      </c>
      <c r="J141" s="13" cm="1">
        <f t="array" ref="J141">IFERROR(LOOKUP(2,1/(J116:J140&gt;0),J116:J140-J116),0)</f>
        <v>0</v>
      </c>
      <c r="K141" s="13">
        <f>I141+J141</f>
        <v>0</v>
      </c>
      <c r="L141" s="13" cm="1">
        <f t="array" ref="L141">IFERROR(LOOKUP(2,1/(L116:L140&gt;0),L116:L140-L116),0)</f>
        <v>0</v>
      </c>
      <c r="M141" s="13" cm="1">
        <f t="array" ref="M141">IFERROR(LOOKUP(2,1/(M116:M140&gt;0),M116:M140-M116),0)</f>
        <v>0</v>
      </c>
      <c r="N141" s="13">
        <f>L141+M141</f>
        <v>0</v>
      </c>
      <c r="O141" s="109">
        <f t="shared" ref="O141:T141" si="7">IFERROR(AVERAGE(O116:O140),0)</f>
        <v>0</v>
      </c>
      <c r="P141" s="109">
        <f t="shared" si="7"/>
        <v>0</v>
      </c>
      <c r="Q141" s="109">
        <f t="shared" si="7"/>
        <v>0</v>
      </c>
      <c r="R141" s="109">
        <f t="shared" si="7"/>
        <v>0</v>
      </c>
      <c r="S141" s="109">
        <f t="shared" si="7"/>
        <v>0</v>
      </c>
      <c r="T141" s="109">
        <f t="shared" si="7"/>
        <v>0</v>
      </c>
      <c r="U141" s="4">
        <f>COUNT(U116:U140)</f>
        <v>0</v>
      </c>
    </row>
    <row r="142" spans="2:21">
      <c r="B142" s="291">
        <f t="shared" ref="B142" si="8">B116+1</f>
        <v>46028</v>
      </c>
      <c r="C142" s="19">
        <v>0.29166666666666669</v>
      </c>
      <c r="D142" s="5">
        <v>222134</v>
      </c>
      <c r="E142" s="25">
        <v>524526</v>
      </c>
      <c r="F142" s="10">
        <v>1.2934000000000001</v>
      </c>
      <c r="G142" s="10">
        <v>0.88360000000000005</v>
      </c>
      <c r="H142" s="240"/>
      <c r="I142" s="9">
        <v>99560</v>
      </c>
      <c r="J142" s="9">
        <v>223561</v>
      </c>
      <c r="K142" s="9"/>
      <c r="L142" s="27">
        <v>84586</v>
      </c>
      <c r="M142" s="27">
        <v>61336</v>
      </c>
      <c r="N142" s="26"/>
      <c r="O142" s="106"/>
      <c r="P142" s="106"/>
      <c r="Q142" s="107"/>
      <c r="R142" s="107"/>
      <c r="S142" s="108"/>
      <c r="T142" s="108"/>
      <c r="U142" s="61"/>
    </row>
    <row r="143" spans="2:21">
      <c r="B143" s="292"/>
      <c r="C143" s="19">
        <v>0.33333333333333298</v>
      </c>
      <c r="D143" s="5">
        <v>222134</v>
      </c>
      <c r="E143" s="25">
        <v>524526</v>
      </c>
      <c r="F143" s="10">
        <v>1.2934000000000001</v>
      </c>
      <c r="G143" s="10">
        <v>0.88360000000000005</v>
      </c>
      <c r="H143" s="240"/>
      <c r="I143" s="9">
        <v>99560</v>
      </c>
      <c r="J143" s="9">
        <v>223561</v>
      </c>
      <c r="K143" s="9"/>
      <c r="L143" s="27">
        <v>84586</v>
      </c>
      <c r="M143" s="27">
        <v>61336</v>
      </c>
      <c r="N143" s="26"/>
      <c r="O143" s="106"/>
      <c r="P143" s="106"/>
      <c r="Q143" s="107"/>
      <c r="R143" s="107"/>
      <c r="S143" s="108"/>
      <c r="T143" s="108"/>
      <c r="U143" s="61"/>
    </row>
    <row r="144" spans="2:21">
      <c r="B144" s="292"/>
      <c r="C144" s="19">
        <v>0.375</v>
      </c>
      <c r="D144" s="5">
        <v>222134</v>
      </c>
      <c r="E144" s="25">
        <v>524526</v>
      </c>
      <c r="F144" s="10">
        <v>1.2934000000000001</v>
      </c>
      <c r="G144" s="10">
        <v>0.88360000000000005</v>
      </c>
      <c r="H144" s="240"/>
      <c r="I144" s="9">
        <v>99560</v>
      </c>
      <c r="J144" s="9">
        <v>223561</v>
      </c>
      <c r="K144" s="9"/>
      <c r="L144" s="27">
        <v>84586</v>
      </c>
      <c r="M144" s="27">
        <v>61336</v>
      </c>
      <c r="N144" s="26"/>
      <c r="O144" s="106"/>
      <c r="P144" s="106"/>
      <c r="Q144" s="107"/>
      <c r="R144" s="107"/>
      <c r="S144" s="108"/>
      <c r="T144" s="108"/>
      <c r="U144" s="61"/>
    </row>
    <row r="145" spans="2:21">
      <c r="B145" s="292"/>
      <c r="C145" s="19">
        <v>0.41666666666666702</v>
      </c>
      <c r="D145" s="5">
        <v>222134</v>
      </c>
      <c r="E145" s="25">
        <v>524526</v>
      </c>
      <c r="F145" s="10">
        <v>1.2934000000000001</v>
      </c>
      <c r="G145" s="10">
        <v>0.88360000000000005</v>
      </c>
      <c r="H145" s="240"/>
      <c r="I145" s="9">
        <v>99560</v>
      </c>
      <c r="J145" s="9">
        <v>223561</v>
      </c>
      <c r="K145" s="9"/>
      <c r="L145" s="27">
        <v>84586</v>
      </c>
      <c r="M145" s="27">
        <v>61336</v>
      </c>
      <c r="N145" s="26"/>
      <c r="O145" s="106"/>
      <c r="P145" s="106"/>
      <c r="Q145" s="107"/>
      <c r="R145" s="107"/>
      <c r="S145" s="108"/>
      <c r="T145" s="108"/>
      <c r="U145" s="61"/>
    </row>
    <row r="146" spans="2:21">
      <c r="B146" s="292"/>
      <c r="C146" s="19">
        <v>0.45833333333333298</v>
      </c>
      <c r="D146" s="5">
        <v>222134</v>
      </c>
      <c r="E146" s="25">
        <v>524526</v>
      </c>
      <c r="F146" s="10">
        <v>1.2934000000000001</v>
      </c>
      <c r="G146" s="10">
        <v>0.88360000000000005</v>
      </c>
      <c r="H146" s="240"/>
      <c r="I146" s="9">
        <v>99560</v>
      </c>
      <c r="J146" s="9">
        <v>223561</v>
      </c>
      <c r="K146" s="9"/>
      <c r="L146" s="27">
        <v>84586</v>
      </c>
      <c r="M146" s="27">
        <v>61336</v>
      </c>
      <c r="N146" s="26"/>
      <c r="O146" s="106"/>
      <c r="P146" s="106"/>
      <c r="Q146" s="107"/>
      <c r="R146" s="107"/>
      <c r="S146" s="108"/>
      <c r="T146" s="108"/>
      <c r="U146" s="61"/>
    </row>
    <row r="147" spans="2:21">
      <c r="B147" s="292"/>
      <c r="C147" s="19">
        <v>0.5</v>
      </c>
      <c r="D147" s="5">
        <v>222134</v>
      </c>
      <c r="E147" s="25">
        <v>524526</v>
      </c>
      <c r="F147" s="10">
        <v>1.2934000000000001</v>
      </c>
      <c r="G147" s="10">
        <v>0.88360000000000005</v>
      </c>
      <c r="H147" s="240"/>
      <c r="I147" s="9">
        <v>99560</v>
      </c>
      <c r="J147" s="9">
        <v>223561</v>
      </c>
      <c r="K147" s="9"/>
      <c r="L147" s="27">
        <v>84586</v>
      </c>
      <c r="M147" s="27">
        <v>61336</v>
      </c>
      <c r="N147" s="26"/>
      <c r="O147" s="106"/>
      <c r="P147" s="106"/>
      <c r="Q147" s="107"/>
      <c r="R147" s="107"/>
      <c r="S147" s="108"/>
      <c r="T147" s="108"/>
      <c r="U147" s="61"/>
    </row>
    <row r="148" spans="2:21">
      <c r="B148" s="292"/>
      <c r="C148" s="19">
        <v>0.54166666666666696</v>
      </c>
      <c r="D148" s="5">
        <v>222134</v>
      </c>
      <c r="E148" s="25">
        <v>524526</v>
      </c>
      <c r="F148" s="10">
        <v>1.2934000000000001</v>
      </c>
      <c r="G148" s="10">
        <v>0.88360000000000005</v>
      </c>
      <c r="H148" s="240"/>
      <c r="I148" s="9">
        <v>99560</v>
      </c>
      <c r="J148" s="9">
        <v>223561</v>
      </c>
      <c r="K148" s="9"/>
      <c r="L148" s="27">
        <v>84586</v>
      </c>
      <c r="M148" s="27">
        <v>61336</v>
      </c>
      <c r="N148" s="26"/>
      <c r="O148" s="106"/>
      <c r="P148" s="106"/>
      <c r="Q148" s="107"/>
      <c r="R148" s="107"/>
      <c r="S148" s="108"/>
      <c r="T148" s="108"/>
      <c r="U148" s="61"/>
    </row>
    <row r="149" spans="2:21">
      <c r="B149" s="292"/>
      <c r="C149" s="19">
        <v>0.58333333333333304</v>
      </c>
      <c r="D149" s="5">
        <v>222134</v>
      </c>
      <c r="E149" s="25">
        <v>524526</v>
      </c>
      <c r="F149" s="10">
        <v>1.2934000000000001</v>
      </c>
      <c r="G149" s="10">
        <v>0.88360000000000005</v>
      </c>
      <c r="H149" s="240"/>
      <c r="I149" s="9">
        <v>99560</v>
      </c>
      <c r="J149" s="9">
        <v>223561</v>
      </c>
      <c r="K149" s="9"/>
      <c r="L149" s="27">
        <v>84586</v>
      </c>
      <c r="M149" s="27">
        <v>61336</v>
      </c>
      <c r="N149" s="26"/>
      <c r="O149" s="106"/>
      <c r="P149" s="106"/>
      <c r="Q149" s="107"/>
      <c r="R149" s="107"/>
      <c r="S149" s="108"/>
      <c r="T149" s="108"/>
      <c r="U149" s="65"/>
    </row>
    <row r="150" spans="2:21">
      <c r="B150" s="292"/>
      <c r="C150" s="19">
        <v>0.625</v>
      </c>
      <c r="D150" s="5">
        <v>222134</v>
      </c>
      <c r="E150" s="25">
        <v>524526</v>
      </c>
      <c r="F150" s="10">
        <v>1.2934000000000001</v>
      </c>
      <c r="G150" s="10">
        <v>0.88360000000000005</v>
      </c>
      <c r="H150" s="240"/>
      <c r="I150" s="9">
        <v>99560</v>
      </c>
      <c r="J150" s="9">
        <v>223561</v>
      </c>
      <c r="K150" s="9"/>
      <c r="L150" s="27">
        <v>84586</v>
      </c>
      <c r="M150" s="27">
        <v>61336</v>
      </c>
      <c r="N150" s="26"/>
      <c r="O150" s="106"/>
      <c r="P150" s="106"/>
      <c r="Q150" s="107"/>
      <c r="R150" s="107"/>
      <c r="S150" s="108"/>
      <c r="T150" s="108"/>
      <c r="U150" s="61"/>
    </row>
    <row r="151" spans="2:21">
      <c r="B151" s="292"/>
      <c r="C151" s="19">
        <v>0.66666666666666596</v>
      </c>
      <c r="D151" s="5">
        <v>222134</v>
      </c>
      <c r="E151" s="25">
        <v>524526</v>
      </c>
      <c r="F151" s="10">
        <v>1.2934000000000001</v>
      </c>
      <c r="G151" s="10">
        <v>0.88360000000000005</v>
      </c>
      <c r="H151" s="240"/>
      <c r="I151" s="9">
        <v>99560</v>
      </c>
      <c r="J151" s="9">
        <v>223561</v>
      </c>
      <c r="K151" s="9"/>
      <c r="L151" s="27">
        <v>84586</v>
      </c>
      <c r="M151" s="27">
        <v>61336</v>
      </c>
      <c r="N151" s="26"/>
      <c r="O151" s="106"/>
      <c r="P151" s="106"/>
      <c r="Q151" s="107"/>
      <c r="R151" s="107"/>
      <c r="S151" s="108"/>
      <c r="T151" s="108"/>
      <c r="U151" s="61"/>
    </row>
    <row r="152" spans="2:21">
      <c r="B152" s="292"/>
      <c r="C152" s="19">
        <v>0.70833333333333304</v>
      </c>
      <c r="D152" s="5">
        <v>222134</v>
      </c>
      <c r="E152" s="25">
        <v>524526</v>
      </c>
      <c r="F152" s="10">
        <v>1.2934000000000001</v>
      </c>
      <c r="G152" s="10">
        <v>0.88360000000000005</v>
      </c>
      <c r="H152" s="240"/>
      <c r="I152" s="9">
        <v>99560</v>
      </c>
      <c r="J152" s="9">
        <v>223561</v>
      </c>
      <c r="K152" s="9"/>
      <c r="L152" s="27">
        <v>84586</v>
      </c>
      <c r="M152" s="27">
        <v>61336</v>
      </c>
      <c r="N152" s="26"/>
      <c r="O152" s="106"/>
      <c r="P152" s="106"/>
      <c r="Q152" s="107"/>
      <c r="R152" s="107"/>
      <c r="S152" s="108"/>
      <c r="T152" s="108"/>
      <c r="U152" s="61"/>
    </row>
    <row r="153" spans="2:21">
      <c r="B153" s="292"/>
      <c r="C153" s="19">
        <v>0.75</v>
      </c>
      <c r="D153" s="5">
        <v>222134</v>
      </c>
      <c r="E153" s="25">
        <v>524526</v>
      </c>
      <c r="F153" s="10">
        <v>1.2934000000000001</v>
      </c>
      <c r="G153" s="10">
        <v>0.88360000000000005</v>
      </c>
      <c r="H153" s="240"/>
      <c r="I153" s="9">
        <v>99560</v>
      </c>
      <c r="J153" s="9">
        <v>223561</v>
      </c>
      <c r="K153" s="9"/>
      <c r="L153" s="27">
        <v>84586</v>
      </c>
      <c r="M153" s="27">
        <v>61336</v>
      </c>
      <c r="N153" s="26"/>
      <c r="O153" s="106"/>
      <c r="P153" s="106"/>
      <c r="Q153" s="107"/>
      <c r="R153" s="107"/>
      <c r="S153" s="108"/>
      <c r="T153" s="108"/>
      <c r="U153" s="61"/>
    </row>
    <row r="154" spans="2:21">
      <c r="B154" s="292"/>
      <c r="C154" s="19">
        <v>0.79166666666666596</v>
      </c>
      <c r="D154" s="5">
        <v>222134</v>
      </c>
      <c r="E154" s="25">
        <v>524526</v>
      </c>
      <c r="F154" s="10">
        <v>1.2934000000000001</v>
      </c>
      <c r="G154" s="10">
        <v>0.88360000000000005</v>
      </c>
      <c r="H154" s="240"/>
      <c r="I154" s="9">
        <v>99560</v>
      </c>
      <c r="J154" s="9">
        <v>223561</v>
      </c>
      <c r="K154" s="9"/>
      <c r="L154" s="27">
        <v>84586</v>
      </c>
      <c r="M154" s="27">
        <v>61336</v>
      </c>
      <c r="N154" s="26"/>
      <c r="O154" s="106"/>
      <c r="P154" s="106"/>
      <c r="Q154" s="107"/>
      <c r="R154" s="107"/>
      <c r="S154" s="108"/>
      <c r="T154" s="108"/>
      <c r="U154" s="61"/>
    </row>
    <row r="155" spans="2:21">
      <c r="B155" s="292"/>
      <c r="C155" s="19">
        <v>0.83333333333333304</v>
      </c>
      <c r="D155" s="5">
        <v>222134</v>
      </c>
      <c r="E155" s="25">
        <v>524526</v>
      </c>
      <c r="F155" s="10">
        <v>1.2934000000000001</v>
      </c>
      <c r="G155" s="10">
        <v>0.88360000000000005</v>
      </c>
      <c r="H155" s="240"/>
      <c r="I155" s="9">
        <v>99560</v>
      </c>
      <c r="J155" s="9">
        <v>223561</v>
      </c>
      <c r="K155" s="9"/>
      <c r="L155" s="27">
        <v>84586</v>
      </c>
      <c r="M155" s="27">
        <v>61336</v>
      </c>
      <c r="N155" s="26"/>
      <c r="O155" s="106"/>
      <c r="P155" s="106"/>
      <c r="Q155" s="107"/>
      <c r="R155" s="107"/>
      <c r="S155" s="108"/>
      <c r="T155" s="108"/>
      <c r="U155" s="61"/>
    </row>
    <row r="156" spans="2:21">
      <c r="B156" s="292"/>
      <c r="C156" s="19">
        <v>0.875</v>
      </c>
      <c r="D156" s="5">
        <v>222134</v>
      </c>
      <c r="E156" s="25">
        <v>524526</v>
      </c>
      <c r="F156" s="10">
        <v>1.2934000000000001</v>
      </c>
      <c r="G156" s="10">
        <v>0.88360000000000005</v>
      </c>
      <c r="H156" s="240"/>
      <c r="I156" s="9">
        <v>99560</v>
      </c>
      <c r="J156" s="9">
        <v>223561</v>
      </c>
      <c r="K156" s="9"/>
      <c r="L156" s="27">
        <v>84586</v>
      </c>
      <c r="M156" s="27">
        <v>61336</v>
      </c>
      <c r="N156" s="26"/>
      <c r="O156" s="106"/>
      <c r="P156" s="106"/>
      <c r="Q156" s="107"/>
      <c r="R156" s="107"/>
      <c r="S156" s="108"/>
      <c r="T156" s="108"/>
      <c r="U156" s="61"/>
    </row>
    <row r="157" spans="2:21">
      <c r="B157" s="292"/>
      <c r="C157" s="19">
        <v>0.91666666666666596</v>
      </c>
      <c r="D157" s="5">
        <v>222134</v>
      </c>
      <c r="E157" s="25">
        <v>524526</v>
      </c>
      <c r="F157" s="10">
        <v>1.2934000000000001</v>
      </c>
      <c r="G157" s="10">
        <v>0.88360000000000005</v>
      </c>
      <c r="H157" s="240"/>
      <c r="I157" s="9">
        <v>99560</v>
      </c>
      <c r="J157" s="9">
        <v>223561</v>
      </c>
      <c r="K157" s="9"/>
      <c r="L157" s="27">
        <v>84586</v>
      </c>
      <c r="M157" s="27">
        <v>61336</v>
      </c>
      <c r="N157" s="26"/>
      <c r="O157" s="106"/>
      <c r="P157" s="106"/>
      <c r="Q157" s="107"/>
      <c r="R157" s="107"/>
      <c r="S157" s="108"/>
      <c r="T157" s="108"/>
      <c r="U157" s="61"/>
    </row>
    <row r="158" spans="2:21">
      <c r="B158" s="292"/>
      <c r="C158" s="19">
        <v>0.95833333333333304</v>
      </c>
      <c r="D158" s="5">
        <v>222134</v>
      </c>
      <c r="E158" s="25">
        <v>524526</v>
      </c>
      <c r="F158" s="10">
        <v>1.2934000000000001</v>
      </c>
      <c r="G158" s="10">
        <v>0.88360000000000005</v>
      </c>
      <c r="H158" s="240"/>
      <c r="I158" s="9">
        <v>99560</v>
      </c>
      <c r="J158" s="9">
        <v>223561</v>
      </c>
      <c r="K158" s="9"/>
      <c r="L158" s="27">
        <v>84586</v>
      </c>
      <c r="M158" s="27">
        <v>61336</v>
      </c>
      <c r="N158" s="26"/>
      <c r="O158" s="106"/>
      <c r="P158" s="106"/>
      <c r="Q158" s="107"/>
      <c r="R158" s="107"/>
      <c r="S158" s="108"/>
      <c r="T158" s="108"/>
      <c r="U158" s="61"/>
    </row>
    <row r="159" spans="2:21">
      <c r="B159" s="292"/>
      <c r="C159" s="19">
        <v>1</v>
      </c>
      <c r="D159" s="5">
        <v>222134</v>
      </c>
      <c r="E159" s="25">
        <v>524526</v>
      </c>
      <c r="F159" s="10">
        <v>1.2934000000000001</v>
      </c>
      <c r="G159" s="10">
        <v>0.88360000000000005</v>
      </c>
      <c r="H159" s="240"/>
      <c r="I159" s="9">
        <v>99560</v>
      </c>
      <c r="J159" s="9">
        <v>223561</v>
      </c>
      <c r="K159" s="9"/>
      <c r="L159" s="27">
        <v>84586</v>
      </c>
      <c r="M159" s="27">
        <v>61336</v>
      </c>
      <c r="N159" s="26"/>
      <c r="O159" s="63"/>
      <c r="P159" s="63"/>
      <c r="Q159" s="62"/>
      <c r="R159" s="62"/>
      <c r="S159" s="64"/>
      <c r="T159" s="64"/>
      <c r="U159" s="61"/>
    </row>
    <row r="160" spans="2:21">
      <c r="B160" s="292"/>
      <c r="C160" s="19">
        <v>1.0416666666666701</v>
      </c>
      <c r="D160" s="5">
        <v>222134</v>
      </c>
      <c r="E160" s="25">
        <v>524526</v>
      </c>
      <c r="F160" s="10">
        <v>1.2934000000000001</v>
      </c>
      <c r="G160" s="10">
        <v>0.88360000000000005</v>
      </c>
      <c r="H160" s="240"/>
      <c r="I160" s="9">
        <v>99560</v>
      </c>
      <c r="J160" s="9">
        <v>223561</v>
      </c>
      <c r="K160" s="9"/>
      <c r="L160" s="27">
        <v>84586</v>
      </c>
      <c r="M160" s="27">
        <v>61336</v>
      </c>
      <c r="N160" s="26"/>
      <c r="O160" s="63"/>
      <c r="P160" s="63"/>
      <c r="Q160" s="62"/>
      <c r="R160" s="62"/>
      <c r="S160" s="64"/>
      <c r="T160" s="64"/>
      <c r="U160" s="61"/>
    </row>
    <row r="161" spans="2:21">
      <c r="B161" s="292"/>
      <c r="C161" s="19">
        <v>1.0833333333333399</v>
      </c>
      <c r="D161" s="5">
        <v>222134</v>
      </c>
      <c r="E161" s="25">
        <v>524526</v>
      </c>
      <c r="F161" s="10">
        <v>1.2934000000000001</v>
      </c>
      <c r="G161" s="10">
        <v>0.88360000000000005</v>
      </c>
      <c r="H161" s="240"/>
      <c r="I161" s="9">
        <v>99560</v>
      </c>
      <c r="J161" s="9">
        <v>223561</v>
      </c>
      <c r="K161" s="9"/>
      <c r="L161" s="27">
        <v>84586</v>
      </c>
      <c r="M161" s="27">
        <v>61336</v>
      </c>
      <c r="N161" s="26"/>
      <c r="O161" s="63"/>
      <c r="P161" s="63"/>
      <c r="Q161" s="62"/>
      <c r="R161" s="62"/>
      <c r="S161" s="64"/>
      <c r="T161" s="64"/>
      <c r="U161" s="61"/>
    </row>
    <row r="162" spans="2:21">
      <c r="B162" s="292"/>
      <c r="C162" s="19">
        <v>1.125</v>
      </c>
      <c r="D162" s="5">
        <v>222134</v>
      </c>
      <c r="E162" s="25">
        <v>524526</v>
      </c>
      <c r="F162" s="10">
        <v>1.2934000000000001</v>
      </c>
      <c r="G162" s="10">
        <v>0.88360000000000005</v>
      </c>
      <c r="H162" s="240"/>
      <c r="I162" s="9">
        <v>99560</v>
      </c>
      <c r="J162" s="9">
        <v>223561</v>
      </c>
      <c r="K162" s="9"/>
      <c r="L162" s="27">
        <v>84586</v>
      </c>
      <c r="M162" s="27">
        <v>61336</v>
      </c>
      <c r="N162" s="26"/>
      <c r="O162" s="63"/>
      <c r="P162" s="63"/>
      <c r="Q162" s="62"/>
      <c r="R162" s="62"/>
      <c r="S162" s="64"/>
      <c r="T162" s="64"/>
      <c r="U162" s="61"/>
    </row>
    <row r="163" spans="2:21">
      <c r="B163" s="292"/>
      <c r="C163" s="19">
        <v>1.1666666666666701</v>
      </c>
      <c r="D163" s="5">
        <v>222134</v>
      </c>
      <c r="E163" s="25">
        <v>524526</v>
      </c>
      <c r="F163" s="10">
        <v>1.2934000000000001</v>
      </c>
      <c r="G163" s="10">
        <v>0.88360000000000005</v>
      </c>
      <c r="H163" s="240"/>
      <c r="I163" s="9">
        <v>99560</v>
      </c>
      <c r="J163" s="9">
        <v>223561</v>
      </c>
      <c r="K163" s="9"/>
      <c r="L163" s="27">
        <v>84586</v>
      </c>
      <c r="M163" s="27">
        <v>61336</v>
      </c>
      <c r="N163" s="26"/>
      <c r="O163" s="106"/>
      <c r="P163" s="106"/>
      <c r="Q163" s="107"/>
      <c r="R163" s="107"/>
      <c r="S163" s="108"/>
      <c r="T163" s="108"/>
      <c r="U163" s="61"/>
    </row>
    <row r="164" spans="2:21">
      <c r="B164" s="292"/>
      <c r="C164" s="19">
        <v>1.2083333333333399</v>
      </c>
      <c r="D164" s="5">
        <v>222134</v>
      </c>
      <c r="E164" s="25">
        <v>524526</v>
      </c>
      <c r="F164" s="10">
        <v>1.2934000000000001</v>
      </c>
      <c r="G164" s="10">
        <v>0.88360000000000005</v>
      </c>
      <c r="H164" s="240"/>
      <c r="I164" s="9">
        <v>99560</v>
      </c>
      <c r="J164" s="9">
        <v>223561</v>
      </c>
      <c r="K164" s="9"/>
      <c r="L164" s="27">
        <v>84586</v>
      </c>
      <c r="M164" s="27">
        <v>61336</v>
      </c>
      <c r="N164" s="26"/>
      <c r="O164" s="106"/>
      <c r="P164" s="106"/>
      <c r="Q164" s="107"/>
      <c r="R164" s="107"/>
      <c r="S164" s="108"/>
      <c r="T164" s="108"/>
      <c r="U164" s="61"/>
    </row>
    <row r="165" spans="2:21">
      <c r="B165" s="292"/>
      <c r="C165" s="19">
        <v>1.25</v>
      </c>
      <c r="D165" s="5">
        <v>222134</v>
      </c>
      <c r="E165" s="25">
        <v>524526</v>
      </c>
      <c r="F165" s="10">
        <v>1.2934000000000001</v>
      </c>
      <c r="G165" s="10">
        <v>0.88360000000000005</v>
      </c>
      <c r="H165" s="240"/>
      <c r="I165" s="9">
        <v>99560</v>
      </c>
      <c r="J165" s="9">
        <v>223561</v>
      </c>
      <c r="K165" s="9"/>
      <c r="L165" s="27">
        <v>84586</v>
      </c>
      <c r="M165" s="27">
        <v>61336</v>
      </c>
      <c r="N165" s="26"/>
      <c r="O165" s="106"/>
      <c r="P165" s="106"/>
      <c r="Q165" s="107"/>
      <c r="R165" s="107"/>
      <c r="S165" s="108"/>
      <c r="T165" s="108"/>
      <c r="U165" s="61"/>
    </row>
    <row r="166" spans="2:21">
      <c r="B166" s="292"/>
      <c r="C166" s="19">
        <v>1.2916666666666701</v>
      </c>
      <c r="D166" s="5">
        <v>222134</v>
      </c>
      <c r="E166" s="25">
        <v>524526</v>
      </c>
      <c r="F166" s="10">
        <v>1.2934000000000001</v>
      </c>
      <c r="G166" s="10">
        <v>0.88360000000000005</v>
      </c>
      <c r="H166" s="240"/>
      <c r="I166" s="9">
        <v>99560</v>
      </c>
      <c r="J166" s="9">
        <v>223561</v>
      </c>
      <c r="K166" s="9"/>
      <c r="L166" s="27">
        <v>84586</v>
      </c>
      <c r="M166" s="27">
        <v>61336</v>
      </c>
      <c r="N166" s="26"/>
      <c r="O166" s="106"/>
      <c r="P166" s="106"/>
      <c r="Q166" s="107"/>
      <c r="R166" s="107"/>
      <c r="S166" s="108"/>
      <c r="T166" s="108"/>
      <c r="U166" s="61"/>
    </row>
    <row r="167" spans="2:21">
      <c r="B167" s="293"/>
      <c r="C167" s="6"/>
      <c r="D167" s="13" cm="1">
        <f t="array" ref="D167">IFERROR(LOOKUP(2,1/(D142:D166&gt;0),D142:D166-D142),0)</f>
        <v>0</v>
      </c>
      <c r="E167" s="13" cm="1">
        <f t="array" ref="E167">IFERROR(LOOKUP(2,1/(E142:E166&gt;0),E142:E166-E142),0)</f>
        <v>0</v>
      </c>
      <c r="F167" s="13" cm="1">
        <f t="array" ref="F167">IFERROR(LOOKUP(2,1/(F142:F166&gt;0),F142:F166-F142),0)</f>
        <v>0</v>
      </c>
      <c r="G167" s="13" cm="1">
        <f t="array" ref="G167">IFERROR(LOOKUP(2,1/(G142:G166&gt;0),G142:G166-G142),0)</f>
        <v>0</v>
      </c>
      <c r="H167" s="13">
        <f>F167+G167</f>
        <v>0</v>
      </c>
      <c r="I167" s="13" cm="1">
        <f t="array" ref="I167">IFERROR(LOOKUP(2,1/(I142:I166&gt;0),I142:I166-I142),0)</f>
        <v>0</v>
      </c>
      <c r="J167" s="13" cm="1">
        <f t="array" ref="J167">IFERROR(LOOKUP(2,1/(J142:J166&gt;0),J142:J166-J142),0)</f>
        <v>0</v>
      </c>
      <c r="K167" s="13">
        <f>I167+J167</f>
        <v>0</v>
      </c>
      <c r="L167" s="13" cm="1">
        <f t="array" ref="L167">IFERROR(LOOKUP(2,1/(L142:L166&gt;0),L142:L166-L142),0)</f>
        <v>0</v>
      </c>
      <c r="M167" s="13" cm="1">
        <f t="array" ref="M167">IFERROR(LOOKUP(2,1/(M142:M166&gt;0),M142:M166-M142),0)</f>
        <v>0</v>
      </c>
      <c r="N167" s="13">
        <f>L167+M167</f>
        <v>0</v>
      </c>
      <c r="O167" s="109">
        <f t="shared" ref="O167:T167" si="9">IFERROR(AVERAGE(O142:O166),0)</f>
        <v>0</v>
      </c>
      <c r="P167" s="109">
        <f t="shared" si="9"/>
        <v>0</v>
      </c>
      <c r="Q167" s="109">
        <f t="shared" si="9"/>
        <v>0</v>
      </c>
      <c r="R167" s="109">
        <f t="shared" si="9"/>
        <v>0</v>
      </c>
      <c r="S167" s="109">
        <f t="shared" si="9"/>
        <v>0</v>
      </c>
      <c r="T167" s="109">
        <f t="shared" si="9"/>
        <v>0</v>
      </c>
      <c r="U167" s="4">
        <f>COUNT(U142:U166)</f>
        <v>0</v>
      </c>
    </row>
    <row r="168" spans="2:21">
      <c r="B168" s="291">
        <f t="shared" ref="B168" si="10">B142+1</f>
        <v>46029</v>
      </c>
      <c r="C168" s="19">
        <v>0.29166666666666669</v>
      </c>
      <c r="D168" s="5">
        <v>222134</v>
      </c>
      <c r="E168" s="25">
        <v>524526</v>
      </c>
      <c r="F168" s="10">
        <v>1.2934000000000001</v>
      </c>
      <c r="G168" s="10">
        <v>0.88360000000000005</v>
      </c>
      <c r="H168" s="240"/>
      <c r="I168" s="9">
        <v>99560</v>
      </c>
      <c r="J168" s="9">
        <v>223561</v>
      </c>
      <c r="K168" s="9"/>
      <c r="L168" s="27">
        <v>84586</v>
      </c>
      <c r="M168" s="27">
        <v>61336</v>
      </c>
      <c r="N168" s="26"/>
      <c r="O168" s="106"/>
      <c r="P168" s="106"/>
      <c r="Q168" s="107"/>
      <c r="R168" s="107"/>
      <c r="S168" s="108"/>
      <c r="T168" s="108"/>
      <c r="U168" s="61"/>
    </row>
    <row r="169" spans="2:21">
      <c r="B169" s="292"/>
      <c r="C169" s="19">
        <v>0.33333333333333298</v>
      </c>
      <c r="D169" s="5">
        <v>222134</v>
      </c>
      <c r="E169" s="25">
        <v>524526</v>
      </c>
      <c r="F169" s="10">
        <v>1.2934000000000001</v>
      </c>
      <c r="G169" s="10">
        <v>0.88360000000000005</v>
      </c>
      <c r="H169" s="240"/>
      <c r="I169" s="9">
        <v>99560</v>
      </c>
      <c r="J169" s="9">
        <v>223561</v>
      </c>
      <c r="K169" s="9"/>
      <c r="L169" s="27">
        <v>84586</v>
      </c>
      <c r="M169" s="27">
        <v>61336</v>
      </c>
      <c r="N169" s="26"/>
      <c r="O169" s="106"/>
      <c r="P169" s="106"/>
      <c r="Q169" s="107"/>
      <c r="R169" s="107"/>
      <c r="S169" s="108"/>
      <c r="T169" s="108"/>
      <c r="U169" s="61"/>
    </row>
    <row r="170" spans="2:21">
      <c r="B170" s="292"/>
      <c r="C170" s="19">
        <v>0.375</v>
      </c>
      <c r="D170" s="5">
        <v>222134</v>
      </c>
      <c r="E170" s="25">
        <v>524526</v>
      </c>
      <c r="F170" s="10">
        <v>1.2934000000000001</v>
      </c>
      <c r="G170" s="10">
        <v>0.88360000000000005</v>
      </c>
      <c r="H170" s="240"/>
      <c r="I170" s="9">
        <v>99560</v>
      </c>
      <c r="J170" s="9">
        <v>223561</v>
      </c>
      <c r="K170" s="9"/>
      <c r="L170" s="27">
        <v>84586</v>
      </c>
      <c r="M170" s="27">
        <v>61336</v>
      </c>
      <c r="N170" s="26"/>
      <c r="O170" s="106"/>
      <c r="P170" s="106"/>
      <c r="Q170" s="107"/>
      <c r="R170" s="107"/>
      <c r="S170" s="108"/>
      <c r="T170" s="108"/>
      <c r="U170" s="61"/>
    </row>
    <row r="171" spans="2:21">
      <c r="B171" s="292"/>
      <c r="C171" s="19">
        <v>0.41666666666666702</v>
      </c>
      <c r="D171" s="5">
        <v>222134</v>
      </c>
      <c r="E171" s="25">
        <v>524526</v>
      </c>
      <c r="F171" s="10">
        <v>1.2934000000000001</v>
      </c>
      <c r="G171" s="10">
        <v>0.88360000000000005</v>
      </c>
      <c r="H171" s="240"/>
      <c r="I171" s="9">
        <v>99560</v>
      </c>
      <c r="J171" s="9">
        <v>223561</v>
      </c>
      <c r="K171" s="9"/>
      <c r="L171" s="27">
        <v>84586</v>
      </c>
      <c r="M171" s="27">
        <v>61336</v>
      </c>
      <c r="N171" s="26"/>
      <c r="O171" s="106"/>
      <c r="P171" s="106"/>
      <c r="Q171" s="107"/>
      <c r="R171" s="107"/>
      <c r="S171" s="108"/>
      <c r="T171" s="108"/>
      <c r="U171" s="61"/>
    </row>
    <row r="172" spans="2:21">
      <c r="B172" s="292"/>
      <c r="C172" s="19">
        <v>0.45833333333333298</v>
      </c>
      <c r="D172" s="5">
        <v>222134</v>
      </c>
      <c r="E172" s="25">
        <v>524526</v>
      </c>
      <c r="F172" s="10">
        <v>1.2934000000000001</v>
      </c>
      <c r="G172" s="10">
        <v>0.88360000000000005</v>
      </c>
      <c r="H172" s="240"/>
      <c r="I172" s="9">
        <v>99560</v>
      </c>
      <c r="J172" s="9">
        <v>223561</v>
      </c>
      <c r="K172" s="9"/>
      <c r="L172" s="27">
        <v>84586</v>
      </c>
      <c r="M172" s="27">
        <v>61336</v>
      </c>
      <c r="N172" s="26"/>
      <c r="O172" s="106"/>
      <c r="P172" s="106"/>
      <c r="Q172" s="107"/>
      <c r="R172" s="107"/>
      <c r="S172" s="108"/>
      <c r="T172" s="108"/>
      <c r="U172" s="61"/>
    </row>
    <row r="173" spans="2:21">
      <c r="B173" s="292"/>
      <c r="C173" s="19">
        <v>0.5</v>
      </c>
      <c r="D173" s="5">
        <v>222134</v>
      </c>
      <c r="E173" s="25">
        <v>524526</v>
      </c>
      <c r="F173" s="10">
        <v>1.2934000000000001</v>
      </c>
      <c r="G173" s="10">
        <v>0.88360000000000005</v>
      </c>
      <c r="H173" s="240"/>
      <c r="I173" s="9">
        <v>99560</v>
      </c>
      <c r="J173" s="9">
        <v>223561</v>
      </c>
      <c r="K173" s="9"/>
      <c r="L173" s="27">
        <v>84586</v>
      </c>
      <c r="M173" s="27">
        <v>61336</v>
      </c>
      <c r="N173" s="26"/>
      <c r="O173" s="106"/>
      <c r="P173" s="106"/>
      <c r="Q173" s="107"/>
      <c r="R173" s="107"/>
      <c r="S173" s="108"/>
      <c r="T173" s="108"/>
      <c r="U173" s="61"/>
    </row>
    <row r="174" spans="2:21">
      <c r="B174" s="292"/>
      <c r="C174" s="19">
        <v>0.54166666666666696</v>
      </c>
      <c r="D174" s="5">
        <v>222134</v>
      </c>
      <c r="E174" s="25">
        <v>524526</v>
      </c>
      <c r="F174" s="10">
        <v>1.2934000000000001</v>
      </c>
      <c r="G174" s="10">
        <v>0.88360000000000005</v>
      </c>
      <c r="H174" s="240"/>
      <c r="I174" s="9">
        <v>99560</v>
      </c>
      <c r="J174" s="9">
        <v>223561</v>
      </c>
      <c r="K174" s="9"/>
      <c r="L174" s="27">
        <v>84586</v>
      </c>
      <c r="M174" s="27">
        <v>61336</v>
      </c>
      <c r="N174" s="26"/>
      <c r="O174" s="106"/>
      <c r="P174" s="106"/>
      <c r="Q174" s="107"/>
      <c r="R174" s="107"/>
      <c r="S174" s="108"/>
      <c r="T174" s="108"/>
      <c r="U174" s="61"/>
    </row>
    <row r="175" spans="2:21">
      <c r="B175" s="292"/>
      <c r="C175" s="19">
        <v>0.58333333333333304</v>
      </c>
      <c r="D175" s="5">
        <v>222134</v>
      </c>
      <c r="E175" s="25">
        <v>524526</v>
      </c>
      <c r="F175" s="10">
        <v>1.2934000000000001</v>
      </c>
      <c r="G175" s="10">
        <v>0.88360000000000005</v>
      </c>
      <c r="H175" s="240"/>
      <c r="I175" s="9">
        <v>99560</v>
      </c>
      <c r="J175" s="9">
        <v>223561</v>
      </c>
      <c r="K175" s="9"/>
      <c r="L175" s="27">
        <v>84586</v>
      </c>
      <c r="M175" s="27">
        <v>61336</v>
      </c>
      <c r="N175" s="26"/>
      <c r="O175" s="106"/>
      <c r="P175" s="106"/>
      <c r="Q175" s="107"/>
      <c r="R175" s="107"/>
      <c r="S175" s="108"/>
      <c r="T175" s="108"/>
      <c r="U175" s="65"/>
    </row>
    <row r="176" spans="2:21">
      <c r="B176" s="292"/>
      <c r="C176" s="19">
        <v>0.625</v>
      </c>
      <c r="D176" s="5">
        <v>222134</v>
      </c>
      <c r="E176" s="25">
        <v>524526</v>
      </c>
      <c r="F176" s="10">
        <v>1.2934000000000001</v>
      </c>
      <c r="G176" s="10">
        <v>0.88360000000000005</v>
      </c>
      <c r="H176" s="240"/>
      <c r="I176" s="9">
        <v>99560</v>
      </c>
      <c r="J176" s="9">
        <v>223561</v>
      </c>
      <c r="K176" s="9"/>
      <c r="L176" s="27">
        <v>84586</v>
      </c>
      <c r="M176" s="27">
        <v>61336</v>
      </c>
      <c r="N176" s="26"/>
      <c r="O176" s="106"/>
      <c r="P176" s="106"/>
      <c r="Q176" s="107"/>
      <c r="R176" s="107"/>
      <c r="S176" s="108"/>
      <c r="T176" s="108"/>
      <c r="U176" s="61"/>
    </row>
    <row r="177" spans="2:21">
      <c r="B177" s="292"/>
      <c r="C177" s="19">
        <v>0.66666666666666596</v>
      </c>
      <c r="D177" s="5">
        <v>222134</v>
      </c>
      <c r="E177" s="25">
        <v>524526</v>
      </c>
      <c r="F177" s="10">
        <v>1.2934000000000001</v>
      </c>
      <c r="G177" s="10">
        <v>0.88360000000000005</v>
      </c>
      <c r="H177" s="240"/>
      <c r="I177" s="9">
        <v>99560</v>
      </c>
      <c r="J177" s="9">
        <v>223561</v>
      </c>
      <c r="K177" s="9"/>
      <c r="L177" s="27">
        <v>84586</v>
      </c>
      <c r="M177" s="27">
        <v>61336</v>
      </c>
      <c r="N177" s="26"/>
      <c r="O177" s="106"/>
      <c r="P177" s="106"/>
      <c r="Q177" s="107"/>
      <c r="R177" s="107"/>
      <c r="S177" s="108"/>
      <c r="T177" s="108"/>
      <c r="U177" s="61"/>
    </row>
    <row r="178" spans="2:21">
      <c r="B178" s="292"/>
      <c r="C178" s="19">
        <v>0.70833333333333304</v>
      </c>
      <c r="D178" s="5">
        <v>222134</v>
      </c>
      <c r="E178" s="25">
        <v>524526</v>
      </c>
      <c r="F178" s="10">
        <v>1.2934000000000001</v>
      </c>
      <c r="G178" s="10">
        <v>0.88360000000000005</v>
      </c>
      <c r="H178" s="240"/>
      <c r="I178" s="9">
        <v>99560</v>
      </c>
      <c r="J178" s="9">
        <v>223561</v>
      </c>
      <c r="K178" s="9"/>
      <c r="L178" s="27">
        <v>84586</v>
      </c>
      <c r="M178" s="27">
        <v>61336</v>
      </c>
      <c r="N178" s="26"/>
      <c r="O178" s="106"/>
      <c r="P178" s="106"/>
      <c r="Q178" s="107"/>
      <c r="R178" s="107"/>
      <c r="S178" s="108"/>
      <c r="T178" s="108"/>
      <c r="U178" s="61"/>
    </row>
    <row r="179" spans="2:21">
      <c r="B179" s="292"/>
      <c r="C179" s="19">
        <v>0.75</v>
      </c>
      <c r="D179" s="5">
        <v>222134</v>
      </c>
      <c r="E179" s="25">
        <v>524526</v>
      </c>
      <c r="F179" s="10">
        <v>1.2934000000000001</v>
      </c>
      <c r="G179" s="10">
        <v>0.88360000000000005</v>
      </c>
      <c r="H179" s="240"/>
      <c r="I179" s="9">
        <v>99560</v>
      </c>
      <c r="J179" s="9">
        <v>223561</v>
      </c>
      <c r="K179" s="9"/>
      <c r="L179" s="27">
        <v>84586</v>
      </c>
      <c r="M179" s="27">
        <v>61336</v>
      </c>
      <c r="N179" s="26"/>
      <c r="O179" s="106"/>
      <c r="P179" s="106"/>
      <c r="Q179" s="107"/>
      <c r="R179" s="107"/>
      <c r="S179" s="108"/>
      <c r="T179" s="108"/>
      <c r="U179" s="61"/>
    </row>
    <row r="180" spans="2:21">
      <c r="B180" s="292"/>
      <c r="C180" s="19">
        <v>0.79166666666666596</v>
      </c>
      <c r="D180" s="5">
        <v>222134</v>
      </c>
      <c r="E180" s="25">
        <v>524526</v>
      </c>
      <c r="F180" s="10">
        <v>1.2934000000000001</v>
      </c>
      <c r="G180" s="10">
        <v>0.88360000000000005</v>
      </c>
      <c r="H180" s="240"/>
      <c r="I180" s="9">
        <v>99560</v>
      </c>
      <c r="J180" s="9">
        <v>223561</v>
      </c>
      <c r="K180" s="9"/>
      <c r="L180" s="27">
        <v>84586</v>
      </c>
      <c r="M180" s="27">
        <v>61336</v>
      </c>
      <c r="N180" s="26"/>
      <c r="O180" s="106"/>
      <c r="P180" s="106"/>
      <c r="Q180" s="107"/>
      <c r="R180" s="107"/>
      <c r="S180" s="108"/>
      <c r="T180" s="108"/>
      <c r="U180" s="61"/>
    </row>
    <row r="181" spans="2:21">
      <c r="B181" s="292"/>
      <c r="C181" s="19">
        <v>0.83333333333333304</v>
      </c>
      <c r="D181" s="5">
        <v>222134</v>
      </c>
      <c r="E181" s="25">
        <v>524526</v>
      </c>
      <c r="F181" s="10">
        <v>1.2934000000000001</v>
      </c>
      <c r="G181" s="10">
        <v>0.88360000000000005</v>
      </c>
      <c r="H181" s="240"/>
      <c r="I181" s="9">
        <v>99560</v>
      </c>
      <c r="J181" s="9">
        <v>223561</v>
      </c>
      <c r="K181" s="9"/>
      <c r="L181" s="27">
        <v>84586</v>
      </c>
      <c r="M181" s="27">
        <v>61336</v>
      </c>
      <c r="N181" s="26"/>
      <c r="O181" s="106"/>
      <c r="P181" s="106"/>
      <c r="Q181" s="107"/>
      <c r="R181" s="107"/>
      <c r="S181" s="108"/>
      <c r="T181" s="108"/>
      <c r="U181" s="61"/>
    </row>
    <row r="182" spans="2:21">
      <c r="B182" s="292"/>
      <c r="C182" s="19">
        <v>0.875</v>
      </c>
      <c r="D182" s="5">
        <v>222134</v>
      </c>
      <c r="E182" s="25">
        <v>524526</v>
      </c>
      <c r="F182" s="10">
        <v>1.2934000000000001</v>
      </c>
      <c r="G182" s="10">
        <v>0.88360000000000005</v>
      </c>
      <c r="H182" s="240"/>
      <c r="I182" s="9">
        <v>99560</v>
      </c>
      <c r="J182" s="9">
        <v>223561</v>
      </c>
      <c r="K182" s="9"/>
      <c r="L182" s="27">
        <v>84586</v>
      </c>
      <c r="M182" s="27">
        <v>61336</v>
      </c>
      <c r="N182" s="26"/>
      <c r="O182" s="106"/>
      <c r="P182" s="106"/>
      <c r="Q182" s="107"/>
      <c r="R182" s="107"/>
      <c r="S182" s="108"/>
      <c r="T182" s="108"/>
      <c r="U182" s="61"/>
    </row>
    <row r="183" spans="2:21">
      <c r="B183" s="292"/>
      <c r="C183" s="19">
        <v>0.91666666666666596</v>
      </c>
      <c r="D183" s="5">
        <v>222134</v>
      </c>
      <c r="E183" s="25">
        <v>524526</v>
      </c>
      <c r="F183" s="10">
        <v>1.2934000000000001</v>
      </c>
      <c r="G183" s="10">
        <v>0.88360000000000005</v>
      </c>
      <c r="H183" s="240"/>
      <c r="I183" s="9">
        <v>99560</v>
      </c>
      <c r="J183" s="9">
        <v>223561</v>
      </c>
      <c r="K183" s="9"/>
      <c r="L183" s="27">
        <v>84586</v>
      </c>
      <c r="M183" s="27">
        <v>61336</v>
      </c>
      <c r="N183" s="26"/>
      <c r="O183" s="106"/>
      <c r="P183" s="106"/>
      <c r="Q183" s="107"/>
      <c r="R183" s="107"/>
      <c r="S183" s="108"/>
      <c r="T183" s="108"/>
      <c r="U183" s="61"/>
    </row>
    <row r="184" spans="2:21">
      <c r="B184" s="292"/>
      <c r="C184" s="19">
        <v>0.95833333333333304</v>
      </c>
      <c r="D184" s="5">
        <v>222134</v>
      </c>
      <c r="E184" s="25">
        <v>524526</v>
      </c>
      <c r="F184" s="10">
        <v>1.2934000000000001</v>
      </c>
      <c r="G184" s="10">
        <v>0.88360000000000005</v>
      </c>
      <c r="H184" s="240"/>
      <c r="I184" s="9">
        <v>99560</v>
      </c>
      <c r="J184" s="9">
        <v>223561</v>
      </c>
      <c r="K184" s="9"/>
      <c r="L184" s="27">
        <v>84586</v>
      </c>
      <c r="M184" s="27">
        <v>61336</v>
      </c>
      <c r="N184" s="26"/>
      <c r="O184" s="106"/>
      <c r="P184" s="106"/>
      <c r="Q184" s="107"/>
      <c r="R184" s="107"/>
      <c r="S184" s="108"/>
      <c r="T184" s="108"/>
      <c r="U184" s="61"/>
    </row>
    <row r="185" spans="2:21">
      <c r="B185" s="292"/>
      <c r="C185" s="19">
        <v>1</v>
      </c>
      <c r="D185" s="5">
        <v>222134</v>
      </c>
      <c r="E185" s="25">
        <v>524526</v>
      </c>
      <c r="F185" s="10">
        <v>1.2934000000000001</v>
      </c>
      <c r="G185" s="10">
        <v>0.88360000000000005</v>
      </c>
      <c r="H185" s="240"/>
      <c r="I185" s="9">
        <v>99560</v>
      </c>
      <c r="J185" s="9">
        <v>223561</v>
      </c>
      <c r="K185" s="9"/>
      <c r="L185" s="27">
        <v>84586</v>
      </c>
      <c r="M185" s="27">
        <v>61336</v>
      </c>
      <c r="N185" s="26"/>
      <c r="O185" s="63"/>
      <c r="P185" s="63"/>
      <c r="Q185" s="62"/>
      <c r="R185" s="62"/>
      <c r="S185" s="64"/>
      <c r="T185" s="64"/>
      <c r="U185" s="61"/>
    </row>
    <row r="186" spans="2:21">
      <c r="B186" s="292"/>
      <c r="C186" s="19">
        <v>1.0416666666666701</v>
      </c>
      <c r="D186" s="5">
        <v>222134</v>
      </c>
      <c r="E186" s="25">
        <v>524526</v>
      </c>
      <c r="F186" s="10">
        <v>1.2934000000000001</v>
      </c>
      <c r="G186" s="10">
        <v>0.88360000000000005</v>
      </c>
      <c r="H186" s="240"/>
      <c r="I186" s="9">
        <v>99560</v>
      </c>
      <c r="J186" s="9">
        <v>223561</v>
      </c>
      <c r="K186" s="9"/>
      <c r="L186" s="27">
        <v>84586</v>
      </c>
      <c r="M186" s="27">
        <v>61336</v>
      </c>
      <c r="N186" s="26"/>
      <c r="O186" s="63"/>
      <c r="P186" s="63"/>
      <c r="Q186" s="62"/>
      <c r="R186" s="62"/>
      <c r="S186" s="64"/>
      <c r="T186" s="64"/>
      <c r="U186" s="61"/>
    </row>
    <row r="187" spans="2:21">
      <c r="B187" s="292"/>
      <c r="C187" s="19">
        <v>1.0833333333333399</v>
      </c>
      <c r="D187" s="5">
        <v>222134</v>
      </c>
      <c r="E187" s="25">
        <v>524526</v>
      </c>
      <c r="F187" s="10">
        <v>1.2934000000000001</v>
      </c>
      <c r="G187" s="10">
        <v>0.88360000000000005</v>
      </c>
      <c r="H187" s="240"/>
      <c r="I187" s="9">
        <v>99560</v>
      </c>
      <c r="J187" s="9">
        <v>223561</v>
      </c>
      <c r="K187" s="9"/>
      <c r="L187" s="27">
        <v>84586</v>
      </c>
      <c r="M187" s="27">
        <v>61336</v>
      </c>
      <c r="N187" s="26"/>
      <c r="O187" s="63"/>
      <c r="P187" s="63"/>
      <c r="Q187" s="62"/>
      <c r="R187" s="62"/>
      <c r="S187" s="64"/>
      <c r="T187" s="64"/>
      <c r="U187" s="61"/>
    </row>
    <row r="188" spans="2:21">
      <c r="B188" s="292"/>
      <c r="C188" s="19">
        <v>1.125</v>
      </c>
      <c r="D188" s="5">
        <v>222134</v>
      </c>
      <c r="E188" s="25">
        <v>524526</v>
      </c>
      <c r="F188" s="10">
        <v>1.2934000000000001</v>
      </c>
      <c r="G188" s="10">
        <v>0.88360000000000005</v>
      </c>
      <c r="H188" s="240"/>
      <c r="I188" s="9">
        <v>99560</v>
      </c>
      <c r="J188" s="9">
        <v>223561</v>
      </c>
      <c r="K188" s="9"/>
      <c r="L188" s="27">
        <v>84586</v>
      </c>
      <c r="M188" s="27">
        <v>61336</v>
      </c>
      <c r="N188" s="26"/>
      <c r="O188" s="63"/>
      <c r="P188" s="63"/>
      <c r="Q188" s="62"/>
      <c r="R188" s="62"/>
      <c r="S188" s="64"/>
      <c r="T188" s="64"/>
      <c r="U188" s="61"/>
    </row>
    <row r="189" spans="2:21">
      <c r="B189" s="292"/>
      <c r="C189" s="19">
        <v>1.1666666666666701</v>
      </c>
      <c r="D189" s="5">
        <v>222134</v>
      </c>
      <c r="E189" s="25">
        <v>524526</v>
      </c>
      <c r="F189" s="10">
        <v>1.2934000000000001</v>
      </c>
      <c r="G189" s="10">
        <v>0.88360000000000005</v>
      </c>
      <c r="H189" s="240"/>
      <c r="I189" s="9">
        <v>99560</v>
      </c>
      <c r="J189" s="9">
        <v>223561</v>
      </c>
      <c r="K189" s="9"/>
      <c r="L189" s="27">
        <v>84586</v>
      </c>
      <c r="M189" s="27">
        <v>61336</v>
      </c>
      <c r="N189" s="26"/>
      <c r="O189" s="106"/>
      <c r="P189" s="106"/>
      <c r="Q189" s="107"/>
      <c r="R189" s="107"/>
      <c r="S189" s="108"/>
      <c r="T189" s="108"/>
      <c r="U189" s="61"/>
    </row>
    <row r="190" spans="2:21">
      <c r="B190" s="292"/>
      <c r="C190" s="19">
        <v>1.2083333333333399</v>
      </c>
      <c r="D190" s="5">
        <v>222134</v>
      </c>
      <c r="E190" s="25">
        <v>524526</v>
      </c>
      <c r="F190" s="10">
        <v>1.2934000000000001</v>
      </c>
      <c r="G190" s="10">
        <v>0.88360000000000005</v>
      </c>
      <c r="H190" s="240"/>
      <c r="I190" s="9">
        <v>99560</v>
      </c>
      <c r="J190" s="9">
        <v>223561</v>
      </c>
      <c r="K190" s="9"/>
      <c r="L190" s="27">
        <v>84586</v>
      </c>
      <c r="M190" s="27">
        <v>61336</v>
      </c>
      <c r="N190" s="26"/>
      <c r="O190" s="106"/>
      <c r="P190" s="106"/>
      <c r="Q190" s="107"/>
      <c r="R190" s="107"/>
      <c r="S190" s="108"/>
      <c r="T190" s="108"/>
      <c r="U190" s="61"/>
    </row>
    <row r="191" spans="2:21">
      <c r="B191" s="292"/>
      <c r="C191" s="19">
        <v>1.25</v>
      </c>
      <c r="D191" s="5">
        <v>222134</v>
      </c>
      <c r="E191" s="25">
        <v>524526</v>
      </c>
      <c r="F191" s="10">
        <v>1.2934000000000001</v>
      </c>
      <c r="G191" s="10">
        <v>0.88360000000000005</v>
      </c>
      <c r="H191" s="240"/>
      <c r="I191" s="9">
        <v>99560</v>
      </c>
      <c r="J191" s="9">
        <v>223561</v>
      </c>
      <c r="K191" s="9"/>
      <c r="L191" s="27">
        <v>84586</v>
      </c>
      <c r="M191" s="27">
        <v>61336</v>
      </c>
      <c r="N191" s="26"/>
      <c r="O191" s="106"/>
      <c r="P191" s="106"/>
      <c r="Q191" s="107"/>
      <c r="R191" s="107"/>
      <c r="S191" s="108"/>
      <c r="T191" s="108"/>
      <c r="U191" s="61"/>
    </row>
    <row r="192" spans="2:21">
      <c r="B192" s="292"/>
      <c r="C192" s="19">
        <v>1.2916666666666701</v>
      </c>
      <c r="D192" s="5">
        <v>222134</v>
      </c>
      <c r="E192" s="25">
        <v>524526</v>
      </c>
      <c r="F192" s="10">
        <v>1.2934000000000001</v>
      </c>
      <c r="G192" s="10">
        <v>0.88360000000000005</v>
      </c>
      <c r="H192" s="240"/>
      <c r="I192" s="9">
        <v>99560</v>
      </c>
      <c r="J192" s="9">
        <v>223561</v>
      </c>
      <c r="K192" s="9"/>
      <c r="L192" s="27">
        <v>84586</v>
      </c>
      <c r="M192" s="27">
        <v>61336</v>
      </c>
      <c r="N192" s="26"/>
      <c r="O192" s="106"/>
      <c r="P192" s="106"/>
      <c r="Q192" s="107"/>
      <c r="R192" s="107"/>
      <c r="S192" s="108"/>
      <c r="T192" s="108"/>
      <c r="U192" s="61"/>
    </row>
    <row r="193" spans="2:21">
      <c r="B193" s="293"/>
      <c r="C193" s="6"/>
      <c r="D193" s="13" cm="1">
        <f t="array" ref="D193">IFERROR(LOOKUP(2,1/(D168:D192&gt;0),D168:D192-D168),0)</f>
        <v>0</v>
      </c>
      <c r="E193" s="13" cm="1">
        <f t="array" ref="E193">IFERROR(LOOKUP(2,1/(E168:E192&gt;0),E168:E192-E168),0)</f>
        <v>0</v>
      </c>
      <c r="F193" s="13" cm="1">
        <f t="array" ref="F193">IFERROR(LOOKUP(2,1/(F168:F192&gt;0),F168:F192-F168),0)</f>
        <v>0</v>
      </c>
      <c r="G193" s="13" cm="1">
        <f t="array" ref="G193">IFERROR(LOOKUP(2,1/(G168:G192&gt;0),G168:G192-G168),0)</f>
        <v>0</v>
      </c>
      <c r="H193" s="13">
        <f>F193+G193</f>
        <v>0</v>
      </c>
      <c r="I193" s="13" cm="1">
        <f t="array" ref="I193">IFERROR(LOOKUP(2,1/(I168:I192&gt;0),I168:I192-I168),0)</f>
        <v>0</v>
      </c>
      <c r="J193" s="13" cm="1">
        <f t="array" ref="J193">IFERROR(LOOKUP(2,1/(J168:J192&gt;0),J168:J192-J168),0)</f>
        <v>0</v>
      </c>
      <c r="K193" s="13">
        <f>I193+J193</f>
        <v>0</v>
      </c>
      <c r="L193" s="13" cm="1">
        <f t="array" ref="L193">IFERROR(LOOKUP(2,1/(L168:L192&gt;0),L168:L192-L168),0)</f>
        <v>0</v>
      </c>
      <c r="M193" s="13" cm="1">
        <f t="array" ref="M193">IFERROR(LOOKUP(2,1/(M168:M192&gt;0),M168:M192-M168),0)</f>
        <v>0</v>
      </c>
      <c r="N193" s="13">
        <f>L193+M193</f>
        <v>0</v>
      </c>
      <c r="O193" s="109">
        <f t="shared" ref="O193:T193" si="11">IFERROR(AVERAGE(O168:O192),0)</f>
        <v>0</v>
      </c>
      <c r="P193" s="109">
        <f t="shared" si="11"/>
        <v>0</v>
      </c>
      <c r="Q193" s="109">
        <f t="shared" si="11"/>
        <v>0</v>
      </c>
      <c r="R193" s="109">
        <f t="shared" si="11"/>
        <v>0</v>
      </c>
      <c r="S193" s="109">
        <f t="shared" si="11"/>
        <v>0</v>
      </c>
      <c r="T193" s="109">
        <f t="shared" si="11"/>
        <v>0</v>
      </c>
      <c r="U193" s="4">
        <f>COUNT(U168:U192)</f>
        <v>0</v>
      </c>
    </row>
    <row r="194" spans="2:21">
      <c r="B194" s="291">
        <f t="shared" ref="B194" si="12">B168+1</f>
        <v>46030</v>
      </c>
      <c r="C194" s="19">
        <v>0.29166666666666669</v>
      </c>
      <c r="D194" s="5">
        <v>222134</v>
      </c>
      <c r="E194" s="25">
        <v>524526</v>
      </c>
      <c r="F194" s="10">
        <v>1.2934000000000001</v>
      </c>
      <c r="G194" s="10">
        <v>0.88360000000000005</v>
      </c>
      <c r="H194" s="240"/>
      <c r="I194" s="9">
        <v>99560</v>
      </c>
      <c r="J194" s="9">
        <v>223561</v>
      </c>
      <c r="K194" s="9"/>
      <c r="L194" s="27">
        <v>84586</v>
      </c>
      <c r="M194" s="27">
        <v>61336</v>
      </c>
      <c r="N194" s="26"/>
      <c r="O194" s="106"/>
      <c r="P194" s="106"/>
      <c r="Q194" s="107"/>
      <c r="R194" s="107"/>
      <c r="S194" s="108"/>
      <c r="T194" s="108"/>
      <c r="U194" s="61"/>
    </row>
    <row r="195" spans="2:21">
      <c r="B195" s="292"/>
      <c r="C195" s="19">
        <v>0.33333333333333298</v>
      </c>
      <c r="D195" s="5">
        <v>222134</v>
      </c>
      <c r="E195" s="25">
        <v>524526</v>
      </c>
      <c r="F195" s="10">
        <v>1.2934000000000001</v>
      </c>
      <c r="G195" s="10">
        <v>0.88360000000000005</v>
      </c>
      <c r="H195" s="240"/>
      <c r="I195" s="9">
        <v>99560</v>
      </c>
      <c r="J195" s="9">
        <v>223561</v>
      </c>
      <c r="K195" s="9"/>
      <c r="L195" s="27">
        <v>84586</v>
      </c>
      <c r="M195" s="27">
        <v>61336</v>
      </c>
      <c r="N195" s="26"/>
      <c r="O195" s="106"/>
      <c r="P195" s="106"/>
      <c r="Q195" s="107"/>
      <c r="R195" s="107"/>
      <c r="S195" s="108"/>
      <c r="T195" s="108"/>
      <c r="U195" s="61"/>
    </row>
    <row r="196" spans="2:21">
      <c r="B196" s="292"/>
      <c r="C196" s="19">
        <v>0.375</v>
      </c>
      <c r="D196" s="5">
        <v>222134</v>
      </c>
      <c r="E196" s="25">
        <v>524526</v>
      </c>
      <c r="F196" s="10">
        <v>1.2934000000000001</v>
      </c>
      <c r="G196" s="10">
        <v>0.88360000000000005</v>
      </c>
      <c r="H196" s="240"/>
      <c r="I196" s="9">
        <v>99560</v>
      </c>
      <c r="J196" s="9">
        <v>223561</v>
      </c>
      <c r="K196" s="9"/>
      <c r="L196" s="27">
        <v>84586</v>
      </c>
      <c r="M196" s="27">
        <v>61336</v>
      </c>
      <c r="N196" s="26"/>
      <c r="O196" s="106"/>
      <c r="P196" s="106"/>
      <c r="Q196" s="107"/>
      <c r="R196" s="107"/>
      <c r="S196" s="108"/>
      <c r="T196" s="108"/>
      <c r="U196" s="61"/>
    </row>
    <row r="197" spans="2:21">
      <c r="B197" s="292"/>
      <c r="C197" s="19">
        <v>0.41666666666666702</v>
      </c>
      <c r="D197" s="5">
        <v>222134</v>
      </c>
      <c r="E197" s="25">
        <v>524526</v>
      </c>
      <c r="F197" s="10">
        <v>1.2934000000000001</v>
      </c>
      <c r="G197" s="10">
        <v>0.88360000000000005</v>
      </c>
      <c r="H197" s="240"/>
      <c r="I197" s="9">
        <v>99560</v>
      </c>
      <c r="J197" s="9">
        <v>223561</v>
      </c>
      <c r="K197" s="9"/>
      <c r="L197" s="27">
        <v>84586</v>
      </c>
      <c r="M197" s="27">
        <v>61336</v>
      </c>
      <c r="N197" s="26"/>
      <c r="O197" s="106"/>
      <c r="P197" s="106"/>
      <c r="Q197" s="107"/>
      <c r="R197" s="107"/>
      <c r="S197" s="108"/>
      <c r="T197" s="108"/>
      <c r="U197" s="61"/>
    </row>
    <row r="198" spans="2:21">
      <c r="B198" s="292"/>
      <c r="C198" s="19">
        <v>0.45833333333333298</v>
      </c>
      <c r="D198" s="5">
        <v>222134</v>
      </c>
      <c r="E198" s="25">
        <v>524526</v>
      </c>
      <c r="F198" s="10">
        <v>1.2934000000000001</v>
      </c>
      <c r="G198" s="10">
        <v>0.88360000000000005</v>
      </c>
      <c r="H198" s="240"/>
      <c r="I198" s="9">
        <v>99560</v>
      </c>
      <c r="J198" s="9">
        <v>223561</v>
      </c>
      <c r="K198" s="9"/>
      <c r="L198" s="27">
        <v>84586</v>
      </c>
      <c r="M198" s="27">
        <v>61336</v>
      </c>
      <c r="N198" s="26"/>
      <c r="O198" s="106"/>
      <c r="P198" s="106"/>
      <c r="Q198" s="107"/>
      <c r="R198" s="107"/>
      <c r="S198" s="108"/>
      <c r="T198" s="108"/>
      <c r="U198" s="61"/>
    </row>
    <row r="199" spans="2:21">
      <c r="B199" s="292"/>
      <c r="C199" s="19">
        <v>0.5</v>
      </c>
      <c r="D199" s="5">
        <v>222134</v>
      </c>
      <c r="E199" s="25">
        <v>524526</v>
      </c>
      <c r="F199" s="10">
        <v>1.2934000000000001</v>
      </c>
      <c r="G199" s="10">
        <v>0.88360000000000005</v>
      </c>
      <c r="H199" s="240"/>
      <c r="I199" s="9">
        <v>99560</v>
      </c>
      <c r="J199" s="9">
        <v>223561</v>
      </c>
      <c r="K199" s="9"/>
      <c r="L199" s="27">
        <v>84586</v>
      </c>
      <c r="M199" s="27">
        <v>61336</v>
      </c>
      <c r="N199" s="26"/>
      <c r="O199" s="106"/>
      <c r="P199" s="106"/>
      <c r="Q199" s="107"/>
      <c r="R199" s="107"/>
      <c r="S199" s="108"/>
      <c r="T199" s="108"/>
      <c r="U199" s="61"/>
    </row>
    <row r="200" spans="2:21">
      <c r="B200" s="292"/>
      <c r="C200" s="19">
        <v>0.54166666666666696</v>
      </c>
      <c r="D200" s="5">
        <v>222134</v>
      </c>
      <c r="E200" s="25">
        <v>524526</v>
      </c>
      <c r="F200" s="10">
        <v>1.2934000000000001</v>
      </c>
      <c r="G200" s="10">
        <v>0.88360000000000005</v>
      </c>
      <c r="H200" s="240"/>
      <c r="I200" s="9">
        <v>99560</v>
      </c>
      <c r="J200" s="9">
        <v>223561</v>
      </c>
      <c r="K200" s="9"/>
      <c r="L200" s="27">
        <v>84586</v>
      </c>
      <c r="M200" s="27">
        <v>61336</v>
      </c>
      <c r="N200" s="26"/>
      <c r="O200" s="106"/>
      <c r="P200" s="106"/>
      <c r="Q200" s="107"/>
      <c r="R200" s="107"/>
      <c r="S200" s="108"/>
      <c r="T200" s="108"/>
      <c r="U200" s="61"/>
    </row>
    <row r="201" spans="2:21">
      <c r="B201" s="292"/>
      <c r="C201" s="19">
        <v>0.58333333333333304</v>
      </c>
      <c r="D201" s="5">
        <v>222134</v>
      </c>
      <c r="E201" s="25">
        <v>524526</v>
      </c>
      <c r="F201" s="10">
        <v>1.2934000000000001</v>
      </c>
      <c r="G201" s="10">
        <v>0.88360000000000005</v>
      </c>
      <c r="H201" s="240"/>
      <c r="I201" s="9">
        <v>99560</v>
      </c>
      <c r="J201" s="9">
        <v>223561</v>
      </c>
      <c r="K201" s="9"/>
      <c r="L201" s="27">
        <v>84586</v>
      </c>
      <c r="M201" s="27">
        <v>61336</v>
      </c>
      <c r="N201" s="26"/>
      <c r="O201" s="106"/>
      <c r="P201" s="106"/>
      <c r="Q201" s="107"/>
      <c r="R201" s="107"/>
      <c r="S201" s="108"/>
      <c r="T201" s="108"/>
      <c r="U201" s="65"/>
    </row>
    <row r="202" spans="2:21">
      <c r="B202" s="292"/>
      <c r="C202" s="19">
        <v>0.625</v>
      </c>
      <c r="D202" s="5">
        <v>222134</v>
      </c>
      <c r="E202" s="25">
        <v>524526</v>
      </c>
      <c r="F202" s="10">
        <v>1.2934000000000001</v>
      </c>
      <c r="G202" s="10">
        <v>0.88360000000000005</v>
      </c>
      <c r="H202" s="240"/>
      <c r="I202" s="9">
        <v>99560</v>
      </c>
      <c r="J202" s="9">
        <v>223561</v>
      </c>
      <c r="K202" s="9"/>
      <c r="L202" s="27">
        <v>84586</v>
      </c>
      <c r="M202" s="27">
        <v>61336</v>
      </c>
      <c r="N202" s="26"/>
      <c r="O202" s="106"/>
      <c r="P202" s="106"/>
      <c r="Q202" s="107"/>
      <c r="R202" s="107"/>
      <c r="S202" s="108"/>
      <c r="T202" s="108"/>
      <c r="U202" s="61"/>
    </row>
    <row r="203" spans="2:21">
      <c r="B203" s="292"/>
      <c r="C203" s="19">
        <v>0.66666666666666596</v>
      </c>
      <c r="D203" s="5">
        <v>222134</v>
      </c>
      <c r="E203" s="25">
        <v>524526</v>
      </c>
      <c r="F203" s="10">
        <v>1.2934000000000001</v>
      </c>
      <c r="G203" s="10">
        <v>0.88360000000000005</v>
      </c>
      <c r="H203" s="240"/>
      <c r="I203" s="9">
        <v>99560</v>
      </c>
      <c r="J203" s="9">
        <v>223561</v>
      </c>
      <c r="K203" s="9"/>
      <c r="L203" s="27">
        <v>84586</v>
      </c>
      <c r="M203" s="27">
        <v>61336</v>
      </c>
      <c r="N203" s="26"/>
      <c r="O203" s="106"/>
      <c r="P203" s="106"/>
      <c r="Q203" s="107"/>
      <c r="R203" s="107"/>
      <c r="S203" s="108"/>
      <c r="T203" s="108"/>
      <c r="U203" s="61"/>
    </row>
    <row r="204" spans="2:21">
      <c r="B204" s="292"/>
      <c r="C204" s="19">
        <v>0.70833333333333304</v>
      </c>
      <c r="D204" s="5">
        <v>222134</v>
      </c>
      <c r="E204" s="25">
        <v>524526</v>
      </c>
      <c r="F204" s="10">
        <v>1.2934000000000001</v>
      </c>
      <c r="G204" s="10">
        <v>0.88360000000000005</v>
      </c>
      <c r="H204" s="240"/>
      <c r="I204" s="9">
        <v>99560</v>
      </c>
      <c r="J204" s="9">
        <v>223561</v>
      </c>
      <c r="K204" s="9"/>
      <c r="L204" s="27">
        <v>84586</v>
      </c>
      <c r="M204" s="27">
        <v>61336</v>
      </c>
      <c r="N204" s="26"/>
      <c r="O204" s="106"/>
      <c r="P204" s="106"/>
      <c r="Q204" s="107"/>
      <c r="R204" s="107"/>
      <c r="S204" s="108"/>
      <c r="T204" s="108"/>
      <c r="U204" s="61"/>
    </row>
    <row r="205" spans="2:21">
      <c r="B205" s="292"/>
      <c r="C205" s="19">
        <v>0.75</v>
      </c>
      <c r="D205" s="5">
        <v>222134</v>
      </c>
      <c r="E205" s="25">
        <v>524526</v>
      </c>
      <c r="F205" s="10">
        <v>1.2934000000000001</v>
      </c>
      <c r="G205" s="10">
        <v>0.88360000000000005</v>
      </c>
      <c r="H205" s="240"/>
      <c r="I205" s="9">
        <v>99560</v>
      </c>
      <c r="J205" s="9">
        <v>223561</v>
      </c>
      <c r="K205" s="9"/>
      <c r="L205" s="27">
        <v>84586</v>
      </c>
      <c r="M205" s="27">
        <v>61336</v>
      </c>
      <c r="N205" s="26"/>
      <c r="O205" s="106"/>
      <c r="P205" s="106"/>
      <c r="Q205" s="107"/>
      <c r="R205" s="107"/>
      <c r="S205" s="108"/>
      <c r="T205" s="108"/>
      <c r="U205" s="61"/>
    </row>
    <row r="206" spans="2:21">
      <c r="B206" s="292"/>
      <c r="C206" s="19">
        <v>0.79166666666666596</v>
      </c>
      <c r="D206" s="5">
        <v>222134</v>
      </c>
      <c r="E206" s="25">
        <v>524526</v>
      </c>
      <c r="F206" s="10">
        <v>1.2934000000000001</v>
      </c>
      <c r="G206" s="10">
        <v>0.88360000000000005</v>
      </c>
      <c r="H206" s="240"/>
      <c r="I206" s="9">
        <v>99560</v>
      </c>
      <c r="J206" s="9">
        <v>223561</v>
      </c>
      <c r="K206" s="9"/>
      <c r="L206" s="27">
        <v>84586</v>
      </c>
      <c r="M206" s="27">
        <v>61336</v>
      </c>
      <c r="N206" s="26"/>
      <c r="O206" s="106"/>
      <c r="P206" s="106"/>
      <c r="Q206" s="107"/>
      <c r="R206" s="107"/>
      <c r="S206" s="108"/>
      <c r="T206" s="108"/>
      <c r="U206" s="61"/>
    </row>
    <row r="207" spans="2:21">
      <c r="B207" s="292"/>
      <c r="C207" s="19">
        <v>0.83333333333333304</v>
      </c>
      <c r="D207" s="5">
        <v>222134</v>
      </c>
      <c r="E207" s="25">
        <v>524526</v>
      </c>
      <c r="F207" s="10">
        <v>1.2934000000000001</v>
      </c>
      <c r="G207" s="10">
        <v>0.88360000000000005</v>
      </c>
      <c r="H207" s="240"/>
      <c r="I207" s="9">
        <v>99560</v>
      </c>
      <c r="J207" s="9">
        <v>223561</v>
      </c>
      <c r="K207" s="9"/>
      <c r="L207" s="27">
        <v>84586</v>
      </c>
      <c r="M207" s="27">
        <v>61336</v>
      </c>
      <c r="N207" s="26"/>
      <c r="O207" s="106"/>
      <c r="P207" s="106"/>
      <c r="Q207" s="107"/>
      <c r="R207" s="107"/>
      <c r="S207" s="108"/>
      <c r="T207" s="108"/>
      <c r="U207" s="61"/>
    </row>
    <row r="208" spans="2:21">
      <c r="B208" s="292"/>
      <c r="C208" s="19">
        <v>0.875</v>
      </c>
      <c r="D208" s="5">
        <v>222134</v>
      </c>
      <c r="E208" s="25">
        <v>524526</v>
      </c>
      <c r="F208" s="10">
        <v>1.2934000000000001</v>
      </c>
      <c r="G208" s="10">
        <v>0.88360000000000005</v>
      </c>
      <c r="H208" s="240"/>
      <c r="I208" s="9">
        <v>99560</v>
      </c>
      <c r="J208" s="9">
        <v>223561</v>
      </c>
      <c r="K208" s="9"/>
      <c r="L208" s="27">
        <v>84586</v>
      </c>
      <c r="M208" s="27">
        <v>61336</v>
      </c>
      <c r="N208" s="26"/>
      <c r="O208" s="106"/>
      <c r="P208" s="106"/>
      <c r="Q208" s="107"/>
      <c r="R208" s="107"/>
      <c r="S208" s="108"/>
      <c r="T208" s="108"/>
      <c r="U208" s="61"/>
    </row>
    <row r="209" spans="2:21">
      <c r="B209" s="292"/>
      <c r="C209" s="19">
        <v>0.91666666666666596</v>
      </c>
      <c r="D209" s="5">
        <v>222134</v>
      </c>
      <c r="E209" s="25">
        <v>524526</v>
      </c>
      <c r="F209" s="10">
        <v>1.2934000000000001</v>
      </c>
      <c r="G209" s="10">
        <v>0.88360000000000005</v>
      </c>
      <c r="H209" s="240"/>
      <c r="I209" s="9">
        <v>99560</v>
      </c>
      <c r="J209" s="9">
        <v>223561</v>
      </c>
      <c r="K209" s="9"/>
      <c r="L209" s="27">
        <v>84586</v>
      </c>
      <c r="M209" s="27">
        <v>61336</v>
      </c>
      <c r="N209" s="26"/>
      <c r="O209" s="106"/>
      <c r="P209" s="106"/>
      <c r="Q209" s="107"/>
      <c r="R209" s="107"/>
      <c r="S209" s="108"/>
      <c r="T209" s="108"/>
      <c r="U209" s="61"/>
    </row>
    <row r="210" spans="2:21">
      <c r="B210" s="292"/>
      <c r="C210" s="19">
        <v>0.95833333333333304</v>
      </c>
      <c r="D210" s="5">
        <v>222134</v>
      </c>
      <c r="E210" s="25">
        <v>524526</v>
      </c>
      <c r="F210" s="10">
        <v>1.2934000000000001</v>
      </c>
      <c r="G210" s="10">
        <v>0.88360000000000005</v>
      </c>
      <c r="H210" s="240"/>
      <c r="I210" s="9">
        <v>99560</v>
      </c>
      <c r="J210" s="9">
        <v>223561</v>
      </c>
      <c r="K210" s="9"/>
      <c r="L210" s="27">
        <v>84586</v>
      </c>
      <c r="M210" s="27">
        <v>61336</v>
      </c>
      <c r="N210" s="26"/>
      <c r="O210" s="106"/>
      <c r="P210" s="106"/>
      <c r="Q210" s="107"/>
      <c r="R210" s="107"/>
      <c r="S210" s="108"/>
      <c r="T210" s="108"/>
      <c r="U210" s="61"/>
    </row>
    <row r="211" spans="2:21">
      <c r="B211" s="292"/>
      <c r="C211" s="19">
        <v>1</v>
      </c>
      <c r="D211" s="5">
        <v>222134</v>
      </c>
      <c r="E211" s="25">
        <v>524526</v>
      </c>
      <c r="F211" s="10">
        <v>1.2934000000000001</v>
      </c>
      <c r="G211" s="10">
        <v>0.88360000000000005</v>
      </c>
      <c r="H211" s="240"/>
      <c r="I211" s="9">
        <v>99560</v>
      </c>
      <c r="J211" s="9">
        <v>223561</v>
      </c>
      <c r="K211" s="9"/>
      <c r="L211" s="27">
        <v>84586</v>
      </c>
      <c r="M211" s="27">
        <v>61336</v>
      </c>
      <c r="N211" s="26"/>
      <c r="O211" s="63"/>
      <c r="P211" s="63"/>
      <c r="Q211" s="62"/>
      <c r="R211" s="62"/>
      <c r="S211" s="64"/>
      <c r="T211" s="64"/>
      <c r="U211" s="61"/>
    </row>
    <row r="212" spans="2:21">
      <c r="B212" s="292"/>
      <c r="C212" s="19">
        <v>1.0416666666666701</v>
      </c>
      <c r="D212" s="5">
        <v>222134</v>
      </c>
      <c r="E212" s="25">
        <v>524526</v>
      </c>
      <c r="F212" s="10">
        <v>1.2934000000000001</v>
      </c>
      <c r="G212" s="10">
        <v>0.88360000000000005</v>
      </c>
      <c r="H212" s="240"/>
      <c r="I212" s="9">
        <v>99560</v>
      </c>
      <c r="J212" s="9">
        <v>223561</v>
      </c>
      <c r="K212" s="9"/>
      <c r="L212" s="27">
        <v>84586</v>
      </c>
      <c r="M212" s="27">
        <v>61336</v>
      </c>
      <c r="N212" s="26"/>
      <c r="O212" s="63"/>
      <c r="P212" s="63"/>
      <c r="Q212" s="62"/>
      <c r="R212" s="62"/>
      <c r="S212" s="64"/>
      <c r="T212" s="64"/>
      <c r="U212" s="61"/>
    </row>
    <row r="213" spans="2:21">
      <c r="B213" s="292"/>
      <c r="C213" s="19">
        <v>1.0833333333333399</v>
      </c>
      <c r="D213" s="5">
        <v>222134</v>
      </c>
      <c r="E213" s="25">
        <v>524526</v>
      </c>
      <c r="F213" s="10">
        <v>1.2934000000000001</v>
      </c>
      <c r="G213" s="10">
        <v>0.88360000000000005</v>
      </c>
      <c r="H213" s="240"/>
      <c r="I213" s="9">
        <v>99560</v>
      </c>
      <c r="J213" s="9">
        <v>223561</v>
      </c>
      <c r="K213" s="9"/>
      <c r="L213" s="27">
        <v>84586</v>
      </c>
      <c r="M213" s="27">
        <v>61336</v>
      </c>
      <c r="N213" s="26"/>
      <c r="O213" s="63"/>
      <c r="P213" s="63"/>
      <c r="Q213" s="62"/>
      <c r="R213" s="62"/>
      <c r="S213" s="64"/>
      <c r="T213" s="64"/>
      <c r="U213" s="61"/>
    </row>
    <row r="214" spans="2:21">
      <c r="B214" s="292"/>
      <c r="C214" s="19">
        <v>1.125</v>
      </c>
      <c r="D214" s="5">
        <v>222134</v>
      </c>
      <c r="E214" s="25">
        <v>524526</v>
      </c>
      <c r="F214" s="10">
        <v>1.2934000000000001</v>
      </c>
      <c r="G214" s="10">
        <v>0.88360000000000005</v>
      </c>
      <c r="H214" s="240"/>
      <c r="I214" s="9">
        <v>99560</v>
      </c>
      <c r="J214" s="9">
        <v>223561</v>
      </c>
      <c r="K214" s="9"/>
      <c r="L214" s="27">
        <v>84586</v>
      </c>
      <c r="M214" s="27">
        <v>61336</v>
      </c>
      <c r="N214" s="26"/>
      <c r="O214" s="63"/>
      <c r="P214" s="63"/>
      <c r="Q214" s="62"/>
      <c r="R214" s="62"/>
      <c r="S214" s="64"/>
      <c r="T214" s="64"/>
      <c r="U214" s="61"/>
    </row>
    <row r="215" spans="2:21">
      <c r="B215" s="292"/>
      <c r="C215" s="19">
        <v>1.1666666666666701</v>
      </c>
      <c r="D215" s="5">
        <v>222134</v>
      </c>
      <c r="E215" s="25">
        <v>524526</v>
      </c>
      <c r="F215" s="10">
        <v>1.2934000000000001</v>
      </c>
      <c r="G215" s="10">
        <v>0.88360000000000005</v>
      </c>
      <c r="H215" s="240"/>
      <c r="I215" s="9">
        <v>99560</v>
      </c>
      <c r="J215" s="9">
        <v>223561</v>
      </c>
      <c r="K215" s="9"/>
      <c r="L215" s="27">
        <v>84586</v>
      </c>
      <c r="M215" s="27">
        <v>61336</v>
      </c>
      <c r="N215" s="26"/>
      <c r="O215" s="106"/>
      <c r="P215" s="106"/>
      <c r="Q215" s="107"/>
      <c r="R215" s="107"/>
      <c r="S215" s="108"/>
      <c r="T215" s="108"/>
      <c r="U215" s="61"/>
    </row>
    <row r="216" spans="2:21">
      <c r="B216" s="292"/>
      <c r="C216" s="19">
        <v>1.2083333333333399</v>
      </c>
      <c r="D216" s="5">
        <v>222134</v>
      </c>
      <c r="E216" s="25">
        <v>524526</v>
      </c>
      <c r="F216" s="10">
        <v>1.2934000000000001</v>
      </c>
      <c r="G216" s="10">
        <v>0.88360000000000005</v>
      </c>
      <c r="H216" s="240"/>
      <c r="I216" s="9">
        <v>99560</v>
      </c>
      <c r="J216" s="9">
        <v>223561</v>
      </c>
      <c r="K216" s="9"/>
      <c r="L216" s="27">
        <v>84586</v>
      </c>
      <c r="M216" s="27">
        <v>61336</v>
      </c>
      <c r="N216" s="26"/>
      <c r="O216" s="106"/>
      <c r="P216" s="106"/>
      <c r="Q216" s="107"/>
      <c r="R216" s="107"/>
      <c r="S216" s="108"/>
      <c r="T216" s="108"/>
      <c r="U216" s="61"/>
    </row>
    <row r="217" spans="2:21">
      <c r="B217" s="292"/>
      <c r="C217" s="19">
        <v>1.25</v>
      </c>
      <c r="D217" s="5">
        <v>222134</v>
      </c>
      <c r="E217" s="25">
        <v>524526</v>
      </c>
      <c r="F217" s="10">
        <v>1.2934000000000001</v>
      </c>
      <c r="G217" s="10">
        <v>0.88360000000000005</v>
      </c>
      <c r="H217" s="240"/>
      <c r="I217" s="9">
        <v>99560</v>
      </c>
      <c r="J217" s="9">
        <v>223561</v>
      </c>
      <c r="K217" s="9"/>
      <c r="L217" s="27">
        <v>84586</v>
      </c>
      <c r="M217" s="27">
        <v>61336</v>
      </c>
      <c r="N217" s="26"/>
      <c r="O217" s="106"/>
      <c r="P217" s="106"/>
      <c r="Q217" s="107"/>
      <c r="R217" s="107"/>
      <c r="S217" s="108"/>
      <c r="T217" s="108"/>
      <c r="U217" s="61"/>
    </row>
    <row r="218" spans="2:21">
      <c r="B218" s="292"/>
      <c r="C218" s="19">
        <v>1.2916666666666701</v>
      </c>
      <c r="D218" s="5">
        <v>222134</v>
      </c>
      <c r="E218" s="25">
        <v>524526</v>
      </c>
      <c r="F218" s="10">
        <v>1.2934000000000001</v>
      </c>
      <c r="G218" s="10">
        <v>0.88360000000000005</v>
      </c>
      <c r="H218" s="240"/>
      <c r="I218" s="9">
        <v>99560</v>
      </c>
      <c r="J218" s="9">
        <v>223561</v>
      </c>
      <c r="K218" s="9"/>
      <c r="L218" s="27">
        <v>84586</v>
      </c>
      <c r="M218" s="27">
        <v>61336</v>
      </c>
      <c r="N218" s="26"/>
      <c r="O218" s="106"/>
      <c r="P218" s="106"/>
      <c r="Q218" s="107"/>
      <c r="R218" s="107"/>
      <c r="S218" s="108"/>
      <c r="T218" s="108"/>
      <c r="U218" s="61"/>
    </row>
    <row r="219" spans="2:21">
      <c r="B219" s="293"/>
      <c r="C219" s="6"/>
      <c r="D219" s="13" cm="1">
        <f t="array" ref="D219">IFERROR(LOOKUP(2,1/(D194:D218&gt;0),D194:D218-D194),0)</f>
        <v>0</v>
      </c>
      <c r="E219" s="13" cm="1">
        <f t="array" ref="E219">IFERROR(LOOKUP(2,1/(E194:E218&gt;0),E194:E218-E194),0)</f>
        <v>0</v>
      </c>
      <c r="F219" s="13" cm="1">
        <f t="array" ref="F219">IFERROR(LOOKUP(2,1/(F194:F218&gt;0),F194:F218-F194),0)</f>
        <v>0</v>
      </c>
      <c r="G219" s="13" cm="1">
        <f t="array" ref="G219">IFERROR(LOOKUP(2,1/(G194:G218&gt;0),G194:G218-G194),0)</f>
        <v>0</v>
      </c>
      <c r="H219" s="13">
        <f>F219+G219</f>
        <v>0</v>
      </c>
      <c r="I219" s="13" cm="1">
        <f t="array" ref="I219">IFERROR(LOOKUP(2,1/(I194:I218&gt;0),I194:I218-I194),0)</f>
        <v>0</v>
      </c>
      <c r="J219" s="13" cm="1">
        <f t="array" ref="J219">IFERROR(LOOKUP(2,1/(J194:J218&gt;0),J194:J218-J194),0)</f>
        <v>0</v>
      </c>
      <c r="K219" s="13">
        <f>I219+J219</f>
        <v>0</v>
      </c>
      <c r="L219" s="13" cm="1">
        <f t="array" ref="L219">IFERROR(LOOKUP(2,1/(L194:L218&gt;0),L194:L218-L194),0)</f>
        <v>0</v>
      </c>
      <c r="M219" s="13" cm="1">
        <f t="array" ref="M219">IFERROR(LOOKUP(2,1/(M194:M218&gt;0),M194:M218-M194),0)</f>
        <v>0</v>
      </c>
      <c r="N219" s="13">
        <f>L219+M219</f>
        <v>0</v>
      </c>
      <c r="O219" s="109">
        <f t="shared" ref="O219:T219" si="13">IFERROR(AVERAGE(O194:O218),0)</f>
        <v>0</v>
      </c>
      <c r="P219" s="109">
        <f t="shared" si="13"/>
        <v>0</v>
      </c>
      <c r="Q219" s="109">
        <f t="shared" si="13"/>
        <v>0</v>
      </c>
      <c r="R219" s="109">
        <f t="shared" si="13"/>
        <v>0</v>
      </c>
      <c r="S219" s="109">
        <f t="shared" si="13"/>
        <v>0</v>
      </c>
      <c r="T219" s="109">
        <f t="shared" si="13"/>
        <v>0</v>
      </c>
      <c r="U219" s="4">
        <f>COUNT(U194:U218)</f>
        <v>0</v>
      </c>
    </row>
    <row r="220" spans="2:21">
      <c r="B220" s="291">
        <f t="shared" ref="B220" si="14">B194+1</f>
        <v>46031</v>
      </c>
      <c r="C220" s="19">
        <v>0.29166666666666669</v>
      </c>
      <c r="D220" s="5">
        <v>222134</v>
      </c>
      <c r="E220" s="25">
        <v>524526</v>
      </c>
      <c r="F220" s="10">
        <v>1.2934000000000001</v>
      </c>
      <c r="G220" s="10">
        <v>0.88360000000000005</v>
      </c>
      <c r="H220" s="240"/>
      <c r="I220" s="9">
        <v>99560</v>
      </c>
      <c r="J220" s="9">
        <v>223561</v>
      </c>
      <c r="K220" s="9"/>
      <c r="L220" s="27">
        <v>84586</v>
      </c>
      <c r="M220" s="27">
        <v>61336</v>
      </c>
      <c r="N220" s="26"/>
      <c r="O220" s="106"/>
      <c r="P220" s="106"/>
      <c r="Q220" s="107"/>
      <c r="R220" s="107"/>
      <c r="S220" s="108"/>
      <c r="T220" s="108"/>
      <c r="U220" s="61"/>
    </row>
    <row r="221" spans="2:21">
      <c r="B221" s="292"/>
      <c r="C221" s="19">
        <v>0.33333333333333298</v>
      </c>
      <c r="D221" s="5">
        <v>222134</v>
      </c>
      <c r="E221" s="25">
        <v>524526</v>
      </c>
      <c r="F221" s="10">
        <v>1.2934000000000001</v>
      </c>
      <c r="G221" s="10">
        <v>0.88360000000000005</v>
      </c>
      <c r="H221" s="240"/>
      <c r="I221" s="9">
        <v>99560</v>
      </c>
      <c r="J221" s="9">
        <v>223561</v>
      </c>
      <c r="K221" s="9"/>
      <c r="L221" s="27">
        <v>84586</v>
      </c>
      <c r="M221" s="27">
        <v>61336</v>
      </c>
      <c r="N221" s="26"/>
      <c r="O221" s="106"/>
      <c r="P221" s="106"/>
      <c r="Q221" s="107"/>
      <c r="R221" s="107"/>
      <c r="S221" s="108"/>
      <c r="T221" s="108"/>
      <c r="U221" s="61"/>
    </row>
    <row r="222" spans="2:21">
      <c r="B222" s="292"/>
      <c r="C222" s="19">
        <v>0.375</v>
      </c>
      <c r="D222" s="5">
        <v>222134</v>
      </c>
      <c r="E222" s="25">
        <v>524526</v>
      </c>
      <c r="F222" s="10">
        <v>1.2934000000000001</v>
      </c>
      <c r="G222" s="10">
        <v>0.88360000000000005</v>
      </c>
      <c r="H222" s="240"/>
      <c r="I222" s="9">
        <v>99560</v>
      </c>
      <c r="J222" s="9">
        <v>223561</v>
      </c>
      <c r="K222" s="9"/>
      <c r="L222" s="27">
        <v>84586</v>
      </c>
      <c r="M222" s="27">
        <v>61336</v>
      </c>
      <c r="N222" s="26"/>
      <c r="O222" s="106"/>
      <c r="P222" s="106"/>
      <c r="Q222" s="107"/>
      <c r="R222" s="107"/>
      <c r="S222" s="108"/>
      <c r="T222" s="108"/>
      <c r="U222" s="61"/>
    </row>
    <row r="223" spans="2:21">
      <c r="B223" s="292"/>
      <c r="C223" s="19">
        <v>0.41666666666666702</v>
      </c>
      <c r="D223" s="5">
        <v>222134</v>
      </c>
      <c r="E223" s="25">
        <v>524526</v>
      </c>
      <c r="F223" s="10">
        <v>1.2934000000000001</v>
      </c>
      <c r="G223" s="10">
        <v>0.88360000000000005</v>
      </c>
      <c r="H223" s="240"/>
      <c r="I223" s="9">
        <v>99560</v>
      </c>
      <c r="J223" s="9">
        <v>223561</v>
      </c>
      <c r="K223" s="9"/>
      <c r="L223" s="27">
        <v>84586</v>
      </c>
      <c r="M223" s="27">
        <v>61336</v>
      </c>
      <c r="N223" s="26"/>
      <c r="O223" s="106"/>
      <c r="P223" s="106"/>
      <c r="Q223" s="107"/>
      <c r="R223" s="107"/>
      <c r="S223" s="108"/>
      <c r="T223" s="108"/>
      <c r="U223" s="61"/>
    </row>
    <row r="224" spans="2:21">
      <c r="B224" s="292"/>
      <c r="C224" s="19">
        <v>0.45833333333333298</v>
      </c>
      <c r="D224" s="5">
        <v>222134</v>
      </c>
      <c r="E224" s="25">
        <v>524526</v>
      </c>
      <c r="F224" s="10">
        <v>1.2934000000000001</v>
      </c>
      <c r="G224" s="10">
        <v>0.88360000000000005</v>
      </c>
      <c r="H224" s="240"/>
      <c r="I224" s="9">
        <v>99560</v>
      </c>
      <c r="J224" s="9">
        <v>223561</v>
      </c>
      <c r="K224" s="9"/>
      <c r="L224" s="27">
        <v>84586</v>
      </c>
      <c r="M224" s="27">
        <v>61336</v>
      </c>
      <c r="N224" s="26"/>
      <c r="O224" s="106"/>
      <c r="P224" s="106"/>
      <c r="Q224" s="107"/>
      <c r="R224" s="107"/>
      <c r="S224" s="108"/>
      <c r="T224" s="108"/>
      <c r="U224" s="61"/>
    </row>
    <row r="225" spans="2:21">
      <c r="B225" s="292"/>
      <c r="C225" s="19">
        <v>0.5</v>
      </c>
      <c r="D225" s="5">
        <v>222134</v>
      </c>
      <c r="E225" s="25">
        <v>524526</v>
      </c>
      <c r="F225" s="10">
        <v>1.2934000000000001</v>
      </c>
      <c r="G225" s="10">
        <v>0.88360000000000005</v>
      </c>
      <c r="H225" s="240"/>
      <c r="I225" s="9">
        <v>99560</v>
      </c>
      <c r="J225" s="9">
        <v>223561</v>
      </c>
      <c r="K225" s="9"/>
      <c r="L225" s="27">
        <v>84586</v>
      </c>
      <c r="M225" s="27">
        <v>61336</v>
      </c>
      <c r="N225" s="26"/>
      <c r="O225" s="106"/>
      <c r="P225" s="106"/>
      <c r="Q225" s="107"/>
      <c r="R225" s="107"/>
      <c r="S225" s="108"/>
      <c r="T225" s="108"/>
      <c r="U225" s="61"/>
    </row>
    <row r="226" spans="2:21">
      <c r="B226" s="292"/>
      <c r="C226" s="19">
        <v>0.54166666666666696</v>
      </c>
      <c r="D226" s="5">
        <v>222134</v>
      </c>
      <c r="E226" s="25">
        <v>524526</v>
      </c>
      <c r="F226" s="10">
        <v>1.2934000000000001</v>
      </c>
      <c r="G226" s="10">
        <v>0.88360000000000005</v>
      </c>
      <c r="H226" s="240"/>
      <c r="I226" s="9">
        <v>99560</v>
      </c>
      <c r="J226" s="9">
        <v>223561</v>
      </c>
      <c r="K226" s="9"/>
      <c r="L226" s="27">
        <v>84586</v>
      </c>
      <c r="M226" s="27">
        <v>61336</v>
      </c>
      <c r="N226" s="26"/>
      <c r="O226" s="106"/>
      <c r="P226" s="106"/>
      <c r="Q226" s="107"/>
      <c r="R226" s="107"/>
      <c r="S226" s="108"/>
      <c r="T226" s="108"/>
      <c r="U226" s="61"/>
    </row>
    <row r="227" spans="2:21">
      <c r="B227" s="292"/>
      <c r="C227" s="19">
        <v>0.58333333333333304</v>
      </c>
      <c r="D227" s="5">
        <v>222134</v>
      </c>
      <c r="E227" s="25">
        <v>524526</v>
      </c>
      <c r="F227" s="10">
        <v>1.2934000000000001</v>
      </c>
      <c r="G227" s="10">
        <v>0.88360000000000005</v>
      </c>
      <c r="H227" s="240"/>
      <c r="I227" s="9">
        <v>99560</v>
      </c>
      <c r="J227" s="9">
        <v>223561</v>
      </c>
      <c r="K227" s="9"/>
      <c r="L227" s="27">
        <v>84586</v>
      </c>
      <c r="M227" s="27">
        <v>61336</v>
      </c>
      <c r="N227" s="26"/>
      <c r="O227" s="106"/>
      <c r="P227" s="106"/>
      <c r="Q227" s="107"/>
      <c r="R227" s="107"/>
      <c r="S227" s="108"/>
      <c r="T227" s="108"/>
      <c r="U227" s="65"/>
    </row>
    <row r="228" spans="2:21">
      <c r="B228" s="292"/>
      <c r="C228" s="19">
        <v>0.625</v>
      </c>
      <c r="D228" s="5">
        <v>222134</v>
      </c>
      <c r="E228" s="25">
        <v>524526</v>
      </c>
      <c r="F228" s="10">
        <v>1.2934000000000001</v>
      </c>
      <c r="G228" s="10">
        <v>0.88360000000000005</v>
      </c>
      <c r="H228" s="240"/>
      <c r="I228" s="9">
        <v>99560</v>
      </c>
      <c r="J228" s="9">
        <v>223561</v>
      </c>
      <c r="K228" s="9"/>
      <c r="L228" s="27">
        <v>84586</v>
      </c>
      <c r="M228" s="27">
        <v>61336</v>
      </c>
      <c r="N228" s="26"/>
      <c r="O228" s="106"/>
      <c r="P228" s="106"/>
      <c r="Q228" s="107"/>
      <c r="R228" s="107"/>
      <c r="S228" s="108"/>
      <c r="T228" s="108"/>
      <c r="U228" s="61"/>
    </row>
    <row r="229" spans="2:21">
      <c r="B229" s="292"/>
      <c r="C229" s="19">
        <v>0.66666666666666596</v>
      </c>
      <c r="D229" s="5">
        <v>222134</v>
      </c>
      <c r="E229" s="25">
        <v>524526</v>
      </c>
      <c r="F229" s="10">
        <v>1.2934000000000001</v>
      </c>
      <c r="G229" s="10">
        <v>0.88360000000000005</v>
      </c>
      <c r="H229" s="240"/>
      <c r="I229" s="9">
        <v>99560</v>
      </c>
      <c r="J229" s="9">
        <v>223561</v>
      </c>
      <c r="K229" s="9"/>
      <c r="L229" s="27">
        <v>84586</v>
      </c>
      <c r="M229" s="27">
        <v>61336</v>
      </c>
      <c r="N229" s="26"/>
      <c r="O229" s="106"/>
      <c r="P229" s="106"/>
      <c r="Q229" s="107"/>
      <c r="R229" s="107"/>
      <c r="S229" s="108"/>
      <c r="T229" s="108"/>
      <c r="U229" s="61"/>
    </row>
    <row r="230" spans="2:21">
      <c r="B230" s="292"/>
      <c r="C230" s="19">
        <v>0.70833333333333304</v>
      </c>
      <c r="D230" s="5">
        <v>222134</v>
      </c>
      <c r="E230" s="25">
        <v>524526</v>
      </c>
      <c r="F230" s="10">
        <v>1.2934000000000001</v>
      </c>
      <c r="G230" s="10">
        <v>0.88360000000000005</v>
      </c>
      <c r="H230" s="240"/>
      <c r="I230" s="9">
        <v>99560</v>
      </c>
      <c r="J230" s="9">
        <v>223561</v>
      </c>
      <c r="K230" s="9"/>
      <c r="L230" s="27">
        <v>84586</v>
      </c>
      <c r="M230" s="27">
        <v>61336</v>
      </c>
      <c r="N230" s="26"/>
      <c r="O230" s="106"/>
      <c r="P230" s="106"/>
      <c r="Q230" s="107"/>
      <c r="R230" s="107"/>
      <c r="S230" s="108"/>
      <c r="T230" s="108"/>
      <c r="U230" s="61"/>
    </row>
    <row r="231" spans="2:21">
      <c r="B231" s="292"/>
      <c r="C231" s="19">
        <v>0.75</v>
      </c>
      <c r="D231" s="5">
        <v>222134</v>
      </c>
      <c r="E231" s="25">
        <v>524526</v>
      </c>
      <c r="F231" s="10">
        <v>1.2934000000000001</v>
      </c>
      <c r="G231" s="10">
        <v>0.88360000000000005</v>
      </c>
      <c r="H231" s="240"/>
      <c r="I231" s="9">
        <v>99560</v>
      </c>
      <c r="J231" s="9">
        <v>223561</v>
      </c>
      <c r="K231" s="9"/>
      <c r="L231" s="27">
        <v>84586</v>
      </c>
      <c r="M231" s="27">
        <v>61336</v>
      </c>
      <c r="N231" s="26"/>
      <c r="O231" s="106"/>
      <c r="P231" s="106"/>
      <c r="Q231" s="107"/>
      <c r="R231" s="107"/>
      <c r="S231" s="108"/>
      <c r="T231" s="108"/>
      <c r="U231" s="61"/>
    </row>
    <row r="232" spans="2:21">
      <c r="B232" s="292"/>
      <c r="C232" s="19">
        <v>0.79166666666666596</v>
      </c>
      <c r="D232" s="5">
        <v>222134</v>
      </c>
      <c r="E232" s="25">
        <v>524526</v>
      </c>
      <c r="F232" s="10">
        <v>1.2934000000000001</v>
      </c>
      <c r="G232" s="10">
        <v>0.88360000000000005</v>
      </c>
      <c r="H232" s="240"/>
      <c r="I232" s="9">
        <v>99560</v>
      </c>
      <c r="J232" s="9">
        <v>223561</v>
      </c>
      <c r="K232" s="9"/>
      <c r="L232" s="27">
        <v>84586</v>
      </c>
      <c r="M232" s="27">
        <v>61336</v>
      </c>
      <c r="N232" s="26"/>
      <c r="O232" s="106"/>
      <c r="P232" s="106"/>
      <c r="Q232" s="107"/>
      <c r="R232" s="107"/>
      <c r="S232" s="108"/>
      <c r="T232" s="108"/>
      <c r="U232" s="61"/>
    </row>
    <row r="233" spans="2:21">
      <c r="B233" s="292"/>
      <c r="C233" s="19">
        <v>0.83333333333333304</v>
      </c>
      <c r="D233" s="5">
        <v>222134</v>
      </c>
      <c r="E233" s="25">
        <v>524526</v>
      </c>
      <c r="F233" s="10">
        <v>1.2934000000000001</v>
      </c>
      <c r="G233" s="10">
        <v>0.88360000000000005</v>
      </c>
      <c r="H233" s="240"/>
      <c r="I233" s="9">
        <v>99560</v>
      </c>
      <c r="J233" s="9">
        <v>223561</v>
      </c>
      <c r="K233" s="9"/>
      <c r="L233" s="27">
        <v>84586</v>
      </c>
      <c r="M233" s="27">
        <v>61336</v>
      </c>
      <c r="N233" s="26"/>
      <c r="O233" s="106"/>
      <c r="P233" s="106"/>
      <c r="Q233" s="107"/>
      <c r="R233" s="107"/>
      <c r="S233" s="108"/>
      <c r="T233" s="108"/>
      <c r="U233" s="61"/>
    </row>
    <row r="234" spans="2:21">
      <c r="B234" s="292"/>
      <c r="C234" s="19">
        <v>0.875</v>
      </c>
      <c r="D234" s="5">
        <v>222134</v>
      </c>
      <c r="E234" s="25">
        <v>524526</v>
      </c>
      <c r="F234" s="10">
        <v>1.2934000000000001</v>
      </c>
      <c r="G234" s="10">
        <v>0.88360000000000005</v>
      </c>
      <c r="H234" s="240"/>
      <c r="I234" s="9">
        <v>99560</v>
      </c>
      <c r="J234" s="9">
        <v>223561</v>
      </c>
      <c r="K234" s="9"/>
      <c r="L234" s="27">
        <v>84586</v>
      </c>
      <c r="M234" s="27">
        <v>61336</v>
      </c>
      <c r="N234" s="26"/>
      <c r="O234" s="106"/>
      <c r="P234" s="106"/>
      <c r="Q234" s="107"/>
      <c r="R234" s="107"/>
      <c r="S234" s="108"/>
      <c r="T234" s="108"/>
      <c r="U234" s="61"/>
    </row>
    <row r="235" spans="2:21">
      <c r="B235" s="292"/>
      <c r="C235" s="19">
        <v>0.91666666666666596</v>
      </c>
      <c r="D235" s="5">
        <v>222134</v>
      </c>
      <c r="E235" s="25">
        <v>524526</v>
      </c>
      <c r="F235" s="10">
        <v>1.2934000000000001</v>
      </c>
      <c r="G235" s="10">
        <v>0.88360000000000005</v>
      </c>
      <c r="H235" s="240"/>
      <c r="I235" s="9">
        <v>99560</v>
      </c>
      <c r="J235" s="9">
        <v>223561</v>
      </c>
      <c r="K235" s="9"/>
      <c r="L235" s="27">
        <v>84586</v>
      </c>
      <c r="M235" s="27">
        <v>61336</v>
      </c>
      <c r="N235" s="26"/>
      <c r="O235" s="106"/>
      <c r="P235" s="106"/>
      <c r="Q235" s="107"/>
      <c r="R235" s="107"/>
      <c r="S235" s="108"/>
      <c r="T235" s="108"/>
      <c r="U235" s="61"/>
    </row>
    <row r="236" spans="2:21">
      <c r="B236" s="292"/>
      <c r="C236" s="19">
        <v>0.95833333333333304</v>
      </c>
      <c r="D236" s="5">
        <v>222134</v>
      </c>
      <c r="E236" s="25">
        <v>524526</v>
      </c>
      <c r="F236" s="10">
        <v>1.2934000000000001</v>
      </c>
      <c r="G236" s="10">
        <v>0.88360000000000005</v>
      </c>
      <c r="H236" s="240"/>
      <c r="I236" s="9">
        <v>99560</v>
      </c>
      <c r="J236" s="9">
        <v>223561</v>
      </c>
      <c r="K236" s="9"/>
      <c r="L236" s="27">
        <v>84586</v>
      </c>
      <c r="M236" s="27">
        <v>61336</v>
      </c>
      <c r="N236" s="26"/>
      <c r="O236" s="106"/>
      <c r="P236" s="106"/>
      <c r="Q236" s="107"/>
      <c r="R236" s="107"/>
      <c r="S236" s="108"/>
      <c r="T236" s="108"/>
      <c r="U236" s="61"/>
    </row>
    <row r="237" spans="2:21">
      <c r="B237" s="292"/>
      <c r="C237" s="19">
        <v>1</v>
      </c>
      <c r="D237" s="5">
        <v>222134</v>
      </c>
      <c r="E237" s="25">
        <v>524526</v>
      </c>
      <c r="F237" s="10">
        <v>1.2934000000000001</v>
      </c>
      <c r="G237" s="10">
        <v>0.88360000000000005</v>
      </c>
      <c r="H237" s="240"/>
      <c r="I237" s="9">
        <v>99560</v>
      </c>
      <c r="J237" s="9">
        <v>223561</v>
      </c>
      <c r="K237" s="9"/>
      <c r="L237" s="27">
        <v>84586</v>
      </c>
      <c r="M237" s="27">
        <v>61336</v>
      </c>
      <c r="N237" s="26"/>
      <c r="O237" s="63"/>
      <c r="P237" s="63"/>
      <c r="Q237" s="62"/>
      <c r="R237" s="62"/>
      <c r="S237" s="64"/>
      <c r="T237" s="64"/>
      <c r="U237" s="61"/>
    </row>
    <row r="238" spans="2:21">
      <c r="B238" s="292"/>
      <c r="C238" s="19">
        <v>1.0416666666666701</v>
      </c>
      <c r="D238" s="5">
        <v>222134</v>
      </c>
      <c r="E238" s="25">
        <v>524526</v>
      </c>
      <c r="F238" s="10">
        <v>1.2934000000000001</v>
      </c>
      <c r="G238" s="10">
        <v>0.88360000000000005</v>
      </c>
      <c r="H238" s="240"/>
      <c r="I238" s="9">
        <v>99560</v>
      </c>
      <c r="J238" s="9">
        <v>223561</v>
      </c>
      <c r="K238" s="9"/>
      <c r="L238" s="27">
        <v>84586</v>
      </c>
      <c r="M238" s="27">
        <v>61336</v>
      </c>
      <c r="N238" s="26"/>
      <c r="O238" s="63"/>
      <c r="P238" s="63"/>
      <c r="Q238" s="62"/>
      <c r="R238" s="62"/>
      <c r="S238" s="64"/>
      <c r="T238" s="64"/>
      <c r="U238" s="61"/>
    </row>
    <row r="239" spans="2:21">
      <c r="B239" s="292"/>
      <c r="C239" s="19">
        <v>1.0833333333333399</v>
      </c>
      <c r="D239" s="5">
        <v>222134</v>
      </c>
      <c r="E239" s="25">
        <v>524526</v>
      </c>
      <c r="F239" s="10">
        <v>1.2934000000000001</v>
      </c>
      <c r="G239" s="10">
        <v>0.88360000000000005</v>
      </c>
      <c r="H239" s="240"/>
      <c r="I239" s="9">
        <v>99560</v>
      </c>
      <c r="J239" s="9">
        <v>223561</v>
      </c>
      <c r="K239" s="9"/>
      <c r="L239" s="27">
        <v>84586</v>
      </c>
      <c r="M239" s="27">
        <v>61336</v>
      </c>
      <c r="N239" s="26"/>
      <c r="O239" s="63"/>
      <c r="P239" s="63"/>
      <c r="Q239" s="62"/>
      <c r="R239" s="62"/>
      <c r="S239" s="64"/>
      <c r="T239" s="64"/>
      <c r="U239" s="61"/>
    </row>
    <row r="240" spans="2:21">
      <c r="B240" s="292"/>
      <c r="C240" s="19">
        <v>1.125</v>
      </c>
      <c r="D240" s="5">
        <v>222134</v>
      </c>
      <c r="E240" s="25">
        <v>524526</v>
      </c>
      <c r="F240" s="10">
        <v>1.2934000000000001</v>
      </c>
      <c r="G240" s="10">
        <v>0.88360000000000005</v>
      </c>
      <c r="H240" s="240"/>
      <c r="I240" s="9">
        <v>99560</v>
      </c>
      <c r="J240" s="9">
        <v>223561</v>
      </c>
      <c r="K240" s="9"/>
      <c r="L240" s="27">
        <v>84586</v>
      </c>
      <c r="M240" s="27">
        <v>61336</v>
      </c>
      <c r="N240" s="26"/>
      <c r="O240" s="63"/>
      <c r="P240" s="63"/>
      <c r="Q240" s="62"/>
      <c r="R240" s="62"/>
      <c r="S240" s="64"/>
      <c r="T240" s="64"/>
      <c r="U240" s="61"/>
    </row>
    <row r="241" spans="2:21">
      <c r="B241" s="292"/>
      <c r="C241" s="19">
        <v>1.1666666666666701</v>
      </c>
      <c r="D241" s="5">
        <v>222134</v>
      </c>
      <c r="E241" s="25">
        <v>524526</v>
      </c>
      <c r="F241" s="10">
        <v>1.2934000000000001</v>
      </c>
      <c r="G241" s="10">
        <v>0.88360000000000005</v>
      </c>
      <c r="H241" s="240"/>
      <c r="I241" s="9">
        <v>99560</v>
      </c>
      <c r="J241" s="9">
        <v>223561</v>
      </c>
      <c r="K241" s="9"/>
      <c r="L241" s="27">
        <v>84586</v>
      </c>
      <c r="M241" s="27">
        <v>61336</v>
      </c>
      <c r="N241" s="26"/>
      <c r="O241" s="106"/>
      <c r="P241" s="106"/>
      <c r="Q241" s="107"/>
      <c r="R241" s="107"/>
      <c r="S241" s="108"/>
      <c r="T241" s="108"/>
      <c r="U241" s="61"/>
    </row>
    <row r="242" spans="2:21">
      <c r="B242" s="292"/>
      <c r="C242" s="19">
        <v>1.2083333333333399</v>
      </c>
      <c r="D242" s="5">
        <v>222134</v>
      </c>
      <c r="E242" s="25">
        <v>524526</v>
      </c>
      <c r="F242" s="10">
        <v>1.2934000000000001</v>
      </c>
      <c r="G242" s="10">
        <v>0.88360000000000005</v>
      </c>
      <c r="H242" s="240"/>
      <c r="I242" s="9">
        <v>99560</v>
      </c>
      <c r="J242" s="9">
        <v>223561</v>
      </c>
      <c r="K242" s="9"/>
      <c r="L242" s="27">
        <v>84586</v>
      </c>
      <c r="M242" s="27">
        <v>61336</v>
      </c>
      <c r="N242" s="26"/>
      <c r="O242" s="106"/>
      <c r="P242" s="106"/>
      <c r="Q242" s="107"/>
      <c r="R242" s="107"/>
      <c r="S242" s="108"/>
      <c r="T242" s="108"/>
      <c r="U242" s="61"/>
    </row>
    <row r="243" spans="2:21">
      <c r="B243" s="292"/>
      <c r="C243" s="19">
        <v>1.25</v>
      </c>
      <c r="D243" s="5">
        <v>222134</v>
      </c>
      <c r="E243" s="25">
        <v>524526</v>
      </c>
      <c r="F243" s="10">
        <v>1.2934000000000001</v>
      </c>
      <c r="G243" s="10">
        <v>0.88360000000000005</v>
      </c>
      <c r="H243" s="240"/>
      <c r="I243" s="9">
        <v>99560</v>
      </c>
      <c r="J243" s="9">
        <v>223561</v>
      </c>
      <c r="K243" s="9"/>
      <c r="L243" s="27">
        <v>84586</v>
      </c>
      <c r="M243" s="27">
        <v>61336</v>
      </c>
      <c r="N243" s="26"/>
      <c r="O243" s="106"/>
      <c r="P243" s="106"/>
      <c r="Q243" s="107"/>
      <c r="R243" s="107"/>
      <c r="S243" s="108"/>
      <c r="T243" s="108"/>
      <c r="U243" s="61"/>
    </row>
    <row r="244" spans="2:21">
      <c r="B244" s="292"/>
      <c r="C244" s="19">
        <v>1.2916666666666701</v>
      </c>
      <c r="D244" s="5">
        <v>222134</v>
      </c>
      <c r="E244" s="25">
        <v>524526</v>
      </c>
      <c r="F244" s="10">
        <v>1.2934000000000001</v>
      </c>
      <c r="G244" s="10">
        <v>0.88360000000000005</v>
      </c>
      <c r="H244" s="240"/>
      <c r="I244" s="9">
        <v>99560</v>
      </c>
      <c r="J244" s="9">
        <v>223561</v>
      </c>
      <c r="K244" s="9"/>
      <c r="L244" s="27">
        <v>84586</v>
      </c>
      <c r="M244" s="27">
        <v>61336</v>
      </c>
      <c r="N244" s="26"/>
      <c r="O244" s="106"/>
      <c r="P244" s="106"/>
      <c r="Q244" s="107"/>
      <c r="R244" s="107"/>
      <c r="S244" s="108"/>
      <c r="T244" s="108"/>
      <c r="U244" s="61"/>
    </row>
    <row r="245" spans="2:21">
      <c r="B245" s="293"/>
      <c r="C245" s="6"/>
      <c r="D245" s="13" cm="1">
        <f t="array" ref="D245">IFERROR(LOOKUP(2,1/(D220:D244&gt;0),D220:D244-D220),0)</f>
        <v>0</v>
      </c>
      <c r="E245" s="13" cm="1">
        <f t="array" ref="E245">IFERROR(LOOKUP(2,1/(E220:E244&gt;0),E220:E244-E220),0)</f>
        <v>0</v>
      </c>
      <c r="F245" s="13" cm="1">
        <f t="array" ref="F245">IFERROR(LOOKUP(2,1/(F220:F244&gt;0),F220:F244-F220),0)</f>
        <v>0</v>
      </c>
      <c r="G245" s="13" cm="1">
        <f t="array" ref="G245">IFERROR(LOOKUP(2,1/(G220:G244&gt;0),G220:G244-G220),0)</f>
        <v>0</v>
      </c>
      <c r="H245" s="13">
        <f>F245+G245</f>
        <v>0</v>
      </c>
      <c r="I245" s="13" cm="1">
        <f t="array" ref="I245">IFERROR(LOOKUP(2,1/(I220:I244&gt;0),I220:I244-I220),0)</f>
        <v>0</v>
      </c>
      <c r="J245" s="13" cm="1">
        <f t="array" ref="J245">IFERROR(LOOKUP(2,1/(J220:J244&gt;0),J220:J244-J220),0)</f>
        <v>0</v>
      </c>
      <c r="K245" s="13">
        <f>I245+J245</f>
        <v>0</v>
      </c>
      <c r="L245" s="13" cm="1">
        <f t="array" ref="L245">IFERROR(LOOKUP(2,1/(L220:L244&gt;0),L220:L244-L220),0)</f>
        <v>0</v>
      </c>
      <c r="M245" s="13" cm="1">
        <f t="array" ref="M245">IFERROR(LOOKUP(2,1/(M220:M244&gt;0),M220:M244-M220),0)</f>
        <v>0</v>
      </c>
      <c r="N245" s="13">
        <f>L245+M245</f>
        <v>0</v>
      </c>
      <c r="O245" s="109">
        <f t="shared" ref="O245:T245" si="15">IFERROR(AVERAGE(O220:O244),0)</f>
        <v>0</v>
      </c>
      <c r="P245" s="109">
        <f t="shared" si="15"/>
        <v>0</v>
      </c>
      <c r="Q245" s="109">
        <f t="shared" si="15"/>
        <v>0</v>
      </c>
      <c r="R245" s="109">
        <f t="shared" si="15"/>
        <v>0</v>
      </c>
      <c r="S245" s="109">
        <f t="shared" si="15"/>
        <v>0</v>
      </c>
      <c r="T245" s="109">
        <f t="shared" si="15"/>
        <v>0</v>
      </c>
      <c r="U245" s="4">
        <f>COUNT(U220:U244)</f>
        <v>0</v>
      </c>
    </row>
    <row r="246" spans="2:21">
      <c r="B246" s="291">
        <f t="shared" ref="B246" si="16">B220+1</f>
        <v>46032</v>
      </c>
      <c r="C246" s="19">
        <v>0.29166666666666669</v>
      </c>
      <c r="D246" s="5">
        <v>222134</v>
      </c>
      <c r="E246" s="25">
        <v>524526</v>
      </c>
      <c r="F246" s="10">
        <v>1.2934000000000001</v>
      </c>
      <c r="G246" s="10">
        <v>0.88360000000000005</v>
      </c>
      <c r="H246" s="240"/>
      <c r="I246" s="9">
        <v>99560</v>
      </c>
      <c r="J246" s="9">
        <v>223561</v>
      </c>
      <c r="K246" s="9"/>
      <c r="L246" s="27">
        <v>84586</v>
      </c>
      <c r="M246" s="27">
        <v>61336</v>
      </c>
      <c r="N246" s="26"/>
      <c r="O246" s="106"/>
      <c r="P246" s="106"/>
      <c r="Q246" s="107"/>
      <c r="R246" s="107"/>
      <c r="S246" s="108"/>
      <c r="T246" s="108"/>
      <c r="U246" s="61"/>
    </row>
    <row r="247" spans="2:21">
      <c r="B247" s="292"/>
      <c r="C247" s="19">
        <v>0.33333333333333298</v>
      </c>
      <c r="D247" s="5">
        <v>222134</v>
      </c>
      <c r="E247" s="25">
        <v>524526</v>
      </c>
      <c r="F247" s="10">
        <v>1.2934000000000001</v>
      </c>
      <c r="G247" s="10">
        <v>0.88360000000000005</v>
      </c>
      <c r="H247" s="240"/>
      <c r="I247" s="9">
        <v>99560</v>
      </c>
      <c r="J247" s="9">
        <v>223561</v>
      </c>
      <c r="K247" s="9"/>
      <c r="L247" s="27">
        <v>84586</v>
      </c>
      <c r="M247" s="27">
        <v>61336</v>
      </c>
      <c r="N247" s="26"/>
      <c r="O247" s="106"/>
      <c r="P247" s="106"/>
      <c r="Q247" s="107"/>
      <c r="R247" s="107"/>
      <c r="S247" s="108"/>
      <c r="T247" s="108"/>
      <c r="U247" s="61"/>
    </row>
    <row r="248" spans="2:21">
      <c r="B248" s="292"/>
      <c r="C248" s="19">
        <v>0.375</v>
      </c>
      <c r="D248" s="5">
        <v>222134</v>
      </c>
      <c r="E248" s="25">
        <v>524526</v>
      </c>
      <c r="F248" s="10">
        <v>1.2934000000000001</v>
      </c>
      <c r="G248" s="10">
        <v>0.88360000000000005</v>
      </c>
      <c r="H248" s="240"/>
      <c r="I248" s="9">
        <v>99560</v>
      </c>
      <c r="J248" s="9">
        <v>223561</v>
      </c>
      <c r="K248" s="9"/>
      <c r="L248" s="27">
        <v>84586</v>
      </c>
      <c r="M248" s="27">
        <v>61336</v>
      </c>
      <c r="N248" s="26"/>
      <c r="O248" s="106"/>
      <c r="P248" s="106"/>
      <c r="Q248" s="107"/>
      <c r="R248" s="107"/>
      <c r="S248" s="108"/>
      <c r="T248" s="108"/>
      <c r="U248" s="61"/>
    </row>
    <row r="249" spans="2:21">
      <c r="B249" s="292"/>
      <c r="C249" s="19">
        <v>0.41666666666666702</v>
      </c>
      <c r="D249" s="5">
        <v>222134</v>
      </c>
      <c r="E249" s="25">
        <v>524526</v>
      </c>
      <c r="F249" s="10">
        <v>1.2934000000000001</v>
      </c>
      <c r="G249" s="10">
        <v>0.88360000000000005</v>
      </c>
      <c r="H249" s="240"/>
      <c r="I249" s="9">
        <v>99560</v>
      </c>
      <c r="J249" s="9">
        <v>223561</v>
      </c>
      <c r="K249" s="9"/>
      <c r="L249" s="27">
        <v>84586</v>
      </c>
      <c r="M249" s="27">
        <v>61336</v>
      </c>
      <c r="N249" s="26"/>
      <c r="O249" s="106"/>
      <c r="P249" s="106"/>
      <c r="Q249" s="107"/>
      <c r="R249" s="107"/>
      <c r="S249" s="108"/>
      <c r="T249" s="108"/>
      <c r="U249" s="61"/>
    </row>
    <row r="250" spans="2:21">
      <c r="B250" s="292"/>
      <c r="C250" s="19">
        <v>0.45833333333333298</v>
      </c>
      <c r="D250" s="5">
        <v>222134</v>
      </c>
      <c r="E250" s="25">
        <v>524526</v>
      </c>
      <c r="F250" s="10">
        <v>1.2934000000000001</v>
      </c>
      <c r="G250" s="10">
        <v>0.88360000000000005</v>
      </c>
      <c r="H250" s="240"/>
      <c r="I250" s="9">
        <v>99560</v>
      </c>
      <c r="J250" s="9">
        <v>223561</v>
      </c>
      <c r="K250" s="9"/>
      <c r="L250" s="27">
        <v>84586</v>
      </c>
      <c r="M250" s="27">
        <v>61336</v>
      </c>
      <c r="N250" s="26"/>
      <c r="O250" s="106"/>
      <c r="P250" s="106"/>
      <c r="Q250" s="107"/>
      <c r="R250" s="107"/>
      <c r="S250" s="108"/>
      <c r="T250" s="108"/>
      <c r="U250" s="61"/>
    </row>
    <row r="251" spans="2:21">
      <c r="B251" s="292"/>
      <c r="C251" s="19">
        <v>0.5</v>
      </c>
      <c r="D251" s="5">
        <v>222134</v>
      </c>
      <c r="E251" s="25">
        <v>524526</v>
      </c>
      <c r="F251" s="10">
        <v>1.2934000000000001</v>
      </c>
      <c r="G251" s="10">
        <v>0.88360000000000005</v>
      </c>
      <c r="H251" s="240"/>
      <c r="I251" s="9">
        <v>99560</v>
      </c>
      <c r="J251" s="9">
        <v>223561</v>
      </c>
      <c r="K251" s="9"/>
      <c r="L251" s="27">
        <v>84586</v>
      </c>
      <c r="M251" s="27">
        <v>61336</v>
      </c>
      <c r="N251" s="26"/>
      <c r="O251" s="106"/>
      <c r="P251" s="106"/>
      <c r="Q251" s="107"/>
      <c r="R251" s="107"/>
      <c r="S251" s="108"/>
      <c r="T251" s="108"/>
      <c r="U251" s="61"/>
    </row>
    <row r="252" spans="2:21">
      <c r="B252" s="292"/>
      <c r="C252" s="19">
        <v>0.54166666666666696</v>
      </c>
      <c r="D252" s="5">
        <v>222134</v>
      </c>
      <c r="E252" s="25">
        <v>524526</v>
      </c>
      <c r="F252" s="10">
        <v>1.2934000000000001</v>
      </c>
      <c r="G252" s="10">
        <v>0.88360000000000005</v>
      </c>
      <c r="H252" s="240"/>
      <c r="I252" s="9">
        <v>99560</v>
      </c>
      <c r="J252" s="9">
        <v>223561</v>
      </c>
      <c r="K252" s="9"/>
      <c r="L252" s="27">
        <v>84586</v>
      </c>
      <c r="M252" s="27">
        <v>61336</v>
      </c>
      <c r="N252" s="26"/>
      <c r="O252" s="106"/>
      <c r="P252" s="106"/>
      <c r="Q252" s="107"/>
      <c r="R252" s="107"/>
      <c r="S252" s="108"/>
      <c r="T252" s="108"/>
      <c r="U252" s="61"/>
    </row>
    <row r="253" spans="2:21">
      <c r="B253" s="292"/>
      <c r="C253" s="19">
        <v>0.58333333333333304</v>
      </c>
      <c r="D253" s="5">
        <v>222134</v>
      </c>
      <c r="E253" s="25">
        <v>524526</v>
      </c>
      <c r="F253" s="10">
        <v>1.2934000000000001</v>
      </c>
      <c r="G253" s="10">
        <v>0.88360000000000005</v>
      </c>
      <c r="H253" s="240"/>
      <c r="I253" s="9">
        <v>99560</v>
      </c>
      <c r="J253" s="9">
        <v>223561</v>
      </c>
      <c r="K253" s="9"/>
      <c r="L253" s="27">
        <v>84586</v>
      </c>
      <c r="M253" s="27">
        <v>61336</v>
      </c>
      <c r="N253" s="26"/>
      <c r="O253" s="106"/>
      <c r="P253" s="106"/>
      <c r="Q253" s="107"/>
      <c r="R253" s="107"/>
      <c r="S253" s="108"/>
      <c r="T253" s="108"/>
      <c r="U253" s="65"/>
    </row>
    <row r="254" spans="2:21">
      <c r="B254" s="292"/>
      <c r="C254" s="19">
        <v>0.625</v>
      </c>
      <c r="D254" s="5">
        <v>222134</v>
      </c>
      <c r="E254" s="25">
        <v>524526</v>
      </c>
      <c r="F254" s="10">
        <v>1.2934000000000001</v>
      </c>
      <c r="G254" s="10">
        <v>0.88360000000000005</v>
      </c>
      <c r="H254" s="240"/>
      <c r="I254" s="9">
        <v>99560</v>
      </c>
      <c r="J254" s="9">
        <v>223561</v>
      </c>
      <c r="K254" s="9"/>
      <c r="L254" s="27">
        <v>84586</v>
      </c>
      <c r="M254" s="27">
        <v>61336</v>
      </c>
      <c r="N254" s="26"/>
      <c r="O254" s="106"/>
      <c r="P254" s="106"/>
      <c r="Q254" s="107"/>
      <c r="R254" s="107"/>
      <c r="S254" s="108"/>
      <c r="T254" s="108"/>
      <c r="U254" s="61"/>
    </row>
    <row r="255" spans="2:21">
      <c r="B255" s="292"/>
      <c r="C255" s="19">
        <v>0.66666666666666596</v>
      </c>
      <c r="D255" s="5">
        <v>222134</v>
      </c>
      <c r="E255" s="25">
        <v>524526</v>
      </c>
      <c r="F255" s="10">
        <v>1.2934000000000001</v>
      </c>
      <c r="G255" s="10">
        <v>0.88360000000000005</v>
      </c>
      <c r="H255" s="240"/>
      <c r="I255" s="9">
        <v>99560</v>
      </c>
      <c r="J255" s="9">
        <v>223561</v>
      </c>
      <c r="K255" s="9"/>
      <c r="L255" s="27">
        <v>84586</v>
      </c>
      <c r="M255" s="27">
        <v>61336</v>
      </c>
      <c r="N255" s="26"/>
      <c r="O255" s="106"/>
      <c r="P255" s="106"/>
      <c r="Q255" s="107"/>
      <c r="R255" s="107"/>
      <c r="S255" s="108"/>
      <c r="T255" s="108"/>
      <c r="U255" s="61"/>
    </row>
    <row r="256" spans="2:21">
      <c r="B256" s="292"/>
      <c r="C256" s="19">
        <v>0.70833333333333304</v>
      </c>
      <c r="D256" s="5">
        <v>222134</v>
      </c>
      <c r="E256" s="25">
        <v>524526</v>
      </c>
      <c r="F256" s="10">
        <v>1.2934000000000001</v>
      </c>
      <c r="G256" s="10">
        <v>0.88360000000000005</v>
      </c>
      <c r="H256" s="240"/>
      <c r="I256" s="9">
        <v>99560</v>
      </c>
      <c r="J256" s="9">
        <v>223561</v>
      </c>
      <c r="K256" s="9"/>
      <c r="L256" s="27">
        <v>84586</v>
      </c>
      <c r="M256" s="27">
        <v>61336</v>
      </c>
      <c r="N256" s="26"/>
      <c r="O256" s="106"/>
      <c r="P256" s="106"/>
      <c r="Q256" s="107"/>
      <c r="R256" s="107"/>
      <c r="S256" s="108"/>
      <c r="T256" s="108"/>
      <c r="U256" s="61"/>
    </row>
    <row r="257" spans="2:21">
      <c r="B257" s="292"/>
      <c r="C257" s="19">
        <v>0.75</v>
      </c>
      <c r="D257" s="5">
        <v>222134</v>
      </c>
      <c r="E257" s="25">
        <v>524526</v>
      </c>
      <c r="F257" s="10">
        <v>1.2934000000000001</v>
      </c>
      <c r="G257" s="10">
        <v>0.88360000000000005</v>
      </c>
      <c r="H257" s="240"/>
      <c r="I257" s="9">
        <v>99560</v>
      </c>
      <c r="J257" s="9">
        <v>223561</v>
      </c>
      <c r="K257" s="9"/>
      <c r="L257" s="27">
        <v>84586</v>
      </c>
      <c r="M257" s="27">
        <v>61336</v>
      </c>
      <c r="N257" s="26"/>
      <c r="O257" s="106"/>
      <c r="P257" s="106"/>
      <c r="Q257" s="107"/>
      <c r="R257" s="107"/>
      <c r="S257" s="108"/>
      <c r="T257" s="108"/>
      <c r="U257" s="61"/>
    </row>
    <row r="258" spans="2:21">
      <c r="B258" s="292"/>
      <c r="C258" s="19">
        <v>0.79166666666666596</v>
      </c>
      <c r="D258" s="5">
        <v>222134</v>
      </c>
      <c r="E258" s="25">
        <v>524526</v>
      </c>
      <c r="F258" s="10">
        <v>1.2934000000000001</v>
      </c>
      <c r="G258" s="10">
        <v>0.88360000000000005</v>
      </c>
      <c r="H258" s="240"/>
      <c r="I258" s="9">
        <v>99560</v>
      </c>
      <c r="J258" s="9">
        <v>223561</v>
      </c>
      <c r="K258" s="9"/>
      <c r="L258" s="27">
        <v>84586</v>
      </c>
      <c r="M258" s="27">
        <v>61336</v>
      </c>
      <c r="N258" s="26"/>
      <c r="O258" s="106"/>
      <c r="P258" s="106"/>
      <c r="Q258" s="107"/>
      <c r="R258" s="107"/>
      <c r="S258" s="108"/>
      <c r="T258" s="108"/>
      <c r="U258" s="61"/>
    </row>
    <row r="259" spans="2:21">
      <c r="B259" s="292"/>
      <c r="C259" s="19">
        <v>0.83333333333333304</v>
      </c>
      <c r="D259" s="5">
        <v>222134</v>
      </c>
      <c r="E259" s="25">
        <v>524526</v>
      </c>
      <c r="F259" s="10">
        <v>1.2934000000000001</v>
      </c>
      <c r="G259" s="10">
        <v>0.88360000000000005</v>
      </c>
      <c r="H259" s="240"/>
      <c r="I259" s="9">
        <v>99560</v>
      </c>
      <c r="J259" s="9">
        <v>223561</v>
      </c>
      <c r="K259" s="9"/>
      <c r="L259" s="27">
        <v>84586</v>
      </c>
      <c r="M259" s="27">
        <v>61336</v>
      </c>
      <c r="N259" s="26"/>
      <c r="O259" s="106"/>
      <c r="P259" s="106"/>
      <c r="Q259" s="107"/>
      <c r="R259" s="107"/>
      <c r="S259" s="108"/>
      <c r="T259" s="108"/>
      <c r="U259" s="61"/>
    </row>
    <row r="260" spans="2:21">
      <c r="B260" s="292"/>
      <c r="C260" s="19">
        <v>0.875</v>
      </c>
      <c r="D260" s="5">
        <v>222134</v>
      </c>
      <c r="E260" s="25">
        <v>524526</v>
      </c>
      <c r="F260" s="10">
        <v>1.2934000000000001</v>
      </c>
      <c r="G260" s="10">
        <v>0.88360000000000005</v>
      </c>
      <c r="H260" s="240"/>
      <c r="I260" s="9">
        <v>99560</v>
      </c>
      <c r="J260" s="9">
        <v>223561</v>
      </c>
      <c r="K260" s="9"/>
      <c r="L260" s="27">
        <v>84586</v>
      </c>
      <c r="M260" s="27">
        <v>61336</v>
      </c>
      <c r="N260" s="26"/>
      <c r="O260" s="106"/>
      <c r="P260" s="106"/>
      <c r="Q260" s="107"/>
      <c r="R260" s="107"/>
      <c r="S260" s="108"/>
      <c r="T260" s="108"/>
      <c r="U260" s="61"/>
    </row>
    <row r="261" spans="2:21">
      <c r="B261" s="292"/>
      <c r="C261" s="19">
        <v>0.91666666666666596</v>
      </c>
      <c r="D261" s="5">
        <v>222134</v>
      </c>
      <c r="E261" s="25">
        <v>524526</v>
      </c>
      <c r="F261" s="10">
        <v>1.2934000000000001</v>
      </c>
      <c r="G261" s="10">
        <v>0.88360000000000005</v>
      </c>
      <c r="H261" s="240"/>
      <c r="I261" s="9">
        <v>99560</v>
      </c>
      <c r="J261" s="9">
        <v>223561</v>
      </c>
      <c r="K261" s="9"/>
      <c r="L261" s="27">
        <v>84586</v>
      </c>
      <c r="M261" s="27">
        <v>61336</v>
      </c>
      <c r="N261" s="26"/>
      <c r="O261" s="106"/>
      <c r="P261" s="106"/>
      <c r="Q261" s="107"/>
      <c r="R261" s="107"/>
      <c r="S261" s="108"/>
      <c r="T261" s="108"/>
      <c r="U261" s="61"/>
    </row>
    <row r="262" spans="2:21">
      <c r="B262" s="292"/>
      <c r="C262" s="19">
        <v>0.95833333333333304</v>
      </c>
      <c r="D262" s="5">
        <v>222134</v>
      </c>
      <c r="E262" s="25">
        <v>524526</v>
      </c>
      <c r="F262" s="10">
        <v>1.2934000000000001</v>
      </c>
      <c r="G262" s="10">
        <v>0.88360000000000005</v>
      </c>
      <c r="H262" s="240"/>
      <c r="I262" s="9">
        <v>99560</v>
      </c>
      <c r="J262" s="9">
        <v>223561</v>
      </c>
      <c r="K262" s="9"/>
      <c r="L262" s="27">
        <v>84586</v>
      </c>
      <c r="M262" s="27">
        <v>61336</v>
      </c>
      <c r="N262" s="26"/>
      <c r="O262" s="106"/>
      <c r="P262" s="106"/>
      <c r="Q262" s="107"/>
      <c r="R262" s="107"/>
      <c r="S262" s="108"/>
      <c r="T262" s="108"/>
      <c r="U262" s="61"/>
    </row>
    <row r="263" spans="2:21">
      <c r="B263" s="292"/>
      <c r="C263" s="19">
        <v>1</v>
      </c>
      <c r="D263" s="5">
        <v>222134</v>
      </c>
      <c r="E263" s="25">
        <v>524526</v>
      </c>
      <c r="F263" s="10">
        <v>1.2934000000000001</v>
      </c>
      <c r="G263" s="10">
        <v>0.88360000000000005</v>
      </c>
      <c r="H263" s="240"/>
      <c r="I263" s="9">
        <v>99560</v>
      </c>
      <c r="J263" s="9">
        <v>223561</v>
      </c>
      <c r="K263" s="9"/>
      <c r="L263" s="27">
        <v>84586</v>
      </c>
      <c r="M263" s="27">
        <v>61336</v>
      </c>
      <c r="N263" s="26"/>
      <c r="O263" s="63"/>
      <c r="P263" s="63"/>
      <c r="Q263" s="62"/>
      <c r="R263" s="62"/>
      <c r="S263" s="64"/>
      <c r="T263" s="64"/>
      <c r="U263" s="61"/>
    </row>
    <row r="264" spans="2:21">
      <c r="B264" s="292"/>
      <c r="C264" s="19">
        <v>1.0416666666666701</v>
      </c>
      <c r="D264" s="5">
        <v>222134</v>
      </c>
      <c r="E264" s="25">
        <v>524526</v>
      </c>
      <c r="F264" s="10">
        <v>1.2934000000000001</v>
      </c>
      <c r="G264" s="10">
        <v>0.88360000000000005</v>
      </c>
      <c r="H264" s="240"/>
      <c r="I264" s="9">
        <v>99560</v>
      </c>
      <c r="J264" s="9">
        <v>223561</v>
      </c>
      <c r="K264" s="9"/>
      <c r="L264" s="27">
        <v>84586</v>
      </c>
      <c r="M264" s="27">
        <v>61336</v>
      </c>
      <c r="N264" s="26"/>
      <c r="O264" s="63"/>
      <c r="P264" s="63"/>
      <c r="Q264" s="62"/>
      <c r="R264" s="62"/>
      <c r="S264" s="64"/>
      <c r="T264" s="64"/>
      <c r="U264" s="61"/>
    </row>
    <row r="265" spans="2:21">
      <c r="B265" s="292"/>
      <c r="C265" s="19">
        <v>1.0833333333333399</v>
      </c>
      <c r="D265" s="5">
        <v>222134</v>
      </c>
      <c r="E265" s="25">
        <v>524526</v>
      </c>
      <c r="F265" s="10">
        <v>1.2934000000000001</v>
      </c>
      <c r="G265" s="10">
        <v>0.88360000000000005</v>
      </c>
      <c r="H265" s="240"/>
      <c r="I265" s="9">
        <v>99560</v>
      </c>
      <c r="J265" s="9">
        <v>223561</v>
      </c>
      <c r="K265" s="9"/>
      <c r="L265" s="27">
        <v>84586</v>
      </c>
      <c r="M265" s="27">
        <v>61336</v>
      </c>
      <c r="N265" s="26"/>
      <c r="O265" s="63"/>
      <c r="P265" s="63"/>
      <c r="Q265" s="62"/>
      <c r="R265" s="62"/>
      <c r="S265" s="64"/>
      <c r="T265" s="64"/>
      <c r="U265" s="61"/>
    </row>
    <row r="266" spans="2:21">
      <c r="B266" s="292"/>
      <c r="C266" s="19">
        <v>1.125</v>
      </c>
      <c r="D266" s="5">
        <v>222134</v>
      </c>
      <c r="E266" s="25">
        <v>524526</v>
      </c>
      <c r="F266" s="10">
        <v>1.2934000000000001</v>
      </c>
      <c r="G266" s="10">
        <v>0.88360000000000005</v>
      </c>
      <c r="H266" s="240"/>
      <c r="I266" s="9">
        <v>99560</v>
      </c>
      <c r="J266" s="9">
        <v>223561</v>
      </c>
      <c r="K266" s="9"/>
      <c r="L266" s="27">
        <v>84586</v>
      </c>
      <c r="M266" s="27">
        <v>61336</v>
      </c>
      <c r="N266" s="26"/>
      <c r="O266" s="63"/>
      <c r="P266" s="63"/>
      <c r="Q266" s="62"/>
      <c r="R266" s="62"/>
      <c r="S266" s="64"/>
      <c r="T266" s="64"/>
      <c r="U266" s="61"/>
    </row>
    <row r="267" spans="2:21">
      <c r="B267" s="292"/>
      <c r="C267" s="19">
        <v>1.1666666666666701</v>
      </c>
      <c r="D267" s="5">
        <v>222134</v>
      </c>
      <c r="E267" s="25">
        <v>524526</v>
      </c>
      <c r="F267" s="10">
        <v>1.2934000000000001</v>
      </c>
      <c r="G267" s="10">
        <v>0.88360000000000005</v>
      </c>
      <c r="H267" s="240"/>
      <c r="I267" s="9">
        <v>99560</v>
      </c>
      <c r="J267" s="9">
        <v>223561</v>
      </c>
      <c r="K267" s="9"/>
      <c r="L267" s="27">
        <v>84586</v>
      </c>
      <c r="M267" s="27">
        <v>61336</v>
      </c>
      <c r="N267" s="26"/>
      <c r="O267" s="106"/>
      <c r="P267" s="106"/>
      <c r="Q267" s="107"/>
      <c r="R267" s="107"/>
      <c r="S267" s="108"/>
      <c r="T267" s="108"/>
      <c r="U267" s="61"/>
    </row>
    <row r="268" spans="2:21">
      <c r="B268" s="292"/>
      <c r="C268" s="19">
        <v>1.2083333333333399</v>
      </c>
      <c r="D268" s="5">
        <v>222134</v>
      </c>
      <c r="E268" s="25">
        <v>524526</v>
      </c>
      <c r="F268" s="10">
        <v>1.2934000000000001</v>
      </c>
      <c r="G268" s="10">
        <v>0.88360000000000005</v>
      </c>
      <c r="H268" s="240"/>
      <c r="I268" s="9">
        <v>99560</v>
      </c>
      <c r="J268" s="9">
        <v>223561</v>
      </c>
      <c r="K268" s="9"/>
      <c r="L268" s="27">
        <v>84586</v>
      </c>
      <c r="M268" s="27">
        <v>61336</v>
      </c>
      <c r="N268" s="26"/>
      <c r="O268" s="106"/>
      <c r="P268" s="106"/>
      <c r="Q268" s="107"/>
      <c r="R268" s="107"/>
      <c r="S268" s="108"/>
      <c r="T268" s="108"/>
      <c r="U268" s="61"/>
    </row>
    <row r="269" spans="2:21">
      <c r="B269" s="292"/>
      <c r="C269" s="19">
        <v>1.25</v>
      </c>
      <c r="D269" s="5">
        <v>222134</v>
      </c>
      <c r="E269" s="25">
        <v>524526</v>
      </c>
      <c r="F269" s="10">
        <v>1.2934000000000001</v>
      </c>
      <c r="G269" s="10">
        <v>0.88360000000000005</v>
      </c>
      <c r="H269" s="240"/>
      <c r="I269" s="9">
        <v>99560</v>
      </c>
      <c r="J269" s="9">
        <v>223561</v>
      </c>
      <c r="K269" s="9"/>
      <c r="L269" s="27">
        <v>84586</v>
      </c>
      <c r="M269" s="27">
        <v>61336</v>
      </c>
      <c r="N269" s="26"/>
      <c r="O269" s="106"/>
      <c r="P269" s="106"/>
      <c r="Q269" s="107"/>
      <c r="R269" s="107"/>
      <c r="S269" s="108"/>
      <c r="T269" s="108"/>
      <c r="U269" s="61"/>
    </row>
    <row r="270" spans="2:21">
      <c r="B270" s="292"/>
      <c r="C270" s="19">
        <v>1.2916666666666701</v>
      </c>
      <c r="D270" s="5">
        <v>222134</v>
      </c>
      <c r="E270" s="25">
        <v>524526</v>
      </c>
      <c r="F270" s="10">
        <v>1.2934000000000001</v>
      </c>
      <c r="G270" s="10">
        <v>0.88360000000000005</v>
      </c>
      <c r="H270" s="240"/>
      <c r="I270" s="9">
        <v>99560</v>
      </c>
      <c r="J270" s="9">
        <v>223561</v>
      </c>
      <c r="K270" s="9"/>
      <c r="L270" s="27">
        <v>84586</v>
      </c>
      <c r="M270" s="27">
        <v>61336</v>
      </c>
      <c r="N270" s="26"/>
      <c r="O270" s="106"/>
      <c r="P270" s="106"/>
      <c r="Q270" s="107"/>
      <c r="R270" s="107"/>
      <c r="S270" s="108"/>
      <c r="T270" s="108"/>
      <c r="U270" s="61"/>
    </row>
    <row r="271" spans="2:21">
      <c r="B271" s="293"/>
      <c r="C271" s="6"/>
      <c r="D271" s="13" cm="1">
        <f t="array" ref="D271">IFERROR(LOOKUP(2,1/(D246:D270&gt;0),D246:D270-D246),0)</f>
        <v>0</v>
      </c>
      <c r="E271" s="13" cm="1">
        <f t="array" ref="E271">IFERROR(LOOKUP(2,1/(E246:E270&gt;0),E246:E270-E246),0)</f>
        <v>0</v>
      </c>
      <c r="F271" s="13" cm="1">
        <f t="array" ref="F271">IFERROR(LOOKUP(2,1/(F246:F270&gt;0),F246:F270-F246),0)</f>
        <v>0</v>
      </c>
      <c r="G271" s="13" cm="1">
        <f t="array" ref="G271">IFERROR(LOOKUP(2,1/(G246:G270&gt;0),G246:G270-G246),0)</f>
        <v>0</v>
      </c>
      <c r="H271" s="13">
        <f>F271+G271</f>
        <v>0</v>
      </c>
      <c r="I271" s="13" cm="1">
        <f t="array" ref="I271">IFERROR(LOOKUP(2,1/(I246:I270&gt;0),I246:I270-I246),0)</f>
        <v>0</v>
      </c>
      <c r="J271" s="13" cm="1">
        <f t="array" ref="J271">IFERROR(LOOKUP(2,1/(J246:J270&gt;0),J246:J270-J246),0)</f>
        <v>0</v>
      </c>
      <c r="K271" s="13">
        <f>I271+J271</f>
        <v>0</v>
      </c>
      <c r="L271" s="13" cm="1">
        <f t="array" ref="L271">IFERROR(LOOKUP(2,1/(L246:L270&gt;0),L246:L270-L246),0)</f>
        <v>0</v>
      </c>
      <c r="M271" s="13" cm="1">
        <f t="array" ref="M271">IFERROR(LOOKUP(2,1/(M246:M270&gt;0),M246:M270-M246),0)</f>
        <v>0</v>
      </c>
      <c r="N271" s="13">
        <f>L271+M271</f>
        <v>0</v>
      </c>
      <c r="O271" s="109">
        <f t="shared" ref="O271:T271" si="17">IFERROR(AVERAGE(O246:O270),0)</f>
        <v>0</v>
      </c>
      <c r="P271" s="109">
        <f t="shared" si="17"/>
        <v>0</v>
      </c>
      <c r="Q271" s="109">
        <f t="shared" si="17"/>
        <v>0</v>
      </c>
      <c r="R271" s="109">
        <f t="shared" si="17"/>
        <v>0</v>
      </c>
      <c r="S271" s="109">
        <f t="shared" si="17"/>
        <v>0</v>
      </c>
      <c r="T271" s="109">
        <f t="shared" si="17"/>
        <v>0</v>
      </c>
      <c r="U271" s="4">
        <f>COUNT(U246:U270)</f>
        <v>0</v>
      </c>
    </row>
    <row r="272" spans="2:21">
      <c r="B272" s="291">
        <f t="shared" ref="B272" si="18">B246+1</f>
        <v>46033</v>
      </c>
      <c r="C272" s="19">
        <v>0.29166666666666669</v>
      </c>
      <c r="D272" s="5">
        <v>222134</v>
      </c>
      <c r="E272" s="25">
        <v>524526</v>
      </c>
      <c r="F272" s="10">
        <v>1.2934000000000001</v>
      </c>
      <c r="G272" s="10">
        <v>0.88360000000000005</v>
      </c>
      <c r="H272" s="240"/>
      <c r="I272" s="9">
        <v>99560</v>
      </c>
      <c r="J272" s="9">
        <v>223561</v>
      </c>
      <c r="K272" s="9"/>
      <c r="L272" s="27">
        <v>84586</v>
      </c>
      <c r="M272" s="27">
        <v>61336</v>
      </c>
      <c r="N272" s="26"/>
      <c r="O272" s="106"/>
      <c r="P272" s="106"/>
      <c r="Q272" s="107"/>
      <c r="R272" s="107"/>
      <c r="S272" s="108"/>
      <c r="T272" s="108"/>
      <c r="U272" s="61"/>
    </row>
    <row r="273" spans="2:21">
      <c r="B273" s="292"/>
      <c r="C273" s="19">
        <v>0.33333333333333298</v>
      </c>
      <c r="D273" s="5">
        <v>222134</v>
      </c>
      <c r="E273" s="25">
        <v>524526</v>
      </c>
      <c r="F273" s="10">
        <v>1.2934000000000001</v>
      </c>
      <c r="G273" s="10">
        <v>0.88360000000000005</v>
      </c>
      <c r="H273" s="240"/>
      <c r="I273" s="9">
        <v>99560</v>
      </c>
      <c r="J273" s="9">
        <v>223561</v>
      </c>
      <c r="K273" s="9"/>
      <c r="L273" s="27">
        <v>84586</v>
      </c>
      <c r="M273" s="27">
        <v>61336</v>
      </c>
      <c r="N273" s="26"/>
      <c r="O273" s="106"/>
      <c r="P273" s="106"/>
      <c r="Q273" s="107"/>
      <c r="R273" s="107"/>
      <c r="S273" s="108"/>
      <c r="T273" s="108"/>
      <c r="U273" s="61"/>
    </row>
    <row r="274" spans="2:21">
      <c r="B274" s="292"/>
      <c r="C274" s="19">
        <v>0.375</v>
      </c>
      <c r="D274" s="5">
        <v>222134</v>
      </c>
      <c r="E274" s="25">
        <v>524526</v>
      </c>
      <c r="F274" s="10">
        <v>1.2934000000000001</v>
      </c>
      <c r="G274" s="10">
        <v>0.88360000000000005</v>
      </c>
      <c r="H274" s="240"/>
      <c r="I274" s="9">
        <v>99560</v>
      </c>
      <c r="J274" s="9">
        <v>223561</v>
      </c>
      <c r="K274" s="9"/>
      <c r="L274" s="27">
        <v>84586</v>
      </c>
      <c r="M274" s="27">
        <v>61336</v>
      </c>
      <c r="N274" s="26"/>
      <c r="O274" s="106"/>
      <c r="P274" s="106"/>
      <c r="Q274" s="107"/>
      <c r="R274" s="107"/>
      <c r="S274" s="108"/>
      <c r="T274" s="108"/>
      <c r="U274" s="61"/>
    </row>
    <row r="275" spans="2:21">
      <c r="B275" s="292"/>
      <c r="C275" s="19">
        <v>0.41666666666666702</v>
      </c>
      <c r="D275" s="5">
        <v>222134</v>
      </c>
      <c r="E275" s="25">
        <v>524526</v>
      </c>
      <c r="F275" s="10">
        <v>1.2934000000000001</v>
      </c>
      <c r="G275" s="10">
        <v>0.88360000000000005</v>
      </c>
      <c r="H275" s="240"/>
      <c r="I275" s="9">
        <v>99560</v>
      </c>
      <c r="J275" s="9">
        <v>223561</v>
      </c>
      <c r="K275" s="9"/>
      <c r="L275" s="27">
        <v>84586</v>
      </c>
      <c r="M275" s="27">
        <v>61336</v>
      </c>
      <c r="N275" s="26"/>
      <c r="O275" s="106"/>
      <c r="P275" s="106"/>
      <c r="Q275" s="107"/>
      <c r="R275" s="107"/>
      <c r="S275" s="108"/>
      <c r="T275" s="108"/>
      <c r="U275" s="61"/>
    </row>
    <row r="276" spans="2:21">
      <c r="B276" s="292"/>
      <c r="C276" s="19">
        <v>0.45833333333333298</v>
      </c>
      <c r="D276" s="5">
        <v>222134</v>
      </c>
      <c r="E276" s="25">
        <v>524526</v>
      </c>
      <c r="F276" s="10">
        <v>1.2934000000000001</v>
      </c>
      <c r="G276" s="10">
        <v>0.88360000000000005</v>
      </c>
      <c r="H276" s="240"/>
      <c r="I276" s="9">
        <v>99560</v>
      </c>
      <c r="J276" s="9">
        <v>223561</v>
      </c>
      <c r="K276" s="9"/>
      <c r="L276" s="27">
        <v>84586</v>
      </c>
      <c r="M276" s="27">
        <v>61336</v>
      </c>
      <c r="N276" s="26"/>
      <c r="O276" s="106"/>
      <c r="P276" s="106"/>
      <c r="Q276" s="107"/>
      <c r="R276" s="107"/>
      <c r="S276" s="108"/>
      <c r="T276" s="108"/>
      <c r="U276" s="61"/>
    </row>
    <row r="277" spans="2:21">
      <c r="B277" s="292"/>
      <c r="C277" s="19">
        <v>0.5</v>
      </c>
      <c r="D277" s="5">
        <v>222134</v>
      </c>
      <c r="E277" s="25">
        <v>524526</v>
      </c>
      <c r="F277" s="10">
        <v>1.2934000000000001</v>
      </c>
      <c r="G277" s="10">
        <v>0.88360000000000005</v>
      </c>
      <c r="H277" s="240"/>
      <c r="I277" s="9">
        <v>99560</v>
      </c>
      <c r="J277" s="9">
        <v>223561</v>
      </c>
      <c r="K277" s="9"/>
      <c r="L277" s="27">
        <v>84586</v>
      </c>
      <c r="M277" s="27">
        <v>61336</v>
      </c>
      <c r="N277" s="26"/>
      <c r="O277" s="106"/>
      <c r="P277" s="106"/>
      <c r="Q277" s="107"/>
      <c r="R277" s="107"/>
      <c r="S277" s="108"/>
      <c r="T277" s="108"/>
      <c r="U277" s="61"/>
    </row>
    <row r="278" spans="2:21">
      <c r="B278" s="292"/>
      <c r="C278" s="19">
        <v>0.54166666666666696</v>
      </c>
      <c r="D278" s="5">
        <v>222134</v>
      </c>
      <c r="E278" s="25">
        <v>524526</v>
      </c>
      <c r="F278" s="10">
        <v>1.2934000000000001</v>
      </c>
      <c r="G278" s="10">
        <v>0.88360000000000005</v>
      </c>
      <c r="H278" s="240"/>
      <c r="I278" s="9">
        <v>99560</v>
      </c>
      <c r="J278" s="9">
        <v>223561</v>
      </c>
      <c r="K278" s="9"/>
      <c r="L278" s="27">
        <v>84586</v>
      </c>
      <c r="M278" s="27">
        <v>61336</v>
      </c>
      <c r="N278" s="26"/>
      <c r="O278" s="106"/>
      <c r="P278" s="106"/>
      <c r="Q278" s="107"/>
      <c r="R278" s="107"/>
      <c r="S278" s="108"/>
      <c r="T278" s="108"/>
      <c r="U278" s="61"/>
    </row>
    <row r="279" spans="2:21">
      <c r="B279" s="292"/>
      <c r="C279" s="19">
        <v>0.58333333333333304</v>
      </c>
      <c r="D279" s="5">
        <v>222134</v>
      </c>
      <c r="E279" s="25">
        <v>524526</v>
      </c>
      <c r="F279" s="10">
        <v>1.2934000000000001</v>
      </c>
      <c r="G279" s="10">
        <v>0.88360000000000005</v>
      </c>
      <c r="H279" s="240"/>
      <c r="I279" s="9">
        <v>99560</v>
      </c>
      <c r="J279" s="9">
        <v>223561</v>
      </c>
      <c r="K279" s="9"/>
      <c r="L279" s="27">
        <v>84586</v>
      </c>
      <c r="M279" s="27">
        <v>61336</v>
      </c>
      <c r="N279" s="26"/>
      <c r="O279" s="106"/>
      <c r="P279" s="106"/>
      <c r="Q279" s="107"/>
      <c r="R279" s="107"/>
      <c r="S279" s="108"/>
      <c r="T279" s="108"/>
      <c r="U279" s="65"/>
    </row>
    <row r="280" spans="2:21">
      <c r="B280" s="292"/>
      <c r="C280" s="19">
        <v>0.625</v>
      </c>
      <c r="D280" s="5">
        <v>222134</v>
      </c>
      <c r="E280" s="25">
        <v>524526</v>
      </c>
      <c r="F280" s="10">
        <v>1.2934000000000001</v>
      </c>
      <c r="G280" s="10">
        <v>0.88360000000000005</v>
      </c>
      <c r="H280" s="240"/>
      <c r="I280" s="9">
        <v>99560</v>
      </c>
      <c r="J280" s="9">
        <v>223561</v>
      </c>
      <c r="K280" s="9"/>
      <c r="L280" s="27">
        <v>84586</v>
      </c>
      <c r="M280" s="27">
        <v>61336</v>
      </c>
      <c r="N280" s="26"/>
      <c r="O280" s="106"/>
      <c r="P280" s="106"/>
      <c r="Q280" s="107"/>
      <c r="R280" s="107"/>
      <c r="S280" s="108"/>
      <c r="T280" s="108"/>
      <c r="U280" s="61"/>
    </row>
    <row r="281" spans="2:21">
      <c r="B281" s="292"/>
      <c r="C281" s="19">
        <v>0.66666666666666596</v>
      </c>
      <c r="D281" s="5">
        <v>222134</v>
      </c>
      <c r="E281" s="25">
        <v>524526</v>
      </c>
      <c r="F281" s="10">
        <v>1.2934000000000001</v>
      </c>
      <c r="G281" s="10">
        <v>0.88360000000000005</v>
      </c>
      <c r="H281" s="240"/>
      <c r="I281" s="9">
        <v>99560</v>
      </c>
      <c r="J281" s="9">
        <v>223561</v>
      </c>
      <c r="K281" s="9"/>
      <c r="L281" s="27">
        <v>84586</v>
      </c>
      <c r="M281" s="27">
        <v>61336</v>
      </c>
      <c r="N281" s="26"/>
      <c r="O281" s="106"/>
      <c r="P281" s="106"/>
      <c r="Q281" s="107"/>
      <c r="R281" s="107"/>
      <c r="S281" s="108"/>
      <c r="T281" s="108"/>
      <c r="U281" s="61"/>
    </row>
    <row r="282" spans="2:21">
      <c r="B282" s="292"/>
      <c r="C282" s="19">
        <v>0.70833333333333304</v>
      </c>
      <c r="D282" s="5">
        <v>222134</v>
      </c>
      <c r="E282" s="25">
        <v>524526</v>
      </c>
      <c r="F282" s="10">
        <v>1.2934000000000001</v>
      </c>
      <c r="G282" s="10">
        <v>0.88360000000000005</v>
      </c>
      <c r="H282" s="240"/>
      <c r="I282" s="9">
        <v>99560</v>
      </c>
      <c r="J282" s="9">
        <v>223561</v>
      </c>
      <c r="K282" s="9"/>
      <c r="L282" s="27">
        <v>84586</v>
      </c>
      <c r="M282" s="27">
        <v>61336</v>
      </c>
      <c r="N282" s="26"/>
      <c r="O282" s="106"/>
      <c r="P282" s="106"/>
      <c r="Q282" s="107"/>
      <c r="R282" s="107"/>
      <c r="S282" s="108"/>
      <c r="T282" s="108"/>
      <c r="U282" s="61"/>
    </row>
    <row r="283" spans="2:21">
      <c r="B283" s="292"/>
      <c r="C283" s="19">
        <v>0.75</v>
      </c>
      <c r="D283" s="5">
        <v>222134</v>
      </c>
      <c r="E283" s="25">
        <v>524526</v>
      </c>
      <c r="F283" s="10">
        <v>1.2934000000000001</v>
      </c>
      <c r="G283" s="10">
        <v>0.88360000000000005</v>
      </c>
      <c r="H283" s="240"/>
      <c r="I283" s="9">
        <v>99560</v>
      </c>
      <c r="J283" s="9">
        <v>223561</v>
      </c>
      <c r="K283" s="9"/>
      <c r="L283" s="27">
        <v>84586</v>
      </c>
      <c r="M283" s="27">
        <v>61336</v>
      </c>
      <c r="N283" s="26"/>
      <c r="O283" s="106"/>
      <c r="P283" s="106"/>
      <c r="Q283" s="107"/>
      <c r="R283" s="107"/>
      <c r="S283" s="108"/>
      <c r="T283" s="108"/>
      <c r="U283" s="61"/>
    </row>
    <row r="284" spans="2:21">
      <c r="B284" s="292"/>
      <c r="C284" s="19">
        <v>0.79166666666666596</v>
      </c>
      <c r="D284" s="5">
        <v>222134</v>
      </c>
      <c r="E284" s="25">
        <v>524526</v>
      </c>
      <c r="F284" s="10">
        <v>1.2934000000000001</v>
      </c>
      <c r="G284" s="10">
        <v>0.88360000000000005</v>
      </c>
      <c r="H284" s="240"/>
      <c r="I284" s="9">
        <v>99560</v>
      </c>
      <c r="J284" s="9">
        <v>223561</v>
      </c>
      <c r="K284" s="9"/>
      <c r="L284" s="27">
        <v>84586</v>
      </c>
      <c r="M284" s="27">
        <v>61336</v>
      </c>
      <c r="N284" s="26"/>
      <c r="O284" s="106"/>
      <c r="P284" s="106"/>
      <c r="Q284" s="107"/>
      <c r="R284" s="107"/>
      <c r="S284" s="108"/>
      <c r="T284" s="108"/>
      <c r="U284" s="61"/>
    </row>
    <row r="285" spans="2:21">
      <c r="B285" s="292"/>
      <c r="C285" s="19">
        <v>0.83333333333333304</v>
      </c>
      <c r="D285" s="5">
        <v>222134</v>
      </c>
      <c r="E285" s="25">
        <v>524526</v>
      </c>
      <c r="F285" s="10">
        <v>1.2934000000000001</v>
      </c>
      <c r="G285" s="10">
        <v>0.88360000000000005</v>
      </c>
      <c r="H285" s="240"/>
      <c r="I285" s="9">
        <v>99560</v>
      </c>
      <c r="J285" s="9">
        <v>223561</v>
      </c>
      <c r="K285" s="9"/>
      <c r="L285" s="27">
        <v>84586</v>
      </c>
      <c r="M285" s="27">
        <v>61336</v>
      </c>
      <c r="N285" s="26"/>
      <c r="O285" s="106"/>
      <c r="P285" s="106"/>
      <c r="Q285" s="107"/>
      <c r="R285" s="107"/>
      <c r="S285" s="108"/>
      <c r="T285" s="108"/>
      <c r="U285" s="61"/>
    </row>
    <row r="286" spans="2:21">
      <c r="B286" s="292"/>
      <c r="C286" s="19">
        <v>0.875</v>
      </c>
      <c r="D286" s="5">
        <v>222134</v>
      </c>
      <c r="E286" s="25">
        <v>524526</v>
      </c>
      <c r="F286" s="10">
        <v>1.2934000000000001</v>
      </c>
      <c r="G286" s="10">
        <v>0.88360000000000005</v>
      </c>
      <c r="H286" s="240"/>
      <c r="I286" s="9">
        <v>99560</v>
      </c>
      <c r="J286" s="9">
        <v>223561</v>
      </c>
      <c r="K286" s="9"/>
      <c r="L286" s="27">
        <v>84586</v>
      </c>
      <c r="M286" s="27">
        <v>61336</v>
      </c>
      <c r="N286" s="26"/>
      <c r="O286" s="106"/>
      <c r="P286" s="106"/>
      <c r="Q286" s="107"/>
      <c r="R286" s="107"/>
      <c r="S286" s="108"/>
      <c r="T286" s="108"/>
      <c r="U286" s="61"/>
    </row>
    <row r="287" spans="2:21">
      <c r="B287" s="292"/>
      <c r="C287" s="19">
        <v>0.91666666666666596</v>
      </c>
      <c r="D287" s="5">
        <v>222134</v>
      </c>
      <c r="E287" s="25">
        <v>524526</v>
      </c>
      <c r="F287" s="10">
        <v>1.2934000000000001</v>
      </c>
      <c r="G287" s="10">
        <v>0.88360000000000005</v>
      </c>
      <c r="H287" s="240"/>
      <c r="I287" s="9">
        <v>99560</v>
      </c>
      <c r="J287" s="9">
        <v>223561</v>
      </c>
      <c r="K287" s="9"/>
      <c r="L287" s="27">
        <v>84586</v>
      </c>
      <c r="M287" s="27">
        <v>61336</v>
      </c>
      <c r="N287" s="26"/>
      <c r="O287" s="106"/>
      <c r="P287" s="106"/>
      <c r="Q287" s="107"/>
      <c r="R287" s="107"/>
      <c r="S287" s="108"/>
      <c r="T287" s="108"/>
      <c r="U287" s="61"/>
    </row>
    <row r="288" spans="2:21">
      <c r="B288" s="292"/>
      <c r="C288" s="19">
        <v>0.95833333333333304</v>
      </c>
      <c r="D288" s="5">
        <v>222134</v>
      </c>
      <c r="E288" s="25">
        <v>524526</v>
      </c>
      <c r="F288" s="10">
        <v>1.2934000000000001</v>
      </c>
      <c r="G288" s="10">
        <v>0.88360000000000005</v>
      </c>
      <c r="H288" s="240"/>
      <c r="I288" s="9">
        <v>99560</v>
      </c>
      <c r="J288" s="9">
        <v>223561</v>
      </c>
      <c r="K288" s="9"/>
      <c r="L288" s="27">
        <v>84586</v>
      </c>
      <c r="M288" s="27">
        <v>61336</v>
      </c>
      <c r="N288" s="26"/>
      <c r="O288" s="106"/>
      <c r="P288" s="106"/>
      <c r="Q288" s="107"/>
      <c r="R288" s="107"/>
      <c r="S288" s="108"/>
      <c r="T288" s="108"/>
      <c r="U288" s="61"/>
    </row>
    <row r="289" spans="2:21">
      <c r="B289" s="292"/>
      <c r="C289" s="19">
        <v>1</v>
      </c>
      <c r="D289" s="5">
        <v>222134</v>
      </c>
      <c r="E289" s="25">
        <v>524526</v>
      </c>
      <c r="F289" s="10">
        <v>1.2934000000000001</v>
      </c>
      <c r="G289" s="10">
        <v>0.88360000000000005</v>
      </c>
      <c r="H289" s="240"/>
      <c r="I289" s="9">
        <v>99560</v>
      </c>
      <c r="J289" s="9">
        <v>223561</v>
      </c>
      <c r="K289" s="9"/>
      <c r="L289" s="27">
        <v>84586</v>
      </c>
      <c r="M289" s="27">
        <v>61336</v>
      </c>
      <c r="N289" s="26"/>
      <c r="O289" s="63"/>
      <c r="P289" s="63"/>
      <c r="Q289" s="62"/>
      <c r="R289" s="62"/>
      <c r="S289" s="64"/>
      <c r="T289" s="64"/>
      <c r="U289" s="61"/>
    </row>
    <row r="290" spans="2:21">
      <c r="B290" s="292"/>
      <c r="C290" s="19">
        <v>1.0416666666666701</v>
      </c>
      <c r="D290" s="5">
        <v>222134</v>
      </c>
      <c r="E290" s="25">
        <v>524526</v>
      </c>
      <c r="F290" s="10">
        <v>1.2934000000000001</v>
      </c>
      <c r="G290" s="10">
        <v>0.88360000000000005</v>
      </c>
      <c r="H290" s="240"/>
      <c r="I290" s="9">
        <v>99560</v>
      </c>
      <c r="J290" s="9">
        <v>223561</v>
      </c>
      <c r="K290" s="9"/>
      <c r="L290" s="27">
        <v>84586</v>
      </c>
      <c r="M290" s="27">
        <v>61336</v>
      </c>
      <c r="N290" s="26"/>
      <c r="O290" s="63"/>
      <c r="P290" s="63"/>
      <c r="Q290" s="62"/>
      <c r="R290" s="62"/>
      <c r="S290" s="64"/>
      <c r="T290" s="64"/>
      <c r="U290" s="61"/>
    </row>
    <row r="291" spans="2:21">
      <c r="B291" s="292"/>
      <c r="C291" s="19">
        <v>1.0833333333333399</v>
      </c>
      <c r="D291" s="5">
        <v>222134</v>
      </c>
      <c r="E291" s="25">
        <v>524526</v>
      </c>
      <c r="F291" s="10">
        <v>1.2934000000000001</v>
      </c>
      <c r="G291" s="10">
        <v>0.88360000000000005</v>
      </c>
      <c r="H291" s="240"/>
      <c r="I291" s="9">
        <v>99560</v>
      </c>
      <c r="J291" s="9">
        <v>223561</v>
      </c>
      <c r="K291" s="9"/>
      <c r="L291" s="27">
        <v>84586</v>
      </c>
      <c r="M291" s="27">
        <v>61336</v>
      </c>
      <c r="N291" s="26"/>
      <c r="O291" s="63"/>
      <c r="P291" s="63"/>
      <c r="Q291" s="62"/>
      <c r="R291" s="62"/>
      <c r="S291" s="64"/>
      <c r="T291" s="64"/>
      <c r="U291" s="61"/>
    </row>
    <row r="292" spans="2:21">
      <c r="B292" s="292"/>
      <c r="C292" s="19">
        <v>1.125</v>
      </c>
      <c r="D292" s="5">
        <v>222134</v>
      </c>
      <c r="E292" s="25">
        <v>524526</v>
      </c>
      <c r="F292" s="10">
        <v>1.2934000000000001</v>
      </c>
      <c r="G292" s="10">
        <v>0.88360000000000005</v>
      </c>
      <c r="H292" s="240"/>
      <c r="I292" s="9">
        <v>99560</v>
      </c>
      <c r="J292" s="9">
        <v>223561</v>
      </c>
      <c r="K292" s="9"/>
      <c r="L292" s="27">
        <v>84586</v>
      </c>
      <c r="M292" s="27">
        <v>61336</v>
      </c>
      <c r="N292" s="26"/>
      <c r="O292" s="63"/>
      <c r="P292" s="63"/>
      <c r="Q292" s="62"/>
      <c r="R292" s="62"/>
      <c r="S292" s="64"/>
      <c r="T292" s="64"/>
      <c r="U292" s="61"/>
    </row>
    <row r="293" spans="2:21">
      <c r="B293" s="292"/>
      <c r="C293" s="19">
        <v>1.1666666666666701</v>
      </c>
      <c r="D293" s="5">
        <v>222134</v>
      </c>
      <c r="E293" s="25">
        <v>524526</v>
      </c>
      <c r="F293" s="10">
        <v>1.2934000000000001</v>
      </c>
      <c r="G293" s="10">
        <v>0.88360000000000005</v>
      </c>
      <c r="H293" s="240"/>
      <c r="I293" s="9">
        <v>99560</v>
      </c>
      <c r="J293" s="9">
        <v>223561</v>
      </c>
      <c r="K293" s="9"/>
      <c r="L293" s="27">
        <v>84586</v>
      </c>
      <c r="M293" s="27">
        <v>61336</v>
      </c>
      <c r="N293" s="26"/>
      <c r="O293" s="106"/>
      <c r="P293" s="106"/>
      <c r="Q293" s="107"/>
      <c r="R293" s="107"/>
      <c r="S293" s="108"/>
      <c r="T293" s="108"/>
      <c r="U293" s="61"/>
    </row>
    <row r="294" spans="2:21">
      <c r="B294" s="292"/>
      <c r="C294" s="19">
        <v>1.2083333333333399</v>
      </c>
      <c r="D294" s="5">
        <v>222134</v>
      </c>
      <c r="E294" s="25">
        <v>524526</v>
      </c>
      <c r="F294" s="10">
        <v>1.2934000000000001</v>
      </c>
      <c r="G294" s="10">
        <v>0.88360000000000005</v>
      </c>
      <c r="H294" s="240"/>
      <c r="I294" s="9">
        <v>99560</v>
      </c>
      <c r="J294" s="9">
        <v>223561</v>
      </c>
      <c r="K294" s="9"/>
      <c r="L294" s="27">
        <v>84586</v>
      </c>
      <c r="M294" s="27">
        <v>61336</v>
      </c>
      <c r="N294" s="26"/>
      <c r="O294" s="106"/>
      <c r="P294" s="106"/>
      <c r="Q294" s="107"/>
      <c r="R294" s="107"/>
      <c r="S294" s="108"/>
      <c r="T294" s="108"/>
      <c r="U294" s="61"/>
    </row>
    <row r="295" spans="2:21">
      <c r="B295" s="292"/>
      <c r="C295" s="19">
        <v>1.25</v>
      </c>
      <c r="D295" s="5">
        <v>222134</v>
      </c>
      <c r="E295" s="25">
        <v>524526</v>
      </c>
      <c r="F295" s="10">
        <v>1.2934000000000001</v>
      </c>
      <c r="G295" s="10">
        <v>0.88360000000000005</v>
      </c>
      <c r="H295" s="240"/>
      <c r="I295" s="9">
        <v>99560</v>
      </c>
      <c r="J295" s="9">
        <v>223561</v>
      </c>
      <c r="K295" s="9"/>
      <c r="L295" s="27">
        <v>84586</v>
      </c>
      <c r="M295" s="27">
        <v>61336</v>
      </c>
      <c r="N295" s="26"/>
      <c r="O295" s="106"/>
      <c r="P295" s="106"/>
      <c r="Q295" s="107"/>
      <c r="R295" s="107"/>
      <c r="S295" s="108"/>
      <c r="T295" s="108"/>
      <c r="U295" s="61"/>
    </row>
    <row r="296" spans="2:21">
      <c r="B296" s="292"/>
      <c r="C296" s="19">
        <v>1.2916666666666701</v>
      </c>
      <c r="D296" s="5">
        <v>222134</v>
      </c>
      <c r="E296" s="25">
        <v>524526</v>
      </c>
      <c r="F296" s="10">
        <v>1.2934000000000001</v>
      </c>
      <c r="G296" s="10">
        <v>0.88360000000000005</v>
      </c>
      <c r="H296" s="240"/>
      <c r="I296" s="9">
        <v>99560</v>
      </c>
      <c r="J296" s="9">
        <v>223561</v>
      </c>
      <c r="K296" s="9"/>
      <c r="L296" s="27">
        <v>84586</v>
      </c>
      <c r="M296" s="27">
        <v>61336</v>
      </c>
      <c r="N296" s="26"/>
      <c r="O296" s="106"/>
      <c r="P296" s="106"/>
      <c r="Q296" s="107"/>
      <c r="R296" s="107"/>
      <c r="S296" s="108"/>
      <c r="T296" s="108"/>
      <c r="U296" s="61"/>
    </row>
    <row r="297" spans="2:21">
      <c r="B297" s="293"/>
      <c r="C297" s="6"/>
      <c r="D297" s="13" cm="1">
        <f t="array" ref="D297">IFERROR(LOOKUP(2,1/(D272:D296&gt;0),D272:D296-D272),0)</f>
        <v>0</v>
      </c>
      <c r="E297" s="13" cm="1">
        <f t="array" ref="E297">IFERROR(LOOKUP(2,1/(E272:E296&gt;0),E272:E296-E272),0)</f>
        <v>0</v>
      </c>
      <c r="F297" s="13" cm="1">
        <f t="array" ref="F297">IFERROR(LOOKUP(2,1/(F272:F296&gt;0),F272:F296-F272),0)</f>
        <v>0</v>
      </c>
      <c r="G297" s="13" cm="1">
        <f t="array" ref="G297">IFERROR(LOOKUP(2,1/(G272:G296&gt;0),G272:G296-G272),0)</f>
        <v>0</v>
      </c>
      <c r="H297" s="13">
        <f>F297+G297</f>
        <v>0</v>
      </c>
      <c r="I297" s="13" cm="1">
        <f t="array" ref="I297">IFERROR(LOOKUP(2,1/(I272:I296&gt;0),I272:I296-I272),0)</f>
        <v>0</v>
      </c>
      <c r="J297" s="13" cm="1">
        <f t="array" ref="J297">IFERROR(LOOKUP(2,1/(J272:J296&gt;0),J272:J296-J272),0)</f>
        <v>0</v>
      </c>
      <c r="K297" s="13">
        <f>I297+J297</f>
        <v>0</v>
      </c>
      <c r="L297" s="13" cm="1">
        <f t="array" ref="L297">IFERROR(LOOKUP(2,1/(L272:L296&gt;0),L272:L296-L272),0)</f>
        <v>0</v>
      </c>
      <c r="M297" s="13" cm="1">
        <f t="array" ref="M297">IFERROR(LOOKUP(2,1/(M272:M296&gt;0),M272:M296-M272),0)</f>
        <v>0</v>
      </c>
      <c r="N297" s="13">
        <f>L297+M297</f>
        <v>0</v>
      </c>
      <c r="O297" s="109">
        <f t="shared" ref="O297:T297" si="19">IFERROR(AVERAGE(O272:O296),0)</f>
        <v>0</v>
      </c>
      <c r="P297" s="109">
        <f t="shared" si="19"/>
        <v>0</v>
      </c>
      <c r="Q297" s="109">
        <f t="shared" si="19"/>
        <v>0</v>
      </c>
      <c r="R297" s="109">
        <f t="shared" si="19"/>
        <v>0</v>
      </c>
      <c r="S297" s="109">
        <f t="shared" si="19"/>
        <v>0</v>
      </c>
      <c r="T297" s="109">
        <f t="shared" si="19"/>
        <v>0</v>
      </c>
      <c r="U297" s="4">
        <f>COUNT(U272:U296)</f>
        <v>0</v>
      </c>
    </row>
    <row r="298" spans="2:21">
      <c r="B298" s="291">
        <f t="shared" ref="B298" si="20">B272+1</f>
        <v>46034</v>
      </c>
      <c r="C298" s="19">
        <v>0.29166666666666669</v>
      </c>
      <c r="D298" s="5">
        <v>222134</v>
      </c>
      <c r="E298" s="25">
        <v>524526</v>
      </c>
      <c r="F298" s="10">
        <v>1.2934000000000001</v>
      </c>
      <c r="G298" s="10">
        <v>0.88360000000000005</v>
      </c>
      <c r="H298" s="240"/>
      <c r="I298" s="9">
        <v>99560</v>
      </c>
      <c r="J298" s="9">
        <v>223561</v>
      </c>
      <c r="K298" s="9"/>
      <c r="L298" s="27">
        <v>84586</v>
      </c>
      <c r="M298" s="27">
        <v>61336</v>
      </c>
      <c r="N298" s="26"/>
      <c r="O298" s="106"/>
      <c r="P298" s="106"/>
      <c r="Q298" s="107"/>
      <c r="R298" s="107"/>
      <c r="S298" s="108"/>
      <c r="T298" s="108"/>
      <c r="U298" s="61"/>
    </row>
    <row r="299" spans="2:21">
      <c r="B299" s="292"/>
      <c r="C299" s="19">
        <v>0.33333333333333298</v>
      </c>
      <c r="D299" s="5">
        <v>222134</v>
      </c>
      <c r="E299" s="25">
        <v>524526</v>
      </c>
      <c r="F299" s="10">
        <v>1.2934000000000001</v>
      </c>
      <c r="G299" s="10">
        <v>0.88360000000000005</v>
      </c>
      <c r="H299" s="240"/>
      <c r="I299" s="9">
        <v>99560</v>
      </c>
      <c r="J299" s="9">
        <v>223561</v>
      </c>
      <c r="K299" s="9"/>
      <c r="L299" s="27">
        <v>84586</v>
      </c>
      <c r="M299" s="27">
        <v>61336</v>
      </c>
      <c r="N299" s="26"/>
      <c r="O299" s="106"/>
      <c r="P299" s="106"/>
      <c r="Q299" s="107"/>
      <c r="R299" s="107"/>
      <c r="S299" s="108"/>
      <c r="T299" s="108"/>
      <c r="U299" s="61"/>
    </row>
    <row r="300" spans="2:21">
      <c r="B300" s="292"/>
      <c r="C300" s="19">
        <v>0.375</v>
      </c>
      <c r="D300" s="5">
        <v>222134</v>
      </c>
      <c r="E300" s="25">
        <v>524526</v>
      </c>
      <c r="F300" s="10">
        <v>1.2934000000000001</v>
      </c>
      <c r="G300" s="10">
        <v>0.88360000000000005</v>
      </c>
      <c r="H300" s="240"/>
      <c r="I300" s="9">
        <v>99560</v>
      </c>
      <c r="J300" s="9">
        <v>223561</v>
      </c>
      <c r="K300" s="9"/>
      <c r="L300" s="27">
        <v>84586</v>
      </c>
      <c r="M300" s="27">
        <v>61336</v>
      </c>
      <c r="N300" s="26"/>
      <c r="O300" s="106"/>
      <c r="P300" s="106"/>
      <c r="Q300" s="107"/>
      <c r="R300" s="107"/>
      <c r="S300" s="108"/>
      <c r="T300" s="108"/>
      <c r="U300" s="61"/>
    </row>
    <row r="301" spans="2:21">
      <c r="B301" s="292"/>
      <c r="C301" s="19">
        <v>0.41666666666666702</v>
      </c>
      <c r="D301" s="5">
        <v>222134</v>
      </c>
      <c r="E301" s="25">
        <v>524526</v>
      </c>
      <c r="F301" s="10">
        <v>1.2934000000000001</v>
      </c>
      <c r="G301" s="10">
        <v>0.88360000000000005</v>
      </c>
      <c r="H301" s="240"/>
      <c r="I301" s="9">
        <v>99560</v>
      </c>
      <c r="J301" s="9">
        <v>223561</v>
      </c>
      <c r="K301" s="9"/>
      <c r="L301" s="27">
        <v>84586</v>
      </c>
      <c r="M301" s="27">
        <v>61336</v>
      </c>
      <c r="N301" s="26"/>
      <c r="O301" s="106"/>
      <c r="P301" s="106"/>
      <c r="Q301" s="107"/>
      <c r="R301" s="107"/>
      <c r="S301" s="108"/>
      <c r="T301" s="108"/>
      <c r="U301" s="61"/>
    </row>
    <row r="302" spans="2:21">
      <c r="B302" s="292"/>
      <c r="C302" s="19">
        <v>0.45833333333333298</v>
      </c>
      <c r="D302" s="5">
        <v>222134</v>
      </c>
      <c r="E302" s="25">
        <v>524526</v>
      </c>
      <c r="F302" s="10">
        <v>1.2934000000000001</v>
      </c>
      <c r="G302" s="10">
        <v>0.88360000000000005</v>
      </c>
      <c r="H302" s="240"/>
      <c r="I302" s="9">
        <v>99560</v>
      </c>
      <c r="J302" s="9">
        <v>223561</v>
      </c>
      <c r="K302" s="9"/>
      <c r="L302" s="27">
        <v>84586</v>
      </c>
      <c r="M302" s="27">
        <v>61336</v>
      </c>
      <c r="N302" s="26"/>
      <c r="O302" s="106"/>
      <c r="P302" s="106"/>
      <c r="Q302" s="107"/>
      <c r="R302" s="107"/>
      <c r="S302" s="108"/>
      <c r="T302" s="108"/>
      <c r="U302" s="61"/>
    </row>
    <row r="303" spans="2:21">
      <c r="B303" s="292"/>
      <c r="C303" s="19">
        <v>0.5</v>
      </c>
      <c r="D303" s="5">
        <v>222134</v>
      </c>
      <c r="E303" s="25">
        <v>524526</v>
      </c>
      <c r="F303" s="10">
        <v>1.2934000000000001</v>
      </c>
      <c r="G303" s="10">
        <v>0.88360000000000005</v>
      </c>
      <c r="H303" s="240"/>
      <c r="I303" s="9">
        <v>99560</v>
      </c>
      <c r="J303" s="9">
        <v>223561</v>
      </c>
      <c r="K303" s="9"/>
      <c r="L303" s="27">
        <v>84586</v>
      </c>
      <c r="M303" s="27">
        <v>61336</v>
      </c>
      <c r="N303" s="26"/>
      <c r="O303" s="106"/>
      <c r="P303" s="106"/>
      <c r="Q303" s="107"/>
      <c r="R303" s="107"/>
      <c r="S303" s="108"/>
      <c r="T303" s="108"/>
      <c r="U303" s="61"/>
    </row>
    <row r="304" spans="2:21">
      <c r="B304" s="292"/>
      <c r="C304" s="19">
        <v>0.54166666666666696</v>
      </c>
      <c r="D304" s="5">
        <v>222134</v>
      </c>
      <c r="E304" s="25">
        <v>524526</v>
      </c>
      <c r="F304" s="10">
        <v>1.2934000000000001</v>
      </c>
      <c r="G304" s="10">
        <v>0.88360000000000005</v>
      </c>
      <c r="H304" s="240"/>
      <c r="I304" s="9">
        <v>99560</v>
      </c>
      <c r="J304" s="9">
        <v>223561</v>
      </c>
      <c r="K304" s="9"/>
      <c r="L304" s="27">
        <v>84586</v>
      </c>
      <c r="M304" s="27">
        <v>61336</v>
      </c>
      <c r="N304" s="26"/>
      <c r="O304" s="106"/>
      <c r="P304" s="106"/>
      <c r="Q304" s="107"/>
      <c r="R304" s="107"/>
      <c r="S304" s="108"/>
      <c r="T304" s="108"/>
      <c r="U304" s="61"/>
    </row>
    <row r="305" spans="2:21">
      <c r="B305" s="292"/>
      <c r="C305" s="19">
        <v>0.58333333333333304</v>
      </c>
      <c r="D305" s="5">
        <v>222134</v>
      </c>
      <c r="E305" s="25">
        <v>524526</v>
      </c>
      <c r="F305" s="10">
        <v>1.2934000000000001</v>
      </c>
      <c r="G305" s="10">
        <v>0.88360000000000005</v>
      </c>
      <c r="H305" s="240"/>
      <c r="I305" s="9">
        <v>99560</v>
      </c>
      <c r="J305" s="9">
        <v>223561</v>
      </c>
      <c r="K305" s="9"/>
      <c r="L305" s="27">
        <v>84586</v>
      </c>
      <c r="M305" s="27">
        <v>61336</v>
      </c>
      <c r="N305" s="26"/>
      <c r="O305" s="106"/>
      <c r="P305" s="106"/>
      <c r="Q305" s="107"/>
      <c r="R305" s="107"/>
      <c r="S305" s="108"/>
      <c r="T305" s="108"/>
      <c r="U305" s="65"/>
    </row>
    <row r="306" spans="2:21">
      <c r="B306" s="292"/>
      <c r="C306" s="19">
        <v>0.625</v>
      </c>
      <c r="D306" s="5">
        <v>222134</v>
      </c>
      <c r="E306" s="25">
        <v>524526</v>
      </c>
      <c r="F306" s="10">
        <v>1.2934000000000001</v>
      </c>
      <c r="G306" s="10">
        <v>0.88360000000000005</v>
      </c>
      <c r="H306" s="240"/>
      <c r="I306" s="9">
        <v>99560</v>
      </c>
      <c r="J306" s="9">
        <v>223561</v>
      </c>
      <c r="K306" s="9"/>
      <c r="L306" s="27">
        <v>84586</v>
      </c>
      <c r="M306" s="27">
        <v>61336</v>
      </c>
      <c r="N306" s="26"/>
      <c r="O306" s="106"/>
      <c r="P306" s="106"/>
      <c r="Q306" s="107"/>
      <c r="R306" s="107"/>
      <c r="S306" s="108"/>
      <c r="T306" s="108"/>
      <c r="U306" s="61"/>
    </row>
    <row r="307" spans="2:21">
      <c r="B307" s="292"/>
      <c r="C307" s="19">
        <v>0.66666666666666596</v>
      </c>
      <c r="D307" s="5">
        <v>222134</v>
      </c>
      <c r="E307" s="25">
        <v>524526</v>
      </c>
      <c r="F307" s="10">
        <v>1.2934000000000001</v>
      </c>
      <c r="G307" s="10">
        <v>0.88360000000000005</v>
      </c>
      <c r="H307" s="240"/>
      <c r="I307" s="9">
        <v>99560</v>
      </c>
      <c r="J307" s="9">
        <v>223561</v>
      </c>
      <c r="K307" s="9"/>
      <c r="L307" s="27">
        <v>84586</v>
      </c>
      <c r="M307" s="27">
        <v>61336</v>
      </c>
      <c r="N307" s="26"/>
      <c r="O307" s="106"/>
      <c r="P307" s="106"/>
      <c r="Q307" s="107"/>
      <c r="R307" s="107"/>
      <c r="S307" s="108"/>
      <c r="T307" s="108"/>
      <c r="U307" s="61"/>
    </row>
    <row r="308" spans="2:21">
      <c r="B308" s="292"/>
      <c r="C308" s="19">
        <v>0.70833333333333304</v>
      </c>
      <c r="D308" s="5">
        <v>222134</v>
      </c>
      <c r="E308" s="25">
        <v>524526</v>
      </c>
      <c r="F308" s="10">
        <v>1.2934000000000001</v>
      </c>
      <c r="G308" s="10">
        <v>0.88360000000000005</v>
      </c>
      <c r="H308" s="240"/>
      <c r="I308" s="9">
        <v>99560</v>
      </c>
      <c r="J308" s="9">
        <v>223561</v>
      </c>
      <c r="K308" s="9"/>
      <c r="L308" s="27">
        <v>84586</v>
      </c>
      <c r="M308" s="27">
        <v>61336</v>
      </c>
      <c r="N308" s="26"/>
      <c r="O308" s="106"/>
      <c r="P308" s="106"/>
      <c r="Q308" s="107"/>
      <c r="R308" s="107"/>
      <c r="S308" s="108"/>
      <c r="T308" s="108"/>
      <c r="U308" s="61"/>
    </row>
    <row r="309" spans="2:21">
      <c r="B309" s="292"/>
      <c r="C309" s="19">
        <v>0.75</v>
      </c>
      <c r="D309" s="5">
        <v>222134</v>
      </c>
      <c r="E309" s="25">
        <v>524526</v>
      </c>
      <c r="F309" s="10">
        <v>1.2934000000000001</v>
      </c>
      <c r="G309" s="10">
        <v>0.88360000000000005</v>
      </c>
      <c r="H309" s="240"/>
      <c r="I309" s="9">
        <v>99560</v>
      </c>
      <c r="J309" s="9">
        <v>223561</v>
      </c>
      <c r="K309" s="9"/>
      <c r="L309" s="27">
        <v>84586</v>
      </c>
      <c r="M309" s="27">
        <v>61336</v>
      </c>
      <c r="N309" s="26"/>
      <c r="O309" s="106"/>
      <c r="P309" s="106"/>
      <c r="Q309" s="107"/>
      <c r="R309" s="107"/>
      <c r="S309" s="108"/>
      <c r="T309" s="108"/>
      <c r="U309" s="61"/>
    </row>
    <row r="310" spans="2:21">
      <c r="B310" s="292"/>
      <c r="C310" s="19">
        <v>0.79166666666666596</v>
      </c>
      <c r="D310" s="5">
        <v>222134</v>
      </c>
      <c r="E310" s="25">
        <v>524526</v>
      </c>
      <c r="F310" s="10">
        <v>1.2934000000000001</v>
      </c>
      <c r="G310" s="10">
        <v>0.88360000000000005</v>
      </c>
      <c r="H310" s="240"/>
      <c r="I310" s="9">
        <v>99560</v>
      </c>
      <c r="J310" s="9">
        <v>223561</v>
      </c>
      <c r="K310" s="9"/>
      <c r="L310" s="27">
        <v>84586</v>
      </c>
      <c r="M310" s="27">
        <v>61336</v>
      </c>
      <c r="N310" s="26"/>
      <c r="O310" s="106"/>
      <c r="P310" s="106"/>
      <c r="Q310" s="107"/>
      <c r="R310" s="107"/>
      <c r="S310" s="108"/>
      <c r="T310" s="108"/>
      <c r="U310" s="61"/>
    </row>
    <row r="311" spans="2:21">
      <c r="B311" s="292"/>
      <c r="C311" s="19">
        <v>0.83333333333333304</v>
      </c>
      <c r="D311" s="5">
        <v>222134</v>
      </c>
      <c r="E311" s="25">
        <v>524526</v>
      </c>
      <c r="F311" s="10">
        <v>1.2934000000000001</v>
      </c>
      <c r="G311" s="10">
        <v>0.88360000000000005</v>
      </c>
      <c r="H311" s="240"/>
      <c r="I311" s="9">
        <v>99560</v>
      </c>
      <c r="J311" s="9">
        <v>223561</v>
      </c>
      <c r="K311" s="9"/>
      <c r="L311" s="27">
        <v>84586</v>
      </c>
      <c r="M311" s="27">
        <v>61336</v>
      </c>
      <c r="N311" s="26"/>
      <c r="O311" s="106"/>
      <c r="P311" s="106"/>
      <c r="Q311" s="107"/>
      <c r="R311" s="107"/>
      <c r="S311" s="108"/>
      <c r="T311" s="108"/>
      <c r="U311" s="61"/>
    </row>
    <row r="312" spans="2:21">
      <c r="B312" s="292"/>
      <c r="C312" s="19">
        <v>0.875</v>
      </c>
      <c r="D312" s="5">
        <v>222134</v>
      </c>
      <c r="E312" s="25">
        <v>524526</v>
      </c>
      <c r="F312" s="10">
        <v>1.2934000000000001</v>
      </c>
      <c r="G312" s="10">
        <v>0.88360000000000005</v>
      </c>
      <c r="H312" s="240"/>
      <c r="I312" s="9">
        <v>99560</v>
      </c>
      <c r="J312" s="9">
        <v>223561</v>
      </c>
      <c r="K312" s="9"/>
      <c r="L312" s="27">
        <v>84586</v>
      </c>
      <c r="M312" s="27">
        <v>61336</v>
      </c>
      <c r="N312" s="26"/>
      <c r="O312" s="106"/>
      <c r="P312" s="106"/>
      <c r="Q312" s="107"/>
      <c r="R312" s="107"/>
      <c r="S312" s="108"/>
      <c r="T312" s="108"/>
      <c r="U312" s="61"/>
    </row>
    <row r="313" spans="2:21">
      <c r="B313" s="292"/>
      <c r="C313" s="19">
        <v>0.91666666666666596</v>
      </c>
      <c r="D313" s="5">
        <v>222134</v>
      </c>
      <c r="E313" s="25">
        <v>524526</v>
      </c>
      <c r="F313" s="10">
        <v>1.2934000000000001</v>
      </c>
      <c r="G313" s="10">
        <v>0.88360000000000005</v>
      </c>
      <c r="H313" s="240"/>
      <c r="I313" s="9">
        <v>99560</v>
      </c>
      <c r="J313" s="9">
        <v>223561</v>
      </c>
      <c r="K313" s="9"/>
      <c r="L313" s="27">
        <v>84586</v>
      </c>
      <c r="M313" s="27">
        <v>61336</v>
      </c>
      <c r="N313" s="26"/>
      <c r="O313" s="106"/>
      <c r="P313" s="106"/>
      <c r="Q313" s="107"/>
      <c r="R313" s="107"/>
      <c r="S313" s="108"/>
      <c r="T313" s="108"/>
      <c r="U313" s="61"/>
    </row>
    <row r="314" spans="2:21">
      <c r="B314" s="292"/>
      <c r="C314" s="19">
        <v>0.95833333333333304</v>
      </c>
      <c r="D314" s="5">
        <v>222134</v>
      </c>
      <c r="E314" s="25">
        <v>524526</v>
      </c>
      <c r="F314" s="10">
        <v>1.2934000000000001</v>
      </c>
      <c r="G314" s="10">
        <v>0.88360000000000005</v>
      </c>
      <c r="H314" s="240"/>
      <c r="I314" s="9">
        <v>99560</v>
      </c>
      <c r="J314" s="9">
        <v>223561</v>
      </c>
      <c r="K314" s="9"/>
      <c r="L314" s="27">
        <v>84586</v>
      </c>
      <c r="M314" s="27">
        <v>61336</v>
      </c>
      <c r="N314" s="26"/>
      <c r="O314" s="106"/>
      <c r="P314" s="106"/>
      <c r="Q314" s="107"/>
      <c r="R314" s="107"/>
      <c r="S314" s="108"/>
      <c r="T314" s="108"/>
      <c r="U314" s="61"/>
    </row>
    <row r="315" spans="2:21">
      <c r="B315" s="292"/>
      <c r="C315" s="19">
        <v>1</v>
      </c>
      <c r="D315" s="5">
        <v>222134</v>
      </c>
      <c r="E315" s="25">
        <v>524526</v>
      </c>
      <c r="F315" s="10">
        <v>1.2934000000000001</v>
      </c>
      <c r="G315" s="10">
        <v>0.88360000000000005</v>
      </c>
      <c r="H315" s="240"/>
      <c r="I315" s="9">
        <v>99560</v>
      </c>
      <c r="J315" s="9">
        <v>223561</v>
      </c>
      <c r="K315" s="9"/>
      <c r="L315" s="27">
        <v>84586</v>
      </c>
      <c r="M315" s="27">
        <v>61336</v>
      </c>
      <c r="N315" s="26"/>
      <c r="O315" s="63"/>
      <c r="P315" s="63"/>
      <c r="Q315" s="62"/>
      <c r="R315" s="62"/>
      <c r="S315" s="64"/>
      <c r="T315" s="64"/>
      <c r="U315" s="61"/>
    </row>
    <row r="316" spans="2:21">
      <c r="B316" s="292"/>
      <c r="C316" s="19">
        <v>1.0416666666666701</v>
      </c>
      <c r="D316" s="5">
        <v>222134</v>
      </c>
      <c r="E316" s="25">
        <v>524526</v>
      </c>
      <c r="F316" s="10">
        <v>1.2934000000000001</v>
      </c>
      <c r="G316" s="10">
        <v>0.88360000000000005</v>
      </c>
      <c r="H316" s="240"/>
      <c r="I316" s="9">
        <v>99560</v>
      </c>
      <c r="J316" s="9">
        <v>223561</v>
      </c>
      <c r="K316" s="9"/>
      <c r="L316" s="27">
        <v>84586</v>
      </c>
      <c r="M316" s="27">
        <v>61336</v>
      </c>
      <c r="N316" s="26"/>
      <c r="O316" s="63"/>
      <c r="P316" s="63"/>
      <c r="Q316" s="62"/>
      <c r="R316" s="62"/>
      <c r="S316" s="64"/>
      <c r="T316" s="64"/>
      <c r="U316" s="61"/>
    </row>
    <row r="317" spans="2:21">
      <c r="B317" s="292"/>
      <c r="C317" s="19">
        <v>1.0833333333333399</v>
      </c>
      <c r="D317" s="5">
        <v>222134</v>
      </c>
      <c r="E317" s="25">
        <v>524526</v>
      </c>
      <c r="F317" s="10">
        <v>1.2934000000000001</v>
      </c>
      <c r="G317" s="10">
        <v>0.88360000000000005</v>
      </c>
      <c r="H317" s="240"/>
      <c r="I317" s="9">
        <v>99560</v>
      </c>
      <c r="J317" s="9">
        <v>223561</v>
      </c>
      <c r="K317" s="9"/>
      <c r="L317" s="27">
        <v>84586</v>
      </c>
      <c r="M317" s="27">
        <v>61336</v>
      </c>
      <c r="N317" s="26"/>
      <c r="O317" s="63"/>
      <c r="P317" s="63"/>
      <c r="Q317" s="62"/>
      <c r="R317" s="62"/>
      <c r="S317" s="64"/>
      <c r="T317" s="64"/>
      <c r="U317" s="61"/>
    </row>
    <row r="318" spans="2:21">
      <c r="B318" s="292"/>
      <c r="C318" s="19">
        <v>1.125</v>
      </c>
      <c r="D318" s="5">
        <v>222134</v>
      </c>
      <c r="E318" s="25">
        <v>524526</v>
      </c>
      <c r="F318" s="10">
        <v>1.2934000000000001</v>
      </c>
      <c r="G318" s="10">
        <v>0.88360000000000005</v>
      </c>
      <c r="H318" s="240"/>
      <c r="I318" s="9">
        <v>99560</v>
      </c>
      <c r="J318" s="9">
        <v>223561</v>
      </c>
      <c r="K318" s="9"/>
      <c r="L318" s="27">
        <v>84586</v>
      </c>
      <c r="M318" s="27">
        <v>61336</v>
      </c>
      <c r="N318" s="26"/>
      <c r="O318" s="63"/>
      <c r="P318" s="63"/>
      <c r="Q318" s="62"/>
      <c r="R318" s="62"/>
      <c r="S318" s="64"/>
      <c r="T318" s="64"/>
      <c r="U318" s="61"/>
    </row>
    <row r="319" spans="2:21">
      <c r="B319" s="292"/>
      <c r="C319" s="19">
        <v>1.1666666666666701</v>
      </c>
      <c r="D319" s="5">
        <v>222134</v>
      </c>
      <c r="E319" s="25">
        <v>524526</v>
      </c>
      <c r="F319" s="10">
        <v>1.2934000000000001</v>
      </c>
      <c r="G319" s="10">
        <v>0.88360000000000005</v>
      </c>
      <c r="H319" s="240"/>
      <c r="I319" s="9">
        <v>99560</v>
      </c>
      <c r="J319" s="9">
        <v>223561</v>
      </c>
      <c r="K319" s="9"/>
      <c r="L319" s="27">
        <v>84586</v>
      </c>
      <c r="M319" s="27">
        <v>61336</v>
      </c>
      <c r="N319" s="26"/>
      <c r="O319" s="106"/>
      <c r="P319" s="106"/>
      <c r="Q319" s="107"/>
      <c r="R319" s="107"/>
      <c r="S319" s="108"/>
      <c r="T319" s="108"/>
      <c r="U319" s="61"/>
    </row>
    <row r="320" spans="2:21">
      <c r="B320" s="292"/>
      <c r="C320" s="19">
        <v>1.2083333333333399</v>
      </c>
      <c r="D320" s="5">
        <v>222134</v>
      </c>
      <c r="E320" s="25">
        <v>524526</v>
      </c>
      <c r="F320" s="10">
        <v>1.2934000000000001</v>
      </c>
      <c r="G320" s="10">
        <v>0.88360000000000005</v>
      </c>
      <c r="H320" s="240"/>
      <c r="I320" s="9">
        <v>99560</v>
      </c>
      <c r="J320" s="9">
        <v>223561</v>
      </c>
      <c r="K320" s="9"/>
      <c r="L320" s="27">
        <v>84586</v>
      </c>
      <c r="M320" s="27">
        <v>61336</v>
      </c>
      <c r="N320" s="26"/>
      <c r="O320" s="106"/>
      <c r="P320" s="106"/>
      <c r="Q320" s="107"/>
      <c r="R320" s="107"/>
      <c r="S320" s="108"/>
      <c r="T320" s="108"/>
      <c r="U320" s="61"/>
    </row>
    <row r="321" spans="2:21">
      <c r="B321" s="292"/>
      <c r="C321" s="19">
        <v>1.25</v>
      </c>
      <c r="D321" s="5">
        <v>222134</v>
      </c>
      <c r="E321" s="25">
        <v>524526</v>
      </c>
      <c r="F321" s="10">
        <v>1.2934000000000001</v>
      </c>
      <c r="G321" s="10">
        <v>0.88360000000000005</v>
      </c>
      <c r="H321" s="240"/>
      <c r="I321" s="9">
        <v>99560</v>
      </c>
      <c r="J321" s="9">
        <v>223561</v>
      </c>
      <c r="K321" s="9"/>
      <c r="L321" s="27">
        <v>84586</v>
      </c>
      <c r="M321" s="27">
        <v>61336</v>
      </c>
      <c r="N321" s="26"/>
      <c r="O321" s="106"/>
      <c r="P321" s="106"/>
      <c r="Q321" s="107"/>
      <c r="R321" s="107"/>
      <c r="S321" s="108"/>
      <c r="T321" s="108"/>
      <c r="U321" s="61"/>
    </row>
    <row r="322" spans="2:21">
      <c r="B322" s="292"/>
      <c r="C322" s="19">
        <v>1.2916666666666701</v>
      </c>
      <c r="D322" s="5">
        <v>222134</v>
      </c>
      <c r="E322" s="25">
        <v>524526</v>
      </c>
      <c r="F322" s="10">
        <v>1.2934000000000001</v>
      </c>
      <c r="G322" s="10">
        <v>0.88360000000000005</v>
      </c>
      <c r="H322" s="240"/>
      <c r="I322" s="9">
        <v>99560</v>
      </c>
      <c r="J322" s="9">
        <v>223561</v>
      </c>
      <c r="K322" s="9"/>
      <c r="L322" s="27">
        <v>84586</v>
      </c>
      <c r="M322" s="27">
        <v>61336</v>
      </c>
      <c r="N322" s="26"/>
      <c r="O322" s="106"/>
      <c r="P322" s="106"/>
      <c r="Q322" s="107"/>
      <c r="R322" s="107"/>
      <c r="S322" s="108"/>
      <c r="T322" s="108"/>
      <c r="U322" s="61"/>
    </row>
    <row r="323" spans="2:21">
      <c r="B323" s="293"/>
      <c r="C323" s="6"/>
      <c r="D323" s="13" cm="1">
        <f t="array" ref="D323">IFERROR(LOOKUP(2,1/(D298:D322&gt;0),D298:D322-D298),0)</f>
        <v>0</v>
      </c>
      <c r="E323" s="13" cm="1">
        <f t="array" ref="E323">IFERROR(LOOKUP(2,1/(E298:E322&gt;0),E298:E322-E298),0)</f>
        <v>0</v>
      </c>
      <c r="F323" s="13" cm="1">
        <f t="array" ref="F323">IFERROR(LOOKUP(2,1/(F298:F322&gt;0),F298:F322-F298),0)</f>
        <v>0</v>
      </c>
      <c r="G323" s="13" cm="1">
        <f t="array" ref="G323">IFERROR(LOOKUP(2,1/(G298:G322&gt;0),G298:G322-G298),0)</f>
        <v>0</v>
      </c>
      <c r="H323" s="13">
        <f>F323+G323</f>
        <v>0</v>
      </c>
      <c r="I323" s="13" cm="1">
        <f t="array" ref="I323">IFERROR(LOOKUP(2,1/(I298:I322&gt;0),I298:I322-I298),0)</f>
        <v>0</v>
      </c>
      <c r="J323" s="13" cm="1">
        <f t="array" ref="J323">IFERROR(LOOKUP(2,1/(J298:J322&gt;0),J298:J322-J298),0)</f>
        <v>0</v>
      </c>
      <c r="K323" s="13">
        <f>I323+J323</f>
        <v>0</v>
      </c>
      <c r="L323" s="13" cm="1">
        <f t="array" ref="L323">IFERROR(LOOKUP(2,1/(L298:L322&gt;0),L298:L322-L298),0)</f>
        <v>0</v>
      </c>
      <c r="M323" s="13" cm="1">
        <f t="array" ref="M323">IFERROR(LOOKUP(2,1/(M298:M322&gt;0),M298:M322-M298),0)</f>
        <v>0</v>
      </c>
      <c r="N323" s="13">
        <f>L323+M323</f>
        <v>0</v>
      </c>
      <c r="O323" s="109">
        <f t="shared" ref="O323:T323" si="21">IFERROR(AVERAGE(O298:O322),0)</f>
        <v>0</v>
      </c>
      <c r="P323" s="109">
        <f t="shared" si="21"/>
        <v>0</v>
      </c>
      <c r="Q323" s="109">
        <f t="shared" si="21"/>
        <v>0</v>
      </c>
      <c r="R323" s="109">
        <f t="shared" si="21"/>
        <v>0</v>
      </c>
      <c r="S323" s="109">
        <f t="shared" si="21"/>
        <v>0</v>
      </c>
      <c r="T323" s="109">
        <f t="shared" si="21"/>
        <v>0</v>
      </c>
      <c r="U323" s="4">
        <f>COUNT(U298:U322)</f>
        <v>0</v>
      </c>
    </row>
    <row r="324" spans="2:21">
      <c r="B324" s="291">
        <f t="shared" ref="B324" si="22">B298+1</f>
        <v>46035</v>
      </c>
      <c r="C324" s="19">
        <v>0.29166666666666669</v>
      </c>
      <c r="D324" s="5">
        <v>222134</v>
      </c>
      <c r="E324" s="25">
        <v>524526</v>
      </c>
      <c r="F324" s="10">
        <v>1.2934000000000001</v>
      </c>
      <c r="G324" s="10">
        <v>0.88360000000000005</v>
      </c>
      <c r="H324" s="240"/>
      <c r="I324" s="9">
        <v>99560</v>
      </c>
      <c r="J324" s="9">
        <v>223561</v>
      </c>
      <c r="K324" s="9"/>
      <c r="L324" s="27">
        <v>84586</v>
      </c>
      <c r="M324" s="27">
        <v>61336</v>
      </c>
      <c r="N324" s="26"/>
      <c r="O324" s="106"/>
      <c r="P324" s="106"/>
      <c r="Q324" s="107"/>
      <c r="R324" s="107"/>
      <c r="S324" s="108"/>
      <c r="T324" s="108"/>
      <c r="U324" s="61"/>
    </row>
    <row r="325" spans="2:21">
      <c r="B325" s="292"/>
      <c r="C325" s="19">
        <v>0.33333333333333298</v>
      </c>
      <c r="D325" s="5">
        <v>222134</v>
      </c>
      <c r="E325" s="25">
        <v>524526</v>
      </c>
      <c r="F325" s="10">
        <v>1.2934000000000001</v>
      </c>
      <c r="G325" s="10">
        <v>0.88360000000000005</v>
      </c>
      <c r="H325" s="240"/>
      <c r="I325" s="9">
        <v>99560</v>
      </c>
      <c r="J325" s="9">
        <v>223561</v>
      </c>
      <c r="K325" s="9"/>
      <c r="L325" s="27">
        <v>84586</v>
      </c>
      <c r="M325" s="27">
        <v>61336</v>
      </c>
      <c r="N325" s="26"/>
      <c r="O325" s="106"/>
      <c r="P325" s="106"/>
      <c r="Q325" s="107"/>
      <c r="R325" s="107"/>
      <c r="S325" s="108"/>
      <c r="T325" s="108"/>
      <c r="U325" s="61"/>
    </row>
    <row r="326" spans="2:21">
      <c r="B326" s="292"/>
      <c r="C326" s="19">
        <v>0.375</v>
      </c>
      <c r="D326" s="5">
        <v>222134</v>
      </c>
      <c r="E326" s="25">
        <v>524526</v>
      </c>
      <c r="F326" s="10">
        <v>1.2934000000000001</v>
      </c>
      <c r="G326" s="10">
        <v>0.88360000000000005</v>
      </c>
      <c r="H326" s="240"/>
      <c r="I326" s="9">
        <v>99560</v>
      </c>
      <c r="J326" s="9">
        <v>223561</v>
      </c>
      <c r="K326" s="9"/>
      <c r="L326" s="27">
        <v>84586</v>
      </c>
      <c r="M326" s="27">
        <v>61336</v>
      </c>
      <c r="N326" s="26"/>
      <c r="O326" s="106"/>
      <c r="P326" s="106"/>
      <c r="Q326" s="107"/>
      <c r="R326" s="107"/>
      <c r="S326" s="108"/>
      <c r="T326" s="108"/>
      <c r="U326" s="61"/>
    </row>
    <row r="327" spans="2:21">
      <c r="B327" s="292"/>
      <c r="C327" s="19">
        <v>0.41666666666666702</v>
      </c>
      <c r="D327" s="5">
        <v>222134</v>
      </c>
      <c r="E327" s="25">
        <v>524526</v>
      </c>
      <c r="F327" s="10">
        <v>1.2934000000000001</v>
      </c>
      <c r="G327" s="10">
        <v>0.88360000000000005</v>
      </c>
      <c r="H327" s="240"/>
      <c r="I327" s="9">
        <v>99560</v>
      </c>
      <c r="J327" s="9">
        <v>223561</v>
      </c>
      <c r="K327" s="9"/>
      <c r="L327" s="27">
        <v>84586</v>
      </c>
      <c r="M327" s="27">
        <v>61336</v>
      </c>
      <c r="N327" s="26"/>
      <c r="O327" s="106"/>
      <c r="P327" s="106"/>
      <c r="Q327" s="107"/>
      <c r="R327" s="107"/>
      <c r="S327" s="108"/>
      <c r="T327" s="108"/>
      <c r="U327" s="61"/>
    </row>
    <row r="328" spans="2:21">
      <c r="B328" s="292"/>
      <c r="C328" s="19">
        <v>0.45833333333333298</v>
      </c>
      <c r="D328" s="5">
        <v>222134</v>
      </c>
      <c r="E328" s="25">
        <v>524526</v>
      </c>
      <c r="F328" s="10">
        <v>1.2934000000000001</v>
      </c>
      <c r="G328" s="10">
        <v>0.88360000000000005</v>
      </c>
      <c r="H328" s="240"/>
      <c r="I328" s="9">
        <v>99560</v>
      </c>
      <c r="J328" s="9">
        <v>223561</v>
      </c>
      <c r="K328" s="9"/>
      <c r="L328" s="27">
        <v>84586</v>
      </c>
      <c r="M328" s="27">
        <v>61336</v>
      </c>
      <c r="N328" s="26"/>
      <c r="O328" s="106"/>
      <c r="P328" s="106"/>
      <c r="Q328" s="107"/>
      <c r="R328" s="107"/>
      <c r="S328" s="108"/>
      <c r="T328" s="108"/>
      <c r="U328" s="61"/>
    </row>
    <row r="329" spans="2:21">
      <c r="B329" s="292"/>
      <c r="C329" s="19">
        <v>0.5</v>
      </c>
      <c r="D329" s="5">
        <v>222134</v>
      </c>
      <c r="E329" s="25">
        <v>524526</v>
      </c>
      <c r="F329" s="10">
        <v>1.2934000000000001</v>
      </c>
      <c r="G329" s="10">
        <v>0.88360000000000005</v>
      </c>
      <c r="H329" s="240"/>
      <c r="I329" s="9">
        <v>99560</v>
      </c>
      <c r="J329" s="9">
        <v>223561</v>
      </c>
      <c r="K329" s="9"/>
      <c r="L329" s="27">
        <v>84586</v>
      </c>
      <c r="M329" s="27">
        <v>61336</v>
      </c>
      <c r="N329" s="26"/>
      <c r="O329" s="106"/>
      <c r="P329" s="106"/>
      <c r="Q329" s="107"/>
      <c r="R329" s="107"/>
      <c r="S329" s="108"/>
      <c r="T329" s="108"/>
      <c r="U329" s="61"/>
    </row>
    <row r="330" spans="2:21">
      <c r="B330" s="292"/>
      <c r="C330" s="19">
        <v>0.54166666666666696</v>
      </c>
      <c r="D330" s="5">
        <v>222134</v>
      </c>
      <c r="E330" s="25">
        <v>524526</v>
      </c>
      <c r="F330" s="10">
        <v>1.2934000000000001</v>
      </c>
      <c r="G330" s="10">
        <v>0.88360000000000005</v>
      </c>
      <c r="H330" s="240"/>
      <c r="I330" s="9">
        <v>99560</v>
      </c>
      <c r="J330" s="9">
        <v>223561</v>
      </c>
      <c r="K330" s="9"/>
      <c r="L330" s="27">
        <v>84586</v>
      </c>
      <c r="M330" s="27">
        <v>61336</v>
      </c>
      <c r="N330" s="26"/>
      <c r="O330" s="106"/>
      <c r="P330" s="106"/>
      <c r="Q330" s="107"/>
      <c r="R330" s="107"/>
      <c r="S330" s="108"/>
      <c r="T330" s="108"/>
      <c r="U330" s="61"/>
    </row>
    <row r="331" spans="2:21">
      <c r="B331" s="292"/>
      <c r="C331" s="19">
        <v>0.58333333333333304</v>
      </c>
      <c r="D331" s="5">
        <v>222134</v>
      </c>
      <c r="E331" s="25">
        <v>524526</v>
      </c>
      <c r="F331" s="10">
        <v>1.2934000000000001</v>
      </c>
      <c r="G331" s="10">
        <v>0.88360000000000005</v>
      </c>
      <c r="H331" s="240"/>
      <c r="I331" s="9">
        <v>99560</v>
      </c>
      <c r="J331" s="9">
        <v>223561</v>
      </c>
      <c r="K331" s="9"/>
      <c r="L331" s="27">
        <v>84586</v>
      </c>
      <c r="M331" s="27">
        <v>61336</v>
      </c>
      <c r="N331" s="26"/>
      <c r="O331" s="106"/>
      <c r="P331" s="106"/>
      <c r="Q331" s="107"/>
      <c r="R331" s="107"/>
      <c r="S331" s="108"/>
      <c r="T331" s="108"/>
      <c r="U331" s="65"/>
    </row>
    <row r="332" spans="2:21">
      <c r="B332" s="292"/>
      <c r="C332" s="19">
        <v>0.625</v>
      </c>
      <c r="D332" s="5">
        <v>222134</v>
      </c>
      <c r="E332" s="25">
        <v>524526</v>
      </c>
      <c r="F332" s="10">
        <v>1.2934000000000001</v>
      </c>
      <c r="G332" s="10">
        <v>0.88360000000000005</v>
      </c>
      <c r="H332" s="240"/>
      <c r="I332" s="9">
        <v>99560</v>
      </c>
      <c r="J332" s="9">
        <v>223561</v>
      </c>
      <c r="K332" s="9"/>
      <c r="L332" s="27">
        <v>84586</v>
      </c>
      <c r="M332" s="27">
        <v>61336</v>
      </c>
      <c r="N332" s="26"/>
      <c r="O332" s="106"/>
      <c r="P332" s="106"/>
      <c r="Q332" s="107"/>
      <c r="R332" s="107"/>
      <c r="S332" s="108"/>
      <c r="T332" s="108"/>
      <c r="U332" s="61"/>
    </row>
    <row r="333" spans="2:21">
      <c r="B333" s="292"/>
      <c r="C333" s="19">
        <v>0.66666666666666596</v>
      </c>
      <c r="D333" s="5">
        <v>222134</v>
      </c>
      <c r="E333" s="25">
        <v>524526</v>
      </c>
      <c r="F333" s="10">
        <v>1.2934000000000001</v>
      </c>
      <c r="G333" s="10">
        <v>0.88360000000000005</v>
      </c>
      <c r="H333" s="240"/>
      <c r="I333" s="9">
        <v>99560</v>
      </c>
      <c r="J333" s="9">
        <v>223561</v>
      </c>
      <c r="K333" s="9"/>
      <c r="L333" s="27">
        <v>84586</v>
      </c>
      <c r="M333" s="27">
        <v>61336</v>
      </c>
      <c r="N333" s="26"/>
      <c r="O333" s="106"/>
      <c r="P333" s="106"/>
      <c r="Q333" s="107"/>
      <c r="R333" s="107"/>
      <c r="S333" s="108"/>
      <c r="T333" s="108"/>
      <c r="U333" s="61"/>
    </row>
    <row r="334" spans="2:21">
      <c r="B334" s="292"/>
      <c r="C334" s="19">
        <v>0.70833333333333304</v>
      </c>
      <c r="D334" s="5">
        <v>222134</v>
      </c>
      <c r="E334" s="25">
        <v>524526</v>
      </c>
      <c r="F334" s="10">
        <v>1.2934000000000001</v>
      </c>
      <c r="G334" s="10">
        <v>0.88360000000000005</v>
      </c>
      <c r="H334" s="240"/>
      <c r="I334" s="9">
        <v>99560</v>
      </c>
      <c r="J334" s="9">
        <v>223561</v>
      </c>
      <c r="K334" s="9"/>
      <c r="L334" s="27">
        <v>84586</v>
      </c>
      <c r="M334" s="27">
        <v>61336</v>
      </c>
      <c r="N334" s="26"/>
      <c r="O334" s="106"/>
      <c r="P334" s="106"/>
      <c r="Q334" s="107"/>
      <c r="R334" s="107"/>
      <c r="S334" s="108"/>
      <c r="T334" s="108"/>
      <c r="U334" s="61"/>
    </row>
    <row r="335" spans="2:21">
      <c r="B335" s="292"/>
      <c r="C335" s="19">
        <v>0.75</v>
      </c>
      <c r="D335" s="5">
        <v>222134</v>
      </c>
      <c r="E335" s="25">
        <v>524526</v>
      </c>
      <c r="F335" s="10">
        <v>1.2934000000000001</v>
      </c>
      <c r="G335" s="10">
        <v>0.88360000000000005</v>
      </c>
      <c r="H335" s="240"/>
      <c r="I335" s="9">
        <v>99560</v>
      </c>
      <c r="J335" s="9">
        <v>223561</v>
      </c>
      <c r="K335" s="9"/>
      <c r="L335" s="27">
        <v>84586</v>
      </c>
      <c r="M335" s="27">
        <v>61336</v>
      </c>
      <c r="N335" s="26"/>
      <c r="O335" s="106"/>
      <c r="P335" s="106"/>
      <c r="Q335" s="107"/>
      <c r="R335" s="107"/>
      <c r="S335" s="108"/>
      <c r="T335" s="108"/>
      <c r="U335" s="61"/>
    </row>
    <row r="336" spans="2:21">
      <c r="B336" s="292"/>
      <c r="C336" s="19">
        <v>0.79166666666666596</v>
      </c>
      <c r="D336" s="5">
        <v>222134</v>
      </c>
      <c r="E336" s="25">
        <v>524526</v>
      </c>
      <c r="F336" s="10">
        <v>1.2934000000000001</v>
      </c>
      <c r="G336" s="10">
        <v>0.88360000000000005</v>
      </c>
      <c r="H336" s="240"/>
      <c r="I336" s="9">
        <v>99560</v>
      </c>
      <c r="J336" s="9">
        <v>223561</v>
      </c>
      <c r="K336" s="9"/>
      <c r="L336" s="27">
        <v>84586</v>
      </c>
      <c r="M336" s="27">
        <v>61336</v>
      </c>
      <c r="N336" s="26"/>
      <c r="O336" s="106"/>
      <c r="P336" s="106"/>
      <c r="Q336" s="107"/>
      <c r="R336" s="107"/>
      <c r="S336" s="108"/>
      <c r="T336" s="108"/>
      <c r="U336" s="61"/>
    </row>
    <row r="337" spans="2:21">
      <c r="B337" s="292"/>
      <c r="C337" s="19">
        <v>0.83333333333333304</v>
      </c>
      <c r="D337" s="5">
        <v>222134</v>
      </c>
      <c r="E337" s="25">
        <v>524526</v>
      </c>
      <c r="F337" s="10">
        <v>1.2934000000000001</v>
      </c>
      <c r="G337" s="10">
        <v>0.88360000000000005</v>
      </c>
      <c r="H337" s="240"/>
      <c r="I337" s="9">
        <v>99560</v>
      </c>
      <c r="J337" s="9">
        <v>223561</v>
      </c>
      <c r="K337" s="9"/>
      <c r="L337" s="27">
        <v>84586</v>
      </c>
      <c r="M337" s="27">
        <v>61336</v>
      </c>
      <c r="N337" s="26"/>
      <c r="O337" s="106"/>
      <c r="P337" s="106"/>
      <c r="Q337" s="107"/>
      <c r="R337" s="107"/>
      <c r="S337" s="108"/>
      <c r="T337" s="108"/>
      <c r="U337" s="61"/>
    </row>
    <row r="338" spans="2:21">
      <c r="B338" s="292"/>
      <c r="C338" s="19">
        <v>0.875</v>
      </c>
      <c r="D338" s="5">
        <v>222134</v>
      </c>
      <c r="E338" s="25">
        <v>524526</v>
      </c>
      <c r="F338" s="10">
        <v>1.2934000000000001</v>
      </c>
      <c r="G338" s="10">
        <v>0.88360000000000005</v>
      </c>
      <c r="H338" s="240"/>
      <c r="I338" s="9">
        <v>99560</v>
      </c>
      <c r="J338" s="9">
        <v>223561</v>
      </c>
      <c r="K338" s="9"/>
      <c r="L338" s="27">
        <v>84586</v>
      </c>
      <c r="M338" s="27">
        <v>61336</v>
      </c>
      <c r="N338" s="26"/>
      <c r="O338" s="106"/>
      <c r="P338" s="106"/>
      <c r="Q338" s="107"/>
      <c r="R338" s="107"/>
      <c r="S338" s="108"/>
      <c r="T338" s="108"/>
      <c r="U338" s="61"/>
    </row>
    <row r="339" spans="2:21">
      <c r="B339" s="292"/>
      <c r="C339" s="19">
        <v>0.91666666666666596</v>
      </c>
      <c r="D339" s="5">
        <v>222134</v>
      </c>
      <c r="E339" s="25">
        <v>524526</v>
      </c>
      <c r="F339" s="10">
        <v>1.2934000000000001</v>
      </c>
      <c r="G339" s="10">
        <v>0.88360000000000005</v>
      </c>
      <c r="H339" s="240"/>
      <c r="I339" s="9">
        <v>99560</v>
      </c>
      <c r="J339" s="9">
        <v>223561</v>
      </c>
      <c r="K339" s="9"/>
      <c r="L339" s="27">
        <v>84586</v>
      </c>
      <c r="M339" s="27">
        <v>61336</v>
      </c>
      <c r="N339" s="26"/>
      <c r="O339" s="106"/>
      <c r="P339" s="106"/>
      <c r="Q339" s="107"/>
      <c r="R339" s="107"/>
      <c r="S339" s="108"/>
      <c r="T339" s="108"/>
      <c r="U339" s="61"/>
    </row>
    <row r="340" spans="2:21">
      <c r="B340" s="292"/>
      <c r="C340" s="19">
        <v>0.95833333333333304</v>
      </c>
      <c r="D340" s="5">
        <v>222134</v>
      </c>
      <c r="E340" s="25">
        <v>524526</v>
      </c>
      <c r="F340" s="10">
        <v>1.2934000000000001</v>
      </c>
      <c r="G340" s="10">
        <v>0.88360000000000005</v>
      </c>
      <c r="H340" s="240"/>
      <c r="I340" s="9">
        <v>99560</v>
      </c>
      <c r="J340" s="9">
        <v>223561</v>
      </c>
      <c r="K340" s="9"/>
      <c r="L340" s="27">
        <v>84586</v>
      </c>
      <c r="M340" s="27">
        <v>61336</v>
      </c>
      <c r="N340" s="26"/>
      <c r="O340" s="106"/>
      <c r="P340" s="106"/>
      <c r="Q340" s="107"/>
      <c r="R340" s="107"/>
      <c r="S340" s="108"/>
      <c r="T340" s="108"/>
      <c r="U340" s="61"/>
    </row>
    <row r="341" spans="2:21">
      <c r="B341" s="292"/>
      <c r="C341" s="19">
        <v>1</v>
      </c>
      <c r="D341" s="5">
        <v>222134</v>
      </c>
      <c r="E341" s="25">
        <v>524526</v>
      </c>
      <c r="F341" s="10">
        <v>1.2934000000000001</v>
      </c>
      <c r="G341" s="10">
        <v>0.88360000000000005</v>
      </c>
      <c r="H341" s="240"/>
      <c r="I341" s="9">
        <v>99560</v>
      </c>
      <c r="J341" s="9">
        <v>223561</v>
      </c>
      <c r="K341" s="9"/>
      <c r="L341" s="27">
        <v>84586</v>
      </c>
      <c r="M341" s="27">
        <v>61336</v>
      </c>
      <c r="N341" s="26"/>
      <c r="O341" s="63"/>
      <c r="P341" s="63"/>
      <c r="Q341" s="62"/>
      <c r="R341" s="62"/>
      <c r="S341" s="64"/>
      <c r="T341" s="64"/>
      <c r="U341" s="61"/>
    </row>
    <row r="342" spans="2:21">
      <c r="B342" s="292"/>
      <c r="C342" s="19">
        <v>1.0416666666666701</v>
      </c>
      <c r="D342" s="5">
        <v>222134</v>
      </c>
      <c r="E342" s="25">
        <v>524526</v>
      </c>
      <c r="F342" s="10">
        <v>1.2934000000000001</v>
      </c>
      <c r="G342" s="10">
        <v>0.88360000000000005</v>
      </c>
      <c r="H342" s="240"/>
      <c r="I342" s="9">
        <v>99560</v>
      </c>
      <c r="J342" s="9">
        <v>223561</v>
      </c>
      <c r="K342" s="9"/>
      <c r="L342" s="27">
        <v>84586</v>
      </c>
      <c r="M342" s="27">
        <v>61336</v>
      </c>
      <c r="N342" s="26"/>
      <c r="O342" s="63"/>
      <c r="P342" s="63"/>
      <c r="Q342" s="62"/>
      <c r="R342" s="62"/>
      <c r="S342" s="64"/>
      <c r="T342" s="64"/>
      <c r="U342" s="61"/>
    </row>
    <row r="343" spans="2:21">
      <c r="B343" s="292"/>
      <c r="C343" s="19">
        <v>1.0833333333333399</v>
      </c>
      <c r="D343" s="5">
        <v>222134</v>
      </c>
      <c r="E343" s="25">
        <v>524526</v>
      </c>
      <c r="F343" s="10">
        <v>1.2934000000000001</v>
      </c>
      <c r="G343" s="10">
        <v>0.88360000000000005</v>
      </c>
      <c r="H343" s="240"/>
      <c r="I343" s="9">
        <v>99560</v>
      </c>
      <c r="J343" s="9">
        <v>223561</v>
      </c>
      <c r="K343" s="9"/>
      <c r="L343" s="27">
        <v>84586</v>
      </c>
      <c r="M343" s="27">
        <v>61336</v>
      </c>
      <c r="N343" s="26"/>
      <c r="O343" s="63"/>
      <c r="P343" s="63"/>
      <c r="Q343" s="62"/>
      <c r="R343" s="62"/>
      <c r="S343" s="64"/>
      <c r="T343" s="64"/>
      <c r="U343" s="61"/>
    </row>
    <row r="344" spans="2:21">
      <c r="B344" s="292"/>
      <c r="C344" s="19">
        <v>1.125</v>
      </c>
      <c r="D344" s="5">
        <v>222134</v>
      </c>
      <c r="E344" s="25">
        <v>524526</v>
      </c>
      <c r="F344" s="10">
        <v>1.2934000000000001</v>
      </c>
      <c r="G344" s="10">
        <v>0.88360000000000005</v>
      </c>
      <c r="H344" s="240"/>
      <c r="I344" s="9">
        <v>99560</v>
      </c>
      <c r="J344" s="9">
        <v>223561</v>
      </c>
      <c r="K344" s="9"/>
      <c r="L344" s="27">
        <v>84586</v>
      </c>
      <c r="M344" s="27">
        <v>61336</v>
      </c>
      <c r="N344" s="26"/>
      <c r="O344" s="63"/>
      <c r="P344" s="63"/>
      <c r="Q344" s="62"/>
      <c r="R344" s="62"/>
      <c r="S344" s="64"/>
      <c r="T344" s="64"/>
      <c r="U344" s="61"/>
    </row>
    <row r="345" spans="2:21">
      <c r="B345" s="292"/>
      <c r="C345" s="19">
        <v>1.1666666666666701</v>
      </c>
      <c r="D345" s="5">
        <v>222134</v>
      </c>
      <c r="E345" s="25">
        <v>524526</v>
      </c>
      <c r="F345" s="10">
        <v>1.2934000000000001</v>
      </c>
      <c r="G345" s="10">
        <v>0.88360000000000005</v>
      </c>
      <c r="H345" s="240"/>
      <c r="I345" s="9">
        <v>99560</v>
      </c>
      <c r="J345" s="9">
        <v>223561</v>
      </c>
      <c r="K345" s="9"/>
      <c r="L345" s="27">
        <v>84586</v>
      </c>
      <c r="M345" s="27">
        <v>61336</v>
      </c>
      <c r="N345" s="26"/>
      <c r="O345" s="106"/>
      <c r="P345" s="106"/>
      <c r="Q345" s="107"/>
      <c r="R345" s="107"/>
      <c r="S345" s="108"/>
      <c r="T345" s="108"/>
      <c r="U345" s="61"/>
    </row>
    <row r="346" spans="2:21">
      <c r="B346" s="292"/>
      <c r="C346" s="19">
        <v>1.2083333333333399</v>
      </c>
      <c r="D346" s="5">
        <v>222134</v>
      </c>
      <c r="E346" s="25">
        <v>524526</v>
      </c>
      <c r="F346" s="10">
        <v>1.2934000000000001</v>
      </c>
      <c r="G346" s="10">
        <v>0.88360000000000005</v>
      </c>
      <c r="H346" s="240"/>
      <c r="I346" s="9">
        <v>99560</v>
      </c>
      <c r="J346" s="9">
        <v>223561</v>
      </c>
      <c r="K346" s="9"/>
      <c r="L346" s="27">
        <v>84586</v>
      </c>
      <c r="M346" s="27">
        <v>61336</v>
      </c>
      <c r="N346" s="26"/>
      <c r="O346" s="106"/>
      <c r="P346" s="106"/>
      <c r="Q346" s="107"/>
      <c r="R346" s="107"/>
      <c r="S346" s="108"/>
      <c r="T346" s="108"/>
      <c r="U346" s="61"/>
    </row>
    <row r="347" spans="2:21">
      <c r="B347" s="292"/>
      <c r="C347" s="19">
        <v>1.25</v>
      </c>
      <c r="D347" s="5">
        <v>222134</v>
      </c>
      <c r="E347" s="25">
        <v>524526</v>
      </c>
      <c r="F347" s="10">
        <v>1.2934000000000001</v>
      </c>
      <c r="G347" s="10">
        <v>0.88360000000000005</v>
      </c>
      <c r="H347" s="240"/>
      <c r="I347" s="9">
        <v>99560</v>
      </c>
      <c r="J347" s="9">
        <v>223561</v>
      </c>
      <c r="K347" s="9"/>
      <c r="L347" s="27">
        <v>84586</v>
      </c>
      <c r="M347" s="27">
        <v>61336</v>
      </c>
      <c r="N347" s="26"/>
      <c r="O347" s="106"/>
      <c r="P347" s="106"/>
      <c r="Q347" s="107"/>
      <c r="R347" s="107"/>
      <c r="S347" s="108"/>
      <c r="T347" s="108"/>
      <c r="U347" s="61"/>
    </row>
    <row r="348" spans="2:21">
      <c r="B348" s="292"/>
      <c r="C348" s="19">
        <v>1.2916666666666701</v>
      </c>
      <c r="D348" s="5">
        <v>222134</v>
      </c>
      <c r="E348" s="25">
        <v>524526</v>
      </c>
      <c r="F348" s="10">
        <v>1.2934000000000001</v>
      </c>
      <c r="G348" s="10">
        <v>0.88360000000000005</v>
      </c>
      <c r="H348" s="240"/>
      <c r="I348" s="9">
        <v>99560</v>
      </c>
      <c r="J348" s="9">
        <v>223561</v>
      </c>
      <c r="K348" s="9"/>
      <c r="L348" s="27">
        <v>84586</v>
      </c>
      <c r="M348" s="27">
        <v>61336</v>
      </c>
      <c r="N348" s="26"/>
      <c r="O348" s="106"/>
      <c r="P348" s="106"/>
      <c r="Q348" s="107"/>
      <c r="R348" s="107"/>
      <c r="S348" s="108"/>
      <c r="T348" s="108"/>
      <c r="U348" s="61"/>
    </row>
    <row r="349" spans="2:21">
      <c r="B349" s="293"/>
      <c r="C349" s="6"/>
      <c r="D349" s="13" cm="1">
        <f t="array" ref="D349">IFERROR(LOOKUP(2,1/(D324:D348&gt;0),D324:D348-D324),0)</f>
        <v>0</v>
      </c>
      <c r="E349" s="13" cm="1">
        <f t="array" ref="E349">IFERROR(LOOKUP(2,1/(E324:E348&gt;0),E324:E348-E324),0)</f>
        <v>0</v>
      </c>
      <c r="F349" s="13" cm="1">
        <f t="array" ref="F349">IFERROR(LOOKUP(2,1/(F324:F348&gt;0),F324:F348-F324),0)</f>
        <v>0</v>
      </c>
      <c r="G349" s="13" cm="1">
        <f t="array" ref="G349">IFERROR(LOOKUP(2,1/(G324:G348&gt;0),G324:G348-G324),0)</f>
        <v>0</v>
      </c>
      <c r="H349" s="13">
        <f>F349+G349</f>
        <v>0</v>
      </c>
      <c r="I349" s="13" cm="1">
        <f t="array" ref="I349">IFERROR(LOOKUP(2,1/(I324:I348&gt;0),I324:I348-I324),0)</f>
        <v>0</v>
      </c>
      <c r="J349" s="13" cm="1">
        <f t="array" ref="J349">IFERROR(LOOKUP(2,1/(J324:J348&gt;0),J324:J348-J324),0)</f>
        <v>0</v>
      </c>
      <c r="K349" s="13">
        <f>I349+J349</f>
        <v>0</v>
      </c>
      <c r="L349" s="13" cm="1">
        <f t="array" ref="L349">IFERROR(LOOKUP(2,1/(L324:L348&gt;0),L324:L348-L324),0)</f>
        <v>0</v>
      </c>
      <c r="M349" s="13" cm="1">
        <f t="array" ref="M349">IFERROR(LOOKUP(2,1/(M324:M348&gt;0),M324:M348-M324),0)</f>
        <v>0</v>
      </c>
      <c r="N349" s="13">
        <f>L349+M349</f>
        <v>0</v>
      </c>
      <c r="O349" s="109">
        <f t="shared" ref="O349:T349" si="23">IFERROR(AVERAGE(O324:O348),0)</f>
        <v>0</v>
      </c>
      <c r="P349" s="109">
        <f t="shared" si="23"/>
        <v>0</v>
      </c>
      <c r="Q349" s="109">
        <f t="shared" si="23"/>
        <v>0</v>
      </c>
      <c r="R349" s="109">
        <f t="shared" si="23"/>
        <v>0</v>
      </c>
      <c r="S349" s="109">
        <f t="shared" si="23"/>
        <v>0</v>
      </c>
      <c r="T349" s="109">
        <f t="shared" si="23"/>
        <v>0</v>
      </c>
      <c r="U349" s="4">
        <f>COUNT(U324:U348)</f>
        <v>0</v>
      </c>
    </row>
    <row r="350" spans="2:21">
      <c r="B350" s="291">
        <f t="shared" ref="B350" si="24">B324+1</f>
        <v>46036</v>
      </c>
      <c r="C350" s="19">
        <v>0.29166666666666669</v>
      </c>
      <c r="D350" s="5">
        <v>222134</v>
      </c>
      <c r="E350" s="25">
        <v>524526</v>
      </c>
      <c r="F350" s="10">
        <v>1.2934000000000001</v>
      </c>
      <c r="G350" s="10">
        <v>0.88360000000000005</v>
      </c>
      <c r="H350" s="240"/>
      <c r="I350" s="9">
        <v>99560</v>
      </c>
      <c r="J350" s="9">
        <v>223561</v>
      </c>
      <c r="K350" s="9"/>
      <c r="L350" s="27">
        <v>84586</v>
      </c>
      <c r="M350" s="27">
        <v>61336</v>
      </c>
      <c r="N350" s="26"/>
      <c r="O350" s="106"/>
      <c r="P350" s="106"/>
      <c r="Q350" s="107"/>
      <c r="R350" s="107"/>
      <c r="S350" s="108"/>
      <c r="T350" s="108"/>
      <c r="U350" s="61"/>
    </row>
    <row r="351" spans="2:21">
      <c r="B351" s="292"/>
      <c r="C351" s="19">
        <v>0.33333333333333298</v>
      </c>
      <c r="D351" s="5">
        <v>222134</v>
      </c>
      <c r="E351" s="25">
        <v>524526</v>
      </c>
      <c r="F351" s="10">
        <v>1.2934000000000001</v>
      </c>
      <c r="G351" s="10">
        <v>0.88360000000000005</v>
      </c>
      <c r="H351" s="240"/>
      <c r="I351" s="9">
        <v>99560</v>
      </c>
      <c r="J351" s="9">
        <v>223561</v>
      </c>
      <c r="K351" s="9"/>
      <c r="L351" s="27">
        <v>84586</v>
      </c>
      <c r="M351" s="27">
        <v>61336</v>
      </c>
      <c r="N351" s="26"/>
      <c r="O351" s="106"/>
      <c r="P351" s="106"/>
      <c r="Q351" s="107"/>
      <c r="R351" s="107"/>
      <c r="S351" s="108"/>
      <c r="T351" s="108"/>
      <c r="U351" s="61"/>
    </row>
    <row r="352" spans="2:21">
      <c r="B352" s="292"/>
      <c r="C352" s="19">
        <v>0.375</v>
      </c>
      <c r="D352" s="5">
        <v>222134</v>
      </c>
      <c r="E352" s="25">
        <v>524526</v>
      </c>
      <c r="F352" s="10">
        <v>1.2934000000000001</v>
      </c>
      <c r="G352" s="10">
        <v>0.88360000000000005</v>
      </c>
      <c r="H352" s="240"/>
      <c r="I352" s="9">
        <v>99560</v>
      </c>
      <c r="J352" s="9">
        <v>223561</v>
      </c>
      <c r="K352" s="9"/>
      <c r="L352" s="27">
        <v>84586</v>
      </c>
      <c r="M352" s="27">
        <v>61336</v>
      </c>
      <c r="N352" s="26"/>
      <c r="O352" s="106"/>
      <c r="P352" s="106"/>
      <c r="Q352" s="107"/>
      <c r="R352" s="107"/>
      <c r="S352" s="108"/>
      <c r="T352" s="108"/>
      <c r="U352" s="61"/>
    </row>
    <row r="353" spans="2:21">
      <c r="B353" s="292"/>
      <c r="C353" s="19">
        <v>0.41666666666666702</v>
      </c>
      <c r="D353" s="5">
        <v>222134</v>
      </c>
      <c r="E353" s="25">
        <v>524526</v>
      </c>
      <c r="F353" s="10">
        <v>1.2934000000000001</v>
      </c>
      <c r="G353" s="10">
        <v>0.88360000000000005</v>
      </c>
      <c r="H353" s="240"/>
      <c r="I353" s="9">
        <v>99560</v>
      </c>
      <c r="J353" s="9">
        <v>223561</v>
      </c>
      <c r="K353" s="9"/>
      <c r="L353" s="27">
        <v>84586</v>
      </c>
      <c r="M353" s="27">
        <v>61336</v>
      </c>
      <c r="N353" s="26"/>
      <c r="O353" s="106"/>
      <c r="P353" s="106"/>
      <c r="Q353" s="107"/>
      <c r="R353" s="107"/>
      <c r="S353" s="108"/>
      <c r="T353" s="108"/>
      <c r="U353" s="61"/>
    </row>
    <row r="354" spans="2:21">
      <c r="B354" s="292"/>
      <c r="C354" s="19">
        <v>0.45833333333333298</v>
      </c>
      <c r="D354" s="5">
        <v>222134</v>
      </c>
      <c r="E354" s="25">
        <v>524526</v>
      </c>
      <c r="F354" s="10">
        <v>1.2934000000000001</v>
      </c>
      <c r="G354" s="10">
        <v>0.88360000000000005</v>
      </c>
      <c r="H354" s="240"/>
      <c r="I354" s="9">
        <v>99560</v>
      </c>
      <c r="J354" s="9">
        <v>223561</v>
      </c>
      <c r="K354" s="9"/>
      <c r="L354" s="27">
        <v>84586</v>
      </c>
      <c r="M354" s="27">
        <v>61336</v>
      </c>
      <c r="N354" s="26"/>
      <c r="O354" s="106"/>
      <c r="P354" s="106"/>
      <c r="Q354" s="107"/>
      <c r="R354" s="107"/>
      <c r="S354" s="108"/>
      <c r="T354" s="108"/>
      <c r="U354" s="61"/>
    </row>
    <row r="355" spans="2:21">
      <c r="B355" s="292"/>
      <c r="C355" s="19">
        <v>0.5</v>
      </c>
      <c r="D355" s="5">
        <v>222134</v>
      </c>
      <c r="E355" s="25">
        <v>524526</v>
      </c>
      <c r="F355" s="10">
        <v>1.2934000000000001</v>
      </c>
      <c r="G355" s="10">
        <v>0.88360000000000005</v>
      </c>
      <c r="H355" s="240"/>
      <c r="I355" s="9">
        <v>99560</v>
      </c>
      <c r="J355" s="9">
        <v>223561</v>
      </c>
      <c r="K355" s="9"/>
      <c r="L355" s="27">
        <v>84586</v>
      </c>
      <c r="M355" s="27">
        <v>61336</v>
      </c>
      <c r="N355" s="26"/>
      <c r="O355" s="106"/>
      <c r="P355" s="106"/>
      <c r="Q355" s="107"/>
      <c r="R355" s="107"/>
      <c r="S355" s="108"/>
      <c r="T355" s="108"/>
      <c r="U355" s="61"/>
    </row>
    <row r="356" spans="2:21">
      <c r="B356" s="292"/>
      <c r="C356" s="19">
        <v>0.54166666666666696</v>
      </c>
      <c r="D356" s="5">
        <v>222134</v>
      </c>
      <c r="E356" s="25">
        <v>524526</v>
      </c>
      <c r="F356" s="10">
        <v>1.2934000000000001</v>
      </c>
      <c r="G356" s="10">
        <v>0.88360000000000005</v>
      </c>
      <c r="H356" s="240"/>
      <c r="I356" s="9">
        <v>99560</v>
      </c>
      <c r="J356" s="9">
        <v>223561</v>
      </c>
      <c r="K356" s="9"/>
      <c r="L356" s="27">
        <v>84586</v>
      </c>
      <c r="M356" s="27">
        <v>61336</v>
      </c>
      <c r="N356" s="26"/>
      <c r="O356" s="106"/>
      <c r="P356" s="106"/>
      <c r="Q356" s="107"/>
      <c r="R356" s="107"/>
      <c r="S356" s="108"/>
      <c r="T356" s="108"/>
      <c r="U356" s="61"/>
    </row>
    <row r="357" spans="2:21">
      <c r="B357" s="292"/>
      <c r="C357" s="19">
        <v>0.58333333333333304</v>
      </c>
      <c r="D357" s="5">
        <v>222134</v>
      </c>
      <c r="E357" s="25">
        <v>524526</v>
      </c>
      <c r="F357" s="10">
        <v>1.2934000000000001</v>
      </c>
      <c r="G357" s="10">
        <v>0.88360000000000005</v>
      </c>
      <c r="H357" s="240"/>
      <c r="I357" s="9">
        <v>99560</v>
      </c>
      <c r="J357" s="9">
        <v>223561</v>
      </c>
      <c r="K357" s="9"/>
      <c r="L357" s="27">
        <v>84586</v>
      </c>
      <c r="M357" s="27">
        <v>61336</v>
      </c>
      <c r="N357" s="26"/>
      <c r="O357" s="106"/>
      <c r="P357" s="106"/>
      <c r="Q357" s="107"/>
      <c r="R357" s="107"/>
      <c r="S357" s="108"/>
      <c r="T357" s="108"/>
      <c r="U357" s="65"/>
    </row>
    <row r="358" spans="2:21">
      <c r="B358" s="292"/>
      <c r="C358" s="19">
        <v>0.625</v>
      </c>
      <c r="D358" s="5">
        <v>222134</v>
      </c>
      <c r="E358" s="25">
        <v>524526</v>
      </c>
      <c r="F358" s="10">
        <v>1.2934000000000001</v>
      </c>
      <c r="G358" s="10">
        <v>0.88360000000000005</v>
      </c>
      <c r="H358" s="240"/>
      <c r="I358" s="9">
        <v>99560</v>
      </c>
      <c r="J358" s="9">
        <v>223561</v>
      </c>
      <c r="K358" s="9"/>
      <c r="L358" s="27">
        <v>84586</v>
      </c>
      <c r="M358" s="27">
        <v>61336</v>
      </c>
      <c r="N358" s="26"/>
      <c r="O358" s="106"/>
      <c r="P358" s="106"/>
      <c r="Q358" s="107"/>
      <c r="R358" s="107"/>
      <c r="S358" s="108"/>
      <c r="T358" s="108"/>
      <c r="U358" s="61"/>
    </row>
    <row r="359" spans="2:21">
      <c r="B359" s="292"/>
      <c r="C359" s="19">
        <v>0.66666666666666596</v>
      </c>
      <c r="D359" s="5">
        <v>222134</v>
      </c>
      <c r="E359" s="25">
        <v>524526</v>
      </c>
      <c r="F359" s="10">
        <v>1.2934000000000001</v>
      </c>
      <c r="G359" s="10">
        <v>0.88360000000000005</v>
      </c>
      <c r="H359" s="240"/>
      <c r="I359" s="9">
        <v>99560</v>
      </c>
      <c r="J359" s="9">
        <v>223561</v>
      </c>
      <c r="K359" s="9"/>
      <c r="L359" s="27">
        <v>84586</v>
      </c>
      <c r="M359" s="27">
        <v>61336</v>
      </c>
      <c r="N359" s="26"/>
      <c r="O359" s="106"/>
      <c r="P359" s="106"/>
      <c r="Q359" s="107"/>
      <c r="R359" s="107"/>
      <c r="S359" s="108"/>
      <c r="T359" s="108"/>
      <c r="U359" s="61"/>
    </row>
    <row r="360" spans="2:21">
      <c r="B360" s="292"/>
      <c r="C360" s="19">
        <v>0.70833333333333304</v>
      </c>
      <c r="D360" s="5">
        <v>222134</v>
      </c>
      <c r="E360" s="25">
        <v>524526</v>
      </c>
      <c r="F360" s="10">
        <v>1.2934000000000001</v>
      </c>
      <c r="G360" s="10">
        <v>0.88360000000000005</v>
      </c>
      <c r="H360" s="240"/>
      <c r="I360" s="9">
        <v>99560</v>
      </c>
      <c r="J360" s="9">
        <v>223561</v>
      </c>
      <c r="K360" s="9"/>
      <c r="L360" s="27">
        <v>84586</v>
      </c>
      <c r="M360" s="27">
        <v>61336</v>
      </c>
      <c r="N360" s="26"/>
      <c r="O360" s="106"/>
      <c r="P360" s="106"/>
      <c r="Q360" s="107"/>
      <c r="R360" s="107"/>
      <c r="S360" s="108"/>
      <c r="T360" s="108"/>
      <c r="U360" s="61"/>
    </row>
    <row r="361" spans="2:21">
      <c r="B361" s="292"/>
      <c r="C361" s="19">
        <v>0.75</v>
      </c>
      <c r="D361" s="5">
        <v>222134</v>
      </c>
      <c r="E361" s="25">
        <v>524526</v>
      </c>
      <c r="F361" s="10">
        <v>1.2934000000000001</v>
      </c>
      <c r="G361" s="10">
        <v>0.88360000000000005</v>
      </c>
      <c r="H361" s="240"/>
      <c r="I361" s="9">
        <v>99560</v>
      </c>
      <c r="J361" s="9">
        <v>223561</v>
      </c>
      <c r="K361" s="9"/>
      <c r="L361" s="27">
        <v>84586</v>
      </c>
      <c r="M361" s="27">
        <v>61336</v>
      </c>
      <c r="N361" s="26"/>
      <c r="O361" s="106"/>
      <c r="P361" s="106"/>
      <c r="Q361" s="107"/>
      <c r="R361" s="107"/>
      <c r="S361" s="108"/>
      <c r="T361" s="108"/>
      <c r="U361" s="61"/>
    </row>
    <row r="362" spans="2:21">
      <c r="B362" s="292"/>
      <c r="C362" s="19">
        <v>0.79166666666666596</v>
      </c>
      <c r="D362" s="5">
        <v>222134</v>
      </c>
      <c r="E362" s="25">
        <v>524526</v>
      </c>
      <c r="F362" s="10">
        <v>1.2934000000000001</v>
      </c>
      <c r="G362" s="10">
        <v>0.88360000000000005</v>
      </c>
      <c r="H362" s="240"/>
      <c r="I362" s="9">
        <v>99560</v>
      </c>
      <c r="J362" s="9">
        <v>223561</v>
      </c>
      <c r="K362" s="9"/>
      <c r="L362" s="27">
        <v>84586</v>
      </c>
      <c r="M362" s="27">
        <v>61336</v>
      </c>
      <c r="N362" s="26"/>
      <c r="O362" s="106"/>
      <c r="P362" s="106"/>
      <c r="Q362" s="107"/>
      <c r="R362" s="107"/>
      <c r="S362" s="108"/>
      <c r="T362" s="108"/>
      <c r="U362" s="61"/>
    </row>
    <row r="363" spans="2:21">
      <c r="B363" s="292"/>
      <c r="C363" s="19">
        <v>0.83333333333333304</v>
      </c>
      <c r="D363" s="5">
        <v>222134</v>
      </c>
      <c r="E363" s="25">
        <v>524526</v>
      </c>
      <c r="F363" s="10">
        <v>1.2934000000000001</v>
      </c>
      <c r="G363" s="10">
        <v>0.88360000000000005</v>
      </c>
      <c r="H363" s="240"/>
      <c r="I363" s="9">
        <v>99560</v>
      </c>
      <c r="J363" s="9">
        <v>223561</v>
      </c>
      <c r="K363" s="9"/>
      <c r="L363" s="27">
        <v>84586</v>
      </c>
      <c r="M363" s="27">
        <v>61336</v>
      </c>
      <c r="N363" s="26"/>
      <c r="O363" s="106"/>
      <c r="P363" s="106"/>
      <c r="Q363" s="107"/>
      <c r="R363" s="107"/>
      <c r="S363" s="108"/>
      <c r="T363" s="108"/>
      <c r="U363" s="61"/>
    </row>
    <row r="364" spans="2:21">
      <c r="B364" s="292"/>
      <c r="C364" s="19">
        <v>0.875</v>
      </c>
      <c r="D364" s="5">
        <v>222134</v>
      </c>
      <c r="E364" s="25">
        <v>524526</v>
      </c>
      <c r="F364" s="10">
        <v>1.2934000000000001</v>
      </c>
      <c r="G364" s="10">
        <v>0.88360000000000005</v>
      </c>
      <c r="H364" s="240"/>
      <c r="I364" s="9">
        <v>99560</v>
      </c>
      <c r="J364" s="9">
        <v>223561</v>
      </c>
      <c r="K364" s="9"/>
      <c r="L364" s="27">
        <v>84586</v>
      </c>
      <c r="M364" s="27">
        <v>61336</v>
      </c>
      <c r="N364" s="26"/>
      <c r="O364" s="106"/>
      <c r="P364" s="106"/>
      <c r="Q364" s="107"/>
      <c r="R364" s="107"/>
      <c r="S364" s="108"/>
      <c r="T364" s="108"/>
      <c r="U364" s="61"/>
    </row>
    <row r="365" spans="2:21">
      <c r="B365" s="292"/>
      <c r="C365" s="19">
        <v>0.91666666666666596</v>
      </c>
      <c r="D365" s="5">
        <v>222134</v>
      </c>
      <c r="E365" s="25">
        <v>524526</v>
      </c>
      <c r="F365" s="10">
        <v>1.2934000000000001</v>
      </c>
      <c r="G365" s="10">
        <v>0.88360000000000005</v>
      </c>
      <c r="H365" s="240"/>
      <c r="I365" s="9">
        <v>99560</v>
      </c>
      <c r="J365" s="9">
        <v>223561</v>
      </c>
      <c r="K365" s="9"/>
      <c r="L365" s="27">
        <v>84586</v>
      </c>
      <c r="M365" s="27">
        <v>61336</v>
      </c>
      <c r="N365" s="26"/>
      <c r="O365" s="106"/>
      <c r="P365" s="106"/>
      <c r="Q365" s="107"/>
      <c r="R365" s="107"/>
      <c r="S365" s="108"/>
      <c r="T365" s="108"/>
      <c r="U365" s="61"/>
    </row>
    <row r="366" spans="2:21">
      <c r="B366" s="292"/>
      <c r="C366" s="19">
        <v>0.95833333333333304</v>
      </c>
      <c r="D366" s="5">
        <v>222134</v>
      </c>
      <c r="E366" s="25">
        <v>524526</v>
      </c>
      <c r="F366" s="10">
        <v>1.2934000000000001</v>
      </c>
      <c r="G366" s="10">
        <v>0.88360000000000005</v>
      </c>
      <c r="H366" s="240"/>
      <c r="I366" s="9">
        <v>99560</v>
      </c>
      <c r="J366" s="9">
        <v>223561</v>
      </c>
      <c r="K366" s="9"/>
      <c r="L366" s="27">
        <v>84586</v>
      </c>
      <c r="M366" s="27">
        <v>61336</v>
      </c>
      <c r="N366" s="26"/>
      <c r="O366" s="106"/>
      <c r="P366" s="106"/>
      <c r="Q366" s="107"/>
      <c r="R366" s="107"/>
      <c r="S366" s="108"/>
      <c r="T366" s="108"/>
      <c r="U366" s="61"/>
    </row>
    <row r="367" spans="2:21">
      <c r="B367" s="292"/>
      <c r="C367" s="19">
        <v>1</v>
      </c>
      <c r="D367" s="5">
        <v>222134</v>
      </c>
      <c r="E367" s="25">
        <v>524526</v>
      </c>
      <c r="F367" s="10">
        <v>1.2934000000000001</v>
      </c>
      <c r="G367" s="10">
        <v>0.88360000000000005</v>
      </c>
      <c r="H367" s="240"/>
      <c r="I367" s="9">
        <v>99560</v>
      </c>
      <c r="J367" s="9">
        <v>223561</v>
      </c>
      <c r="K367" s="9"/>
      <c r="L367" s="27">
        <v>84586</v>
      </c>
      <c r="M367" s="27">
        <v>61336</v>
      </c>
      <c r="N367" s="26"/>
      <c r="O367" s="63"/>
      <c r="P367" s="63"/>
      <c r="Q367" s="62"/>
      <c r="R367" s="62"/>
      <c r="S367" s="64"/>
      <c r="T367" s="64"/>
      <c r="U367" s="61"/>
    </row>
    <row r="368" spans="2:21">
      <c r="B368" s="292"/>
      <c r="C368" s="19">
        <v>1.0416666666666701</v>
      </c>
      <c r="D368" s="5">
        <v>222134</v>
      </c>
      <c r="E368" s="25">
        <v>524526</v>
      </c>
      <c r="F368" s="10">
        <v>1.2934000000000001</v>
      </c>
      <c r="G368" s="10">
        <v>0.88360000000000005</v>
      </c>
      <c r="H368" s="240"/>
      <c r="I368" s="9">
        <v>99560</v>
      </c>
      <c r="J368" s="9">
        <v>223561</v>
      </c>
      <c r="K368" s="9"/>
      <c r="L368" s="27">
        <v>84586</v>
      </c>
      <c r="M368" s="27">
        <v>61336</v>
      </c>
      <c r="N368" s="26"/>
      <c r="O368" s="63"/>
      <c r="P368" s="63"/>
      <c r="Q368" s="62"/>
      <c r="R368" s="62"/>
      <c r="S368" s="64"/>
      <c r="T368" s="64"/>
      <c r="U368" s="61"/>
    </row>
    <row r="369" spans="2:21">
      <c r="B369" s="292"/>
      <c r="C369" s="19">
        <v>1.0833333333333399</v>
      </c>
      <c r="D369" s="5">
        <v>222134</v>
      </c>
      <c r="E369" s="25">
        <v>524526</v>
      </c>
      <c r="F369" s="10">
        <v>1.2934000000000001</v>
      </c>
      <c r="G369" s="10">
        <v>0.88360000000000005</v>
      </c>
      <c r="H369" s="240"/>
      <c r="I369" s="9">
        <v>99560</v>
      </c>
      <c r="J369" s="9">
        <v>223561</v>
      </c>
      <c r="K369" s="9"/>
      <c r="L369" s="27">
        <v>84586</v>
      </c>
      <c r="M369" s="27">
        <v>61336</v>
      </c>
      <c r="N369" s="26"/>
      <c r="O369" s="63"/>
      <c r="P369" s="63"/>
      <c r="Q369" s="62"/>
      <c r="R369" s="62"/>
      <c r="S369" s="64"/>
      <c r="T369" s="64"/>
      <c r="U369" s="61"/>
    </row>
    <row r="370" spans="2:21">
      <c r="B370" s="292"/>
      <c r="C370" s="19">
        <v>1.125</v>
      </c>
      <c r="D370" s="5">
        <v>222134</v>
      </c>
      <c r="E370" s="25">
        <v>524526</v>
      </c>
      <c r="F370" s="10">
        <v>1.2934000000000001</v>
      </c>
      <c r="G370" s="10">
        <v>0.88360000000000005</v>
      </c>
      <c r="H370" s="240"/>
      <c r="I370" s="9">
        <v>99560</v>
      </c>
      <c r="J370" s="9">
        <v>223561</v>
      </c>
      <c r="K370" s="9"/>
      <c r="L370" s="27">
        <v>84586</v>
      </c>
      <c r="M370" s="27">
        <v>61336</v>
      </c>
      <c r="N370" s="26"/>
      <c r="O370" s="63"/>
      <c r="P370" s="63"/>
      <c r="Q370" s="62"/>
      <c r="R370" s="62"/>
      <c r="S370" s="64"/>
      <c r="T370" s="64"/>
      <c r="U370" s="61"/>
    </row>
    <row r="371" spans="2:21">
      <c r="B371" s="292"/>
      <c r="C371" s="19">
        <v>1.1666666666666701</v>
      </c>
      <c r="D371" s="5">
        <v>222134</v>
      </c>
      <c r="E371" s="25">
        <v>524526</v>
      </c>
      <c r="F371" s="10">
        <v>1.2934000000000001</v>
      </c>
      <c r="G371" s="10">
        <v>0.88360000000000005</v>
      </c>
      <c r="H371" s="240"/>
      <c r="I371" s="9">
        <v>99560</v>
      </c>
      <c r="J371" s="9">
        <v>223561</v>
      </c>
      <c r="K371" s="9"/>
      <c r="L371" s="27">
        <v>84586</v>
      </c>
      <c r="M371" s="27">
        <v>61336</v>
      </c>
      <c r="N371" s="26"/>
      <c r="O371" s="106"/>
      <c r="P371" s="106"/>
      <c r="Q371" s="107"/>
      <c r="R371" s="107"/>
      <c r="S371" s="108"/>
      <c r="T371" s="108"/>
      <c r="U371" s="61"/>
    </row>
    <row r="372" spans="2:21">
      <c r="B372" s="292"/>
      <c r="C372" s="19">
        <v>1.2083333333333399</v>
      </c>
      <c r="D372" s="5">
        <v>222134</v>
      </c>
      <c r="E372" s="25">
        <v>524526</v>
      </c>
      <c r="F372" s="10">
        <v>1.2934000000000001</v>
      </c>
      <c r="G372" s="10">
        <v>0.88360000000000005</v>
      </c>
      <c r="H372" s="240"/>
      <c r="I372" s="9">
        <v>99560</v>
      </c>
      <c r="J372" s="9">
        <v>223561</v>
      </c>
      <c r="K372" s="9"/>
      <c r="L372" s="27">
        <v>84586</v>
      </c>
      <c r="M372" s="27">
        <v>61336</v>
      </c>
      <c r="N372" s="26"/>
      <c r="O372" s="106"/>
      <c r="P372" s="106"/>
      <c r="Q372" s="107"/>
      <c r="R372" s="107"/>
      <c r="S372" s="108"/>
      <c r="T372" s="108"/>
      <c r="U372" s="61"/>
    </row>
    <row r="373" spans="2:21">
      <c r="B373" s="292"/>
      <c r="C373" s="19">
        <v>1.25</v>
      </c>
      <c r="D373" s="5">
        <v>222134</v>
      </c>
      <c r="E373" s="25">
        <v>524526</v>
      </c>
      <c r="F373" s="10">
        <v>1.2934000000000001</v>
      </c>
      <c r="G373" s="10">
        <v>0.88360000000000005</v>
      </c>
      <c r="H373" s="240"/>
      <c r="I373" s="9">
        <v>99560</v>
      </c>
      <c r="J373" s="9">
        <v>223561</v>
      </c>
      <c r="K373" s="9"/>
      <c r="L373" s="27">
        <v>84586</v>
      </c>
      <c r="M373" s="27">
        <v>61336</v>
      </c>
      <c r="N373" s="26"/>
      <c r="O373" s="106"/>
      <c r="P373" s="106"/>
      <c r="Q373" s="107"/>
      <c r="R373" s="107"/>
      <c r="S373" s="108"/>
      <c r="T373" s="108"/>
      <c r="U373" s="61"/>
    </row>
    <row r="374" spans="2:21">
      <c r="B374" s="292"/>
      <c r="C374" s="19">
        <v>1.2916666666666701</v>
      </c>
      <c r="D374" s="5">
        <v>222134</v>
      </c>
      <c r="E374" s="25">
        <v>524526</v>
      </c>
      <c r="F374" s="10">
        <v>1.2934000000000001</v>
      </c>
      <c r="G374" s="10">
        <v>0.88360000000000005</v>
      </c>
      <c r="H374" s="240"/>
      <c r="I374" s="9">
        <v>99560</v>
      </c>
      <c r="J374" s="9">
        <v>223561</v>
      </c>
      <c r="K374" s="9"/>
      <c r="L374" s="27">
        <v>84586</v>
      </c>
      <c r="M374" s="27">
        <v>61336</v>
      </c>
      <c r="N374" s="26"/>
      <c r="O374" s="106"/>
      <c r="P374" s="106"/>
      <c r="Q374" s="107"/>
      <c r="R374" s="107"/>
      <c r="S374" s="108"/>
      <c r="T374" s="108"/>
      <c r="U374" s="61"/>
    </row>
    <row r="375" spans="2:21">
      <c r="B375" s="293"/>
      <c r="C375" s="6"/>
      <c r="D375" s="13" cm="1">
        <f t="array" ref="D375">IFERROR(LOOKUP(2,1/(D350:D374&gt;0),D350:D374-D350),0)</f>
        <v>0</v>
      </c>
      <c r="E375" s="13" cm="1">
        <f t="array" ref="E375">IFERROR(LOOKUP(2,1/(E350:E374&gt;0),E350:E374-E350),0)</f>
        <v>0</v>
      </c>
      <c r="F375" s="13" cm="1">
        <f t="array" ref="F375">IFERROR(LOOKUP(2,1/(F350:F374&gt;0),F350:F374-F350),0)</f>
        <v>0</v>
      </c>
      <c r="G375" s="13" cm="1">
        <f t="array" ref="G375">IFERROR(LOOKUP(2,1/(G350:G374&gt;0),G350:G374-G350),0)</f>
        <v>0</v>
      </c>
      <c r="H375" s="13">
        <f>F375+G375</f>
        <v>0</v>
      </c>
      <c r="I375" s="13" cm="1">
        <f t="array" ref="I375">IFERROR(LOOKUP(2,1/(I350:I374&gt;0),I350:I374-I350),0)</f>
        <v>0</v>
      </c>
      <c r="J375" s="13" cm="1">
        <f t="array" ref="J375">IFERROR(LOOKUP(2,1/(J350:J374&gt;0),J350:J374-J350),0)</f>
        <v>0</v>
      </c>
      <c r="K375" s="13">
        <f>I375+J375</f>
        <v>0</v>
      </c>
      <c r="L375" s="13" cm="1">
        <f t="array" ref="L375">IFERROR(LOOKUP(2,1/(L350:L374&gt;0),L350:L374-L350),0)</f>
        <v>0</v>
      </c>
      <c r="M375" s="13" cm="1">
        <f t="array" ref="M375">IFERROR(LOOKUP(2,1/(M350:M374&gt;0),M350:M374-M350),0)</f>
        <v>0</v>
      </c>
      <c r="N375" s="13">
        <f>L375+M375</f>
        <v>0</v>
      </c>
      <c r="O375" s="109">
        <f t="shared" ref="O375:T375" si="25">IFERROR(AVERAGE(O350:O374),0)</f>
        <v>0</v>
      </c>
      <c r="P375" s="109">
        <f t="shared" si="25"/>
        <v>0</v>
      </c>
      <c r="Q375" s="109">
        <f t="shared" si="25"/>
        <v>0</v>
      </c>
      <c r="R375" s="109">
        <f t="shared" si="25"/>
        <v>0</v>
      </c>
      <c r="S375" s="109">
        <f t="shared" si="25"/>
        <v>0</v>
      </c>
      <c r="T375" s="109">
        <f t="shared" si="25"/>
        <v>0</v>
      </c>
      <c r="U375" s="4">
        <f>COUNT(U350:U374)</f>
        <v>0</v>
      </c>
    </row>
    <row r="376" spans="2:21">
      <c r="B376" s="291">
        <f t="shared" ref="B376" si="26">B350+1</f>
        <v>46037</v>
      </c>
      <c r="C376" s="19">
        <v>0.29166666666666669</v>
      </c>
      <c r="D376" s="5">
        <v>222134</v>
      </c>
      <c r="E376" s="25">
        <v>524526</v>
      </c>
      <c r="F376" s="10">
        <v>1.2934000000000001</v>
      </c>
      <c r="G376" s="10">
        <v>0.88360000000000005</v>
      </c>
      <c r="H376" s="240"/>
      <c r="I376" s="9">
        <v>99560</v>
      </c>
      <c r="J376" s="9">
        <v>223561</v>
      </c>
      <c r="K376" s="9"/>
      <c r="L376" s="27">
        <v>84586</v>
      </c>
      <c r="M376" s="27">
        <v>61336</v>
      </c>
      <c r="N376" s="26"/>
      <c r="O376" s="106"/>
      <c r="P376" s="106"/>
      <c r="Q376" s="107"/>
      <c r="R376" s="107"/>
      <c r="S376" s="108"/>
      <c r="T376" s="108"/>
      <c r="U376" s="61"/>
    </row>
    <row r="377" spans="2:21">
      <c r="B377" s="292"/>
      <c r="C377" s="19">
        <v>0.33333333333333298</v>
      </c>
      <c r="D377" s="5">
        <v>222134</v>
      </c>
      <c r="E377" s="25">
        <v>524526</v>
      </c>
      <c r="F377" s="10">
        <v>1.2934000000000001</v>
      </c>
      <c r="G377" s="10">
        <v>0.88360000000000005</v>
      </c>
      <c r="H377" s="240"/>
      <c r="I377" s="9">
        <v>99560</v>
      </c>
      <c r="J377" s="9">
        <v>223561</v>
      </c>
      <c r="K377" s="9"/>
      <c r="L377" s="27">
        <v>84586</v>
      </c>
      <c r="M377" s="27">
        <v>61336</v>
      </c>
      <c r="N377" s="26"/>
      <c r="O377" s="106"/>
      <c r="P377" s="106"/>
      <c r="Q377" s="107"/>
      <c r="R377" s="107"/>
      <c r="S377" s="108"/>
      <c r="T377" s="108"/>
      <c r="U377" s="61"/>
    </row>
    <row r="378" spans="2:21">
      <c r="B378" s="292"/>
      <c r="C378" s="19">
        <v>0.375</v>
      </c>
      <c r="D378" s="5">
        <v>222134</v>
      </c>
      <c r="E378" s="25">
        <v>524526</v>
      </c>
      <c r="F378" s="10">
        <v>1.2934000000000001</v>
      </c>
      <c r="G378" s="10">
        <v>0.88360000000000005</v>
      </c>
      <c r="H378" s="240"/>
      <c r="I378" s="9">
        <v>99560</v>
      </c>
      <c r="J378" s="9">
        <v>223561</v>
      </c>
      <c r="K378" s="9"/>
      <c r="L378" s="27">
        <v>84586</v>
      </c>
      <c r="M378" s="27">
        <v>61336</v>
      </c>
      <c r="N378" s="26"/>
      <c r="O378" s="106"/>
      <c r="P378" s="106"/>
      <c r="Q378" s="107"/>
      <c r="R378" s="107"/>
      <c r="S378" s="108"/>
      <c r="T378" s="108"/>
      <c r="U378" s="61"/>
    </row>
    <row r="379" spans="2:21">
      <c r="B379" s="292"/>
      <c r="C379" s="19">
        <v>0.41666666666666702</v>
      </c>
      <c r="D379" s="5">
        <v>222134</v>
      </c>
      <c r="E379" s="25">
        <v>524526</v>
      </c>
      <c r="F379" s="10">
        <v>1.2934000000000001</v>
      </c>
      <c r="G379" s="10">
        <v>0.88360000000000005</v>
      </c>
      <c r="H379" s="240"/>
      <c r="I379" s="9">
        <v>99560</v>
      </c>
      <c r="J379" s="9">
        <v>223561</v>
      </c>
      <c r="K379" s="9"/>
      <c r="L379" s="27">
        <v>84586</v>
      </c>
      <c r="M379" s="27">
        <v>61336</v>
      </c>
      <c r="N379" s="26"/>
      <c r="O379" s="106"/>
      <c r="P379" s="106"/>
      <c r="Q379" s="107"/>
      <c r="R379" s="107"/>
      <c r="S379" s="108"/>
      <c r="T379" s="108"/>
      <c r="U379" s="61"/>
    </row>
    <row r="380" spans="2:21">
      <c r="B380" s="292"/>
      <c r="C380" s="19">
        <v>0.45833333333333298</v>
      </c>
      <c r="D380" s="5">
        <v>222134</v>
      </c>
      <c r="E380" s="25">
        <v>524526</v>
      </c>
      <c r="F380" s="10">
        <v>1.2934000000000001</v>
      </c>
      <c r="G380" s="10">
        <v>0.88360000000000005</v>
      </c>
      <c r="H380" s="240"/>
      <c r="I380" s="9">
        <v>99560</v>
      </c>
      <c r="J380" s="9">
        <v>223561</v>
      </c>
      <c r="K380" s="9"/>
      <c r="L380" s="27">
        <v>84586</v>
      </c>
      <c r="M380" s="27">
        <v>61336</v>
      </c>
      <c r="N380" s="26"/>
      <c r="O380" s="106"/>
      <c r="P380" s="106"/>
      <c r="Q380" s="107"/>
      <c r="R380" s="107"/>
      <c r="S380" s="108"/>
      <c r="T380" s="108"/>
      <c r="U380" s="61"/>
    </row>
    <row r="381" spans="2:21">
      <c r="B381" s="292"/>
      <c r="C381" s="19">
        <v>0.5</v>
      </c>
      <c r="D381" s="5">
        <v>222134</v>
      </c>
      <c r="E381" s="25">
        <v>524526</v>
      </c>
      <c r="F381" s="10">
        <v>1.2934000000000001</v>
      </c>
      <c r="G381" s="10">
        <v>0.88360000000000005</v>
      </c>
      <c r="H381" s="240"/>
      <c r="I381" s="9">
        <v>99560</v>
      </c>
      <c r="J381" s="9">
        <v>223561</v>
      </c>
      <c r="K381" s="9"/>
      <c r="L381" s="27">
        <v>84586</v>
      </c>
      <c r="M381" s="27">
        <v>61336</v>
      </c>
      <c r="N381" s="26"/>
      <c r="O381" s="106"/>
      <c r="P381" s="106"/>
      <c r="Q381" s="107"/>
      <c r="R381" s="107"/>
      <c r="S381" s="108"/>
      <c r="T381" s="108"/>
      <c r="U381" s="61"/>
    </row>
    <row r="382" spans="2:21">
      <c r="B382" s="292"/>
      <c r="C382" s="19">
        <v>0.54166666666666696</v>
      </c>
      <c r="D382" s="5">
        <v>222134</v>
      </c>
      <c r="E382" s="25">
        <v>524526</v>
      </c>
      <c r="F382" s="10">
        <v>1.2934000000000001</v>
      </c>
      <c r="G382" s="10">
        <v>0.88360000000000005</v>
      </c>
      <c r="H382" s="240"/>
      <c r="I382" s="9">
        <v>99560</v>
      </c>
      <c r="J382" s="9">
        <v>223561</v>
      </c>
      <c r="K382" s="9"/>
      <c r="L382" s="27">
        <v>84586</v>
      </c>
      <c r="M382" s="27">
        <v>61336</v>
      </c>
      <c r="N382" s="26"/>
      <c r="O382" s="106"/>
      <c r="P382" s="106"/>
      <c r="Q382" s="107"/>
      <c r="R382" s="107"/>
      <c r="S382" s="108"/>
      <c r="T382" s="108"/>
      <c r="U382" s="61"/>
    </row>
    <row r="383" spans="2:21">
      <c r="B383" s="292"/>
      <c r="C383" s="19">
        <v>0.58333333333333304</v>
      </c>
      <c r="D383" s="5">
        <v>222134</v>
      </c>
      <c r="E383" s="25">
        <v>524526</v>
      </c>
      <c r="F383" s="10">
        <v>1.2934000000000001</v>
      </c>
      <c r="G383" s="10">
        <v>0.88360000000000005</v>
      </c>
      <c r="H383" s="240"/>
      <c r="I383" s="9">
        <v>99560</v>
      </c>
      <c r="J383" s="9">
        <v>223561</v>
      </c>
      <c r="K383" s="9"/>
      <c r="L383" s="27">
        <v>84586</v>
      </c>
      <c r="M383" s="27">
        <v>61336</v>
      </c>
      <c r="N383" s="26"/>
      <c r="O383" s="106"/>
      <c r="P383" s="106"/>
      <c r="Q383" s="107"/>
      <c r="R383" s="107"/>
      <c r="S383" s="108"/>
      <c r="T383" s="108"/>
      <c r="U383" s="65"/>
    </row>
    <row r="384" spans="2:21">
      <c r="B384" s="292"/>
      <c r="C384" s="19">
        <v>0.625</v>
      </c>
      <c r="D384" s="5">
        <v>222134</v>
      </c>
      <c r="E384" s="25">
        <v>524526</v>
      </c>
      <c r="F384" s="10">
        <v>1.2934000000000001</v>
      </c>
      <c r="G384" s="10">
        <v>0.88360000000000005</v>
      </c>
      <c r="H384" s="240"/>
      <c r="I384" s="9">
        <v>99560</v>
      </c>
      <c r="J384" s="9">
        <v>223561</v>
      </c>
      <c r="K384" s="9"/>
      <c r="L384" s="27">
        <v>84586</v>
      </c>
      <c r="M384" s="27">
        <v>61336</v>
      </c>
      <c r="N384" s="26"/>
      <c r="O384" s="106"/>
      <c r="P384" s="106"/>
      <c r="Q384" s="107"/>
      <c r="R384" s="107"/>
      <c r="S384" s="108"/>
      <c r="T384" s="108"/>
      <c r="U384" s="61"/>
    </row>
    <row r="385" spans="2:21">
      <c r="B385" s="292"/>
      <c r="C385" s="19">
        <v>0.66666666666666596</v>
      </c>
      <c r="D385" s="5">
        <v>222134</v>
      </c>
      <c r="E385" s="25">
        <v>524526</v>
      </c>
      <c r="F385" s="10">
        <v>1.2934000000000001</v>
      </c>
      <c r="G385" s="10">
        <v>0.88360000000000005</v>
      </c>
      <c r="H385" s="240"/>
      <c r="I385" s="9">
        <v>99560</v>
      </c>
      <c r="J385" s="9">
        <v>223561</v>
      </c>
      <c r="K385" s="9"/>
      <c r="L385" s="27">
        <v>84586</v>
      </c>
      <c r="M385" s="27">
        <v>61336</v>
      </c>
      <c r="N385" s="26"/>
      <c r="O385" s="106"/>
      <c r="P385" s="106"/>
      <c r="Q385" s="107"/>
      <c r="R385" s="107"/>
      <c r="S385" s="108"/>
      <c r="T385" s="108"/>
      <c r="U385" s="61"/>
    </row>
    <row r="386" spans="2:21">
      <c r="B386" s="292"/>
      <c r="C386" s="19">
        <v>0.70833333333333304</v>
      </c>
      <c r="D386" s="5">
        <v>222134</v>
      </c>
      <c r="E386" s="25">
        <v>524526</v>
      </c>
      <c r="F386" s="10">
        <v>1.2934000000000001</v>
      </c>
      <c r="G386" s="10">
        <v>0.88360000000000005</v>
      </c>
      <c r="H386" s="240"/>
      <c r="I386" s="9">
        <v>99560</v>
      </c>
      <c r="J386" s="9">
        <v>223561</v>
      </c>
      <c r="K386" s="9"/>
      <c r="L386" s="27">
        <v>84586</v>
      </c>
      <c r="M386" s="27">
        <v>61336</v>
      </c>
      <c r="N386" s="26"/>
      <c r="O386" s="106"/>
      <c r="P386" s="106"/>
      <c r="Q386" s="107"/>
      <c r="R386" s="107"/>
      <c r="S386" s="108"/>
      <c r="T386" s="108"/>
      <c r="U386" s="61"/>
    </row>
    <row r="387" spans="2:21">
      <c r="B387" s="292"/>
      <c r="C387" s="19">
        <v>0.75</v>
      </c>
      <c r="D387" s="5">
        <v>222134</v>
      </c>
      <c r="E387" s="25">
        <v>524526</v>
      </c>
      <c r="F387" s="10">
        <v>1.2934000000000001</v>
      </c>
      <c r="G387" s="10">
        <v>0.88360000000000005</v>
      </c>
      <c r="H387" s="240"/>
      <c r="I387" s="9">
        <v>99560</v>
      </c>
      <c r="J387" s="9">
        <v>223561</v>
      </c>
      <c r="K387" s="9"/>
      <c r="L387" s="27">
        <v>84586</v>
      </c>
      <c r="M387" s="27">
        <v>61336</v>
      </c>
      <c r="N387" s="26"/>
      <c r="O387" s="106"/>
      <c r="P387" s="106"/>
      <c r="Q387" s="107"/>
      <c r="R387" s="107"/>
      <c r="S387" s="108"/>
      <c r="T387" s="108"/>
      <c r="U387" s="61"/>
    </row>
    <row r="388" spans="2:21">
      <c r="B388" s="292"/>
      <c r="C388" s="19">
        <v>0.79166666666666596</v>
      </c>
      <c r="D388" s="5">
        <v>222134</v>
      </c>
      <c r="E388" s="25">
        <v>524526</v>
      </c>
      <c r="F388" s="10">
        <v>1.2934000000000001</v>
      </c>
      <c r="G388" s="10">
        <v>0.88360000000000005</v>
      </c>
      <c r="H388" s="240"/>
      <c r="I388" s="9">
        <v>99560</v>
      </c>
      <c r="J388" s="9">
        <v>223561</v>
      </c>
      <c r="K388" s="9"/>
      <c r="L388" s="27">
        <v>84586</v>
      </c>
      <c r="M388" s="27">
        <v>61336</v>
      </c>
      <c r="N388" s="26"/>
      <c r="O388" s="106"/>
      <c r="P388" s="106"/>
      <c r="Q388" s="107"/>
      <c r="R388" s="107"/>
      <c r="S388" s="108"/>
      <c r="T388" s="108"/>
      <c r="U388" s="61"/>
    </row>
    <row r="389" spans="2:21">
      <c r="B389" s="292"/>
      <c r="C389" s="19">
        <v>0.83333333333333304</v>
      </c>
      <c r="D389" s="5">
        <v>222134</v>
      </c>
      <c r="E389" s="25">
        <v>524526</v>
      </c>
      <c r="F389" s="10">
        <v>1.2934000000000001</v>
      </c>
      <c r="G389" s="10">
        <v>0.88360000000000005</v>
      </c>
      <c r="H389" s="240"/>
      <c r="I389" s="9">
        <v>99560</v>
      </c>
      <c r="J389" s="9">
        <v>223561</v>
      </c>
      <c r="K389" s="9"/>
      <c r="L389" s="27">
        <v>84586</v>
      </c>
      <c r="M389" s="27">
        <v>61336</v>
      </c>
      <c r="N389" s="26"/>
      <c r="O389" s="106"/>
      <c r="P389" s="106"/>
      <c r="Q389" s="107"/>
      <c r="R389" s="107"/>
      <c r="S389" s="108"/>
      <c r="T389" s="108"/>
      <c r="U389" s="61"/>
    </row>
    <row r="390" spans="2:21">
      <c r="B390" s="292"/>
      <c r="C390" s="19">
        <v>0.875</v>
      </c>
      <c r="D390" s="5">
        <v>222134</v>
      </c>
      <c r="E390" s="25">
        <v>524526</v>
      </c>
      <c r="F390" s="10">
        <v>1.2934000000000001</v>
      </c>
      <c r="G390" s="10">
        <v>0.88360000000000005</v>
      </c>
      <c r="H390" s="240"/>
      <c r="I390" s="9">
        <v>99560</v>
      </c>
      <c r="J390" s="9">
        <v>223561</v>
      </c>
      <c r="K390" s="9"/>
      <c r="L390" s="27">
        <v>84586</v>
      </c>
      <c r="M390" s="27">
        <v>61336</v>
      </c>
      <c r="N390" s="26"/>
      <c r="O390" s="106"/>
      <c r="P390" s="106"/>
      <c r="Q390" s="107"/>
      <c r="R390" s="107"/>
      <c r="S390" s="108"/>
      <c r="T390" s="108"/>
      <c r="U390" s="61"/>
    </row>
    <row r="391" spans="2:21">
      <c r="B391" s="292"/>
      <c r="C391" s="19">
        <v>0.91666666666666596</v>
      </c>
      <c r="D391" s="5">
        <v>222134</v>
      </c>
      <c r="E391" s="25">
        <v>524526</v>
      </c>
      <c r="F391" s="10">
        <v>1.2934000000000001</v>
      </c>
      <c r="G391" s="10">
        <v>0.88360000000000005</v>
      </c>
      <c r="H391" s="240"/>
      <c r="I391" s="9">
        <v>99560</v>
      </c>
      <c r="J391" s="9">
        <v>223561</v>
      </c>
      <c r="K391" s="9"/>
      <c r="L391" s="27">
        <v>84586</v>
      </c>
      <c r="M391" s="27">
        <v>61336</v>
      </c>
      <c r="N391" s="26"/>
      <c r="O391" s="106"/>
      <c r="P391" s="106"/>
      <c r="Q391" s="107"/>
      <c r="R391" s="107"/>
      <c r="S391" s="108"/>
      <c r="T391" s="108"/>
      <c r="U391" s="61"/>
    </row>
    <row r="392" spans="2:21">
      <c r="B392" s="292"/>
      <c r="C392" s="19">
        <v>0.95833333333333304</v>
      </c>
      <c r="D392" s="5">
        <v>222134</v>
      </c>
      <c r="E392" s="25">
        <v>524526</v>
      </c>
      <c r="F392" s="10">
        <v>1.2934000000000001</v>
      </c>
      <c r="G392" s="10">
        <v>0.88360000000000005</v>
      </c>
      <c r="H392" s="240"/>
      <c r="I392" s="9">
        <v>99560</v>
      </c>
      <c r="J392" s="9">
        <v>223561</v>
      </c>
      <c r="K392" s="9"/>
      <c r="L392" s="27">
        <v>84586</v>
      </c>
      <c r="M392" s="27">
        <v>61336</v>
      </c>
      <c r="N392" s="26"/>
      <c r="O392" s="106"/>
      <c r="P392" s="106"/>
      <c r="Q392" s="107"/>
      <c r="R392" s="107"/>
      <c r="S392" s="108"/>
      <c r="T392" s="108"/>
      <c r="U392" s="61"/>
    </row>
    <row r="393" spans="2:21">
      <c r="B393" s="292"/>
      <c r="C393" s="19">
        <v>1</v>
      </c>
      <c r="D393" s="5">
        <v>222134</v>
      </c>
      <c r="E393" s="25">
        <v>524526</v>
      </c>
      <c r="F393" s="10">
        <v>1.2934000000000001</v>
      </c>
      <c r="G393" s="10">
        <v>0.88360000000000005</v>
      </c>
      <c r="H393" s="240"/>
      <c r="I393" s="9">
        <v>99560</v>
      </c>
      <c r="J393" s="9">
        <v>223561</v>
      </c>
      <c r="K393" s="9"/>
      <c r="L393" s="27">
        <v>84586</v>
      </c>
      <c r="M393" s="27">
        <v>61336</v>
      </c>
      <c r="N393" s="26"/>
      <c r="O393" s="63"/>
      <c r="P393" s="63"/>
      <c r="Q393" s="62"/>
      <c r="R393" s="62"/>
      <c r="S393" s="64"/>
      <c r="T393" s="64"/>
      <c r="U393" s="61"/>
    </row>
    <row r="394" spans="2:21">
      <c r="B394" s="292"/>
      <c r="C394" s="19">
        <v>1.0416666666666701</v>
      </c>
      <c r="D394" s="5">
        <v>222134</v>
      </c>
      <c r="E394" s="25">
        <v>524526</v>
      </c>
      <c r="F394" s="10">
        <v>1.2934000000000001</v>
      </c>
      <c r="G394" s="10">
        <v>0.88360000000000005</v>
      </c>
      <c r="H394" s="240"/>
      <c r="I394" s="9">
        <v>99560</v>
      </c>
      <c r="J394" s="9">
        <v>223561</v>
      </c>
      <c r="K394" s="9"/>
      <c r="L394" s="27">
        <v>84586</v>
      </c>
      <c r="M394" s="27">
        <v>61336</v>
      </c>
      <c r="N394" s="26"/>
      <c r="O394" s="63"/>
      <c r="P394" s="63"/>
      <c r="Q394" s="62"/>
      <c r="R394" s="62"/>
      <c r="S394" s="64"/>
      <c r="T394" s="64"/>
      <c r="U394" s="61"/>
    </row>
    <row r="395" spans="2:21">
      <c r="B395" s="292"/>
      <c r="C395" s="19">
        <v>1.0833333333333399</v>
      </c>
      <c r="D395" s="5">
        <v>222134</v>
      </c>
      <c r="E395" s="25">
        <v>524526</v>
      </c>
      <c r="F395" s="10">
        <v>1.2934000000000001</v>
      </c>
      <c r="G395" s="10">
        <v>0.88360000000000005</v>
      </c>
      <c r="H395" s="240"/>
      <c r="I395" s="9">
        <v>99560</v>
      </c>
      <c r="J395" s="9">
        <v>223561</v>
      </c>
      <c r="K395" s="9"/>
      <c r="L395" s="27">
        <v>84586</v>
      </c>
      <c r="M395" s="27">
        <v>61336</v>
      </c>
      <c r="N395" s="26"/>
      <c r="O395" s="63"/>
      <c r="P395" s="63"/>
      <c r="Q395" s="62"/>
      <c r="R395" s="62"/>
      <c r="S395" s="64"/>
      <c r="T395" s="64"/>
      <c r="U395" s="61"/>
    </row>
    <row r="396" spans="2:21">
      <c r="B396" s="292"/>
      <c r="C396" s="19">
        <v>1.125</v>
      </c>
      <c r="D396" s="5">
        <v>222134</v>
      </c>
      <c r="E396" s="25">
        <v>524526</v>
      </c>
      <c r="F396" s="10">
        <v>1.2934000000000001</v>
      </c>
      <c r="G396" s="10">
        <v>0.88360000000000005</v>
      </c>
      <c r="H396" s="240"/>
      <c r="I396" s="9">
        <v>99560</v>
      </c>
      <c r="J396" s="9">
        <v>223561</v>
      </c>
      <c r="K396" s="9"/>
      <c r="L396" s="27">
        <v>84586</v>
      </c>
      <c r="M396" s="27">
        <v>61336</v>
      </c>
      <c r="N396" s="26"/>
      <c r="O396" s="63"/>
      <c r="P396" s="63"/>
      <c r="Q396" s="62"/>
      <c r="R396" s="62"/>
      <c r="S396" s="64"/>
      <c r="T396" s="64"/>
      <c r="U396" s="61"/>
    </row>
    <row r="397" spans="2:21">
      <c r="B397" s="292"/>
      <c r="C397" s="19">
        <v>1.1666666666666701</v>
      </c>
      <c r="D397" s="5">
        <v>222134</v>
      </c>
      <c r="E397" s="25">
        <v>524526</v>
      </c>
      <c r="F397" s="10">
        <v>1.2934000000000001</v>
      </c>
      <c r="G397" s="10">
        <v>0.88360000000000005</v>
      </c>
      <c r="H397" s="240"/>
      <c r="I397" s="9">
        <v>99560</v>
      </c>
      <c r="J397" s="9">
        <v>223561</v>
      </c>
      <c r="K397" s="9"/>
      <c r="L397" s="27">
        <v>84586</v>
      </c>
      <c r="M397" s="27">
        <v>61336</v>
      </c>
      <c r="N397" s="26"/>
      <c r="O397" s="106"/>
      <c r="P397" s="106"/>
      <c r="Q397" s="107"/>
      <c r="R397" s="107"/>
      <c r="S397" s="108"/>
      <c r="T397" s="108"/>
      <c r="U397" s="61"/>
    </row>
    <row r="398" spans="2:21">
      <c r="B398" s="292"/>
      <c r="C398" s="19">
        <v>1.2083333333333399</v>
      </c>
      <c r="D398" s="5">
        <v>222134</v>
      </c>
      <c r="E398" s="25">
        <v>524526</v>
      </c>
      <c r="F398" s="10">
        <v>1.2934000000000001</v>
      </c>
      <c r="G398" s="10">
        <v>0.88360000000000005</v>
      </c>
      <c r="H398" s="240"/>
      <c r="I398" s="9">
        <v>99560</v>
      </c>
      <c r="J398" s="9">
        <v>223561</v>
      </c>
      <c r="K398" s="9"/>
      <c r="L398" s="27">
        <v>84586</v>
      </c>
      <c r="M398" s="27">
        <v>61336</v>
      </c>
      <c r="N398" s="26"/>
      <c r="O398" s="106"/>
      <c r="P398" s="106"/>
      <c r="Q398" s="107"/>
      <c r="R398" s="107"/>
      <c r="S398" s="108"/>
      <c r="T398" s="108"/>
      <c r="U398" s="61"/>
    </row>
    <row r="399" spans="2:21">
      <c r="B399" s="292"/>
      <c r="C399" s="19">
        <v>1.25</v>
      </c>
      <c r="D399" s="5">
        <v>222134</v>
      </c>
      <c r="E399" s="25">
        <v>524526</v>
      </c>
      <c r="F399" s="10">
        <v>1.2934000000000001</v>
      </c>
      <c r="G399" s="10">
        <v>0.88360000000000005</v>
      </c>
      <c r="H399" s="240"/>
      <c r="I399" s="9">
        <v>99560</v>
      </c>
      <c r="J399" s="9">
        <v>223561</v>
      </c>
      <c r="K399" s="9"/>
      <c r="L399" s="27">
        <v>84586</v>
      </c>
      <c r="M399" s="27">
        <v>61336</v>
      </c>
      <c r="N399" s="26"/>
      <c r="O399" s="106"/>
      <c r="P399" s="106"/>
      <c r="Q399" s="107"/>
      <c r="R399" s="107"/>
      <c r="S399" s="108"/>
      <c r="T399" s="108"/>
      <c r="U399" s="61"/>
    </row>
    <row r="400" spans="2:21">
      <c r="B400" s="292"/>
      <c r="C400" s="19">
        <v>1.2916666666666701</v>
      </c>
      <c r="D400" s="5">
        <v>222134</v>
      </c>
      <c r="E400" s="25">
        <v>524526</v>
      </c>
      <c r="F400" s="10">
        <v>1.2934000000000001</v>
      </c>
      <c r="G400" s="10">
        <v>0.88360000000000005</v>
      </c>
      <c r="H400" s="240"/>
      <c r="I400" s="9">
        <v>99560</v>
      </c>
      <c r="J400" s="9">
        <v>223561</v>
      </c>
      <c r="K400" s="9"/>
      <c r="L400" s="27">
        <v>84586</v>
      </c>
      <c r="M400" s="27">
        <v>61336</v>
      </c>
      <c r="N400" s="26"/>
      <c r="O400" s="106"/>
      <c r="P400" s="106"/>
      <c r="Q400" s="107"/>
      <c r="R400" s="107"/>
      <c r="S400" s="108"/>
      <c r="T400" s="108"/>
      <c r="U400" s="61"/>
    </row>
    <row r="401" spans="2:21">
      <c r="B401" s="293"/>
      <c r="C401" s="6"/>
      <c r="D401" s="13" cm="1">
        <f t="array" ref="D401">IFERROR(LOOKUP(2,1/(D376:D400&gt;0),D376:D400-D376),0)</f>
        <v>0</v>
      </c>
      <c r="E401" s="13" cm="1">
        <f t="array" ref="E401">IFERROR(LOOKUP(2,1/(E376:E400&gt;0),E376:E400-E376),0)</f>
        <v>0</v>
      </c>
      <c r="F401" s="13" cm="1">
        <f t="array" ref="F401">IFERROR(LOOKUP(2,1/(F376:F400&gt;0),F376:F400-F376),0)</f>
        <v>0</v>
      </c>
      <c r="G401" s="13" cm="1">
        <f t="array" ref="G401">IFERROR(LOOKUP(2,1/(G376:G400&gt;0),G376:G400-G376),0)</f>
        <v>0</v>
      </c>
      <c r="H401" s="13">
        <f>F401+G401</f>
        <v>0</v>
      </c>
      <c r="I401" s="13" cm="1">
        <f t="array" ref="I401">IFERROR(LOOKUP(2,1/(I376:I400&gt;0),I376:I400-I376),0)</f>
        <v>0</v>
      </c>
      <c r="J401" s="13" cm="1">
        <f t="array" ref="J401">IFERROR(LOOKUP(2,1/(J376:J400&gt;0),J376:J400-J376),0)</f>
        <v>0</v>
      </c>
      <c r="K401" s="13">
        <f>I401+J401</f>
        <v>0</v>
      </c>
      <c r="L401" s="13" cm="1">
        <f t="array" ref="L401">IFERROR(LOOKUP(2,1/(L376:L400&gt;0),L376:L400-L376),0)</f>
        <v>0</v>
      </c>
      <c r="M401" s="13" cm="1">
        <f t="array" ref="M401">IFERROR(LOOKUP(2,1/(M376:M400&gt;0),M376:M400-M376),0)</f>
        <v>0</v>
      </c>
      <c r="N401" s="13">
        <f>L401+M401</f>
        <v>0</v>
      </c>
      <c r="O401" s="109">
        <f t="shared" ref="O401:T401" si="27">IFERROR(AVERAGE(O376:O400),0)</f>
        <v>0</v>
      </c>
      <c r="P401" s="109">
        <f t="shared" si="27"/>
        <v>0</v>
      </c>
      <c r="Q401" s="109">
        <f t="shared" si="27"/>
        <v>0</v>
      </c>
      <c r="R401" s="109">
        <f t="shared" si="27"/>
        <v>0</v>
      </c>
      <c r="S401" s="109">
        <f t="shared" si="27"/>
        <v>0</v>
      </c>
      <c r="T401" s="109">
        <f t="shared" si="27"/>
        <v>0</v>
      </c>
      <c r="U401" s="4">
        <f>COUNT(U376:U400)</f>
        <v>0</v>
      </c>
    </row>
    <row r="402" spans="2:21">
      <c r="B402" s="291">
        <f t="shared" ref="B402" si="28">B376+1</f>
        <v>46038</v>
      </c>
      <c r="C402" s="19">
        <v>0.29166666666666669</v>
      </c>
      <c r="D402" s="5">
        <v>222134</v>
      </c>
      <c r="E402" s="25">
        <v>524526</v>
      </c>
      <c r="F402" s="10">
        <v>1.2934000000000001</v>
      </c>
      <c r="G402" s="10">
        <v>0.88360000000000005</v>
      </c>
      <c r="H402" s="240"/>
      <c r="I402" s="9">
        <v>99560</v>
      </c>
      <c r="J402" s="9">
        <v>223561</v>
      </c>
      <c r="K402" s="9"/>
      <c r="L402" s="27">
        <v>84586</v>
      </c>
      <c r="M402" s="27">
        <v>61336</v>
      </c>
      <c r="N402" s="26"/>
      <c r="O402" s="106"/>
      <c r="P402" s="106"/>
      <c r="Q402" s="107"/>
      <c r="R402" s="107"/>
      <c r="S402" s="108"/>
      <c r="T402" s="108"/>
      <c r="U402" s="61"/>
    </row>
    <row r="403" spans="2:21">
      <c r="B403" s="292"/>
      <c r="C403" s="19">
        <v>0.33333333333333298</v>
      </c>
      <c r="D403" s="5">
        <v>222134</v>
      </c>
      <c r="E403" s="25">
        <v>524526</v>
      </c>
      <c r="F403" s="10">
        <v>1.2934000000000001</v>
      </c>
      <c r="G403" s="10">
        <v>0.88360000000000005</v>
      </c>
      <c r="H403" s="240"/>
      <c r="I403" s="9">
        <v>99560</v>
      </c>
      <c r="J403" s="9">
        <v>223561</v>
      </c>
      <c r="K403" s="9"/>
      <c r="L403" s="27">
        <v>84586</v>
      </c>
      <c r="M403" s="27">
        <v>61336</v>
      </c>
      <c r="N403" s="26"/>
      <c r="O403" s="106"/>
      <c r="P403" s="106"/>
      <c r="Q403" s="107"/>
      <c r="R403" s="107"/>
      <c r="S403" s="108"/>
      <c r="T403" s="108"/>
      <c r="U403" s="61"/>
    </row>
    <row r="404" spans="2:21">
      <c r="B404" s="292"/>
      <c r="C404" s="19">
        <v>0.375</v>
      </c>
      <c r="D404" s="5">
        <v>222134</v>
      </c>
      <c r="E404" s="25">
        <v>524526</v>
      </c>
      <c r="F404" s="10">
        <v>1.2934000000000001</v>
      </c>
      <c r="G404" s="10">
        <v>0.88360000000000005</v>
      </c>
      <c r="H404" s="240"/>
      <c r="I404" s="9">
        <v>99560</v>
      </c>
      <c r="J404" s="9">
        <v>223561</v>
      </c>
      <c r="K404" s="9"/>
      <c r="L404" s="27">
        <v>84586</v>
      </c>
      <c r="M404" s="27">
        <v>61336</v>
      </c>
      <c r="N404" s="26"/>
      <c r="O404" s="106"/>
      <c r="P404" s="106"/>
      <c r="Q404" s="107"/>
      <c r="R404" s="107"/>
      <c r="S404" s="108"/>
      <c r="T404" s="108"/>
      <c r="U404" s="61"/>
    </row>
    <row r="405" spans="2:21">
      <c r="B405" s="292"/>
      <c r="C405" s="19">
        <v>0.41666666666666702</v>
      </c>
      <c r="D405" s="5">
        <v>222134</v>
      </c>
      <c r="E405" s="25">
        <v>524526</v>
      </c>
      <c r="F405" s="10">
        <v>1.2934000000000001</v>
      </c>
      <c r="G405" s="10">
        <v>0.88360000000000005</v>
      </c>
      <c r="H405" s="240"/>
      <c r="I405" s="9">
        <v>99560</v>
      </c>
      <c r="J405" s="9">
        <v>223561</v>
      </c>
      <c r="K405" s="9"/>
      <c r="L405" s="27">
        <v>84586</v>
      </c>
      <c r="M405" s="27">
        <v>61336</v>
      </c>
      <c r="N405" s="26"/>
      <c r="O405" s="106"/>
      <c r="P405" s="106"/>
      <c r="Q405" s="107"/>
      <c r="R405" s="107"/>
      <c r="S405" s="108"/>
      <c r="T405" s="108"/>
      <c r="U405" s="61"/>
    </row>
    <row r="406" spans="2:21">
      <c r="B406" s="292"/>
      <c r="C406" s="19">
        <v>0.45833333333333298</v>
      </c>
      <c r="D406" s="5">
        <v>222134</v>
      </c>
      <c r="E406" s="25">
        <v>524526</v>
      </c>
      <c r="F406" s="10">
        <v>1.2934000000000001</v>
      </c>
      <c r="G406" s="10">
        <v>0.88360000000000005</v>
      </c>
      <c r="H406" s="240"/>
      <c r="I406" s="9">
        <v>99560</v>
      </c>
      <c r="J406" s="9">
        <v>223561</v>
      </c>
      <c r="K406" s="9"/>
      <c r="L406" s="27">
        <v>84586</v>
      </c>
      <c r="M406" s="27">
        <v>61336</v>
      </c>
      <c r="N406" s="26"/>
      <c r="O406" s="106"/>
      <c r="P406" s="106"/>
      <c r="Q406" s="107"/>
      <c r="R406" s="107"/>
      <c r="S406" s="108"/>
      <c r="T406" s="108"/>
      <c r="U406" s="61"/>
    </row>
    <row r="407" spans="2:21">
      <c r="B407" s="292"/>
      <c r="C407" s="19">
        <v>0.5</v>
      </c>
      <c r="D407" s="5">
        <v>222134</v>
      </c>
      <c r="E407" s="25">
        <v>524526</v>
      </c>
      <c r="F407" s="10">
        <v>1.2934000000000001</v>
      </c>
      <c r="G407" s="10">
        <v>0.88360000000000005</v>
      </c>
      <c r="H407" s="240"/>
      <c r="I407" s="9">
        <v>99560</v>
      </c>
      <c r="J407" s="9">
        <v>223561</v>
      </c>
      <c r="K407" s="9"/>
      <c r="L407" s="27">
        <v>84586</v>
      </c>
      <c r="M407" s="27">
        <v>61336</v>
      </c>
      <c r="N407" s="26"/>
      <c r="O407" s="106"/>
      <c r="P407" s="106"/>
      <c r="Q407" s="107"/>
      <c r="R407" s="107"/>
      <c r="S407" s="108"/>
      <c r="T407" s="108"/>
      <c r="U407" s="61"/>
    </row>
    <row r="408" spans="2:21">
      <c r="B408" s="292"/>
      <c r="C408" s="19">
        <v>0.54166666666666696</v>
      </c>
      <c r="D408" s="5">
        <v>222134</v>
      </c>
      <c r="E408" s="25">
        <v>524526</v>
      </c>
      <c r="F408" s="10">
        <v>1.2934000000000001</v>
      </c>
      <c r="G408" s="10">
        <v>0.88360000000000005</v>
      </c>
      <c r="H408" s="240"/>
      <c r="I408" s="9">
        <v>99560</v>
      </c>
      <c r="J408" s="9">
        <v>223561</v>
      </c>
      <c r="K408" s="9"/>
      <c r="L408" s="27">
        <v>84586</v>
      </c>
      <c r="M408" s="27">
        <v>61336</v>
      </c>
      <c r="N408" s="26"/>
      <c r="O408" s="106"/>
      <c r="P408" s="106"/>
      <c r="Q408" s="107"/>
      <c r="R408" s="107"/>
      <c r="S408" s="108"/>
      <c r="T408" s="108"/>
      <c r="U408" s="61"/>
    </row>
    <row r="409" spans="2:21">
      <c r="B409" s="292"/>
      <c r="C409" s="19">
        <v>0.58333333333333304</v>
      </c>
      <c r="D409" s="5">
        <v>222134</v>
      </c>
      <c r="E409" s="25">
        <v>524526</v>
      </c>
      <c r="F409" s="10">
        <v>1.2934000000000001</v>
      </c>
      <c r="G409" s="10">
        <v>0.88360000000000005</v>
      </c>
      <c r="H409" s="240"/>
      <c r="I409" s="9">
        <v>99560</v>
      </c>
      <c r="J409" s="9">
        <v>223561</v>
      </c>
      <c r="K409" s="9"/>
      <c r="L409" s="27">
        <v>84586</v>
      </c>
      <c r="M409" s="27">
        <v>61336</v>
      </c>
      <c r="N409" s="26"/>
      <c r="O409" s="106"/>
      <c r="P409" s="106"/>
      <c r="Q409" s="107"/>
      <c r="R409" s="107"/>
      <c r="S409" s="108"/>
      <c r="T409" s="108"/>
      <c r="U409" s="65"/>
    </row>
    <row r="410" spans="2:21">
      <c r="B410" s="292"/>
      <c r="C410" s="19">
        <v>0.625</v>
      </c>
      <c r="D410" s="5">
        <v>222134</v>
      </c>
      <c r="E410" s="25">
        <v>524526</v>
      </c>
      <c r="F410" s="10">
        <v>1.2934000000000001</v>
      </c>
      <c r="G410" s="10">
        <v>0.88360000000000005</v>
      </c>
      <c r="H410" s="240"/>
      <c r="I410" s="9">
        <v>99560</v>
      </c>
      <c r="J410" s="9">
        <v>223561</v>
      </c>
      <c r="K410" s="9"/>
      <c r="L410" s="27">
        <v>84586</v>
      </c>
      <c r="M410" s="27">
        <v>61336</v>
      </c>
      <c r="N410" s="26"/>
      <c r="O410" s="106"/>
      <c r="P410" s="106"/>
      <c r="Q410" s="107"/>
      <c r="R410" s="107"/>
      <c r="S410" s="108"/>
      <c r="T410" s="108"/>
      <c r="U410" s="61"/>
    </row>
    <row r="411" spans="2:21">
      <c r="B411" s="292"/>
      <c r="C411" s="19">
        <v>0.66666666666666596</v>
      </c>
      <c r="D411" s="5">
        <v>222134</v>
      </c>
      <c r="E411" s="25">
        <v>524526</v>
      </c>
      <c r="F411" s="10">
        <v>1.2934000000000001</v>
      </c>
      <c r="G411" s="10">
        <v>0.88360000000000005</v>
      </c>
      <c r="H411" s="240"/>
      <c r="I411" s="9">
        <v>99560</v>
      </c>
      <c r="J411" s="9">
        <v>223561</v>
      </c>
      <c r="K411" s="9"/>
      <c r="L411" s="27">
        <v>84586</v>
      </c>
      <c r="M411" s="27">
        <v>61336</v>
      </c>
      <c r="N411" s="26"/>
      <c r="O411" s="106"/>
      <c r="P411" s="106"/>
      <c r="Q411" s="107"/>
      <c r="R411" s="107"/>
      <c r="S411" s="108"/>
      <c r="T411" s="108"/>
      <c r="U411" s="61"/>
    </row>
    <row r="412" spans="2:21">
      <c r="B412" s="292"/>
      <c r="C412" s="19">
        <v>0.70833333333333304</v>
      </c>
      <c r="D412" s="5">
        <v>222134</v>
      </c>
      <c r="E412" s="25">
        <v>524526</v>
      </c>
      <c r="F412" s="10">
        <v>1.2934000000000001</v>
      </c>
      <c r="G412" s="10">
        <v>0.88360000000000005</v>
      </c>
      <c r="H412" s="240"/>
      <c r="I412" s="9">
        <v>99560</v>
      </c>
      <c r="J412" s="9">
        <v>223561</v>
      </c>
      <c r="K412" s="9"/>
      <c r="L412" s="27">
        <v>84586</v>
      </c>
      <c r="M412" s="27">
        <v>61336</v>
      </c>
      <c r="N412" s="26"/>
      <c r="O412" s="106"/>
      <c r="P412" s="106"/>
      <c r="Q412" s="107"/>
      <c r="R412" s="107"/>
      <c r="S412" s="108"/>
      <c r="T412" s="108"/>
      <c r="U412" s="61"/>
    </row>
    <row r="413" spans="2:21">
      <c r="B413" s="292"/>
      <c r="C413" s="19">
        <v>0.75</v>
      </c>
      <c r="D413" s="5">
        <v>222134</v>
      </c>
      <c r="E413" s="25">
        <v>524526</v>
      </c>
      <c r="F413" s="10">
        <v>1.2934000000000001</v>
      </c>
      <c r="G413" s="10">
        <v>0.88360000000000005</v>
      </c>
      <c r="H413" s="240"/>
      <c r="I413" s="9">
        <v>99560</v>
      </c>
      <c r="J413" s="9">
        <v>223561</v>
      </c>
      <c r="K413" s="9"/>
      <c r="L413" s="27">
        <v>84586</v>
      </c>
      <c r="M413" s="27">
        <v>61336</v>
      </c>
      <c r="N413" s="26"/>
      <c r="O413" s="106"/>
      <c r="P413" s="106"/>
      <c r="Q413" s="107"/>
      <c r="R413" s="107"/>
      <c r="S413" s="108"/>
      <c r="T413" s="108"/>
      <c r="U413" s="61"/>
    </row>
    <row r="414" spans="2:21">
      <c r="B414" s="292"/>
      <c r="C414" s="19">
        <v>0.79166666666666596</v>
      </c>
      <c r="D414" s="5">
        <v>222134</v>
      </c>
      <c r="E414" s="25">
        <v>524526</v>
      </c>
      <c r="F414" s="10">
        <v>1.2934000000000001</v>
      </c>
      <c r="G414" s="10">
        <v>0.88360000000000005</v>
      </c>
      <c r="H414" s="240"/>
      <c r="I414" s="9">
        <v>99560</v>
      </c>
      <c r="J414" s="9">
        <v>223561</v>
      </c>
      <c r="K414" s="9"/>
      <c r="L414" s="27">
        <v>84586</v>
      </c>
      <c r="M414" s="27">
        <v>61336</v>
      </c>
      <c r="N414" s="26"/>
      <c r="O414" s="106"/>
      <c r="P414" s="106"/>
      <c r="Q414" s="107"/>
      <c r="R414" s="107"/>
      <c r="S414" s="108"/>
      <c r="T414" s="108"/>
      <c r="U414" s="61"/>
    </row>
    <row r="415" spans="2:21">
      <c r="B415" s="292"/>
      <c r="C415" s="19">
        <v>0.83333333333333304</v>
      </c>
      <c r="D415" s="5">
        <v>222134</v>
      </c>
      <c r="E415" s="25">
        <v>524526</v>
      </c>
      <c r="F415" s="10">
        <v>1.2934000000000001</v>
      </c>
      <c r="G415" s="10">
        <v>0.88360000000000005</v>
      </c>
      <c r="H415" s="240"/>
      <c r="I415" s="9">
        <v>99560</v>
      </c>
      <c r="J415" s="9">
        <v>223561</v>
      </c>
      <c r="K415" s="9"/>
      <c r="L415" s="27">
        <v>84586</v>
      </c>
      <c r="M415" s="27">
        <v>61336</v>
      </c>
      <c r="N415" s="26"/>
      <c r="O415" s="106"/>
      <c r="P415" s="106"/>
      <c r="Q415" s="107"/>
      <c r="R415" s="107"/>
      <c r="S415" s="108"/>
      <c r="T415" s="108"/>
      <c r="U415" s="61"/>
    </row>
    <row r="416" spans="2:21">
      <c r="B416" s="292"/>
      <c r="C416" s="19">
        <v>0.875</v>
      </c>
      <c r="D416" s="5">
        <v>222134</v>
      </c>
      <c r="E416" s="25">
        <v>524526</v>
      </c>
      <c r="F416" s="10">
        <v>1.2934000000000001</v>
      </c>
      <c r="G416" s="10">
        <v>0.88360000000000005</v>
      </c>
      <c r="H416" s="240"/>
      <c r="I416" s="9">
        <v>99560</v>
      </c>
      <c r="J416" s="9">
        <v>223561</v>
      </c>
      <c r="K416" s="9"/>
      <c r="L416" s="27">
        <v>84586</v>
      </c>
      <c r="M416" s="27">
        <v>61336</v>
      </c>
      <c r="N416" s="26"/>
      <c r="O416" s="106"/>
      <c r="P416" s="106"/>
      <c r="Q416" s="107"/>
      <c r="R416" s="107"/>
      <c r="S416" s="108"/>
      <c r="T416" s="108"/>
      <c r="U416" s="61"/>
    </row>
    <row r="417" spans="2:21">
      <c r="B417" s="292"/>
      <c r="C417" s="19">
        <v>0.91666666666666596</v>
      </c>
      <c r="D417" s="5">
        <v>222134</v>
      </c>
      <c r="E417" s="25">
        <v>524526</v>
      </c>
      <c r="F417" s="10">
        <v>1.2934000000000001</v>
      </c>
      <c r="G417" s="10">
        <v>0.88360000000000005</v>
      </c>
      <c r="H417" s="240"/>
      <c r="I417" s="9">
        <v>99560</v>
      </c>
      <c r="J417" s="9">
        <v>223561</v>
      </c>
      <c r="K417" s="9"/>
      <c r="L417" s="27">
        <v>84586</v>
      </c>
      <c r="M417" s="27">
        <v>61336</v>
      </c>
      <c r="N417" s="26"/>
      <c r="O417" s="106"/>
      <c r="P417" s="106"/>
      <c r="Q417" s="107"/>
      <c r="R417" s="107"/>
      <c r="S417" s="108"/>
      <c r="T417" s="108"/>
      <c r="U417" s="61"/>
    </row>
    <row r="418" spans="2:21">
      <c r="B418" s="292"/>
      <c r="C418" s="19">
        <v>0.95833333333333304</v>
      </c>
      <c r="D418" s="5">
        <v>222134</v>
      </c>
      <c r="E418" s="25">
        <v>524526</v>
      </c>
      <c r="F418" s="10">
        <v>1.2934000000000001</v>
      </c>
      <c r="G418" s="10">
        <v>0.88360000000000005</v>
      </c>
      <c r="H418" s="240"/>
      <c r="I418" s="9">
        <v>99560</v>
      </c>
      <c r="J418" s="9">
        <v>223561</v>
      </c>
      <c r="K418" s="9"/>
      <c r="L418" s="27">
        <v>84586</v>
      </c>
      <c r="M418" s="27">
        <v>61336</v>
      </c>
      <c r="N418" s="26"/>
      <c r="O418" s="106"/>
      <c r="P418" s="106"/>
      <c r="Q418" s="107"/>
      <c r="R418" s="107"/>
      <c r="S418" s="108"/>
      <c r="T418" s="108"/>
      <c r="U418" s="61"/>
    </row>
    <row r="419" spans="2:21">
      <c r="B419" s="292"/>
      <c r="C419" s="19">
        <v>1</v>
      </c>
      <c r="D419" s="5">
        <v>222134</v>
      </c>
      <c r="E419" s="25">
        <v>524526</v>
      </c>
      <c r="F419" s="10">
        <v>1.2934000000000001</v>
      </c>
      <c r="G419" s="10">
        <v>0.88360000000000005</v>
      </c>
      <c r="H419" s="240"/>
      <c r="I419" s="9">
        <v>99560</v>
      </c>
      <c r="J419" s="9">
        <v>223561</v>
      </c>
      <c r="K419" s="9"/>
      <c r="L419" s="27">
        <v>84586</v>
      </c>
      <c r="M419" s="27">
        <v>61336</v>
      </c>
      <c r="N419" s="26"/>
      <c r="O419" s="63"/>
      <c r="P419" s="63"/>
      <c r="Q419" s="62"/>
      <c r="R419" s="62"/>
      <c r="S419" s="64"/>
      <c r="T419" s="64"/>
      <c r="U419" s="61"/>
    </row>
    <row r="420" spans="2:21">
      <c r="B420" s="292"/>
      <c r="C420" s="19">
        <v>1.0416666666666701</v>
      </c>
      <c r="D420" s="5">
        <v>222134</v>
      </c>
      <c r="E420" s="25">
        <v>524526</v>
      </c>
      <c r="F420" s="10">
        <v>1.2934000000000001</v>
      </c>
      <c r="G420" s="10">
        <v>0.88360000000000005</v>
      </c>
      <c r="H420" s="240"/>
      <c r="I420" s="9">
        <v>99560</v>
      </c>
      <c r="J420" s="9">
        <v>223561</v>
      </c>
      <c r="K420" s="9"/>
      <c r="L420" s="27">
        <v>84586</v>
      </c>
      <c r="M420" s="27">
        <v>61336</v>
      </c>
      <c r="N420" s="26"/>
      <c r="O420" s="63"/>
      <c r="P420" s="63"/>
      <c r="Q420" s="62"/>
      <c r="R420" s="62"/>
      <c r="S420" s="64"/>
      <c r="T420" s="64"/>
      <c r="U420" s="61"/>
    </row>
    <row r="421" spans="2:21">
      <c r="B421" s="292"/>
      <c r="C421" s="19">
        <v>1.0833333333333399</v>
      </c>
      <c r="D421" s="5">
        <v>222134</v>
      </c>
      <c r="E421" s="25">
        <v>524526</v>
      </c>
      <c r="F421" s="10">
        <v>1.2934000000000001</v>
      </c>
      <c r="G421" s="10">
        <v>0.88360000000000005</v>
      </c>
      <c r="H421" s="240"/>
      <c r="I421" s="9">
        <v>99560</v>
      </c>
      <c r="J421" s="9">
        <v>223561</v>
      </c>
      <c r="K421" s="9"/>
      <c r="L421" s="27">
        <v>84586</v>
      </c>
      <c r="M421" s="27">
        <v>61336</v>
      </c>
      <c r="N421" s="26"/>
      <c r="O421" s="63"/>
      <c r="P421" s="63"/>
      <c r="Q421" s="62"/>
      <c r="R421" s="62"/>
      <c r="S421" s="64"/>
      <c r="T421" s="64"/>
      <c r="U421" s="61"/>
    </row>
    <row r="422" spans="2:21">
      <c r="B422" s="292"/>
      <c r="C422" s="19">
        <v>1.125</v>
      </c>
      <c r="D422" s="5">
        <v>222134</v>
      </c>
      <c r="E422" s="25">
        <v>524526</v>
      </c>
      <c r="F422" s="10">
        <v>1.2934000000000001</v>
      </c>
      <c r="G422" s="10">
        <v>0.88360000000000005</v>
      </c>
      <c r="H422" s="240"/>
      <c r="I422" s="9">
        <v>99560</v>
      </c>
      <c r="J422" s="9">
        <v>223561</v>
      </c>
      <c r="K422" s="9"/>
      <c r="L422" s="27">
        <v>84586</v>
      </c>
      <c r="M422" s="27">
        <v>61336</v>
      </c>
      <c r="N422" s="26"/>
      <c r="O422" s="63"/>
      <c r="P422" s="63"/>
      <c r="Q422" s="62"/>
      <c r="R422" s="62"/>
      <c r="S422" s="64"/>
      <c r="T422" s="64"/>
      <c r="U422" s="61"/>
    </row>
    <row r="423" spans="2:21">
      <c r="B423" s="292"/>
      <c r="C423" s="19">
        <v>1.1666666666666701</v>
      </c>
      <c r="D423" s="5">
        <v>222134</v>
      </c>
      <c r="E423" s="25">
        <v>524526</v>
      </c>
      <c r="F423" s="10">
        <v>1.2934000000000001</v>
      </c>
      <c r="G423" s="10">
        <v>0.88360000000000005</v>
      </c>
      <c r="H423" s="240"/>
      <c r="I423" s="9">
        <v>99560</v>
      </c>
      <c r="J423" s="9">
        <v>223561</v>
      </c>
      <c r="K423" s="9"/>
      <c r="L423" s="27">
        <v>84586</v>
      </c>
      <c r="M423" s="27">
        <v>61336</v>
      </c>
      <c r="N423" s="26"/>
      <c r="O423" s="106"/>
      <c r="P423" s="106"/>
      <c r="Q423" s="107"/>
      <c r="R423" s="107"/>
      <c r="S423" s="108"/>
      <c r="T423" s="108"/>
      <c r="U423" s="61"/>
    </row>
    <row r="424" spans="2:21">
      <c r="B424" s="292"/>
      <c r="C424" s="19">
        <v>1.2083333333333399</v>
      </c>
      <c r="D424" s="5">
        <v>222134</v>
      </c>
      <c r="E424" s="25">
        <v>524526</v>
      </c>
      <c r="F424" s="10">
        <v>1.2934000000000001</v>
      </c>
      <c r="G424" s="10">
        <v>0.88360000000000005</v>
      </c>
      <c r="H424" s="240"/>
      <c r="I424" s="9">
        <v>99560</v>
      </c>
      <c r="J424" s="9">
        <v>223561</v>
      </c>
      <c r="K424" s="9"/>
      <c r="L424" s="27">
        <v>84586</v>
      </c>
      <c r="M424" s="27">
        <v>61336</v>
      </c>
      <c r="N424" s="26"/>
      <c r="O424" s="106"/>
      <c r="P424" s="106"/>
      <c r="Q424" s="107"/>
      <c r="R424" s="107"/>
      <c r="S424" s="108"/>
      <c r="T424" s="108"/>
      <c r="U424" s="61"/>
    </row>
    <row r="425" spans="2:21">
      <c r="B425" s="292"/>
      <c r="C425" s="19">
        <v>1.25</v>
      </c>
      <c r="D425" s="5">
        <v>222134</v>
      </c>
      <c r="E425" s="25">
        <v>524526</v>
      </c>
      <c r="F425" s="10">
        <v>1.2934000000000001</v>
      </c>
      <c r="G425" s="10">
        <v>0.88360000000000005</v>
      </c>
      <c r="H425" s="240"/>
      <c r="I425" s="9">
        <v>99560</v>
      </c>
      <c r="J425" s="9">
        <v>223561</v>
      </c>
      <c r="K425" s="9"/>
      <c r="L425" s="27">
        <v>84586</v>
      </c>
      <c r="M425" s="27">
        <v>61336</v>
      </c>
      <c r="N425" s="26"/>
      <c r="O425" s="106"/>
      <c r="P425" s="106"/>
      <c r="Q425" s="107"/>
      <c r="R425" s="107"/>
      <c r="S425" s="108"/>
      <c r="T425" s="108"/>
      <c r="U425" s="61"/>
    </row>
    <row r="426" spans="2:21">
      <c r="B426" s="292"/>
      <c r="C426" s="19">
        <v>1.2916666666666701</v>
      </c>
      <c r="D426" s="5">
        <v>222134</v>
      </c>
      <c r="E426" s="25">
        <v>524526</v>
      </c>
      <c r="F426" s="10">
        <v>1.2934000000000001</v>
      </c>
      <c r="G426" s="10">
        <v>0.88360000000000005</v>
      </c>
      <c r="H426" s="240"/>
      <c r="I426" s="9">
        <v>99560</v>
      </c>
      <c r="J426" s="9">
        <v>223561</v>
      </c>
      <c r="K426" s="9"/>
      <c r="L426" s="27">
        <v>84586</v>
      </c>
      <c r="M426" s="27">
        <v>61336</v>
      </c>
      <c r="N426" s="26"/>
      <c r="O426" s="106"/>
      <c r="P426" s="106"/>
      <c r="Q426" s="107"/>
      <c r="R426" s="107"/>
      <c r="S426" s="108"/>
      <c r="T426" s="108"/>
      <c r="U426" s="61"/>
    </row>
    <row r="427" spans="2:21">
      <c r="B427" s="293"/>
      <c r="C427" s="6"/>
      <c r="D427" s="13" cm="1">
        <f t="array" ref="D427">IFERROR(LOOKUP(2,1/(D402:D426&gt;0),D402:D426-D402),0)</f>
        <v>0</v>
      </c>
      <c r="E427" s="13" cm="1">
        <f t="array" ref="E427">IFERROR(LOOKUP(2,1/(E402:E426&gt;0),E402:E426-E402),0)</f>
        <v>0</v>
      </c>
      <c r="F427" s="13" cm="1">
        <f t="array" ref="F427">IFERROR(LOOKUP(2,1/(F402:F426&gt;0),F402:F426-F402),0)</f>
        <v>0</v>
      </c>
      <c r="G427" s="13" cm="1">
        <f t="array" ref="G427">IFERROR(LOOKUP(2,1/(G402:G426&gt;0),G402:G426-G402),0)</f>
        <v>0</v>
      </c>
      <c r="H427" s="13">
        <f>F427+G427</f>
        <v>0</v>
      </c>
      <c r="I427" s="13" cm="1">
        <f t="array" ref="I427">IFERROR(LOOKUP(2,1/(I402:I426&gt;0),I402:I426-I402),0)</f>
        <v>0</v>
      </c>
      <c r="J427" s="13" cm="1">
        <f t="array" ref="J427">IFERROR(LOOKUP(2,1/(J402:J426&gt;0),J402:J426-J402),0)</f>
        <v>0</v>
      </c>
      <c r="K427" s="13">
        <f>I427+J427</f>
        <v>0</v>
      </c>
      <c r="L427" s="13" cm="1">
        <f t="array" ref="L427">IFERROR(LOOKUP(2,1/(L402:L426&gt;0),L402:L426-L402),0)</f>
        <v>0</v>
      </c>
      <c r="M427" s="13" cm="1">
        <f t="array" ref="M427">IFERROR(LOOKUP(2,1/(M402:M426&gt;0),M402:M426-M402),0)</f>
        <v>0</v>
      </c>
      <c r="N427" s="13">
        <f>L427+M427</f>
        <v>0</v>
      </c>
      <c r="O427" s="109">
        <f t="shared" ref="O427:T427" si="29">IFERROR(AVERAGE(O402:O426),0)</f>
        <v>0</v>
      </c>
      <c r="P427" s="109">
        <f t="shared" si="29"/>
        <v>0</v>
      </c>
      <c r="Q427" s="109">
        <f t="shared" si="29"/>
        <v>0</v>
      </c>
      <c r="R427" s="109">
        <f t="shared" si="29"/>
        <v>0</v>
      </c>
      <c r="S427" s="109">
        <f t="shared" si="29"/>
        <v>0</v>
      </c>
      <c r="T427" s="109">
        <f t="shared" si="29"/>
        <v>0</v>
      </c>
      <c r="U427" s="4">
        <f>COUNT(U402:U426)</f>
        <v>0</v>
      </c>
    </row>
    <row r="428" spans="2:21">
      <c r="B428" s="291">
        <f t="shared" ref="B428" si="30">B402+1</f>
        <v>46039</v>
      </c>
      <c r="C428" s="19">
        <v>0.29166666666666669</v>
      </c>
      <c r="D428" s="5">
        <v>222134</v>
      </c>
      <c r="E428" s="25">
        <v>524526</v>
      </c>
      <c r="F428" s="10">
        <v>1.2934000000000001</v>
      </c>
      <c r="G428" s="10">
        <v>0.88360000000000005</v>
      </c>
      <c r="H428" s="240"/>
      <c r="I428" s="9">
        <v>99560</v>
      </c>
      <c r="J428" s="9">
        <v>223561</v>
      </c>
      <c r="K428" s="9"/>
      <c r="L428" s="27">
        <v>84586</v>
      </c>
      <c r="M428" s="27">
        <v>61336</v>
      </c>
      <c r="N428" s="26"/>
      <c r="O428" s="106"/>
      <c r="P428" s="106"/>
      <c r="Q428" s="107"/>
      <c r="R428" s="107"/>
      <c r="S428" s="108"/>
      <c r="T428" s="108"/>
      <c r="U428" s="61"/>
    </row>
    <row r="429" spans="2:21">
      <c r="B429" s="292"/>
      <c r="C429" s="19">
        <v>0.33333333333333298</v>
      </c>
      <c r="D429" s="5">
        <v>222134</v>
      </c>
      <c r="E429" s="25">
        <v>524526</v>
      </c>
      <c r="F429" s="10">
        <v>1.2934000000000001</v>
      </c>
      <c r="G429" s="10">
        <v>0.88360000000000005</v>
      </c>
      <c r="H429" s="240"/>
      <c r="I429" s="9">
        <v>99560</v>
      </c>
      <c r="J429" s="9">
        <v>223561</v>
      </c>
      <c r="K429" s="9"/>
      <c r="L429" s="27">
        <v>84586</v>
      </c>
      <c r="M429" s="27">
        <v>61336</v>
      </c>
      <c r="N429" s="26"/>
      <c r="O429" s="106"/>
      <c r="P429" s="106"/>
      <c r="Q429" s="107"/>
      <c r="R429" s="107"/>
      <c r="S429" s="108"/>
      <c r="T429" s="108"/>
      <c r="U429" s="61"/>
    </row>
    <row r="430" spans="2:21">
      <c r="B430" s="292"/>
      <c r="C430" s="19">
        <v>0.375</v>
      </c>
      <c r="D430" s="5">
        <v>222134</v>
      </c>
      <c r="E430" s="25">
        <v>524526</v>
      </c>
      <c r="F430" s="10">
        <v>1.2934000000000001</v>
      </c>
      <c r="G430" s="10">
        <v>0.88360000000000005</v>
      </c>
      <c r="H430" s="240"/>
      <c r="I430" s="9">
        <v>99560</v>
      </c>
      <c r="J430" s="9">
        <v>223561</v>
      </c>
      <c r="K430" s="9"/>
      <c r="L430" s="27">
        <v>84586</v>
      </c>
      <c r="M430" s="27">
        <v>61336</v>
      </c>
      <c r="N430" s="26"/>
      <c r="O430" s="106"/>
      <c r="P430" s="106"/>
      <c r="Q430" s="107"/>
      <c r="R430" s="107"/>
      <c r="S430" s="108"/>
      <c r="T430" s="108"/>
      <c r="U430" s="61"/>
    </row>
    <row r="431" spans="2:21">
      <c r="B431" s="292"/>
      <c r="C431" s="19">
        <v>0.41666666666666702</v>
      </c>
      <c r="D431" s="5">
        <v>222134</v>
      </c>
      <c r="E431" s="25">
        <v>524526</v>
      </c>
      <c r="F431" s="10">
        <v>1.2934000000000001</v>
      </c>
      <c r="G431" s="10">
        <v>0.88360000000000005</v>
      </c>
      <c r="H431" s="240"/>
      <c r="I431" s="9">
        <v>99560</v>
      </c>
      <c r="J431" s="9">
        <v>223561</v>
      </c>
      <c r="K431" s="9"/>
      <c r="L431" s="27">
        <v>84586</v>
      </c>
      <c r="M431" s="27">
        <v>61336</v>
      </c>
      <c r="N431" s="26"/>
      <c r="O431" s="106"/>
      <c r="P431" s="106"/>
      <c r="Q431" s="107"/>
      <c r="R431" s="107"/>
      <c r="S431" s="108"/>
      <c r="T431" s="108"/>
      <c r="U431" s="61"/>
    </row>
    <row r="432" spans="2:21">
      <c r="B432" s="292"/>
      <c r="C432" s="19">
        <v>0.45833333333333298</v>
      </c>
      <c r="D432" s="5">
        <v>222134</v>
      </c>
      <c r="E432" s="25">
        <v>524526</v>
      </c>
      <c r="F432" s="10">
        <v>1.2934000000000001</v>
      </c>
      <c r="G432" s="10">
        <v>0.88360000000000005</v>
      </c>
      <c r="H432" s="240"/>
      <c r="I432" s="9">
        <v>99560</v>
      </c>
      <c r="J432" s="9">
        <v>223561</v>
      </c>
      <c r="K432" s="9"/>
      <c r="L432" s="27">
        <v>84586</v>
      </c>
      <c r="M432" s="27">
        <v>61336</v>
      </c>
      <c r="N432" s="26"/>
      <c r="O432" s="106"/>
      <c r="P432" s="106"/>
      <c r="Q432" s="107"/>
      <c r="R432" s="107"/>
      <c r="S432" s="108"/>
      <c r="T432" s="108"/>
      <c r="U432" s="61"/>
    </row>
    <row r="433" spans="2:21">
      <c r="B433" s="292"/>
      <c r="C433" s="19">
        <v>0.5</v>
      </c>
      <c r="D433" s="5">
        <v>222134</v>
      </c>
      <c r="E433" s="25">
        <v>524526</v>
      </c>
      <c r="F433" s="10">
        <v>1.2934000000000001</v>
      </c>
      <c r="G433" s="10">
        <v>0.88360000000000005</v>
      </c>
      <c r="H433" s="240"/>
      <c r="I433" s="9">
        <v>99560</v>
      </c>
      <c r="J433" s="9">
        <v>223561</v>
      </c>
      <c r="K433" s="9"/>
      <c r="L433" s="27">
        <v>84586</v>
      </c>
      <c r="M433" s="27">
        <v>61336</v>
      </c>
      <c r="N433" s="26"/>
      <c r="O433" s="106"/>
      <c r="P433" s="106"/>
      <c r="Q433" s="107"/>
      <c r="R433" s="107"/>
      <c r="S433" s="108"/>
      <c r="T433" s="108"/>
      <c r="U433" s="61"/>
    </row>
    <row r="434" spans="2:21">
      <c r="B434" s="292"/>
      <c r="C434" s="19">
        <v>0.54166666666666696</v>
      </c>
      <c r="D434" s="5">
        <v>222134</v>
      </c>
      <c r="E434" s="25">
        <v>524526</v>
      </c>
      <c r="F434" s="10">
        <v>1.2934000000000001</v>
      </c>
      <c r="G434" s="10">
        <v>0.88360000000000005</v>
      </c>
      <c r="H434" s="240"/>
      <c r="I434" s="9">
        <v>99560</v>
      </c>
      <c r="J434" s="9">
        <v>223561</v>
      </c>
      <c r="K434" s="9"/>
      <c r="L434" s="27">
        <v>84586</v>
      </c>
      <c r="M434" s="27">
        <v>61336</v>
      </c>
      <c r="N434" s="26"/>
      <c r="O434" s="106"/>
      <c r="P434" s="106"/>
      <c r="Q434" s="107"/>
      <c r="R434" s="107"/>
      <c r="S434" s="108"/>
      <c r="T434" s="108"/>
      <c r="U434" s="61"/>
    </row>
    <row r="435" spans="2:21">
      <c r="B435" s="292"/>
      <c r="C435" s="19">
        <v>0.58333333333333304</v>
      </c>
      <c r="D435" s="5">
        <v>222134</v>
      </c>
      <c r="E435" s="25">
        <v>524526</v>
      </c>
      <c r="F435" s="10">
        <v>1.2934000000000001</v>
      </c>
      <c r="G435" s="10">
        <v>0.88360000000000005</v>
      </c>
      <c r="H435" s="240"/>
      <c r="I435" s="9">
        <v>99560</v>
      </c>
      <c r="J435" s="9">
        <v>223561</v>
      </c>
      <c r="K435" s="9"/>
      <c r="L435" s="27">
        <v>84586</v>
      </c>
      <c r="M435" s="27">
        <v>61336</v>
      </c>
      <c r="N435" s="26"/>
      <c r="O435" s="106"/>
      <c r="P435" s="106"/>
      <c r="Q435" s="107"/>
      <c r="R435" s="107"/>
      <c r="S435" s="108"/>
      <c r="T435" s="108"/>
      <c r="U435" s="65"/>
    </row>
    <row r="436" spans="2:21">
      <c r="B436" s="292"/>
      <c r="C436" s="19">
        <v>0.625</v>
      </c>
      <c r="D436" s="5">
        <v>222134</v>
      </c>
      <c r="E436" s="25">
        <v>524526</v>
      </c>
      <c r="F436" s="10">
        <v>1.2934000000000001</v>
      </c>
      <c r="G436" s="10">
        <v>0.88360000000000005</v>
      </c>
      <c r="H436" s="240"/>
      <c r="I436" s="9">
        <v>99560</v>
      </c>
      <c r="J436" s="9">
        <v>223561</v>
      </c>
      <c r="K436" s="9"/>
      <c r="L436" s="27">
        <v>84586</v>
      </c>
      <c r="M436" s="27">
        <v>61336</v>
      </c>
      <c r="N436" s="26"/>
      <c r="O436" s="106"/>
      <c r="P436" s="106"/>
      <c r="Q436" s="107"/>
      <c r="R436" s="107"/>
      <c r="S436" s="108"/>
      <c r="T436" s="108"/>
      <c r="U436" s="61"/>
    </row>
    <row r="437" spans="2:21">
      <c r="B437" s="292"/>
      <c r="C437" s="19">
        <v>0.66666666666666596</v>
      </c>
      <c r="D437" s="5">
        <v>222134</v>
      </c>
      <c r="E437" s="25">
        <v>524526</v>
      </c>
      <c r="F437" s="10">
        <v>1.2934000000000001</v>
      </c>
      <c r="G437" s="10">
        <v>0.88360000000000005</v>
      </c>
      <c r="H437" s="240"/>
      <c r="I437" s="9">
        <v>99560</v>
      </c>
      <c r="J437" s="9">
        <v>223561</v>
      </c>
      <c r="K437" s="9"/>
      <c r="L437" s="27">
        <v>84586</v>
      </c>
      <c r="M437" s="27">
        <v>61336</v>
      </c>
      <c r="N437" s="26"/>
      <c r="O437" s="106"/>
      <c r="P437" s="106"/>
      <c r="Q437" s="107"/>
      <c r="R437" s="107"/>
      <c r="S437" s="108"/>
      <c r="T437" s="108"/>
      <c r="U437" s="61"/>
    </row>
    <row r="438" spans="2:21">
      <c r="B438" s="292"/>
      <c r="C438" s="19">
        <v>0.70833333333333304</v>
      </c>
      <c r="D438" s="5">
        <v>222134</v>
      </c>
      <c r="E438" s="25">
        <v>524526</v>
      </c>
      <c r="F438" s="10">
        <v>1.2934000000000001</v>
      </c>
      <c r="G438" s="10">
        <v>0.88360000000000005</v>
      </c>
      <c r="H438" s="240"/>
      <c r="I438" s="9">
        <v>99560</v>
      </c>
      <c r="J438" s="9">
        <v>223561</v>
      </c>
      <c r="K438" s="9"/>
      <c r="L438" s="27">
        <v>84586</v>
      </c>
      <c r="M438" s="27">
        <v>61336</v>
      </c>
      <c r="N438" s="26"/>
      <c r="O438" s="106"/>
      <c r="P438" s="106"/>
      <c r="Q438" s="107"/>
      <c r="R438" s="107"/>
      <c r="S438" s="108"/>
      <c r="T438" s="108"/>
      <c r="U438" s="61"/>
    </row>
    <row r="439" spans="2:21">
      <c r="B439" s="292"/>
      <c r="C439" s="19">
        <v>0.75</v>
      </c>
      <c r="D439" s="5">
        <v>222134</v>
      </c>
      <c r="E439" s="25">
        <v>524526</v>
      </c>
      <c r="F439" s="10">
        <v>1.2934000000000001</v>
      </c>
      <c r="G439" s="10">
        <v>0.88360000000000005</v>
      </c>
      <c r="H439" s="240"/>
      <c r="I439" s="9">
        <v>99560</v>
      </c>
      <c r="J439" s="9">
        <v>223561</v>
      </c>
      <c r="K439" s="9"/>
      <c r="L439" s="27">
        <v>84586</v>
      </c>
      <c r="M439" s="27">
        <v>61336</v>
      </c>
      <c r="N439" s="26"/>
      <c r="O439" s="106"/>
      <c r="P439" s="106"/>
      <c r="Q439" s="107"/>
      <c r="R439" s="107"/>
      <c r="S439" s="108"/>
      <c r="T439" s="108"/>
      <c r="U439" s="61"/>
    </row>
    <row r="440" spans="2:21">
      <c r="B440" s="292"/>
      <c r="C440" s="19">
        <v>0.79166666666666596</v>
      </c>
      <c r="D440" s="5">
        <v>222134</v>
      </c>
      <c r="E440" s="25">
        <v>524526</v>
      </c>
      <c r="F440" s="10">
        <v>1.2934000000000001</v>
      </c>
      <c r="G440" s="10">
        <v>0.88360000000000005</v>
      </c>
      <c r="H440" s="240"/>
      <c r="I440" s="9">
        <v>99560</v>
      </c>
      <c r="J440" s="9">
        <v>223561</v>
      </c>
      <c r="K440" s="9"/>
      <c r="L440" s="27">
        <v>84586</v>
      </c>
      <c r="M440" s="27">
        <v>61336</v>
      </c>
      <c r="N440" s="26"/>
      <c r="O440" s="106"/>
      <c r="P440" s="106"/>
      <c r="Q440" s="107"/>
      <c r="R440" s="107"/>
      <c r="S440" s="108"/>
      <c r="T440" s="108"/>
      <c r="U440" s="61"/>
    </row>
    <row r="441" spans="2:21">
      <c r="B441" s="292"/>
      <c r="C441" s="19">
        <v>0.83333333333333304</v>
      </c>
      <c r="D441" s="5">
        <v>222134</v>
      </c>
      <c r="E441" s="25">
        <v>524526</v>
      </c>
      <c r="F441" s="10">
        <v>1.2934000000000001</v>
      </c>
      <c r="G441" s="10">
        <v>0.88360000000000005</v>
      </c>
      <c r="H441" s="240"/>
      <c r="I441" s="9">
        <v>99560</v>
      </c>
      <c r="J441" s="9">
        <v>223561</v>
      </c>
      <c r="K441" s="9"/>
      <c r="L441" s="27">
        <v>84586</v>
      </c>
      <c r="M441" s="27">
        <v>61336</v>
      </c>
      <c r="N441" s="26"/>
      <c r="O441" s="106"/>
      <c r="P441" s="106"/>
      <c r="Q441" s="107"/>
      <c r="R441" s="107"/>
      <c r="S441" s="108"/>
      <c r="T441" s="108"/>
      <c r="U441" s="61"/>
    </row>
    <row r="442" spans="2:21">
      <c r="B442" s="292"/>
      <c r="C442" s="19">
        <v>0.875</v>
      </c>
      <c r="D442" s="5">
        <v>222134</v>
      </c>
      <c r="E442" s="25">
        <v>524526</v>
      </c>
      <c r="F442" s="10">
        <v>1.2934000000000001</v>
      </c>
      <c r="G442" s="10">
        <v>0.88360000000000005</v>
      </c>
      <c r="H442" s="240"/>
      <c r="I442" s="9">
        <v>99560</v>
      </c>
      <c r="J442" s="9">
        <v>223561</v>
      </c>
      <c r="K442" s="9"/>
      <c r="L442" s="27">
        <v>84586</v>
      </c>
      <c r="M442" s="27">
        <v>61336</v>
      </c>
      <c r="N442" s="26"/>
      <c r="O442" s="106"/>
      <c r="P442" s="106"/>
      <c r="Q442" s="107"/>
      <c r="R442" s="107"/>
      <c r="S442" s="108"/>
      <c r="T442" s="108"/>
      <c r="U442" s="61"/>
    </row>
    <row r="443" spans="2:21">
      <c r="B443" s="292"/>
      <c r="C443" s="19">
        <v>0.91666666666666596</v>
      </c>
      <c r="D443" s="5">
        <v>222134</v>
      </c>
      <c r="E443" s="25">
        <v>524526</v>
      </c>
      <c r="F443" s="10">
        <v>1.2934000000000001</v>
      </c>
      <c r="G443" s="10">
        <v>0.88360000000000005</v>
      </c>
      <c r="H443" s="240"/>
      <c r="I443" s="9">
        <v>99560</v>
      </c>
      <c r="J443" s="9">
        <v>223561</v>
      </c>
      <c r="K443" s="9"/>
      <c r="L443" s="27">
        <v>84586</v>
      </c>
      <c r="M443" s="27">
        <v>61336</v>
      </c>
      <c r="N443" s="26"/>
      <c r="O443" s="106"/>
      <c r="P443" s="106"/>
      <c r="Q443" s="107"/>
      <c r="R443" s="107"/>
      <c r="S443" s="108"/>
      <c r="T443" s="108"/>
      <c r="U443" s="61"/>
    </row>
    <row r="444" spans="2:21">
      <c r="B444" s="292"/>
      <c r="C444" s="19">
        <v>0.95833333333333304</v>
      </c>
      <c r="D444" s="5">
        <v>222134</v>
      </c>
      <c r="E444" s="25">
        <v>524526</v>
      </c>
      <c r="F444" s="10">
        <v>1.2934000000000001</v>
      </c>
      <c r="G444" s="10">
        <v>0.88360000000000005</v>
      </c>
      <c r="H444" s="240"/>
      <c r="I444" s="9">
        <v>99560</v>
      </c>
      <c r="J444" s="9">
        <v>223561</v>
      </c>
      <c r="K444" s="9"/>
      <c r="L444" s="27">
        <v>84586</v>
      </c>
      <c r="M444" s="27">
        <v>61336</v>
      </c>
      <c r="N444" s="26"/>
      <c r="O444" s="106"/>
      <c r="P444" s="106"/>
      <c r="Q444" s="107"/>
      <c r="R444" s="107"/>
      <c r="S444" s="108"/>
      <c r="T444" s="108"/>
      <c r="U444" s="61"/>
    </row>
    <row r="445" spans="2:21">
      <c r="B445" s="292"/>
      <c r="C445" s="19">
        <v>1</v>
      </c>
      <c r="D445" s="5">
        <v>222134</v>
      </c>
      <c r="E445" s="25">
        <v>524526</v>
      </c>
      <c r="F445" s="10">
        <v>1.2934000000000001</v>
      </c>
      <c r="G445" s="10">
        <v>0.88360000000000005</v>
      </c>
      <c r="H445" s="240"/>
      <c r="I445" s="9">
        <v>99560</v>
      </c>
      <c r="J445" s="9">
        <v>223561</v>
      </c>
      <c r="K445" s="9"/>
      <c r="L445" s="27">
        <v>84586</v>
      </c>
      <c r="M445" s="27">
        <v>61336</v>
      </c>
      <c r="N445" s="26"/>
      <c r="O445" s="63"/>
      <c r="P445" s="63"/>
      <c r="Q445" s="62"/>
      <c r="R445" s="62"/>
      <c r="S445" s="64"/>
      <c r="T445" s="64"/>
      <c r="U445" s="61"/>
    </row>
    <row r="446" spans="2:21">
      <c r="B446" s="292"/>
      <c r="C446" s="19">
        <v>1.0416666666666701</v>
      </c>
      <c r="D446" s="5">
        <v>222134</v>
      </c>
      <c r="E446" s="25">
        <v>524526</v>
      </c>
      <c r="F446" s="10">
        <v>1.2934000000000001</v>
      </c>
      <c r="G446" s="10">
        <v>0.88360000000000005</v>
      </c>
      <c r="H446" s="240"/>
      <c r="I446" s="9">
        <v>99560</v>
      </c>
      <c r="J446" s="9">
        <v>223561</v>
      </c>
      <c r="K446" s="9"/>
      <c r="L446" s="27">
        <v>84586</v>
      </c>
      <c r="M446" s="27">
        <v>61336</v>
      </c>
      <c r="N446" s="26"/>
      <c r="O446" s="63"/>
      <c r="P446" s="63"/>
      <c r="Q446" s="62"/>
      <c r="R446" s="62"/>
      <c r="S446" s="64"/>
      <c r="T446" s="64"/>
      <c r="U446" s="61"/>
    </row>
    <row r="447" spans="2:21">
      <c r="B447" s="292"/>
      <c r="C447" s="19">
        <v>1.0833333333333399</v>
      </c>
      <c r="D447" s="5">
        <v>222134</v>
      </c>
      <c r="E447" s="25">
        <v>524526</v>
      </c>
      <c r="F447" s="10">
        <v>1.2934000000000001</v>
      </c>
      <c r="G447" s="10">
        <v>0.88360000000000005</v>
      </c>
      <c r="H447" s="240"/>
      <c r="I447" s="9">
        <v>99560</v>
      </c>
      <c r="J447" s="9">
        <v>223561</v>
      </c>
      <c r="K447" s="9"/>
      <c r="L447" s="27">
        <v>84586</v>
      </c>
      <c r="M447" s="27">
        <v>61336</v>
      </c>
      <c r="N447" s="26"/>
      <c r="O447" s="63"/>
      <c r="P447" s="63"/>
      <c r="Q447" s="62"/>
      <c r="R447" s="62"/>
      <c r="S447" s="64"/>
      <c r="T447" s="64"/>
      <c r="U447" s="61"/>
    </row>
    <row r="448" spans="2:21">
      <c r="B448" s="292"/>
      <c r="C448" s="19">
        <v>1.125</v>
      </c>
      <c r="D448" s="5">
        <v>222134</v>
      </c>
      <c r="E448" s="25">
        <v>524526</v>
      </c>
      <c r="F448" s="10">
        <v>1.2934000000000001</v>
      </c>
      <c r="G448" s="10">
        <v>0.88360000000000005</v>
      </c>
      <c r="H448" s="240"/>
      <c r="I448" s="9">
        <v>99560</v>
      </c>
      <c r="J448" s="9">
        <v>223561</v>
      </c>
      <c r="K448" s="9"/>
      <c r="L448" s="27">
        <v>84586</v>
      </c>
      <c r="M448" s="27">
        <v>61336</v>
      </c>
      <c r="N448" s="26"/>
      <c r="O448" s="63"/>
      <c r="P448" s="63"/>
      <c r="Q448" s="62"/>
      <c r="R448" s="62"/>
      <c r="S448" s="64"/>
      <c r="T448" s="64"/>
      <c r="U448" s="61"/>
    </row>
    <row r="449" spans="2:21">
      <c r="B449" s="292"/>
      <c r="C449" s="19">
        <v>1.1666666666666701</v>
      </c>
      <c r="D449" s="5">
        <v>222134</v>
      </c>
      <c r="E449" s="25">
        <v>524526</v>
      </c>
      <c r="F449" s="10">
        <v>1.2934000000000001</v>
      </c>
      <c r="G449" s="10">
        <v>0.88360000000000005</v>
      </c>
      <c r="H449" s="240"/>
      <c r="I449" s="9">
        <v>99560</v>
      </c>
      <c r="J449" s="9">
        <v>223561</v>
      </c>
      <c r="K449" s="9"/>
      <c r="L449" s="27">
        <v>84586</v>
      </c>
      <c r="M449" s="27">
        <v>61336</v>
      </c>
      <c r="N449" s="26"/>
      <c r="O449" s="106"/>
      <c r="P449" s="106"/>
      <c r="Q449" s="107"/>
      <c r="R449" s="107"/>
      <c r="S449" s="108"/>
      <c r="T449" s="108"/>
      <c r="U449" s="61"/>
    </row>
    <row r="450" spans="2:21">
      <c r="B450" s="292"/>
      <c r="C450" s="19">
        <v>1.2083333333333399</v>
      </c>
      <c r="D450" s="5">
        <v>222134</v>
      </c>
      <c r="E450" s="25">
        <v>524526</v>
      </c>
      <c r="F450" s="10">
        <v>1.2934000000000001</v>
      </c>
      <c r="G450" s="10">
        <v>0.88360000000000005</v>
      </c>
      <c r="H450" s="240"/>
      <c r="I450" s="9">
        <v>99560</v>
      </c>
      <c r="J450" s="9">
        <v>223561</v>
      </c>
      <c r="K450" s="9"/>
      <c r="L450" s="27">
        <v>84586</v>
      </c>
      <c r="M450" s="27">
        <v>61336</v>
      </c>
      <c r="N450" s="26"/>
      <c r="O450" s="106"/>
      <c r="P450" s="106"/>
      <c r="Q450" s="107"/>
      <c r="R450" s="107"/>
      <c r="S450" s="108"/>
      <c r="T450" s="108"/>
      <c r="U450" s="61"/>
    </row>
    <row r="451" spans="2:21">
      <c r="B451" s="292"/>
      <c r="C451" s="19">
        <v>1.25</v>
      </c>
      <c r="D451" s="5">
        <v>222134</v>
      </c>
      <c r="E451" s="25">
        <v>524526</v>
      </c>
      <c r="F451" s="10">
        <v>1.2934000000000001</v>
      </c>
      <c r="G451" s="10">
        <v>0.88360000000000005</v>
      </c>
      <c r="H451" s="240"/>
      <c r="I451" s="9">
        <v>99560</v>
      </c>
      <c r="J451" s="9">
        <v>223561</v>
      </c>
      <c r="K451" s="9"/>
      <c r="L451" s="27">
        <v>84586</v>
      </c>
      <c r="M451" s="27">
        <v>61336</v>
      </c>
      <c r="N451" s="26"/>
      <c r="O451" s="106"/>
      <c r="P451" s="106"/>
      <c r="Q451" s="107"/>
      <c r="R451" s="107"/>
      <c r="S451" s="108"/>
      <c r="T451" s="108"/>
      <c r="U451" s="61"/>
    </row>
    <row r="452" spans="2:21">
      <c r="B452" s="292"/>
      <c r="C452" s="19">
        <v>1.2916666666666701</v>
      </c>
      <c r="D452" s="5">
        <v>222134</v>
      </c>
      <c r="E452" s="25">
        <v>524526</v>
      </c>
      <c r="F452" s="10">
        <v>1.2934000000000001</v>
      </c>
      <c r="G452" s="10">
        <v>0.88360000000000005</v>
      </c>
      <c r="H452" s="240"/>
      <c r="I452" s="9">
        <v>99560</v>
      </c>
      <c r="J452" s="9">
        <v>223561</v>
      </c>
      <c r="K452" s="9"/>
      <c r="L452" s="27">
        <v>84586</v>
      </c>
      <c r="M452" s="27">
        <v>61336</v>
      </c>
      <c r="N452" s="26"/>
      <c r="O452" s="106"/>
      <c r="P452" s="106"/>
      <c r="Q452" s="107"/>
      <c r="R452" s="107"/>
      <c r="S452" s="108"/>
      <c r="T452" s="108"/>
      <c r="U452" s="61"/>
    </row>
    <row r="453" spans="2:21">
      <c r="B453" s="293"/>
      <c r="C453" s="6"/>
      <c r="D453" s="13" cm="1">
        <f t="array" ref="D453">IFERROR(LOOKUP(2,1/(D428:D452&gt;0),D428:D452-D428),0)</f>
        <v>0</v>
      </c>
      <c r="E453" s="13" cm="1">
        <f t="array" ref="E453">IFERROR(LOOKUP(2,1/(E428:E452&gt;0),E428:E452-E428),0)</f>
        <v>0</v>
      </c>
      <c r="F453" s="13" cm="1">
        <f t="array" ref="F453">IFERROR(LOOKUP(2,1/(F428:F452&gt;0),F428:F452-F428),0)</f>
        <v>0</v>
      </c>
      <c r="G453" s="13" cm="1">
        <f t="array" ref="G453">IFERROR(LOOKUP(2,1/(G428:G452&gt;0),G428:G452-G428),0)</f>
        <v>0</v>
      </c>
      <c r="H453" s="13">
        <f>F453+G453</f>
        <v>0</v>
      </c>
      <c r="I453" s="13" cm="1">
        <f t="array" ref="I453">IFERROR(LOOKUP(2,1/(I428:I452&gt;0),I428:I452-I428),0)</f>
        <v>0</v>
      </c>
      <c r="J453" s="13" cm="1">
        <f t="array" ref="J453">IFERROR(LOOKUP(2,1/(J428:J452&gt;0),J428:J452-J428),0)</f>
        <v>0</v>
      </c>
      <c r="K453" s="13">
        <f>I453+J453</f>
        <v>0</v>
      </c>
      <c r="L453" s="13" cm="1">
        <f t="array" ref="L453">IFERROR(LOOKUP(2,1/(L428:L452&gt;0),L428:L452-L428),0)</f>
        <v>0</v>
      </c>
      <c r="M453" s="13" cm="1">
        <f t="array" ref="M453">IFERROR(LOOKUP(2,1/(M428:M452&gt;0),M428:M452-M428),0)</f>
        <v>0</v>
      </c>
      <c r="N453" s="13">
        <f>L453+M453</f>
        <v>0</v>
      </c>
      <c r="O453" s="109">
        <f t="shared" ref="O453:T453" si="31">IFERROR(AVERAGE(O428:O452),0)</f>
        <v>0</v>
      </c>
      <c r="P453" s="109">
        <f t="shared" si="31"/>
        <v>0</v>
      </c>
      <c r="Q453" s="109">
        <f t="shared" si="31"/>
        <v>0</v>
      </c>
      <c r="R453" s="109">
        <f t="shared" si="31"/>
        <v>0</v>
      </c>
      <c r="S453" s="109">
        <f t="shared" si="31"/>
        <v>0</v>
      </c>
      <c r="T453" s="109">
        <f t="shared" si="31"/>
        <v>0</v>
      </c>
      <c r="U453" s="4">
        <f>COUNT(U428:U452)</f>
        <v>0</v>
      </c>
    </row>
    <row r="454" spans="2:21">
      <c r="B454" s="291">
        <f t="shared" ref="B454" si="32">B428+1</f>
        <v>46040</v>
      </c>
      <c r="C454" s="19">
        <v>0.29166666666666669</v>
      </c>
      <c r="D454" s="5">
        <v>222134</v>
      </c>
      <c r="E454" s="25">
        <v>524526</v>
      </c>
      <c r="F454" s="10">
        <v>1.2934000000000001</v>
      </c>
      <c r="G454" s="10">
        <v>0.88360000000000005</v>
      </c>
      <c r="H454" s="240"/>
      <c r="I454" s="9">
        <v>99560</v>
      </c>
      <c r="J454" s="9">
        <v>223561</v>
      </c>
      <c r="K454" s="9"/>
      <c r="L454" s="27">
        <v>84586</v>
      </c>
      <c r="M454" s="27">
        <v>61336</v>
      </c>
      <c r="N454" s="26"/>
      <c r="O454" s="106"/>
      <c r="P454" s="106"/>
      <c r="Q454" s="107"/>
      <c r="R454" s="107"/>
      <c r="S454" s="108"/>
      <c r="T454" s="108"/>
      <c r="U454" s="61"/>
    </row>
    <row r="455" spans="2:21">
      <c r="B455" s="292"/>
      <c r="C455" s="19">
        <v>0.33333333333333298</v>
      </c>
      <c r="D455" s="5">
        <v>222134</v>
      </c>
      <c r="E455" s="25">
        <v>524526</v>
      </c>
      <c r="F455" s="10">
        <v>1.2934000000000001</v>
      </c>
      <c r="G455" s="10">
        <v>0.88360000000000005</v>
      </c>
      <c r="H455" s="240"/>
      <c r="I455" s="9">
        <v>99560</v>
      </c>
      <c r="J455" s="9">
        <v>223561</v>
      </c>
      <c r="K455" s="9"/>
      <c r="L455" s="27">
        <v>84586</v>
      </c>
      <c r="M455" s="27">
        <v>61336</v>
      </c>
      <c r="N455" s="26"/>
      <c r="O455" s="106"/>
      <c r="P455" s="106"/>
      <c r="Q455" s="107"/>
      <c r="R455" s="107"/>
      <c r="S455" s="108"/>
      <c r="T455" s="108"/>
      <c r="U455" s="61"/>
    </row>
    <row r="456" spans="2:21">
      <c r="B456" s="292"/>
      <c r="C456" s="19">
        <v>0.375</v>
      </c>
      <c r="D456" s="5">
        <v>222134</v>
      </c>
      <c r="E456" s="25">
        <v>524526</v>
      </c>
      <c r="F456" s="10">
        <v>1.2934000000000001</v>
      </c>
      <c r="G456" s="10">
        <v>0.88360000000000005</v>
      </c>
      <c r="H456" s="240"/>
      <c r="I456" s="9">
        <v>99560</v>
      </c>
      <c r="J456" s="9">
        <v>223561</v>
      </c>
      <c r="K456" s="9"/>
      <c r="L456" s="27">
        <v>84586</v>
      </c>
      <c r="M456" s="27">
        <v>61336</v>
      </c>
      <c r="N456" s="26"/>
      <c r="O456" s="106"/>
      <c r="P456" s="106"/>
      <c r="Q456" s="107"/>
      <c r="R456" s="107"/>
      <c r="S456" s="108"/>
      <c r="T456" s="108"/>
      <c r="U456" s="61"/>
    </row>
    <row r="457" spans="2:21">
      <c r="B457" s="292"/>
      <c r="C457" s="19">
        <v>0.41666666666666702</v>
      </c>
      <c r="D457" s="5">
        <v>222134</v>
      </c>
      <c r="E457" s="25">
        <v>524526</v>
      </c>
      <c r="F457" s="10">
        <v>1.2934000000000001</v>
      </c>
      <c r="G457" s="10">
        <v>0.88360000000000005</v>
      </c>
      <c r="H457" s="240"/>
      <c r="I457" s="9">
        <v>99560</v>
      </c>
      <c r="J457" s="9">
        <v>223561</v>
      </c>
      <c r="K457" s="9"/>
      <c r="L457" s="27">
        <v>84586</v>
      </c>
      <c r="M457" s="27">
        <v>61336</v>
      </c>
      <c r="N457" s="26"/>
      <c r="O457" s="106"/>
      <c r="P457" s="106"/>
      <c r="Q457" s="107"/>
      <c r="R457" s="107"/>
      <c r="S457" s="108"/>
      <c r="T457" s="108"/>
      <c r="U457" s="61"/>
    </row>
    <row r="458" spans="2:21">
      <c r="B458" s="292"/>
      <c r="C458" s="19">
        <v>0.45833333333333298</v>
      </c>
      <c r="D458" s="5">
        <v>222134</v>
      </c>
      <c r="E458" s="25">
        <v>524526</v>
      </c>
      <c r="F458" s="10">
        <v>1.2934000000000001</v>
      </c>
      <c r="G458" s="10">
        <v>0.88360000000000005</v>
      </c>
      <c r="H458" s="240"/>
      <c r="I458" s="9">
        <v>99560</v>
      </c>
      <c r="J458" s="9">
        <v>223561</v>
      </c>
      <c r="K458" s="9"/>
      <c r="L458" s="27">
        <v>84586</v>
      </c>
      <c r="M458" s="27">
        <v>61336</v>
      </c>
      <c r="N458" s="26"/>
      <c r="O458" s="106"/>
      <c r="P458" s="106"/>
      <c r="Q458" s="107"/>
      <c r="R458" s="107"/>
      <c r="S458" s="108"/>
      <c r="T458" s="108"/>
      <c r="U458" s="61"/>
    </row>
    <row r="459" spans="2:21">
      <c r="B459" s="292"/>
      <c r="C459" s="19">
        <v>0.5</v>
      </c>
      <c r="D459" s="5">
        <v>222134</v>
      </c>
      <c r="E459" s="25">
        <v>524526</v>
      </c>
      <c r="F459" s="10">
        <v>1.2934000000000001</v>
      </c>
      <c r="G459" s="10">
        <v>0.88360000000000005</v>
      </c>
      <c r="H459" s="240"/>
      <c r="I459" s="9">
        <v>99560</v>
      </c>
      <c r="J459" s="9">
        <v>223561</v>
      </c>
      <c r="K459" s="9"/>
      <c r="L459" s="27">
        <v>84586</v>
      </c>
      <c r="M459" s="27">
        <v>61336</v>
      </c>
      <c r="N459" s="26"/>
      <c r="O459" s="106"/>
      <c r="P459" s="106"/>
      <c r="Q459" s="107"/>
      <c r="R459" s="107"/>
      <c r="S459" s="108"/>
      <c r="T459" s="108"/>
      <c r="U459" s="61"/>
    </row>
    <row r="460" spans="2:21">
      <c r="B460" s="292"/>
      <c r="C460" s="19">
        <v>0.54166666666666696</v>
      </c>
      <c r="D460" s="5">
        <v>222134</v>
      </c>
      <c r="E460" s="25">
        <v>524526</v>
      </c>
      <c r="F460" s="10">
        <v>1.2934000000000001</v>
      </c>
      <c r="G460" s="10">
        <v>0.88360000000000005</v>
      </c>
      <c r="H460" s="240"/>
      <c r="I460" s="9">
        <v>99560</v>
      </c>
      <c r="J460" s="9">
        <v>223561</v>
      </c>
      <c r="K460" s="9"/>
      <c r="L460" s="27">
        <v>84586</v>
      </c>
      <c r="M460" s="27">
        <v>61336</v>
      </c>
      <c r="N460" s="26"/>
      <c r="O460" s="106"/>
      <c r="P460" s="106"/>
      <c r="Q460" s="107"/>
      <c r="R460" s="107"/>
      <c r="S460" s="108"/>
      <c r="T460" s="108"/>
      <c r="U460" s="61"/>
    </row>
    <row r="461" spans="2:21">
      <c r="B461" s="292"/>
      <c r="C461" s="19">
        <v>0.58333333333333304</v>
      </c>
      <c r="D461" s="5">
        <v>222134</v>
      </c>
      <c r="E461" s="25">
        <v>524526</v>
      </c>
      <c r="F461" s="10">
        <v>1.2934000000000001</v>
      </c>
      <c r="G461" s="10">
        <v>0.88360000000000005</v>
      </c>
      <c r="H461" s="240"/>
      <c r="I461" s="9">
        <v>99560</v>
      </c>
      <c r="J461" s="9">
        <v>223561</v>
      </c>
      <c r="K461" s="9"/>
      <c r="L461" s="27">
        <v>84586</v>
      </c>
      <c r="M461" s="27">
        <v>61336</v>
      </c>
      <c r="N461" s="26"/>
      <c r="O461" s="106"/>
      <c r="P461" s="106"/>
      <c r="Q461" s="107"/>
      <c r="R461" s="107"/>
      <c r="S461" s="108"/>
      <c r="T461" s="108"/>
      <c r="U461" s="65"/>
    </row>
    <row r="462" spans="2:21">
      <c r="B462" s="292"/>
      <c r="C462" s="19">
        <v>0.625</v>
      </c>
      <c r="D462" s="5">
        <v>222134</v>
      </c>
      <c r="E462" s="25">
        <v>524526</v>
      </c>
      <c r="F462" s="10">
        <v>1.2934000000000001</v>
      </c>
      <c r="G462" s="10">
        <v>0.88360000000000005</v>
      </c>
      <c r="H462" s="240"/>
      <c r="I462" s="9">
        <v>99560</v>
      </c>
      <c r="J462" s="9">
        <v>223561</v>
      </c>
      <c r="K462" s="9"/>
      <c r="L462" s="27">
        <v>84586</v>
      </c>
      <c r="M462" s="27">
        <v>61336</v>
      </c>
      <c r="N462" s="26"/>
      <c r="O462" s="106"/>
      <c r="P462" s="106"/>
      <c r="Q462" s="107"/>
      <c r="R462" s="107"/>
      <c r="S462" s="108"/>
      <c r="T462" s="108"/>
      <c r="U462" s="61"/>
    </row>
    <row r="463" spans="2:21">
      <c r="B463" s="292"/>
      <c r="C463" s="19">
        <v>0.66666666666666596</v>
      </c>
      <c r="D463" s="5">
        <v>222134</v>
      </c>
      <c r="E463" s="25">
        <v>524526</v>
      </c>
      <c r="F463" s="10">
        <v>1.2934000000000001</v>
      </c>
      <c r="G463" s="10">
        <v>0.88360000000000005</v>
      </c>
      <c r="H463" s="240"/>
      <c r="I463" s="9">
        <v>99560</v>
      </c>
      <c r="J463" s="9">
        <v>223561</v>
      </c>
      <c r="K463" s="9"/>
      <c r="L463" s="27">
        <v>84586</v>
      </c>
      <c r="M463" s="27">
        <v>61336</v>
      </c>
      <c r="N463" s="26"/>
      <c r="O463" s="106"/>
      <c r="P463" s="106"/>
      <c r="Q463" s="107"/>
      <c r="R463" s="107"/>
      <c r="S463" s="108"/>
      <c r="T463" s="108"/>
      <c r="U463" s="61"/>
    </row>
    <row r="464" spans="2:21">
      <c r="B464" s="292"/>
      <c r="C464" s="19">
        <v>0.70833333333333304</v>
      </c>
      <c r="D464" s="5">
        <v>222134</v>
      </c>
      <c r="E464" s="25">
        <v>524526</v>
      </c>
      <c r="F464" s="10">
        <v>1.2934000000000001</v>
      </c>
      <c r="G464" s="10">
        <v>0.88360000000000005</v>
      </c>
      <c r="H464" s="240"/>
      <c r="I464" s="9">
        <v>99560</v>
      </c>
      <c r="J464" s="9">
        <v>223561</v>
      </c>
      <c r="K464" s="9"/>
      <c r="L464" s="27">
        <v>84586</v>
      </c>
      <c r="M464" s="27">
        <v>61336</v>
      </c>
      <c r="N464" s="26"/>
      <c r="O464" s="106"/>
      <c r="P464" s="106"/>
      <c r="Q464" s="107"/>
      <c r="R464" s="107"/>
      <c r="S464" s="108"/>
      <c r="T464" s="108"/>
      <c r="U464" s="61"/>
    </row>
    <row r="465" spans="2:21">
      <c r="B465" s="292"/>
      <c r="C465" s="19">
        <v>0.75</v>
      </c>
      <c r="D465" s="5">
        <v>222134</v>
      </c>
      <c r="E465" s="25">
        <v>524526</v>
      </c>
      <c r="F465" s="10">
        <v>1.2934000000000001</v>
      </c>
      <c r="G465" s="10">
        <v>0.88360000000000005</v>
      </c>
      <c r="H465" s="240"/>
      <c r="I465" s="9">
        <v>99560</v>
      </c>
      <c r="J465" s="9">
        <v>223561</v>
      </c>
      <c r="K465" s="9"/>
      <c r="L465" s="27">
        <v>84586</v>
      </c>
      <c r="M465" s="27">
        <v>61336</v>
      </c>
      <c r="N465" s="26"/>
      <c r="O465" s="106"/>
      <c r="P465" s="106"/>
      <c r="Q465" s="107"/>
      <c r="R465" s="107"/>
      <c r="S465" s="108"/>
      <c r="T465" s="108"/>
      <c r="U465" s="61"/>
    </row>
    <row r="466" spans="2:21">
      <c r="B466" s="292"/>
      <c r="C466" s="19">
        <v>0.79166666666666596</v>
      </c>
      <c r="D466" s="5">
        <v>222134</v>
      </c>
      <c r="E466" s="25">
        <v>524526</v>
      </c>
      <c r="F466" s="10">
        <v>1.2934000000000001</v>
      </c>
      <c r="G466" s="10">
        <v>0.88360000000000005</v>
      </c>
      <c r="H466" s="240"/>
      <c r="I466" s="9">
        <v>99560</v>
      </c>
      <c r="J466" s="9">
        <v>223561</v>
      </c>
      <c r="K466" s="9"/>
      <c r="L466" s="27">
        <v>84586</v>
      </c>
      <c r="M466" s="27">
        <v>61336</v>
      </c>
      <c r="N466" s="26"/>
      <c r="O466" s="106"/>
      <c r="P466" s="106"/>
      <c r="Q466" s="107"/>
      <c r="R466" s="107"/>
      <c r="S466" s="108"/>
      <c r="T466" s="108"/>
      <c r="U466" s="61"/>
    </row>
    <row r="467" spans="2:21">
      <c r="B467" s="292"/>
      <c r="C467" s="19">
        <v>0.83333333333333304</v>
      </c>
      <c r="D467" s="5">
        <v>222134</v>
      </c>
      <c r="E467" s="25">
        <v>524526</v>
      </c>
      <c r="F467" s="10">
        <v>1.2934000000000001</v>
      </c>
      <c r="G467" s="10">
        <v>0.88360000000000005</v>
      </c>
      <c r="H467" s="240"/>
      <c r="I467" s="9">
        <v>99560</v>
      </c>
      <c r="J467" s="9">
        <v>223561</v>
      </c>
      <c r="K467" s="9"/>
      <c r="L467" s="27">
        <v>84586</v>
      </c>
      <c r="M467" s="27">
        <v>61336</v>
      </c>
      <c r="N467" s="26"/>
      <c r="O467" s="106"/>
      <c r="P467" s="106"/>
      <c r="Q467" s="107"/>
      <c r="R467" s="107"/>
      <c r="S467" s="108"/>
      <c r="T467" s="108"/>
      <c r="U467" s="61"/>
    </row>
    <row r="468" spans="2:21">
      <c r="B468" s="292"/>
      <c r="C468" s="19">
        <v>0.875</v>
      </c>
      <c r="D468" s="5">
        <v>222134</v>
      </c>
      <c r="E468" s="25">
        <v>524526</v>
      </c>
      <c r="F468" s="10">
        <v>1.2934000000000001</v>
      </c>
      <c r="G468" s="10">
        <v>0.88360000000000005</v>
      </c>
      <c r="H468" s="240"/>
      <c r="I468" s="9">
        <v>99560</v>
      </c>
      <c r="J468" s="9">
        <v>223561</v>
      </c>
      <c r="K468" s="9"/>
      <c r="L468" s="27">
        <v>84586</v>
      </c>
      <c r="M468" s="27">
        <v>61336</v>
      </c>
      <c r="N468" s="26"/>
      <c r="O468" s="106"/>
      <c r="P468" s="106"/>
      <c r="Q468" s="107"/>
      <c r="R468" s="107"/>
      <c r="S468" s="108"/>
      <c r="T468" s="108"/>
      <c r="U468" s="61"/>
    </row>
    <row r="469" spans="2:21">
      <c r="B469" s="292"/>
      <c r="C469" s="19">
        <v>0.91666666666666596</v>
      </c>
      <c r="D469" s="5">
        <v>222134</v>
      </c>
      <c r="E469" s="25">
        <v>524526</v>
      </c>
      <c r="F469" s="10">
        <v>1.2934000000000001</v>
      </c>
      <c r="G469" s="10">
        <v>0.88360000000000005</v>
      </c>
      <c r="H469" s="240"/>
      <c r="I469" s="9">
        <v>99560</v>
      </c>
      <c r="J469" s="9">
        <v>223561</v>
      </c>
      <c r="K469" s="9"/>
      <c r="L469" s="27">
        <v>84586</v>
      </c>
      <c r="M469" s="27">
        <v>61336</v>
      </c>
      <c r="N469" s="26"/>
      <c r="O469" s="106"/>
      <c r="P469" s="106"/>
      <c r="Q469" s="107"/>
      <c r="R469" s="107"/>
      <c r="S469" s="108"/>
      <c r="T469" s="108"/>
      <c r="U469" s="61"/>
    </row>
    <row r="470" spans="2:21">
      <c r="B470" s="292"/>
      <c r="C470" s="19">
        <v>0.95833333333333304</v>
      </c>
      <c r="D470" s="5">
        <v>222134</v>
      </c>
      <c r="E470" s="25">
        <v>524526</v>
      </c>
      <c r="F470" s="10">
        <v>1.2934000000000001</v>
      </c>
      <c r="G470" s="10">
        <v>0.88360000000000005</v>
      </c>
      <c r="H470" s="240"/>
      <c r="I470" s="9">
        <v>99560</v>
      </c>
      <c r="J470" s="9">
        <v>223561</v>
      </c>
      <c r="K470" s="9"/>
      <c r="L470" s="27">
        <v>84586</v>
      </c>
      <c r="M470" s="27">
        <v>61336</v>
      </c>
      <c r="N470" s="26"/>
      <c r="O470" s="106"/>
      <c r="P470" s="106"/>
      <c r="Q470" s="107"/>
      <c r="R470" s="107"/>
      <c r="S470" s="108"/>
      <c r="T470" s="108"/>
      <c r="U470" s="61"/>
    </row>
    <row r="471" spans="2:21">
      <c r="B471" s="292"/>
      <c r="C471" s="19">
        <v>1</v>
      </c>
      <c r="D471" s="5">
        <v>222134</v>
      </c>
      <c r="E471" s="25">
        <v>524526</v>
      </c>
      <c r="F471" s="10">
        <v>1.2934000000000001</v>
      </c>
      <c r="G471" s="10">
        <v>0.88360000000000005</v>
      </c>
      <c r="H471" s="240"/>
      <c r="I471" s="9">
        <v>99560</v>
      </c>
      <c r="J471" s="9">
        <v>223561</v>
      </c>
      <c r="K471" s="9"/>
      <c r="L471" s="27">
        <v>84586</v>
      </c>
      <c r="M471" s="27">
        <v>61336</v>
      </c>
      <c r="N471" s="26"/>
      <c r="O471" s="63"/>
      <c r="P471" s="63"/>
      <c r="Q471" s="62"/>
      <c r="R471" s="62"/>
      <c r="S471" s="64"/>
      <c r="T471" s="64"/>
      <c r="U471" s="61"/>
    </row>
    <row r="472" spans="2:21">
      <c r="B472" s="292"/>
      <c r="C472" s="19">
        <v>1.0416666666666701</v>
      </c>
      <c r="D472" s="5">
        <v>222134</v>
      </c>
      <c r="E472" s="25">
        <v>524526</v>
      </c>
      <c r="F472" s="10">
        <v>1.2934000000000001</v>
      </c>
      <c r="G472" s="10">
        <v>0.88360000000000005</v>
      </c>
      <c r="H472" s="240"/>
      <c r="I472" s="9">
        <v>99560</v>
      </c>
      <c r="J472" s="9">
        <v>223561</v>
      </c>
      <c r="K472" s="9"/>
      <c r="L472" s="27">
        <v>84586</v>
      </c>
      <c r="M472" s="27">
        <v>61336</v>
      </c>
      <c r="N472" s="26"/>
      <c r="O472" s="63"/>
      <c r="P472" s="63"/>
      <c r="Q472" s="62"/>
      <c r="R472" s="62"/>
      <c r="S472" s="64"/>
      <c r="T472" s="64"/>
      <c r="U472" s="61"/>
    </row>
    <row r="473" spans="2:21">
      <c r="B473" s="292"/>
      <c r="C473" s="19">
        <v>1.0833333333333399</v>
      </c>
      <c r="D473" s="5">
        <v>222134</v>
      </c>
      <c r="E473" s="25">
        <v>524526</v>
      </c>
      <c r="F473" s="10">
        <v>1.2934000000000001</v>
      </c>
      <c r="G473" s="10">
        <v>0.88360000000000005</v>
      </c>
      <c r="H473" s="240"/>
      <c r="I473" s="9">
        <v>99560</v>
      </c>
      <c r="J473" s="9">
        <v>223561</v>
      </c>
      <c r="K473" s="9"/>
      <c r="L473" s="27">
        <v>84586</v>
      </c>
      <c r="M473" s="27">
        <v>61336</v>
      </c>
      <c r="N473" s="26"/>
      <c r="O473" s="63"/>
      <c r="P473" s="63"/>
      <c r="Q473" s="62"/>
      <c r="R473" s="62"/>
      <c r="S473" s="64"/>
      <c r="T473" s="64"/>
      <c r="U473" s="61"/>
    </row>
    <row r="474" spans="2:21">
      <c r="B474" s="292"/>
      <c r="C474" s="19">
        <v>1.125</v>
      </c>
      <c r="D474" s="5">
        <v>222134</v>
      </c>
      <c r="E474" s="25">
        <v>524526</v>
      </c>
      <c r="F474" s="10">
        <v>1.2934000000000001</v>
      </c>
      <c r="G474" s="10">
        <v>0.88360000000000005</v>
      </c>
      <c r="H474" s="240"/>
      <c r="I474" s="9">
        <v>99560</v>
      </c>
      <c r="J474" s="9">
        <v>223561</v>
      </c>
      <c r="K474" s="9"/>
      <c r="L474" s="27">
        <v>84586</v>
      </c>
      <c r="M474" s="27">
        <v>61336</v>
      </c>
      <c r="N474" s="26"/>
      <c r="O474" s="63"/>
      <c r="P474" s="63"/>
      <c r="Q474" s="62"/>
      <c r="R474" s="62"/>
      <c r="S474" s="64"/>
      <c r="T474" s="64"/>
      <c r="U474" s="61"/>
    </row>
    <row r="475" spans="2:21">
      <c r="B475" s="292"/>
      <c r="C475" s="19">
        <v>1.1666666666666701</v>
      </c>
      <c r="D475" s="5">
        <v>222134</v>
      </c>
      <c r="E475" s="25">
        <v>524526</v>
      </c>
      <c r="F475" s="10">
        <v>1.2934000000000001</v>
      </c>
      <c r="G475" s="10">
        <v>0.88360000000000005</v>
      </c>
      <c r="H475" s="240"/>
      <c r="I475" s="9">
        <v>99560</v>
      </c>
      <c r="J475" s="9">
        <v>223561</v>
      </c>
      <c r="K475" s="9"/>
      <c r="L475" s="27">
        <v>84586</v>
      </c>
      <c r="M475" s="27">
        <v>61336</v>
      </c>
      <c r="N475" s="26"/>
      <c r="O475" s="106"/>
      <c r="P475" s="106"/>
      <c r="Q475" s="107"/>
      <c r="R475" s="107"/>
      <c r="S475" s="108"/>
      <c r="T475" s="108"/>
      <c r="U475" s="61"/>
    </row>
    <row r="476" spans="2:21">
      <c r="B476" s="292"/>
      <c r="C476" s="19">
        <v>1.2083333333333399</v>
      </c>
      <c r="D476" s="5">
        <v>222134</v>
      </c>
      <c r="E476" s="25">
        <v>524526</v>
      </c>
      <c r="F476" s="10">
        <v>1.2934000000000001</v>
      </c>
      <c r="G476" s="10">
        <v>0.88360000000000005</v>
      </c>
      <c r="H476" s="240"/>
      <c r="I476" s="9">
        <v>99560</v>
      </c>
      <c r="J476" s="9">
        <v>223561</v>
      </c>
      <c r="K476" s="9"/>
      <c r="L476" s="27">
        <v>84586</v>
      </c>
      <c r="M476" s="27">
        <v>61336</v>
      </c>
      <c r="N476" s="26"/>
      <c r="O476" s="106"/>
      <c r="P476" s="106"/>
      <c r="Q476" s="107"/>
      <c r="R476" s="107"/>
      <c r="S476" s="108"/>
      <c r="T476" s="108"/>
      <c r="U476" s="61"/>
    </row>
    <row r="477" spans="2:21">
      <c r="B477" s="292"/>
      <c r="C477" s="19">
        <v>1.25</v>
      </c>
      <c r="D477" s="5">
        <v>222134</v>
      </c>
      <c r="E477" s="25">
        <v>524526</v>
      </c>
      <c r="F477" s="10">
        <v>1.2934000000000001</v>
      </c>
      <c r="G477" s="10">
        <v>0.88360000000000005</v>
      </c>
      <c r="H477" s="240"/>
      <c r="I477" s="9">
        <v>99560</v>
      </c>
      <c r="J477" s="9">
        <v>223561</v>
      </c>
      <c r="K477" s="9"/>
      <c r="L477" s="27">
        <v>84586</v>
      </c>
      <c r="M477" s="27">
        <v>61336</v>
      </c>
      <c r="N477" s="26"/>
      <c r="O477" s="106"/>
      <c r="P477" s="106"/>
      <c r="Q477" s="107"/>
      <c r="R477" s="107"/>
      <c r="S477" s="108"/>
      <c r="T477" s="108"/>
      <c r="U477" s="61"/>
    </row>
    <row r="478" spans="2:21">
      <c r="B478" s="292"/>
      <c r="C478" s="19">
        <v>1.2916666666666701</v>
      </c>
      <c r="D478" s="5">
        <v>222134</v>
      </c>
      <c r="E478" s="25">
        <v>524526</v>
      </c>
      <c r="F478" s="10">
        <v>1.2934000000000001</v>
      </c>
      <c r="G478" s="10">
        <v>0.88360000000000005</v>
      </c>
      <c r="H478" s="240"/>
      <c r="I478" s="9">
        <v>99560</v>
      </c>
      <c r="J478" s="9">
        <v>223561</v>
      </c>
      <c r="K478" s="9"/>
      <c r="L478" s="27">
        <v>84586</v>
      </c>
      <c r="M478" s="27">
        <v>61336</v>
      </c>
      <c r="N478" s="26"/>
      <c r="O478" s="106"/>
      <c r="P478" s="106"/>
      <c r="Q478" s="107"/>
      <c r="R478" s="107"/>
      <c r="S478" s="108"/>
      <c r="T478" s="108"/>
      <c r="U478" s="61"/>
    </row>
    <row r="479" spans="2:21">
      <c r="B479" s="293"/>
      <c r="C479" s="6"/>
      <c r="D479" s="13" cm="1">
        <f t="array" ref="D479">IFERROR(LOOKUP(2,1/(D454:D478&gt;0),D454:D478-D454),0)</f>
        <v>0</v>
      </c>
      <c r="E479" s="13" cm="1">
        <f t="array" ref="E479">IFERROR(LOOKUP(2,1/(E454:E478&gt;0),E454:E478-E454),0)</f>
        <v>0</v>
      </c>
      <c r="F479" s="13" cm="1">
        <f t="array" ref="F479">IFERROR(LOOKUP(2,1/(F454:F478&gt;0),F454:F478-F454),0)</f>
        <v>0</v>
      </c>
      <c r="G479" s="13" cm="1">
        <f t="array" ref="G479">IFERROR(LOOKUP(2,1/(G454:G478&gt;0),G454:G478-G454),0)</f>
        <v>0</v>
      </c>
      <c r="H479" s="13">
        <f>F479+G479</f>
        <v>0</v>
      </c>
      <c r="I479" s="13" cm="1">
        <f t="array" ref="I479">IFERROR(LOOKUP(2,1/(I454:I478&gt;0),I454:I478-I454),0)</f>
        <v>0</v>
      </c>
      <c r="J479" s="13" cm="1">
        <f t="array" ref="J479">IFERROR(LOOKUP(2,1/(J454:J478&gt;0),J454:J478-J454),0)</f>
        <v>0</v>
      </c>
      <c r="K479" s="13">
        <f>I479+J479</f>
        <v>0</v>
      </c>
      <c r="L479" s="13" cm="1">
        <f t="array" ref="L479">IFERROR(LOOKUP(2,1/(L454:L478&gt;0),L454:L478-L454),0)</f>
        <v>0</v>
      </c>
      <c r="M479" s="13" cm="1">
        <f t="array" ref="M479">IFERROR(LOOKUP(2,1/(M454:M478&gt;0),M454:M478-M454),0)</f>
        <v>0</v>
      </c>
      <c r="N479" s="13">
        <f>L479+M479</f>
        <v>0</v>
      </c>
      <c r="O479" s="109">
        <f t="shared" ref="O479:T479" si="33">IFERROR(AVERAGE(O454:O478),0)</f>
        <v>0</v>
      </c>
      <c r="P479" s="109">
        <f t="shared" si="33"/>
        <v>0</v>
      </c>
      <c r="Q479" s="109">
        <f t="shared" si="33"/>
        <v>0</v>
      </c>
      <c r="R479" s="109">
        <f t="shared" si="33"/>
        <v>0</v>
      </c>
      <c r="S479" s="109">
        <f t="shared" si="33"/>
        <v>0</v>
      </c>
      <c r="T479" s="109">
        <f t="shared" si="33"/>
        <v>0</v>
      </c>
      <c r="U479" s="4">
        <f>COUNT(U454:U478)</f>
        <v>0</v>
      </c>
    </row>
    <row r="480" spans="2:21">
      <c r="B480" s="291">
        <f t="shared" ref="B480" si="34">B454+1</f>
        <v>46041</v>
      </c>
      <c r="C480" s="19">
        <v>0.29166666666666669</v>
      </c>
      <c r="D480" s="5">
        <v>222134</v>
      </c>
      <c r="E480" s="25">
        <v>524526</v>
      </c>
      <c r="F480" s="10">
        <v>1.2934000000000001</v>
      </c>
      <c r="G480" s="10">
        <v>0.88360000000000005</v>
      </c>
      <c r="H480" s="240"/>
      <c r="I480" s="9">
        <v>99560</v>
      </c>
      <c r="J480" s="9">
        <v>223561</v>
      </c>
      <c r="K480" s="9"/>
      <c r="L480" s="27">
        <v>84586</v>
      </c>
      <c r="M480" s="27">
        <v>61336</v>
      </c>
      <c r="N480" s="26"/>
      <c r="O480" s="106"/>
      <c r="P480" s="106"/>
      <c r="Q480" s="107"/>
      <c r="R480" s="107"/>
      <c r="S480" s="108"/>
      <c r="T480" s="108"/>
      <c r="U480" s="61"/>
    </row>
    <row r="481" spans="2:21">
      <c r="B481" s="292"/>
      <c r="C481" s="19">
        <v>0.33333333333333298</v>
      </c>
      <c r="D481" s="5">
        <v>222134</v>
      </c>
      <c r="E481" s="25">
        <v>524526</v>
      </c>
      <c r="F481" s="10">
        <v>1.2934000000000001</v>
      </c>
      <c r="G481" s="10">
        <v>0.88360000000000005</v>
      </c>
      <c r="H481" s="240"/>
      <c r="I481" s="9">
        <v>99560</v>
      </c>
      <c r="J481" s="9">
        <v>223561</v>
      </c>
      <c r="K481" s="9"/>
      <c r="L481" s="27">
        <v>84586</v>
      </c>
      <c r="M481" s="27">
        <v>61336</v>
      </c>
      <c r="N481" s="26"/>
      <c r="O481" s="106"/>
      <c r="P481" s="106"/>
      <c r="Q481" s="107"/>
      <c r="R481" s="107"/>
      <c r="S481" s="108"/>
      <c r="T481" s="108"/>
      <c r="U481" s="61"/>
    </row>
    <row r="482" spans="2:21">
      <c r="B482" s="292"/>
      <c r="C482" s="19">
        <v>0.375</v>
      </c>
      <c r="D482" s="5">
        <v>222134</v>
      </c>
      <c r="E482" s="25">
        <v>524526</v>
      </c>
      <c r="F482" s="10">
        <v>1.2934000000000001</v>
      </c>
      <c r="G482" s="10">
        <v>0.88360000000000005</v>
      </c>
      <c r="H482" s="240"/>
      <c r="I482" s="9">
        <v>99560</v>
      </c>
      <c r="J482" s="9">
        <v>223561</v>
      </c>
      <c r="K482" s="9"/>
      <c r="L482" s="27">
        <v>84586</v>
      </c>
      <c r="M482" s="27">
        <v>61336</v>
      </c>
      <c r="N482" s="26"/>
      <c r="O482" s="106"/>
      <c r="P482" s="106"/>
      <c r="Q482" s="107"/>
      <c r="R482" s="107"/>
      <c r="S482" s="108"/>
      <c r="T482" s="108"/>
      <c r="U482" s="61"/>
    </row>
    <row r="483" spans="2:21">
      <c r="B483" s="292"/>
      <c r="C483" s="19">
        <v>0.41666666666666702</v>
      </c>
      <c r="D483" s="5">
        <v>222134</v>
      </c>
      <c r="E483" s="25">
        <v>524526</v>
      </c>
      <c r="F483" s="10">
        <v>1.2934000000000001</v>
      </c>
      <c r="G483" s="10">
        <v>0.88360000000000005</v>
      </c>
      <c r="H483" s="240"/>
      <c r="I483" s="9">
        <v>99560</v>
      </c>
      <c r="J483" s="9">
        <v>223561</v>
      </c>
      <c r="K483" s="9"/>
      <c r="L483" s="27">
        <v>84586</v>
      </c>
      <c r="M483" s="27">
        <v>61336</v>
      </c>
      <c r="N483" s="26"/>
      <c r="O483" s="106"/>
      <c r="P483" s="106"/>
      <c r="Q483" s="107"/>
      <c r="R483" s="107"/>
      <c r="S483" s="108"/>
      <c r="T483" s="108"/>
      <c r="U483" s="61"/>
    </row>
    <row r="484" spans="2:21">
      <c r="B484" s="292"/>
      <c r="C484" s="19">
        <v>0.45833333333333298</v>
      </c>
      <c r="D484" s="5">
        <v>222134</v>
      </c>
      <c r="E484" s="25">
        <v>524526</v>
      </c>
      <c r="F484" s="10">
        <v>1.2934000000000001</v>
      </c>
      <c r="G484" s="10">
        <v>0.88360000000000005</v>
      </c>
      <c r="H484" s="240"/>
      <c r="I484" s="9">
        <v>99560</v>
      </c>
      <c r="J484" s="9">
        <v>223561</v>
      </c>
      <c r="K484" s="9"/>
      <c r="L484" s="27">
        <v>84586</v>
      </c>
      <c r="M484" s="27">
        <v>61336</v>
      </c>
      <c r="N484" s="26"/>
      <c r="O484" s="106"/>
      <c r="P484" s="106"/>
      <c r="Q484" s="107"/>
      <c r="R484" s="107"/>
      <c r="S484" s="108"/>
      <c r="T484" s="108"/>
      <c r="U484" s="61"/>
    </row>
    <row r="485" spans="2:21">
      <c r="B485" s="292"/>
      <c r="C485" s="19">
        <v>0.5</v>
      </c>
      <c r="D485" s="5">
        <v>222134</v>
      </c>
      <c r="E485" s="25">
        <v>524526</v>
      </c>
      <c r="F485" s="10">
        <v>1.2934000000000001</v>
      </c>
      <c r="G485" s="10">
        <v>0.88360000000000005</v>
      </c>
      <c r="H485" s="240"/>
      <c r="I485" s="9">
        <v>99560</v>
      </c>
      <c r="J485" s="9">
        <v>223561</v>
      </c>
      <c r="K485" s="9"/>
      <c r="L485" s="27">
        <v>84586</v>
      </c>
      <c r="M485" s="27">
        <v>61336</v>
      </c>
      <c r="N485" s="26"/>
      <c r="O485" s="106"/>
      <c r="P485" s="106"/>
      <c r="Q485" s="107"/>
      <c r="R485" s="107"/>
      <c r="S485" s="108"/>
      <c r="T485" s="108"/>
      <c r="U485" s="61"/>
    </row>
    <row r="486" spans="2:21">
      <c r="B486" s="292"/>
      <c r="C486" s="19">
        <v>0.54166666666666696</v>
      </c>
      <c r="D486" s="5">
        <v>222134</v>
      </c>
      <c r="E486" s="25">
        <v>524526</v>
      </c>
      <c r="F486" s="10">
        <v>1.2934000000000001</v>
      </c>
      <c r="G486" s="10">
        <v>0.88360000000000005</v>
      </c>
      <c r="H486" s="240"/>
      <c r="I486" s="9">
        <v>99560</v>
      </c>
      <c r="J486" s="9">
        <v>223561</v>
      </c>
      <c r="K486" s="9"/>
      <c r="L486" s="27">
        <v>84586</v>
      </c>
      <c r="M486" s="27">
        <v>61336</v>
      </c>
      <c r="N486" s="26"/>
      <c r="O486" s="106"/>
      <c r="P486" s="106"/>
      <c r="Q486" s="107"/>
      <c r="R486" s="107"/>
      <c r="S486" s="108"/>
      <c r="T486" s="108"/>
      <c r="U486" s="61"/>
    </row>
    <row r="487" spans="2:21">
      <c r="B487" s="292"/>
      <c r="C487" s="19">
        <v>0.58333333333333304</v>
      </c>
      <c r="D487" s="5">
        <v>222134</v>
      </c>
      <c r="E487" s="25">
        <v>524526</v>
      </c>
      <c r="F487" s="10">
        <v>1.2934000000000001</v>
      </c>
      <c r="G487" s="10">
        <v>0.88360000000000005</v>
      </c>
      <c r="H487" s="240"/>
      <c r="I487" s="9">
        <v>99560</v>
      </c>
      <c r="J487" s="9">
        <v>223561</v>
      </c>
      <c r="K487" s="9"/>
      <c r="L487" s="27">
        <v>84586</v>
      </c>
      <c r="M487" s="27">
        <v>61336</v>
      </c>
      <c r="N487" s="26"/>
      <c r="O487" s="106"/>
      <c r="P487" s="106"/>
      <c r="Q487" s="107"/>
      <c r="R487" s="107"/>
      <c r="S487" s="108"/>
      <c r="T487" s="108"/>
      <c r="U487" s="65"/>
    </row>
    <row r="488" spans="2:21">
      <c r="B488" s="292"/>
      <c r="C488" s="19">
        <v>0.625</v>
      </c>
      <c r="D488" s="5">
        <v>222134</v>
      </c>
      <c r="E488" s="25">
        <v>524526</v>
      </c>
      <c r="F488" s="10">
        <v>1.2934000000000001</v>
      </c>
      <c r="G488" s="10">
        <v>0.88360000000000005</v>
      </c>
      <c r="H488" s="240"/>
      <c r="I488" s="9">
        <v>99560</v>
      </c>
      <c r="J488" s="9">
        <v>223561</v>
      </c>
      <c r="K488" s="9"/>
      <c r="L488" s="27">
        <v>84586</v>
      </c>
      <c r="M488" s="27">
        <v>61336</v>
      </c>
      <c r="N488" s="26"/>
      <c r="O488" s="106"/>
      <c r="P488" s="106"/>
      <c r="Q488" s="107"/>
      <c r="R488" s="107"/>
      <c r="S488" s="108"/>
      <c r="T488" s="108"/>
      <c r="U488" s="61"/>
    </row>
    <row r="489" spans="2:21">
      <c r="B489" s="292"/>
      <c r="C489" s="19">
        <v>0.66666666666666596</v>
      </c>
      <c r="D489" s="5">
        <v>222134</v>
      </c>
      <c r="E489" s="25">
        <v>524526</v>
      </c>
      <c r="F489" s="10">
        <v>1.2934000000000001</v>
      </c>
      <c r="G489" s="10">
        <v>0.88360000000000005</v>
      </c>
      <c r="H489" s="240"/>
      <c r="I489" s="9">
        <v>99560</v>
      </c>
      <c r="J489" s="9">
        <v>223561</v>
      </c>
      <c r="K489" s="9"/>
      <c r="L489" s="27">
        <v>84586</v>
      </c>
      <c r="M489" s="27">
        <v>61336</v>
      </c>
      <c r="N489" s="26"/>
      <c r="O489" s="106"/>
      <c r="P489" s="106"/>
      <c r="Q489" s="107"/>
      <c r="R489" s="107"/>
      <c r="S489" s="108"/>
      <c r="T489" s="108"/>
      <c r="U489" s="61"/>
    </row>
    <row r="490" spans="2:21">
      <c r="B490" s="292"/>
      <c r="C490" s="19">
        <v>0.70833333333333304</v>
      </c>
      <c r="D490" s="5">
        <v>222134</v>
      </c>
      <c r="E490" s="25">
        <v>524526</v>
      </c>
      <c r="F490" s="10">
        <v>1.2934000000000001</v>
      </c>
      <c r="G490" s="10">
        <v>0.88360000000000005</v>
      </c>
      <c r="H490" s="240"/>
      <c r="I490" s="9">
        <v>99560</v>
      </c>
      <c r="J490" s="9">
        <v>223561</v>
      </c>
      <c r="K490" s="9"/>
      <c r="L490" s="27">
        <v>84586</v>
      </c>
      <c r="M490" s="27">
        <v>61336</v>
      </c>
      <c r="N490" s="26"/>
      <c r="O490" s="106"/>
      <c r="P490" s="106"/>
      <c r="Q490" s="107"/>
      <c r="R490" s="107"/>
      <c r="S490" s="108"/>
      <c r="T490" s="108"/>
      <c r="U490" s="61"/>
    </row>
    <row r="491" spans="2:21">
      <c r="B491" s="292"/>
      <c r="C491" s="19">
        <v>0.75</v>
      </c>
      <c r="D491" s="5">
        <v>222134</v>
      </c>
      <c r="E491" s="25">
        <v>524526</v>
      </c>
      <c r="F491" s="10">
        <v>1.2934000000000001</v>
      </c>
      <c r="G491" s="10">
        <v>0.88360000000000005</v>
      </c>
      <c r="H491" s="240"/>
      <c r="I491" s="9">
        <v>99560</v>
      </c>
      <c r="J491" s="9">
        <v>223561</v>
      </c>
      <c r="K491" s="9"/>
      <c r="L491" s="27">
        <v>84586</v>
      </c>
      <c r="M491" s="27">
        <v>61336</v>
      </c>
      <c r="N491" s="26"/>
      <c r="O491" s="106"/>
      <c r="P491" s="106"/>
      <c r="Q491" s="107"/>
      <c r="R491" s="107"/>
      <c r="S491" s="108"/>
      <c r="T491" s="108"/>
      <c r="U491" s="61"/>
    </row>
    <row r="492" spans="2:21">
      <c r="B492" s="292"/>
      <c r="C492" s="19">
        <v>0.79166666666666596</v>
      </c>
      <c r="D492" s="5">
        <v>222134</v>
      </c>
      <c r="E492" s="25">
        <v>524526</v>
      </c>
      <c r="F492" s="10">
        <v>1.2934000000000001</v>
      </c>
      <c r="G492" s="10">
        <v>0.88360000000000005</v>
      </c>
      <c r="H492" s="240"/>
      <c r="I492" s="9">
        <v>99560</v>
      </c>
      <c r="J492" s="9">
        <v>223561</v>
      </c>
      <c r="K492" s="9"/>
      <c r="L492" s="27">
        <v>84586</v>
      </c>
      <c r="M492" s="27">
        <v>61336</v>
      </c>
      <c r="N492" s="26"/>
      <c r="O492" s="106"/>
      <c r="P492" s="106"/>
      <c r="Q492" s="107"/>
      <c r="R492" s="107"/>
      <c r="S492" s="108"/>
      <c r="T492" s="108"/>
      <c r="U492" s="61"/>
    </row>
    <row r="493" spans="2:21">
      <c r="B493" s="292"/>
      <c r="C493" s="19">
        <v>0.83333333333333304</v>
      </c>
      <c r="D493" s="5">
        <v>222134</v>
      </c>
      <c r="E493" s="25">
        <v>524526</v>
      </c>
      <c r="F493" s="10">
        <v>1.2934000000000001</v>
      </c>
      <c r="G493" s="10">
        <v>0.88360000000000005</v>
      </c>
      <c r="H493" s="240"/>
      <c r="I493" s="9">
        <v>99560</v>
      </c>
      <c r="J493" s="9">
        <v>223561</v>
      </c>
      <c r="K493" s="9"/>
      <c r="L493" s="27">
        <v>84586</v>
      </c>
      <c r="M493" s="27">
        <v>61336</v>
      </c>
      <c r="N493" s="26"/>
      <c r="O493" s="106"/>
      <c r="P493" s="106"/>
      <c r="Q493" s="107"/>
      <c r="R493" s="107"/>
      <c r="S493" s="108"/>
      <c r="T493" s="108"/>
      <c r="U493" s="61"/>
    </row>
    <row r="494" spans="2:21">
      <c r="B494" s="292"/>
      <c r="C494" s="19">
        <v>0.875</v>
      </c>
      <c r="D494" s="5">
        <v>222134</v>
      </c>
      <c r="E494" s="25">
        <v>524526</v>
      </c>
      <c r="F494" s="10">
        <v>1.2934000000000001</v>
      </c>
      <c r="G494" s="10">
        <v>0.88360000000000005</v>
      </c>
      <c r="H494" s="240"/>
      <c r="I494" s="9">
        <v>99560</v>
      </c>
      <c r="J494" s="9">
        <v>223561</v>
      </c>
      <c r="K494" s="9"/>
      <c r="L494" s="27">
        <v>84586</v>
      </c>
      <c r="M494" s="27">
        <v>61336</v>
      </c>
      <c r="N494" s="26"/>
      <c r="O494" s="106"/>
      <c r="P494" s="106"/>
      <c r="Q494" s="107"/>
      <c r="R494" s="107"/>
      <c r="S494" s="108"/>
      <c r="T494" s="108"/>
      <c r="U494" s="61"/>
    </row>
    <row r="495" spans="2:21">
      <c r="B495" s="292"/>
      <c r="C495" s="19">
        <v>0.91666666666666596</v>
      </c>
      <c r="D495" s="5">
        <v>222134</v>
      </c>
      <c r="E495" s="25">
        <v>524526</v>
      </c>
      <c r="F495" s="10">
        <v>1.2934000000000001</v>
      </c>
      <c r="G495" s="10">
        <v>0.88360000000000005</v>
      </c>
      <c r="H495" s="240"/>
      <c r="I495" s="9">
        <v>99560</v>
      </c>
      <c r="J495" s="9">
        <v>223561</v>
      </c>
      <c r="K495" s="9"/>
      <c r="L495" s="27">
        <v>84586</v>
      </c>
      <c r="M495" s="27">
        <v>61336</v>
      </c>
      <c r="N495" s="26"/>
      <c r="O495" s="106"/>
      <c r="P495" s="106"/>
      <c r="Q495" s="107"/>
      <c r="R495" s="107"/>
      <c r="S495" s="108"/>
      <c r="T495" s="108"/>
      <c r="U495" s="61"/>
    </row>
    <row r="496" spans="2:21">
      <c r="B496" s="292"/>
      <c r="C496" s="19">
        <v>0.95833333333333304</v>
      </c>
      <c r="D496" s="5">
        <v>222134</v>
      </c>
      <c r="E496" s="25">
        <v>524526</v>
      </c>
      <c r="F496" s="10">
        <v>1.2934000000000001</v>
      </c>
      <c r="G496" s="10">
        <v>0.88360000000000005</v>
      </c>
      <c r="H496" s="240"/>
      <c r="I496" s="9">
        <v>99560</v>
      </c>
      <c r="J496" s="9">
        <v>223561</v>
      </c>
      <c r="K496" s="9"/>
      <c r="L496" s="27">
        <v>84586</v>
      </c>
      <c r="M496" s="27">
        <v>61336</v>
      </c>
      <c r="N496" s="26"/>
      <c r="O496" s="106"/>
      <c r="P496" s="106"/>
      <c r="Q496" s="107"/>
      <c r="R496" s="107"/>
      <c r="S496" s="108"/>
      <c r="T496" s="108"/>
      <c r="U496" s="61"/>
    </row>
    <row r="497" spans="2:21">
      <c r="B497" s="292"/>
      <c r="C497" s="19">
        <v>1</v>
      </c>
      <c r="D497" s="5">
        <v>222134</v>
      </c>
      <c r="E497" s="25">
        <v>524526</v>
      </c>
      <c r="F497" s="10">
        <v>1.2934000000000001</v>
      </c>
      <c r="G497" s="10">
        <v>0.88360000000000005</v>
      </c>
      <c r="H497" s="240"/>
      <c r="I497" s="9">
        <v>99560</v>
      </c>
      <c r="J497" s="9">
        <v>223561</v>
      </c>
      <c r="K497" s="9"/>
      <c r="L497" s="27">
        <v>84586</v>
      </c>
      <c r="M497" s="27">
        <v>61336</v>
      </c>
      <c r="N497" s="26"/>
      <c r="O497" s="63"/>
      <c r="P497" s="63"/>
      <c r="Q497" s="62"/>
      <c r="R497" s="62"/>
      <c r="S497" s="64"/>
      <c r="T497" s="64"/>
      <c r="U497" s="61"/>
    </row>
    <row r="498" spans="2:21">
      <c r="B498" s="292"/>
      <c r="C498" s="19">
        <v>1.0416666666666701</v>
      </c>
      <c r="D498" s="5">
        <v>222134</v>
      </c>
      <c r="E498" s="25">
        <v>524526</v>
      </c>
      <c r="F498" s="10">
        <v>1.2934000000000001</v>
      </c>
      <c r="G498" s="10">
        <v>0.88360000000000005</v>
      </c>
      <c r="H498" s="240"/>
      <c r="I498" s="9">
        <v>99560</v>
      </c>
      <c r="J498" s="9">
        <v>223561</v>
      </c>
      <c r="K498" s="9"/>
      <c r="L498" s="27">
        <v>84586</v>
      </c>
      <c r="M498" s="27">
        <v>61336</v>
      </c>
      <c r="N498" s="26"/>
      <c r="O498" s="63"/>
      <c r="P498" s="63"/>
      <c r="Q498" s="62"/>
      <c r="R498" s="62"/>
      <c r="S498" s="64"/>
      <c r="T498" s="64"/>
      <c r="U498" s="61"/>
    </row>
    <row r="499" spans="2:21">
      <c r="B499" s="292"/>
      <c r="C499" s="19">
        <v>1.0833333333333399</v>
      </c>
      <c r="D499" s="5">
        <v>222134</v>
      </c>
      <c r="E499" s="25">
        <v>524526</v>
      </c>
      <c r="F499" s="10">
        <v>1.2934000000000001</v>
      </c>
      <c r="G499" s="10">
        <v>0.88360000000000005</v>
      </c>
      <c r="H499" s="240"/>
      <c r="I499" s="9">
        <v>99560</v>
      </c>
      <c r="J499" s="9">
        <v>223561</v>
      </c>
      <c r="K499" s="9"/>
      <c r="L499" s="27">
        <v>84586</v>
      </c>
      <c r="M499" s="27">
        <v>61336</v>
      </c>
      <c r="N499" s="26"/>
      <c r="O499" s="63"/>
      <c r="P499" s="63"/>
      <c r="Q499" s="62"/>
      <c r="R499" s="62"/>
      <c r="S499" s="64"/>
      <c r="T499" s="64"/>
      <c r="U499" s="61"/>
    </row>
    <row r="500" spans="2:21">
      <c r="B500" s="292"/>
      <c r="C500" s="19">
        <v>1.125</v>
      </c>
      <c r="D500" s="5">
        <v>222134</v>
      </c>
      <c r="E500" s="25">
        <v>524526</v>
      </c>
      <c r="F500" s="10">
        <v>1.2934000000000001</v>
      </c>
      <c r="G500" s="10">
        <v>0.88360000000000005</v>
      </c>
      <c r="H500" s="240"/>
      <c r="I500" s="9">
        <v>99560</v>
      </c>
      <c r="J500" s="9">
        <v>223561</v>
      </c>
      <c r="K500" s="9"/>
      <c r="L500" s="27">
        <v>84586</v>
      </c>
      <c r="M500" s="27">
        <v>61336</v>
      </c>
      <c r="N500" s="26"/>
      <c r="O500" s="63"/>
      <c r="P500" s="63"/>
      <c r="Q500" s="62"/>
      <c r="R500" s="62"/>
      <c r="S500" s="64"/>
      <c r="T500" s="64"/>
      <c r="U500" s="61"/>
    </row>
    <row r="501" spans="2:21">
      <c r="B501" s="292"/>
      <c r="C501" s="19">
        <v>1.1666666666666701</v>
      </c>
      <c r="D501" s="5">
        <v>222134</v>
      </c>
      <c r="E501" s="25">
        <v>524526</v>
      </c>
      <c r="F501" s="10">
        <v>1.2934000000000001</v>
      </c>
      <c r="G501" s="10">
        <v>0.88360000000000005</v>
      </c>
      <c r="H501" s="240"/>
      <c r="I501" s="9">
        <v>99560</v>
      </c>
      <c r="J501" s="9">
        <v>223561</v>
      </c>
      <c r="K501" s="9"/>
      <c r="L501" s="27">
        <v>84586</v>
      </c>
      <c r="M501" s="27">
        <v>61336</v>
      </c>
      <c r="N501" s="26"/>
      <c r="O501" s="106"/>
      <c r="P501" s="106"/>
      <c r="Q501" s="107"/>
      <c r="R501" s="107"/>
      <c r="S501" s="108"/>
      <c r="T501" s="108"/>
      <c r="U501" s="61"/>
    </row>
    <row r="502" spans="2:21">
      <c r="B502" s="292"/>
      <c r="C502" s="19">
        <v>1.2083333333333399</v>
      </c>
      <c r="D502" s="5">
        <v>222134</v>
      </c>
      <c r="E502" s="25">
        <v>524526</v>
      </c>
      <c r="F502" s="10">
        <v>1.2934000000000001</v>
      </c>
      <c r="G502" s="10">
        <v>0.88360000000000005</v>
      </c>
      <c r="H502" s="240"/>
      <c r="I502" s="9">
        <v>99560</v>
      </c>
      <c r="J502" s="9">
        <v>223561</v>
      </c>
      <c r="K502" s="9"/>
      <c r="L502" s="27">
        <v>84586</v>
      </c>
      <c r="M502" s="27">
        <v>61336</v>
      </c>
      <c r="N502" s="26"/>
      <c r="O502" s="106"/>
      <c r="P502" s="106"/>
      <c r="Q502" s="107"/>
      <c r="R502" s="107"/>
      <c r="S502" s="108"/>
      <c r="T502" s="108"/>
      <c r="U502" s="61"/>
    </row>
    <row r="503" spans="2:21">
      <c r="B503" s="292"/>
      <c r="C503" s="19">
        <v>1.25</v>
      </c>
      <c r="D503" s="5">
        <v>222134</v>
      </c>
      <c r="E503" s="25">
        <v>524526</v>
      </c>
      <c r="F503" s="10">
        <v>1.2934000000000001</v>
      </c>
      <c r="G503" s="10">
        <v>0.88360000000000005</v>
      </c>
      <c r="H503" s="240"/>
      <c r="I503" s="9">
        <v>99560</v>
      </c>
      <c r="J503" s="9">
        <v>223561</v>
      </c>
      <c r="K503" s="9"/>
      <c r="L503" s="27">
        <v>84586</v>
      </c>
      <c r="M503" s="27">
        <v>61336</v>
      </c>
      <c r="N503" s="26"/>
      <c r="O503" s="106"/>
      <c r="P503" s="106"/>
      <c r="Q503" s="107"/>
      <c r="R503" s="107"/>
      <c r="S503" s="108"/>
      <c r="T503" s="108"/>
      <c r="U503" s="61"/>
    </row>
    <row r="504" spans="2:21">
      <c r="B504" s="292"/>
      <c r="C504" s="19">
        <v>1.2916666666666701</v>
      </c>
      <c r="D504" s="5">
        <v>222134</v>
      </c>
      <c r="E504" s="25">
        <v>524526</v>
      </c>
      <c r="F504" s="10">
        <v>1.2934000000000001</v>
      </c>
      <c r="G504" s="10">
        <v>0.88360000000000005</v>
      </c>
      <c r="H504" s="240"/>
      <c r="I504" s="9">
        <v>99560</v>
      </c>
      <c r="J504" s="9">
        <v>223561</v>
      </c>
      <c r="K504" s="9"/>
      <c r="L504" s="27">
        <v>84586</v>
      </c>
      <c r="M504" s="27">
        <v>61336</v>
      </c>
      <c r="N504" s="26"/>
      <c r="O504" s="106"/>
      <c r="P504" s="106"/>
      <c r="Q504" s="107"/>
      <c r="R504" s="107"/>
      <c r="S504" s="108"/>
      <c r="T504" s="108"/>
      <c r="U504" s="61"/>
    </row>
    <row r="505" spans="2:21">
      <c r="B505" s="293"/>
      <c r="C505" s="6"/>
      <c r="D505" s="13" cm="1">
        <f t="array" ref="D505">IFERROR(LOOKUP(2,1/(D480:D504&gt;0),D480:D504-D480),0)</f>
        <v>0</v>
      </c>
      <c r="E505" s="13" cm="1">
        <f t="array" ref="E505">IFERROR(LOOKUP(2,1/(E480:E504&gt;0),E480:E504-E480),0)</f>
        <v>0</v>
      </c>
      <c r="F505" s="13" cm="1">
        <f t="array" ref="F505">IFERROR(LOOKUP(2,1/(F480:F504&gt;0),F480:F504-F480),0)</f>
        <v>0</v>
      </c>
      <c r="G505" s="13" cm="1">
        <f t="array" ref="G505">IFERROR(LOOKUP(2,1/(G480:G504&gt;0),G480:G504-G480),0)</f>
        <v>0</v>
      </c>
      <c r="H505" s="13">
        <f>F505+G505</f>
        <v>0</v>
      </c>
      <c r="I505" s="13" cm="1">
        <f t="array" ref="I505">IFERROR(LOOKUP(2,1/(I480:I504&gt;0),I480:I504-I480),0)</f>
        <v>0</v>
      </c>
      <c r="J505" s="13" cm="1">
        <f t="array" ref="J505">IFERROR(LOOKUP(2,1/(J480:J504&gt;0),J480:J504-J480),0)</f>
        <v>0</v>
      </c>
      <c r="K505" s="13">
        <f>I505+J505</f>
        <v>0</v>
      </c>
      <c r="L505" s="13" cm="1">
        <f t="array" ref="L505">IFERROR(LOOKUP(2,1/(L480:L504&gt;0),L480:L504-L480),0)</f>
        <v>0</v>
      </c>
      <c r="M505" s="13" cm="1">
        <f t="array" ref="M505">IFERROR(LOOKUP(2,1/(M480:M504&gt;0),M480:M504-M480),0)</f>
        <v>0</v>
      </c>
      <c r="N505" s="13">
        <f>L505+M505</f>
        <v>0</v>
      </c>
      <c r="O505" s="109">
        <f t="shared" ref="O505:T505" si="35">IFERROR(AVERAGE(O480:O504),0)</f>
        <v>0</v>
      </c>
      <c r="P505" s="109">
        <f t="shared" si="35"/>
        <v>0</v>
      </c>
      <c r="Q505" s="109">
        <f t="shared" si="35"/>
        <v>0</v>
      </c>
      <c r="R505" s="109">
        <f t="shared" si="35"/>
        <v>0</v>
      </c>
      <c r="S505" s="109">
        <f t="shared" si="35"/>
        <v>0</v>
      </c>
      <c r="T505" s="109">
        <f t="shared" si="35"/>
        <v>0</v>
      </c>
      <c r="U505" s="4">
        <f>COUNT(U480:U504)</f>
        <v>0</v>
      </c>
    </row>
    <row r="506" spans="2:21">
      <c r="B506" s="291">
        <f t="shared" ref="B506" si="36">B480+1</f>
        <v>46042</v>
      </c>
      <c r="C506" s="19">
        <v>0.29166666666666669</v>
      </c>
      <c r="D506" s="5">
        <v>222134</v>
      </c>
      <c r="E506" s="25">
        <v>524526</v>
      </c>
      <c r="F506" s="10">
        <v>1.2934000000000001</v>
      </c>
      <c r="G506" s="10">
        <v>0.88360000000000005</v>
      </c>
      <c r="H506" s="240"/>
      <c r="I506" s="9">
        <v>99560</v>
      </c>
      <c r="J506" s="9">
        <v>223561</v>
      </c>
      <c r="K506" s="9"/>
      <c r="L506" s="27">
        <v>84586</v>
      </c>
      <c r="M506" s="27">
        <v>61336</v>
      </c>
      <c r="N506" s="26"/>
      <c r="O506" s="106"/>
      <c r="P506" s="106"/>
      <c r="Q506" s="107"/>
      <c r="R506" s="107"/>
      <c r="S506" s="108"/>
      <c r="T506" s="108"/>
      <c r="U506" s="61"/>
    </row>
    <row r="507" spans="2:21">
      <c r="B507" s="292"/>
      <c r="C507" s="19">
        <v>0.33333333333333298</v>
      </c>
      <c r="D507" s="5">
        <v>222134</v>
      </c>
      <c r="E507" s="25">
        <v>524526</v>
      </c>
      <c r="F507" s="10">
        <v>1.2934000000000001</v>
      </c>
      <c r="G507" s="10">
        <v>0.88360000000000005</v>
      </c>
      <c r="H507" s="240"/>
      <c r="I507" s="9">
        <v>99560</v>
      </c>
      <c r="J507" s="9">
        <v>223561</v>
      </c>
      <c r="K507" s="9"/>
      <c r="L507" s="27">
        <v>84586</v>
      </c>
      <c r="M507" s="27">
        <v>61336</v>
      </c>
      <c r="N507" s="26"/>
      <c r="O507" s="106"/>
      <c r="P507" s="106"/>
      <c r="Q507" s="107"/>
      <c r="R507" s="107"/>
      <c r="S507" s="108"/>
      <c r="T507" s="108"/>
      <c r="U507" s="61"/>
    </row>
    <row r="508" spans="2:21">
      <c r="B508" s="292"/>
      <c r="C508" s="19">
        <v>0.375</v>
      </c>
      <c r="D508" s="5">
        <v>222134</v>
      </c>
      <c r="E508" s="25">
        <v>524526</v>
      </c>
      <c r="F508" s="10">
        <v>1.2934000000000001</v>
      </c>
      <c r="G508" s="10">
        <v>0.88360000000000005</v>
      </c>
      <c r="H508" s="240"/>
      <c r="I508" s="9">
        <v>99560</v>
      </c>
      <c r="J508" s="9">
        <v>223561</v>
      </c>
      <c r="K508" s="9"/>
      <c r="L508" s="27">
        <v>84586</v>
      </c>
      <c r="M508" s="27">
        <v>61336</v>
      </c>
      <c r="N508" s="26"/>
      <c r="O508" s="106"/>
      <c r="P508" s="106"/>
      <c r="Q508" s="107"/>
      <c r="R508" s="107"/>
      <c r="S508" s="108"/>
      <c r="T508" s="108"/>
      <c r="U508" s="61"/>
    </row>
    <row r="509" spans="2:21">
      <c r="B509" s="292"/>
      <c r="C509" s="19">
        <v>0.41666666666666702</v>
      </c>
      <c r="D509" s="5">
        <v>222134</v>
      </c>
      <c r="E509" s="25">
        <v>524526</v>
      </c>
      <c r="F509" s="10">
        <v>1.2934000000000001</v>
      </c>
      <c r="G509" s="10">
        <v>0.88360000000000005</v>
      </c>
      <c r="H509" s="240"/>
      <c r="I509" s="9">
        <v>99560</v>
      </c>
      <c r="J509" s="9">
        <v>223561</v>
      </c>
      <c r="K509" s="9"/>
      <c r="L509" s="27">
        <v>84586</v>
      </c>
      <c r="M509" s="27">
        <v>61336</v>
      </c>
      <c r="N509" s="26"/>
      <c r="O509" s="106"/>
      <c r="P509" s="106"/>
      <c r="Q509" s="107"/>
      <c r="R509" s="107"/>
      <c r="S509" s="108"/>
      <c r="T509" s="108"/>
      <c r="U509" s="61"/>
    </row>
    <row r="510" spans="2:21">
      <c r="B510" s="292"/>
      <c r="C510" s="19">
        <v>0.45833333333333298</v>
      </c>
      <c r="D510" s="5">
        <v>222134</v>
      </c>
      <c r="E510" s="25">
        <v>524526</v>
      </c>
      <c r="F510" s="10">
        <v>1.2934000000000001</v>
      </c>
      <c r="G510" s="10">
        <v>0.88360000000000005</v>
      </c>
      <c r="H510" s="240"/>
      <c r="I510" s="9">
        <v>99560</v>
      </c>
      <c r="J510" s="9">
        <v>223561</v>
      </c>
      <c r="K510" s="9"/>
      <c r="L510" s="27">
        <v>84586</v>
      </c>
      <c r="M510" s="27">
        <v>61336</v>
      </c>
      <c r="N510" s="26"/>
      <c r="O510" s="106"/>
      <c r="P510" s="106"/>
      <c r="Q510" s="107"/>
      <c r="R510" s="107"/>
      <c r="S510" s="108"/>
      <c r="T510" s="108"/>
      <c r="U510" s="61"/>
    </row>
    <row r="511" spans="2:21">
      <c r="B511" s="292"/>
      <c r="C511" s="19">
        <v>0.5</v>
      </c>
      <c r="D511" s="5">
        <v>222134</v>
      </c>
      <c r="E511" s="25">
        <v>524526</v>
      </c>
      <c r="F511" s="10">
        <v>1.2934000000000001</v>
      </c>
      <c r="G511" s="10">
        <v>0.88360000000000005</v>
      </c>
      <c r="H511" s="240"/>
      <c r="I511" s="9">
        <v>99560</v>
      </c>
      <c r="J511" s="9">
        <v>223561</v>
      </c>
      <c r="K511" s="9"/>
      <c r="L511" s="27">
        <v>84586</v>
      </c>
      <c r="M511" s="27">
        <v>61336</v>
      </c>
      <c r="N511" s="26"/>
      <c r="O511" s="106"/>
      <c r="P511" s="106"/>
      <c r="Q511" s="107"/>
      <c r="R511" s="107"/>
      <c r="S511" s="108"/>
      <c r="T511" s="108"/>
      <c r="U511" s="61"/>
    </row>
    <row r="512" spans="2:21">
      <c r="B512" s="292"/>
      <c r="C512" s="19">
        <v>0.54166666666666696</v>
      </c>
      <c r="D512" s="5">
        <v>222134</v>
      </c>
      <c r="E512" s="25">
        <v>524526</v>
      </c>
      <c r="F512" s="10">
        <v>1.2934000000000001</v>
      </c>
      <c r="G512" s="10">
        <v>0.88360000000000005</v>
      </c>
      <c r="H512" s="240"/>
      <c r="I512" s="9">
        <v>99560</v>
      </c>
      <c r="J512" s="9">
        <v>223561</v>
      </c>
      <c r="K512" s="9"/>
      <c r="L512" s="27">
        <v>84586</v>
      </c>
      <c r="M512" s="27">
        <v>61336</v>
      </c>
      <c r="N512" s="26"/>
      <c r="O512" s="106"/>
      <c r="P512" s="106"/>
      <c r="Q512" s="107"/>
      <c r="R512" s="107"/>
      <c r="S512" s="108"/>
      <c r="T512" s="108"/>
      <c r="U512" s="61"/>
    </row>
    <row r="513" spans="2:21">
      <c r="B513" s="292"/>
      <c r="C513" s="19">
        <v>0.58333333333333304</v>
      </c>
      <c r="D513" s="5">
        <v>222134</v>
      </c>
      <c r="E513" s="25">
        <v>524526</v>
      </c>
      <c r="F513" s="10">
        <v>1.2934000000000001</v>
      </c>
      <c r="G513" s="10">
        <v>0.88360000000000005</v>
      </c>
      <c r="H513" s="240"/>
      <c r="I513" s="9">
        <v>99560</v>
      </c>
      <c r="J513" s="9">
        <v>223561</v>
      </c>
      <c r="K513" s="9"/>
      <c r="L513" s="27">
        <v>84586</v>
      </c>
      <c r="M513" s="27">
        <v>61336</v>
      </c>
      <c r="N513" s="26"/>
      <c r="O513" s="106"/>
      <c r="P513" s="106"/>
      <c r="Q513" s="107"/>
      <c r="R513" s="107"/>
      <c r="S513" s="108"/>
      <c r="T513" s="108"/>
      <c r="U513" s="65"/>
    </row>
    <row r="514" spans="2:21">
      <c r="B514" s="292"/>
      <c r="C514" s="19">
        <v>0.625</v>
      </c>
      <c r="D514" s="5">
        <v>222134</v>
      </c>
      <c r="E514" s="25">
        <v>524526</v>
      </c>
      <c r="F514" s="10">
        <v>1.2934000000000001</v>
      </c>
      <c r="G514" s="10">
        <v>0.88360000000000005</v>
      </c>
      <c r="H514" s="240"/>
      <c r="I514" s="9">
        <v>99560</v>
      </c>
      <c r="J514" s="9">
        <v>223561</v>
      </c>
      <c r="K514" s="9"/>
      <c r="L514" s="27">
        <v>84586</v>
      </c>
      <c r="M514" s="27">
        <v>61336</v>
      </c>
      <c r="N514" s="26"/>
      <c r="O514" s="106"/>
      <c r="P514" s="106"/>
      <c r="Q514" s="107"/>
      <c r="R514" s="107"/>
      <c r="S514" s="108"/>
      <c r="T514" s="108"/>
      <c r="U514" s="61"/>
    </row>
    <row r="515" spans="2:21">
      <c r="B515" s="292"/>
      <c r="C515" s="19">
        <v>0.66666666666666596</v>
      </c>
      <c r="D515" s="5">
        <v>222134</v>
      </c>
      <c r="E515" s="25">
        <v>524526</v>
      </c>
      <c r="F515" s="10">
        <v>1.2934000000000001</v>
      </c>
      <c r="G515" s="10">
        <v>0.88360000000000005</v>
      </c>
      <c r="H515" s="240"/>
      <c r="I515" s="9">
        <v>99560</v>
      </c>
      <c r="J515" s="9">
        <v>223561</v>
      </c>
      <c r="K515" s="9"/>
      <c r="L515" s="27">
        <v>84586</v>
      </c>
      <c r="M515" s="27">
        <v>61336</v>
      </c>
      <c r="N515" s="26"/>
      <c r="O515" s="106"/>
      <c r="P515" s="106"/>
      <c r="Q515" s="107"/>
      <c r="R515" s="107"/>
      <c r="S515" s="108"/>
      <c r="T515" s="108"/>
      <c r="U515" s="61"/>
    </row>
    <row r="516" spans="2:21">
      <c r="B516" s="292"/>
      <c r="C516" s="19">
        <v>0.70833333333333304</v>
      </c>
      <c r="D516" s="5">
        <v>222134</v>
      </c>
      <c r="E516" s="25">
        <v>524526</v>
      </c>
      <c r="F516" s="10">
        <v>1.2934000000000001</v>
      </c>
      <c r="G516" s="10">
        <v>0.88360000000000005</v>
      </c>
      <c r="H516" s="240"/>
      <c r="I516" s="9">
        <v>99560</v>
      </c>
      <c r="J516" s="9">
        <v>223561</v>
      </c>
      <c r="K516" s="9"/>
      <c r="L516" s="27">
        <v>84586</v>
      </c>
      <c r="M516" s="27">
        <v>61336</v>
      </c>
      <c r="N516" s="26"/>
      <c r="O516" s="106"/>
      <c r="P516" s="106"/>
      <c r="Q516" s="107"/>
      <c r="R516" s="107"/>
      <c r="S516" s="108"/>
      <c r="T516" s="108"/>
      <c r="U516" s="61"/>
    </row>
    <row r="517" spans="2:21">
      <c r="B517" s="292"/>
      <c r="C517" s="19">
        <v>0.75</v>
      </c>
      <c r="D517" s="5">
        <v>222134</v>
      </c>
      <c r="E517" s="25">
        <v>524526</v>
      </c>
      <c r="F517" s="10">
        <v>1.2934000000000001</v>
      </c>
      <c r="G517" s="10">
        <v>0.88360000000000005</v>
      </c>
      <c r="H517" s="240"/>
      <c r="I517" s="9">
        <v>99560</v>
      </c>
      <c r="J517" s="9">
        <v>223561</v>
      </c>
      <c r="K517" s="9"/>
      <c r="L517" s="27">
        <v>84586</v>
      </c>
      <c r="M517" s="27">
        <v>61336</v>
      </c>
      <c r="N517" s="26"/>
      <c r="O517" s="106"/>
      <c r="P517" s="106"/>
      <c r="Q517" s="107"/>
      <c r="R517" s="107"/>
      <c r="S517" s="108"/>
      <c r="T517" s="108"/>
      <c r="U517" s="61"/>
    </row>
    <row r="518" spans="2:21">
      <c r="B518" s="292"/>
      <c r="C518" s="19">
        <v>0.79166666666666596</v>
      </c>
      <c r="D518" s="5">
        <v>222134</v>
      </c>
      <c r="E518" s="25">
        <v>524526</v>
      </c>
      <c r="F518" s="10">
        <v>1.2934000000000001</v>
      </c>
      <c r="G518" s="10">
        <v>0.88360000000000005</v>
      </c>
      <c r="H518" s="240"/>
      <c r="I518" s="9">
        <v>99560</v>
      </c>
      <c r="J518" s="9">
        <v>223561</v>
      </c>
      <c r="K518" s="9"/>
      <c r="L518" s="27">
        <v>84586</v>
      </c>
      <c r="M518" s="27">
        <v>61336</v>
      </c>
      <c r="N518" s="26"/>
      <c r="O518" s="106"/>
      <c r="P518" s="106"/>
      <c r="Q518" s="107"/>
      <c r="R518" s="107"/>
      <c r="S518" s="108"/>
      <c r="T518" s="108"/>
      <c r="U518" s="61"/>
    </row>
    <row r="519" spans="2:21">
      <c r="B519" s="292"/>
      <c r="C519" s="19">
        <v>0.83333333333333304</v>
      </c>
      <c r="D519" s="5">
        <v>222134</v>
      </c>
      <c r="E519" s="25">
        <v>524526</v>
      </c>
      <c r="F519" s="10">
        <v>1.2934000000000001</v>
      </c>
      <c r="G519" s="10">
        <v>0.88360000000000005</v>
      </c>
      <c r="H519" s="240"/>
      <c r="I519" s="9">
        <v>99560</v>
      </c>
      <c r="J519" s="9">
        <v>223561</v>
      </c>
      <c r="K519" s="9"/>
      <c r="L519" s="27">
        <v>84586</v>
      </c>
      <c r="M519" s="27">
        <v>61336</v>
      </c>
      <c r="N519" s="26"/>
      <c r="O519" s="106"/>
      <c r="P519" s="106"/>
      <c r="Q519" s="107"/>
      <c r="R519" s="107"/>
      <c r="S519" s="108"/>
      <c r="T519" s="108"/>
      <c r="U519" s="61"/>
    </row>
    <row r="520" spans="2:21">
      <c r="B520" s="292"/>
      <c r="C520" s="19">
        <v>0.875</v>
      </c>
      <c r="D520" s="5">
        <v>222134</v>
      </c>
      <c r="E520" s="25">
        <v>524526</v>
      </c>
      <c r="F520" s="10">
        <v>1.2934000000000001</v>
      </c>
      <c r="G520" s="10">
        <v>0.88360000000000005</v>
      </c>
      <c r="H520" s="240"/>
      <c r="I520" s="9">
        <v>99560</v>
      </c>
      <c r="J520" s="9">
        <v>223561</v>
      </c>
      <c r="K520" s="9"/>
      <c r="L520" s="27">
        <v>84586</v>
      </c>
      <c r="M520" s="27">
        <v>61336</v>
      </c>
      <c r="N520" s="26"/>
      <c r="O520" s="106"/>
      <c r="P520" s="106"/>
      <c r="Q520" s="107"/>
      <c r="R520" s="107"/>
      <c r="S520" s="108"/>
      <c r="T520" s="108"/>
      <c r="U520" s="61"/>
    </row>
    <row r="521" spans="2:21">
      <c r="B521" s="292"/>
      <c r="C521" s="19">
        <v>0.91666666666666596</v>
      </c>
      <c r="D521" s="5">
        <v>222134</v>
      </c>
      <c r="E521" s="25">
        <v>524526</v>
      </c>
      <c r="F521" s="10">
        <v>1.2934000000000001</v>
      </c>
      <c r="G521" s="10">
        <v>0.88360000000000005</v>
      </c>
      <c r="H521" s="240"/>
      <c r="I521" s="9">
        <v>99560</v>
      </c>
      <c r="J521" s="9">
        <v>223561</v>
      </c>
      <c r="K521" s="9"/>
      <c r="L521" s="27">
        <v>84586</v>
      </c>
      <c r="M521" s="27">
        <v>61336</v>
      </c>
      <c r="N521" s="26"/>
      <c r="O521" s="106"/>
      <c r="P521" s="106"/>
      <c r="Q521" s="107"/>
      <c r="R521" s="107"/>
      <c r="S521" s="108"/>
      <c r="T521" s="108"/>
      <c r="U521" s="61"/>
    </row>
    <row r="522" spans="2:21">
      <c r="B522" s="292"/>
      <c r="C522" s="19">
        <v>0.95833333333333304</v>
      </c>
      <c r="D522" s="5">
        <v>222134</v>
      </c>
      <c r="E522" s="25">
        <v>524526</v>
      </c>
      <c r="F522" s="10">
        <v>1.2934000000000001</v>
      </c>
      <c r="G522" s="10">
        <v>0.88360000000000005</v>
      </c>
      <c r="H522" s="240"/>
      <c r="I522" s="9">
        <v>99560</v>
      </c>
      <c r="J522" s="9">
        <v>223561</v>
      </c>
      <c r="K522" s="9"/>
      <c r="L522" s="27">
        <v>84586</v>
      </c>
      <c r="M522" s="27">
        <v>61336</v>
      </c>
      <c r="N522" s="26"/>
      <c r="O522" s="106"/>
      <c r="P522" s="106"/>
      <c r="Q522" s="107"/>
      <c r="R522" s="107"/>
      <c r="S522" s="108"/>
      <c r="T522" s="108"/>
      <c r="U522" s="61"/>
    </row>
    <row r="523" spans="2:21">
      <c r="B523" s="292"/>
      <c r="C523" s="19">
        <v>1</v>
      </c>
      <c r="D523" s="5">
        <v>222134</v>
      </c>
      <c r="E523" s="25">
        <v>524526</v>
      </c>
      <c r="F523" s="10">
        <v>1.2934000000000001</v>
      </c>
      <c r="G523" s="10">
        <v>0.88360000000000005</v>
      </c>
      <c r="H523" s="240"/>
      <c r="I523" s="9">
        <v>99560</v>
      </c>
      <c r="J523" s="9">
        <v>223561</v>
      </c>
      <c r="K523" s="9"/>
      <c r="L523" s="27">
        <v>84586</v>
      </c>
      <c r="M523" s="27">
        <v>61336</v>
      </c>
      <c r="N523" s="26"/>
      <c r="O523" s="63"/>
      <c r="P523" s="63"/>
      <c r="Q523" s="62"/>
      <c r="R523" s="62"/>
      <c r="S523" s="64"/>
      <c r="T523" s="64"/>
      <c r="U523" s="61"/>
    </row>
    <row r="524" spans="2:21">
      <c r="B524" s="292"/>
      <c r="C524" s="19">
        <v>1.0416666666666701</v>
      </c>
      <c r="D524" s="5">
        <v>222134</v>
      </c>
      <c r="E524" s="25">
        <v>524526</v>
      </c>
      <c r="F524" s="10">
        <v>1.2934000000000001</v>
      </c>
      <c r="G524" s="10">
        <v>0.88360000000000005</v>
      </c>
      <c r="H524" s="240"/>
      <c r="I524" s="9">
        <v>99560</v>
      </c>
      <c r="J524" s="9">
        <v>223561</v>
      </c>
      <c r="K524" s="9"/>
      <c r="L524" s="27">
        <v>84586</v>
      </c>
      <c r="M524" s="27">
        <v>61336</v>
      </c>
      <c r="N524" s="26"/>
      <c r="O524" s="63"/>
      <c r="P524" s="63"/>
      <c r="Q524" s="62"/>
      <c r="R524" s="62"/>
      <c r="S524" s="64"/>
      <c r="T524" s="64"/>
      <c r="U524" s="61"/>
    </row>
    <row r="525" spans="2:21">
      <c r="B525" s="292"/>
      <c r="C525" s="19">
        <v>1.0833333333333399</v>
      </c>
      <c r="D525" s="5">
        <v>222134</v>
      </c>
      <c r="E525" s="25">
        <v>524526</v>
      </c>
      <c r="F525" s="10">
        <v>1.2934000000000001</v>
      </c>
      <c r="G525" s="10">
        <v>0.88360000000000005</v>
      </c>
      <c r="H525" s="240"/>
      <c r="I525" s="9">
        <v>99560</v>
      </c>
      <c r="J525" s="9">
        <v>223561</v>
      </c>
      <c r="K525" s="9"/>
      <c r="L525" s="27">
        <v>84586</v>
      </c>
      <c r="M525" s="27">
        <v>61336</v>
      </c>
      <c r="N525" s="26"/>
      <c r="O525" s="63"/>
      <c r="P525" s="63"/>
      <c r="Q525" s="62"/>
      <c r="R525" s="62"/>
      <c r="S525" s="64"/>
      <c r="T525" s="64"/>
      <c r="U525" s="61"/>
    </row>
    <row r="526" spans="2:21">
      <c r="B526" s="292"/>
      <c r="C526" s="19">
        <v>1.125</v>
      </c>
      <c r="D526" s="5">
        <v>222134</v>
      </c>
      <c r="E526" s="25">
        <v>524526</v>
      </c>
      <c r="F526" s="10">
        <v>1.2934000000000001</v>
      </c>
      <c r="G526" s="10">
        <v>0.88360000000000005</v>
      </c>
      <c r="H526" s="240"/>
      <c r="I526" s="9">
        <v>99560</v>
      </c>
      <c r="J526" s="9">
        <v>223561</v>
      </c>
      <c r="K526" s="9"/>
      <c r="L526" s="27">
        <v>84586</v>
      </c>
      <c r="M526" s="27">
        <v>61336</v>
      </c>
      <c r="N526" s="26"/>
      <c r="O526" s="63"/>
      <c r="P526" s="63"/>
      <c r="Q526" s="62"/>
      <c r="R526" s="62"/>
      <c r="S526" s="64"/>
      <c r="T526" s="64"/>
      <c r="U526" s="61"/>
    </row>
    <row r="527" spans="2:21">
      <c r="B527" s="292"/>
      <c r="C527" s="19">
        <v>1.1666666666666701</v>
      </c>
      <c r="D527" s="5">
        <v>222134</v>
      </c>
      <c r="E527" s="25">
        <v>524526</v>
      </c>
      <c r="F527" s="10">
        <v>1.2934000000000001</v>
      </c>
      <c r="G527" s="10">
        <v>0.88360000000000005</v>
      </c>
      <c r="H527" s="240"/>
      <c r="I527" s="9">
        <v>99560</v>
      </c>
      <c r="J527" s="9">
        <v>223561</v>
      </c>
      <c r="K527" s="9"/>
      <c r="L527" s="27">
        <v>84586</v>
      </c>
      <c r="M527" s="27">
        <v>61336</v>
      </c>
      <c r="N527" s="26"/>
      <c r="O527" s="106"/>
      <c r="P527" s="106"/>
      <c r="Q527" s="107"/>
      <c r="R527" s="107"/>
      <c r="S527" s="108"/>
      <c r="T527" s="108"/>
      <c r="U527" s="61"/>
    </row>
    <row r="528" spans="2:21">
      <c r="B528" s="292"/>
      <c r="C528" s="19">
        <v>1.2083333333333399</v>
      </c>
      <c r="D528" s="5">
        <v>222134</v>
      </c>
      <c r="E528" s="25">
        <v>524526</v>
      </c>
      <c r="F528" s="10">
        <v>1.2934000000000001</v>
      </c>
      <c r="G528" s="10">
        <v>0.88360000000000005</v>
      </c>
      <c r="H528" s="240"/>
      <c r="I528" s="9">
        <v>99560</v>
      </c>
      <c r="J528" s="9">
        <v>223561</v>
      </c>
      <c r="K528" s="9"/>
      <c r="L528" s="27">
        <v>84586</v>
      </c>
      <c r="M528" s="27">
        <v>61336</v>
      </c>
      <c r="N528" s="26"/>
      <c r="O528" s="106"/>
      <c r="P528" s="106"/>
      <c r="Q528" s="107"/>
      <c r="R528" s="107"/>
      <c r="S528" s="108"/>
      <c r="T528" s="108"/>
      <c r="U528" s="61"/>
    </row>
    <row r="529" spans="2:21">
      <c r="B529" s="292"/>
      <c r="C529" s="19">
        <v>1.25</v>
      </c>
      <c r="D529" s="5">
        <v>222134</v>
      </c>
      <c r="E529" s="25">
        <v>524526</v>
      </c>
      <c r="F529" s="10">
        <v>1.2934000000000001</v>
      </c>
      <c r="G529" s="10">
        <v>0.88360000000000005</v>
      </c>
      <c r="H529" s="240"/>
      <c r="I529" s="9">
        <v>99560</v>
      </c>
      <c r="J529" s="9">
        <v>223561</v>
      </c>
      <c r="K529" s="9"/>
      <c r="L529" s="27">
        <v>84586</v>
      </c>
      <c r="M529" s="27">
        <v>61336</v>
      </c>
      <c r="N529" s="26"/>
      <c r="O529" s="106"/>
      <c r="P529" s="106"/>
      <c r="Q529" s="107"/>
      <c r="R529" s="107"/>
      <c r="S529" s="108"/>
      <c r="T529" s="108"/>
      <c r="U529" s="61"/>
    </row>
    <row r="530" spans="2:21">
      <c r="B530" s="292"/>
      <c r="C530" s="19">
        <v>1.2916666666666701</v>
      </c>
      <c r="D530" s="5">
        <v>222134</v>
      </c>
      <c r="E530" s="25">
        <v>524526</v>
      </c>
      <c r="F530" s="10">
        <v>1.2934000000000001</v>
      </c>
      <c r="G530" s="10">
        <v>0.88360000000000005</v>
      </c>
      <c r="H530" s="240"/>
      <c r="I530" s="9">
        <v>99560</v>
      </c>
      <c r="J530" s="9">
        <v>223561</v>
      </c>
      <c r="K530" s="9"/>
      <c r="L530" s="27">
        <v>84586</v>
      </c>
      <c r="M530" s="27">
        <v>61336</v>
      </c>
      <c r="N530" s="26"/>
      <c r="O530" s="106"/>
      <c r="P530" s="106"/>
      <c r="Q530" s="107"/>
      <c r="R530" s="107"/>
      <c r="S530" s="108"/>
      <c r="T530" s="108"/>
      <c r="U530" s="61"/>
    </row>
    <row r="531" spans="2:21">
      <c r="B531" s="293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09">
        <f t="shared" ref="O531:T531" si="37">IFERROR(AVERAGE(O506:O530),0)</f>
        <v>0</v>
      </c>
      <c r="P531" s="109">
        <f t="shared" si="37"/>
        <v>0</v>
      </c>
      <c r="Q531" s="109">
        <f t="shared" si="37"/>
        <v>0</v>
      </c>
      <c r="R531" s="109">
        <f t="shared" si="37"/>
        <v>0</v>
      </c>
      <c r="S531" s="109">
        <f t="shared" si="37"/>
        <v>0</v>
      </c>
      <c r="T531" s="109">
        <f t="shared" si="37"/>
        <v>0</v>
      </c>
      <c r="U531" s="4">
        <f>COUNT(U506:U530)</f>
        <v>0</v>
      </c>
    </row>
    <row r="532" spans="2:21">
      <c r="B532" s="291">
        <f t="shared" ref="B532" si="38">B506+1</f>
        <v>46043</v>
      </c>
      <c r="C532" s="19">
        <v>0.29166666666666669</v>
      </c>
      <c r="D532" s="5">
        <v>222134</v>
      </c>
      <c r="E532" s="25">
        <v>524526</v>
      </c>
      <c r="F532" s="10">
        <v>1.2934000000000001</v>
      </c>
      <c r="G532" s="10">
        <v>0.88360000000000005</v>
      </c>
      <c r="H532" s="240"/>
      <c r="I532" s="9">
        <v>99560</v>
      </c>
      <c r="J532" s="9">
        <v>223561</v>
      </c>
      <c r="K532" s="9"/>
      <c r="L532" s="27">
        <v>84586</v>
      </c>
      <c r="M532" s="27">
        <v>61336</v>
      </c>
      <c r="N532" s="26"/>
      <c r="O532" s="106"/>
      <c r="P532" s="106"/>
      <c r="Q532" s="107"/>
      <c r="R532" s="107"/>
      <c r="S532" s="108"/>
      <c r="T532" s="108"/>
      <c r="U532" s="61"/>
    </row>
    <row r="533" spans="2:21">
      <c r="B533" s="292"/>
      <c r="C533" s="19">
        <v>0.33333333333333298</v>
      </c>
      <c r="D533" s="5">
        <v>222134</v>
      </c>
      <c r="E533" s="25">
        <v>524526</v>
      </c>
      <c r="F533" s="10">
        <v>1.2934000000000001</v>
      </c>
      <c r="G533" s="10">
        <v>0.88360000000000005</v>
      </c>
      <c r="H533" s="240"/>
      <c r="I533" s="9">
        <v>99560</v>
      </c>
      <c r="J533" s="9">
        <v>223561</v>
      </c>
      <c r="K533" s="9"/>
      <c r="L533" s="27">
        <v>84586</v>
      </c>
      <c r="M533" s="27">
        <v>61336</v>
      </c>
      <c r="N533" s="26"/>
      <c r="O533" s="106"/>
      <c r="P533" s="106"/>
      <c r="Q533" s="107"/>
      <c r="R533" s="107"/>
      <c r="S533" s="108"/>
      <c r="T533" s="108"/>
      <c r="U533" s="61"/>
    </row>
    <row r="534" spans="2:21">
      <c r="B534" s="292"/>
      <c r="C534" s="19">
        <v>0.375</v>
      </c>
      <c r="D534" s="5">
        <v>222134</v>
      </c>
      <c r="E534" s="25">
        <v>524526</v>
      </c>
      <c r="F534" s="10">
        <v>1.2934000000000001</v>
      </c>
      <c r="G534" s="10">
        <v>0.88360000000000005</v>
      </c>
      <c r="H534" s="240"/>
      <c r="I534" s="9">
        <v>99560</v>
      </c>
      <c r="J534" s="9">
        <v>223561</v>
      </c>
      <c r="K534" s="9"/>
      <c r="L534" s="27">
        <v>84586</v>
      </c>
      <c r="M534" s="27">
        <v>61336</v>
      </c>
      <c r="N534" s="26"/>
      <c r="O534" s="106"/>
      <c r="P534" s="106"/>
      <c r="Q534" s="107"/>
      <c r="R534" s="107"/>
      <c r="S534" s="108"/>
      <c r="T534" s="108"/>
      <c r="U534" s="61"/>
    </row>
    <row r="535" spans="2:21">
      <c r="B535" s="292"/>
      <c r="C535" s="19">
        <v>0.41666666666666702</v>
      </c>
      <c r="D535" s="5">
        <v>222134</v>
      </c>
      <c r="E535" s="25">
        <v>524526</v>
      </c>
      <c r="F535" s="10">
        <v>1.2934000000000001</v>
      </c>
      <c r="G535" s="10">
        <v>0.88360000000000005</v>
      </c>
      <c r="H535" s="240"/>
      <c r="I535" s="9">
        <v>99560</v>
      </c>
      <c r="J535" s="9">
        <v>223561</v>
      </c>
      <c r="K535" s="9"/>
      <c r="L535" s="27">
        <v>84586</v>
      </c>
      <c r="M535" s="27">
        <v>61336</v>
      </c>
      <c r="N535" s="26"/>
      <c r="O535" s="106"/>
      <c r="P535" s="106"/>
      <c r="Q535" s="107"/>
      <c r="R535" s="107"/>
      <c r="S535" s="108"/>
      <c r="T535" s="108"/>
      <c r="U535" s="61"/>
    </row>
    <row r="536" spans="2:21">
      <c r="B536" s="292"/>
      <c r="C536" s="19">
        <v>0.45833333333333298</v>
      </c>
      <c r="D536" s="5">
        <v>222134</v>
      </c>
      <c r="E536" s="25">
        <v>524526</v>
      </c>
      <c r="F536" s="10">
        <v>1.2934000000000001</v>
      </c>
      <c r="G536" s="10">
        <v>0.88360000000000005</v>
      </c>
      <c r="H536" s="240"/>
      <c r="I536" s="9">
        <v>99560</v>
      </c>
      <c r="J536" s="9">
        <v>223561</v>
      </c>
      <c r="K536" s="9"/>
      <c r="L536" s="27">
        <v>84586</v>
      </c>
      <c r="M536" s="27">
        <v>61336</v>
      </c>
      <c r="N536" s="26"/>
      <c r="O536" s="106"/>
      <c r="P536" s="106"/>
      <c r="Q536" s="107"/>
      <c r="R536" s="107"/>
      <c r="S536" s="108"/>
      <c r="T536" s="108"/>
      <c r="U536" s="61"/>
    </row>
    <row r="537" spans="2:21">
      <c r="B537" s="292"/>
      <c r="C537" s="19">
        <v>0.5</v>
      </c>
      <c r="D537" s="5">
        <v>222134</v>
      </c>
      <c r="E537" s="25">
        <v>524526</v>
      </c>
      <c r="F537" s="10">
        <v>1.2934000000000001</v>
      </c>
      <c r="G537" s="10">
        <v>0.88360000000000005</v>
      </c>
      <c r="H537" s="240"/>
      <c r="I537" s="9">
        <v>99560</v>
      </c>
      <c r="J537" s="9">
        <v>223561</v>
      </c>
      <c r="K537" s="9"/>
      <c r="L537" s="27">
        <v>84586</v>
      </c>
      <c r="M537" s="27">
        <v>61336</v>
      </c>
      <c r="N537" s="26"/>
      <c r="O537" s="106"/>
      <c r="P537" s="106"/>
      <c r="Q537" s="107"/>
      <c r="R537" s="107"/>
      <c r="S537" s="108"/>
      <c r="T537" s="108"/>
      <c r="U537" s="61"/>
    </row>
    <row r="538" spans="2:21">
      <c r="B538" s="292"/>
      <c r="C538" s="19">
        <v>0.54166666666666696</v>
      </c>
      <c r="D538" s="5">
        <v>222134</v>
      </c>
      <c r="E538" s="25">
        <v>524526</v>
      </c>
      <c r="F538" s="10">
        <v>1.2934000000000001</v>
      </c>
      <c r="G538" s="10">
        <v>0.88360000000000005</v>
      </c>
      <c r="H538" s="240"/>
      <c r="I538" s="9">
        <v>99560</v>
      </c>
      <c r="J538" s="9">
        <v>223561</v>
      </c>
      <c r="K538" s="9"/>
      <c r="L538" s="27">
        <v>84586</v>
      </c>
      <c r="M538" s="27">
        <v>61336</v>
      </c>
      <c r="N538" s="26"/>
      <c r="O538" s="106"/>
      <c r="P538" s="106"/>
      <c r="Q538" s="107"/>
      <c r="R538" s="107"/>
      <c r="S538" s="108"/>
      <c r="T538" s="108"/>
      <c r="U538" s="61"/>
    </row>
    <row r="539" spans="2:21">
      <c r="B539" s="292"/>
      <c r="C539" s="19">
        <v>0.58333333333333304</v>
      </c>
      <c r="D539" s="5">
        <v>222134</v>
      </c>
      <c r="E539" s="25">
        <v>524526</v>
      </c>
      <c r="F539" s="10">
        <v>1.2934000000000001</v>
      </c>
      <c r="G539" s="10">
        <v>0.88360000000000005</v>
      </c>
      <c r="H539" s="240"/>
      <c r="I539" s="9">
        <v>99560</v>
      </c>
      <c r="J539" s="9">
        <v>223561</v>
      </c>
      <c r="K539" s="9"/>
      <c r="L539" s="27">
        <v>84586</v>
      </c>
      <c r="M539" s="27">
        <v>61336</v>
      </c>
      <c r="N539" s="26"/>
      <c r="O539" s="106"/>
      <c r="P539" s="106"/>
      <c r="Q539" s="107"/>
      <c r="R539" s="107"/>
      <c r="S539" s="108"/>
      <c r="T539" s="108"/>
      <c r="U539" s="65"/>
    </row>
    <row r="540" spans="2:21">
      <c r="B540" s="292"/>
      <c r="C540" s="19">
        <v>0.625</v>
      </c>
      <c r="D540" s="5">
        <v>222134</v>
      </c>
      <c r="E540" s="25">
        <v>524526</v>
      </c>
      <c r="F540" s="10">
        <v>1.2934000000000001</v>
      </c>
      <c r="G540" s="10">
        <v>0.88360000000000005</v>
      </c>
      <c r="H540" s="240"/>
      <c r="I540" s="9">
        <v>99560</v>
      </c>
      <c r="J540" s="9">
        <v>223561</v>
      </c>
      <c r="K540" s="9"/>
      <c r="L540" s="27">
        <v>84586</v>
      </c>
      <c r="M540" s="27">
        <v>61336</v>
      </c>
      <c r="N540" s="26"/>
      <c r="O540" s="106"/>
      <c r="P540" s="106"/>
      <c r="Q540" s="107"/>
      <c r="R540" s="107"/>
      <c r="S540" s="108"/>
      <c r="T540" s="108"/>
      <c r="U540" s="61"/>
    </row>
    <row r="541" spans="2:21">
      <c r="B541" s="292"/>
      <c r="C541" s="19">
        <v>0.66666666666666596</v>
      </c>
      <c r="D541" s="5">
        <v>222134</v>
      </c>
      <c r="E541" s="25">
        <v>524526</v>
      </c>
      <c r="F541" s="10">
        <v>1.2934000000000001</v>
      </c>
      <c r="G541" s="10">
        <v>0.88360000000000005</v>
      </c>
      <c r="H541" s="240"/>
      <c r="I541" s="9">
        <v>99560</v>
      </c>
      <c r="J541" s="9">
        <v>223561</v>
      </c>
      <c r="K541" s="9"/>
      <c r="L541" s="27">
        <v>84586</v>
      </c>
      <c r="M541" s="27">
        <v>61336</v>
      </c>
      <c r="N541" s="26"/>
      <c r="O541" s="106"/>
      <c r="P541" s="106"/>
      <c r="Q541" s="107"/>
      <c r="R541" s="107"/>
      <c r="S541" s="108"/>
      <c r="T541" s="108"/>
      <c r="U541" s="61"/>
    </row>
    <row r="542" spans="2:21">
      <c r="B542" s="292"/>
      <c r="C542" s="19">
        <v>0.70833333333333304</v>
      </c>
      <c r="D542" s="5">
        <v>222134</v>
      </c>
      <c r="E542" s="25">
        <v>524526</v>
      </c>
      <c r="F542" s="10">
        <v>1.2934000000000001</v>
      </c>
      <c r="G542" s="10">
        <v>0.88360000000000005</v>
      </c>
      <c r="H542" s="240"/>
      <c r="I542" s="9">
        <v>99560</v>
      </c>
      <c r="J542" s="9">
        <v>223561</v>
      </c>
      <c r="K542" s="9"/>
      <c r="L542" s="27">
        <v>84586</v>
      </c>
      <c r="M542" s="27">
        <v>61336</v>
      </c>
      <c r="N542" s="26"/>
      <c r="O542" s="106"/>
      <c r="P542" s="106"/>
      <c r="Q542" s="107"/>
      <c r="R542" s="107"/>
      <c r="S542" s="108"/>
      <c r="T542" s="108"/>
      <c r="U542" s="61"/>
    </row>
    <row r="543" spans="2:21">
      <c r="B543" s="292"/>
      <c r="C543" s="19">
        <v>0.75</v>
      </c>
      <c r="D543" s="5">
        <v>222134</v>
      </c>
      <c r="E543" s="25">
        <v>524526</v>
      </c>
      <c r="F543" s="10">
        <v>1.2934000000000001</v>
      </c>
      <c r="G543" s="10">
        <v>0.88360000000000005</v>
      </c>
      <c r="H543" s="240"/>
      <c r="I543" s="9">
        <v>99560</v>
      </c>
      <c r="J543" s="9">
        <v>223561</v>
      </c>
      <c r="K543" s="9"/>
      <c r="L543" s="27">
        <v>84586</v>
      </c>
      <c r="M543" s="27">
        <v>61336</v>
      </c>
      <c r="N543" s="26"/>
      <c r="O543" s="106"/>
      <c r="P543" s="106"/>
      <c r="Q543" s="107"/>
      <c r="R543" s="107"/>
      <c r="S543" s="108"/>
      <c r="T543" s="108"/>
      <c r="U543" s="61"/>
    </row>
    <row r="544" spans="2:21">
      <c r="B544" s="292"/>
      <c r="C544" s="19">
        <v>0.79166666666666596</v>
      </c>
      <c r="D544" s="5">
        <v>222134</v>
      </c>
      <c r="E544" s="25">
        <v>524526</v>
      </c>
      <c r="F544" s="10">
        <v>1.2934000000000001</v>
      </c>
      <c r="G544" s="10">
        <v>0.88360000000000005</v>
      </c>
      <c r="H544" s="240"/>
      <c r="I544" s="9">
        <v>99560</v>
      </c>
      <c r="J544" s="9">
        <v>223561</v>
      </c>
      <c r="K544" s="9"/>
      <c r="L544" s="27">
        <v>84586</v>
      </c>
      <c r="M544" s="27">
        <v>61336</v>
      </c>
      <c r="N544" s="26"/>
      <c r="O544" s="106"/>
      <c r="P544" s="106"/>
      <c r="Q544" s="107"/>
      <c r="R544" s="107"/>
      <c r="S544" s="108"/>
      <c r="T544" s="108"/>
      <c r="U544" s="61"/>
    </row>
    <row r="545" spans="2:21">
      <c r="B545" s="292"/>
      <c r="C545" s="19">
        <v>0.83333333333333304</v>
      </c>
      <c r="D545" s="5"/>
      <c r="E545" s="11"/>
      <c r="F545" s="10"/>
      <c r="G545" s="10"/>
      <c r="H545" s="42"/>
      <c r="I545" s="9"/>
      <c r="J545" s="9"/>
      <c r="K545" s="9"/>
      <c r="L545" s="27"/>
      <c r="M545" s="27"/>
      <c r="N545" s="26"/>
      <c r="O545" s="106"/>
      <c r="P545" s="106"/>
      <c r="Q545" s="107"/>
      <c r="R545" s="107"/>
      <c r="S545" s="108"/>
      <c r="T545" s="108"/>
      <c r="U545" s="61"/>
    </row>
    <row r="546" spans="2:21">
      <c r="B546" s="292"/>
      <c r="C546" s="19">
        <v>0.875</v>
      </c>
      <c r="D546" s="5"/>
      <c r="E546" s="11"/>
      <c r="F546" s="10"/>
      <c r="G546" s="10"/>
      <c r="H546" s="42"/>
      <c r="I546" s="9"/>
      <c r="J546" s="9"/>
      <c r="K546" s="9"/>
      <c r="L546" s="27"/>
      <c r="M546" s="27"/>
      <c r="N546" s="26"/>
      <c r="O546" s="106"/>
      <c r="P546" s="106"/>
      <c r="Q546" s="107"/>
      <c r="R546" s="107"/>
      <c r="S546" s="108"/>
      <c r="T546" s="108"/>
      <c r="U546" s="61"/>
    </row>
    <row r="547" spans="2:21">
      <c r="B547" s="292"/>
      <c r="C547" s="19">
        <v>0.91666666666666596</v>
      </c>
      <c r="D547" s="5"/>
      <c r="E547" s="11"/>
      <c r="F547" s="10"/>
      <c r="G547" s="10"/>
      <c r="H547" s="42"/>
      <c r="I547" s="9"/>
      <c r="J547" s="9"/>
      <c r="K547" s="9"/>
      <c r="L547" s="27"/>
      <c r="M547" s="27"/>
      <c r="N547" s="26"/>
      <c r="O547" s="106"/>
      <c r="P547" s="106"/>
      <c r="Q547" s="107"/>
      <c r="R547" s="107"/>
      <c r="S547" s="108"/>
      <c r="T547" s="108"/>
      <c r="U547" s="61"/>
    </row>
    <row r="548" spans="2:21">
      <c r="B548" s="292"/>
      <c r="C548" s="19">
        <v>0.95833333333333304</v>
      </c>
      <c r="D548" s="5"/>
      <c r="E548" s="11"/>
      <c r="F548" s="10"/>
      <c r="G548" s="10"/>
      <c r="H548" s="42"/>
      <c r="I548" s="9"/>
      <c r="J548" s="9"/>
      <c r="K548" s="9"/>
      <c r="L548" s="27"/>
      <c r="M548" s="27"/>
      <c r="N548" s="26"/>
      <c r="O548" s="106"/>
      <c r="P548" s="106"/>
      <c r="Q548" s="107"/>
      <c r="R548" s="107"/>
      <c r="S548" s="108"/>
      <c r="T548" s="108"/>
      <c r="U548" s="61"/>
    </row>
    <row r="549" spans="2:21">
      <c r="B549" s="292"/>
      <c r="C549" s="19">
        <v>1</v>
      </c>
      <c r="D549" s="5"/>
      <c r="E549" s="11"/>
      <c r="F549" s="10"/>
      <c r="G549" s="10"/>
      <c r="H549" s="42"/>
      <c r="I549" s="9"/>
      <c r="J549" s="9"/>
      <c r="K549" s="9"/>
      <c r="L549" s="27"/>
      <c r="M549" s="27"/>
      <c r="N549" s="26"/>
      <c r="O549" s="63"/>
      <c r="P549" s="63"/>
      <c r="Q549" s="62"/>
      <c r="R549" s="62"/>
      <c r="S549" s="64"/>
      <c r="T549" s="64"/>
      <c r="U549" s="61"/>
    </row>
    <row r="550" spans="2:21">
      <c r="B550" s="292"/>
      <c r="C550" s="19">
        <v>1.0416666666666701</v>
      </c>
      <c r="D550" s="5"/>
      <c r="E550" s="11"/>
      <c r="F550" s="10"/>
      <c r="G550" s="10"/>
      <c r="H550" s="42"/>
      <c r="I550" s="9"/>
      <c r="J550" s="9"/>
      <c r="K550" s="9"/>
      <c r="L550" s="27"/>
      <c r="M550" s="27"/>
      <c r="N550" s="26"/>
      <c r="O550" s="63"/>
      <c r="P550" s="63"/>
      <c r="Q550" s="62"/>
      <c r="R550" s="62"/>
      <c r="S550" s="64"/>
      <c r="T550" s="64"/>
      <c r="U550" s="61"/>
    </row>
    <row r="551" spans="2:21">
      <c r="B551" s="292"/>
      <c r="C551" s="19">
        <v>1.0833333333333399</v>
      </c>
      <c r="D551" s="5"/>
      <c r="E551" s="11"/>
      <c r="F551" s="10"/>
      <c r="G551" s="10"/>
      <c r="H551" s="42"/>
      <c r="I551" s="9"/>
      <c r="J551" s="9"/>
      <c r="K551" s="9"/>
      <c r="L551" s="27"/>
      <c r="M551" s="27"/>
      <c r="N551" s="26"/>
      <c r="O551" s="63"/>
      <c r="P551" s="63"/>
      <c r="Q551" s="62"/>
      <c r="R551" s="62"/>
      <c r="S551" s="64"/>
      <c r="T551" s="64"/>
      <c r="U551" s="61"/>
    </row>
    <row r="552" spans="2:21">
      <c r="B552" s="292"/>
      <c r="C552" s="19">
        <v>1.125</v>
      </c>
      <c r="D552" s="5"/>
      <c r="E552" s="11"/>
      <c r="F552" s="10"/>
      <c r="G552" s="10"/>
      <c r="H552" s="42"/>
      <c r="I552" s="9"/>
      <c r="J552" s="9"/>
      <c r="K552" s="9"/>
      <c r="L552" s="27"/>
      <c r="M552" s="27"/>
      <c r="N552" s="26"/>
      <c r="O552" s="63"/>
      <c r="P552" s="63"/>
      <c r="Q552" s="62"/>
      <c r="R552" s="62"/>
      <c r="S552" s="64"/>
      <c r="T552" s="64"/>
      <c r="U552" s="61"/>
    </row>
    <row r="553" spans="2:21">
      <c r="B553" s="292"/>
      <c r="C553" s="19">
        <v>1.1666666666666701</v>
      </c>
      <c r="D553" s="5"/>
      <c r="E553" s="11"/>
      <c r="F553" s="10"/>
      <c r="G553" s="10"/>
      <c r="H553" s="42"/>
      <c r="I553" s="9"/>
      <c r="J553" s="9"/>
      <c r="K553" s="9"/>
      <c r="L553" s="27"/>
      <c r="M553" s="27"/>
      <c r="N553" s="26"/>
      <c r="O553" s="106"/>
      <c r="P553" s="106"/>
      <c r="Q553" s="107"/>
      <c r="R553" s="107"/>
      <c r="S553" s="108"/>
      <c r="T553" s="108"/>
      <c r="U553" s="61"/>
    </row>
    <row r="554" spans="2:21">
      <c r="B554" s="292"/>
      <c r="C554" s="19">
        <v>1.2083333333333399</v>
      </c>
      <c r="D554" s="5"/>
      <c r="E554" s="11"/>
      <c r="F554" s="10"/>
      <c r="G554" s="10"/>
      <c r="H554" s="42"/>
      <c r="I554" s="9"/>
      <c r="J554" s="9"/>
      <c r="K554" s="9"/>
      <c r="L554" s="27"/>
      <c r="M554" s="27"/>
      <c r="N554" s="26"/>
      <c r="O554" s="106"/>
      <c r="P554" s="106"/>
      <c r="Q554" s="107"/>
      <c r="R554" s="107"/>
      <c r="S554" s="108"/>
      <c r="T554" s="108"/>
      <c r="U554" s="61"/>
    </row>
    <row r="555" spans="2:21">
      <c r="B555" s="292"/>
      <c r="C555" s="19">
        <v>1.25</v>
      </c>
      <c r="D555" s="5"/>
      <c r="E555" s="11"/>
      <c r="F555" s="10"/>
      <c r="G555" s="10"/>
      <c r="H555" s="42"/>
      <c r="I555" s="9"/>
      <c r="J555" s="9"/>
      <c r="K555" s="9"/>
      <c r="L555" s="27"/>
      <c r="M555" s="27"/>
      <c r="N555" s="26"/>
      <c r="O555" s="106"/>
      <c r="P555" s="106"/>
      <c r="Q555" s="107"/>
      <c r="R555" s="107"/>
      <c r="S555" s="108"/>
      <c r="T555" s="108"/>
      <c r="U555" s="61"/>
    </row>
    <row r="556" spans="2:21">
      <c r="B556" s="292"/>
      <c r="C556" s="19">
        <v>1.2916666666666701</v>
      </c>
      <c r="D556" s="5"/>
      <c r="E556" s="11"/>
      <c r="F556" s="10"/>
      <c r="G556" s="10"/>
      <c r="H556" s="42"/>
      <c r="I556" s="9"/>
      <c r="J556" s="9"/>
      <c r="K556" s="9"/>
      <c r="L556" s="27"/>
      <c r="M556" s="27"/>
      <c r="N556" s="26"/>
      <c r="O556" s="106"/>
      <c r="P556" s="106"/>
      <c r="Q556" s="107"/>
      <c r="R556" s="107"/>
      <c r="S556" s="108"/>
      <c r="T556" s="108"/>
      <c r="U556" s="61"/>
    </row>
    <row r="557" spans="2:21">
      <c r="B557" s="293"/>
      <c r="C557" s="6"/>
      <c r="D557" s="13" cm="1">
        <f t="array" ref="D557">IFERROR(LOOKUP(2,1/(D532:D556&gt;0),D532:D556-D532),0)</f>
        <v>0</v>
      </c>
      <c r="E557" s="13" cm="1">
        <f t="array" ref="E557">IFERROR(LOOKUP(2,1/(E532:E556&gt;0),E532:E556-E532),0)</f>
        <v>0</v>
      </c>
      <c r="F557" s="13" cm="1">
        <f t="array" ref="F557">IFERROR(LOOKUP(2,1/(F532:F556&gt;0),F532:F556-F532),0)</f>
        <v>0</v>
      </c>
      <c r="G557" s="13" cm="1">
        <f t="array" ref="G557">IFERROR(LOOKUP(2,1/(G532:G556&gt;0),G532:G556-G532),0)</f>
        <v>0</v>
      </c>
      <c r="H557" s="13">
        <f>F557+G557</f>
        <v>0</v>
      </c>
      <c r="I557" s="13" cm="1">
        <f t="array" ref="I557">IFERROR(LOOKUP(2,1/(I532:I556&gt;0),I532:I556-I532),0)</f>
        <v>0</v>
      </c>
      <c r="J557" s="13" cm="1">
        <f t="array" ref="J557">IFERROR(LOOKUP(2,1/(J532:J556&gt;0),J532:J556-J532),0)</f>
        <v>0</v>
      </c>
      <c r="K557" s="13">
        <f>I557+J557</f>
        <v>0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09">
        <f t="shared" ref="O557:T557" si="39">IFERROR(AVERAGE(O532:O556),0)</f>
        <v>0</v>
      </c>
      <c r="P557" s="109">
        <f t="shared" si="39"/>
        <v>0</v>
      </c>
      <c r="Q557" s="109">
        <f t="shared" si="39"/>
        <v>0</v>
      </c>
      <c r="R557" s="109">
        <f t="shared" si="39"/>
        <v>0</v>
      </c>
      <c r="S557" s="109">
        <f t="shared" si="39"/>
        <v>0</v>
      </c>
      <c r="T557" s="109">
        <f t="shared" si="39"/>
        <v>0</v>
      </c>
      <c r="U557" s="4">
        <f>COUNT(U532:U556)</f>
        <v>0</v>
      </c>
    </row>
    <row r="558" spans="2:21">
      <c r="B558" s="291">
        <f t="shared" ref="B558" si="40">B532+1</f>
        <v>46044</v>
      </c>
      <c r="C558" s="19">
        <v>0.29166666666666669</v>
      </c>
      <c r="D558" s="5"/>
      <c r="E558" s="11"/>
      <c r="F558" s="10"/>
      <c r="G558" s="10"/>
      <c r="H558" s="42"/>
      <c r="I558" s="9"/>
      <c r="J558" s="9"/>
      <c r="K558" s="9"/>
      <c r="L558" s="27"/>
      <c r="M558" s="27"/>
      <c r="N558" s="26"/>
      <c r="O558" s="106"/>
      <c r="P558" s="106"/>
      <c r="Q558" s="107"/>
      <c r="R558" s="107"/>
      <c r="S558" s="108"/>
      <c r="T558" s="108"/>
      <c r="U558" s="61"/>
    </row>
    <row r="559" spans="2:21">
      <c r="B559" s="292"/>
      <c r="C559" s="19">
        <v>0.33333333333333298</v>
      </c>
      <c r="D559" s="5"/>
      <c r="E559" s="11"/>
      <c r="F559" s="10"/>
      <c r="G559" s="10"/>
      <c r="H559" s="42"/>
      <c r="I559" s="9"/>
      <c r="J559" s="9"/>
      <c r="K559" s="9"/>
      <c r="L559" s="27"/>
      <c r="M559" s="27"/>
      <c r="N559" s="26"/>
      <c r="O559" s="106"/>
      <c r="P559" s="106"/>
      <c r="Q559" s="107"/>
      <c r="R559" s="107"/>
      <c r="S559" s="108"/>
      <c r="T559" s="108"/>
      <c r="U559" s="61"/>
    </row>
    <row r="560" spans="2:21">
      <c r="B560" s="292"/>
      <c r="C560" s="19">
        <v>0.375</v>
      </c>
      <c r="D560" s="5"/>
      <c r="E560" s="11"/>
      <c r="F560" s="10"/>
      <c r="G560" s="10"/>
      <c r="H560" s="42"/>
      <c r="I560" s="9"/>
      <c r="J560" s="9"/>
      <c r="K560" s="9"/>
      <c r="L560" s="27"/>
      <c r="M560" s="27"/>
      <c r="N560" s="26"/>
      <c r="O560" s="106"/>
      <c r="P560" s="106"/>
      <c r="Q560" s="107"/>
      <c r="R560" s="107"/>
      <c r="S560" s="108"/>
      <c r="T560" s="108"/>
      <c r="U560" s="61"/>
    </row>
    <row r="561" spans="2:21">
      <c r="B561" s="292"/>
      <c r="C561" s="19">
        <v>0.41666666666666702</v>
      </c>
      <c r="D561" s="5"/>
      <c r="E561" s="11"/>
      <c r="F561" s="10"/>
      <c r="G561" s="10"/>
      <c r="H561" s="42"/>
      <c r="I561" s="9"/>
      <c r="J561" s="9"/>
      <c r="K561" s="9"/>
      <c r="L561" s="27"/>
      <c r="M561" s="27"/>
      <c r="N561" s="26"/>
      <c r="O561" s="106"/>
      <c r="P561" s="106"/>
      <c r="Q561" s="107"/>
      <c r="R561" s="107"/>
      <c r="S561" s="108"/>
      <c r="T561" s="108"/>
      <c r="U561" s="61"/>
    </row>
    <row r="562" spans="2:21">
      <c r="B562" s="292"/>
      <c r="C562" s="19">
        <v>0.45833333333333298</v>
      </c>
      <c r="D562" s="5"/>
      <c r="E562" s="11"/>
      <c r="F562" s="10"/>
      <c r="G562" s="10"/>
      <c r="H562" s="42"/>
      <c r="I562" s="9"/>
      <c r="J562" s="9"/>
      <c r="K562" s="9"/>
      <c r="L562" s="27"/>
      <c r="M562" s="27"/>
      <c r="N562" s="26"/>
      <c r="O562" s="106"/>
      <c r="P562" s="106"/>
      <c r="Q562" s="107"/>
      <c r="R562" s="107"/>
      <c r="S562" s="108"/>
      <c r="T562" s="108"/>
      <c r="U562" s="61"/>
    </row>
    <row r="563" spans="2:21">
      <c r="B563" s="292"/>
      <c r="C563" s="19">
        <v>0.5</v>
      </c>
      <c r="D563" s="5"/>
      <c r="E563" s="11"/>
      <c r="F563" s="10"/>
      <c r="G563" s="10"/>
      <c r="H563" s="42"/>
      <c r="I563" s="9"/>
      <c r="J563" s="9"/>
      <c r="K563" s="9"/>
      <c r="L563" s="27"/>
      <c r="M563" s="27"/>
      <c r="N563" s="26"/>
      <c r="O563" s="106"/>
      <c r="P563" s="106"/>
      <c r="Q563" s="107"/>
      <c r="R563" s="107"/>
      <c r="S563" s="108"/>
      <c r="T563" s="108"/>
      <c r="U563" s="61"/>
    </row>
    <row r="564" spans="2:21">
      <c r="B564" s="292"/>
      <c r="C564" s="19">
        <v>0.54166666666666696</v>
      </c>
      <c r="D564" s="5"/>
      <c r="E564" s="11"/>
      <c r="F564" s="10"/>
      <c r="G564" s="10"/>
      <c r="H564" s="42"/>
      <c r="I564" s="9"/>
      <c r="J564" s="9"/>
      <c r="K564" s="9"/>
      <c r="L564" s="27"/>
      <c r="M564" s="27"/>
      <c r="N564" s="26"/>
      <c r="O564" s="106"/>
      <c r="P564" s="106"/>
      <c r="Q564" s="107"/>
      <c r="R564" s="107"/>
      <c r="S564" s="108"/>
      <c r="T564" s="108"/>
      <c r="U564" s="61"/>
    </row>
    <row r="565" spans="2:21">
      <c r="B565" s="292"/>
      <c r="C565" s="19">
        <v>0.58333333333333304</v>
      </c>
      <c r="D565" s="5"/>
      <c r="E565" s="11"/>
      <c r="F565" s="10"/>
      <c r="G565" s="10"/>
      <c r="H565" s="42"/>
      <c r="I565" s="9"/>
      <c r="J565" s="9"/>
      <c r="K565" s="9"/>
      <c r="L565" s="27"/>
      <c r="M565" s="27"/>
      <c r="N565" s="26"/>
      <c r="O565" s="106"/>
      <c r="P565" s="106"/>
      <c r="Q565" s="107"/>
      <c r="R565" s="107"/>
      <c r="S565" s="108"/>
      <c r="T565" s="108"/>
      <c r="U565" s="65"/>
    </row>
    <row r="566" spans="2:21">
      <c r="B566" s="292"/>
      <c r="C566" s="19">
        <v>0.625</v>
      </c>
      <c r="D566" s="5"/>
      <c r="E566" s="11"/>
      <c r="F566" s="10"/>
      <c r="G566" s="10"/>
      <c r="H566" s="42"/>
      <c r="I566" s="9"/>
      <c r="J566" s="9"/>
      <c r="K566" s="9"/>
      <c r="L566" s="27"/>
      <c r="M566" s="27"/>
      <c r="N566" s="26"/>
      <c r="O566" s="106"/>
      <c r="P566" s="106"/>
      <c r="Q566" s="107"/>
      <c r="R566" s="107"/>
      <c r="S566" s="108"/>
      <c r="T566" s="108"/>
      <c r="U566" s="61"/>
    </row>
    <row r="567" spans="2:21">
      <c r="B567" s="292"/>
      <c r="C567" s="19">
        <v>0.66666666666666596</v>
      </c>
      <c r="D567" s="5"/>
      <c r="E567" s="11"/>
      <c r="F567" s="10"/>
      <c r="G567" s="10"/>
      <c r="H567" s="42"/>
      <c r="I567" s="9"/>
      <c r="J567" s="9"/>
      <c r="K567" s="9"/>
      <c r="L567" s="27"/>
      <c r="M567" s="27"/>
      <c r="N567" s="26"/>
      <c r="O567" s="106"/>
      <c r="P567" s="106"/>
      <c r="Q567" s="107"/>
      <c r="R567" s="107"/>
      <c r="S567" s="108"/>
      <c r="T567" s="108"/>
      <c r="U567" s="61"/>
    </row>
    <row r="568" spans="2:21">
      <c r="B568" s="292"/>
      <c r="C568" s="19">
        <v>0.70833333333333304</v>
      </c>
      <c r="D568" s="5"/>
      <c r="E568" s="11"/>
      <c r="F568" s="10"/>
      <c r="G568" s="10"/>
      <c r="H568" s="42"/>
      <c r="I568" s="9"/>
      <c r="J568" s="9"/>
      <c r="K568" s="9"/>
      <c r="L568" s="27"/>
      <c r="M568" s="27"/>
      <c r="N568" s="26"/>
      <c r="O568" s="106"/>
      <c r="P568" s="106"/>
      <c r="Q568" s="107"/>
      <c r="R568" s="107"/>
      <c r="S568" s="108"/>
      <c r="T568" s="108"/>
      <c r="U568" s="61"/>
    </row>
    <row r="569" spans="2:21">
      <c r="B569" s="292"/>
      <c r="C569" s="19">
        <v>0.75</v>
      </c>
      <c r="D569" s="5"/>
      <c r="E569" s="11"/>
      <c r="F569" s="10"/>
      <c r="G569" s="10"/>
      <c r="H569" s="42"/>
      <c r="I569" s="9"/>
      <c r="J569" s="9"/>
      <c r="K569" s="9"/>
      <c r="L569" s="27"/>
      <c r="M569" s="27"/>
      <c r="N569" s="26"/>
      <c r="O569" s="106"/>
      <c r="P569" s="106"/>
      <c r="Q569" s="107"/>
      <c r="R569" s="107"/>
      <c r="S569" s="108"/>
      <c r="T569" s="108"/>
      <c r="U569" s="61"/>
    </row>
    <row r="570" spans="2:21">
      <c r="B570" s="292"/>
      <c r="C570" s="19">
        <v>0.79166666666666596</v>
      </c>
      <c r="D570" s="5"/>
      <c r="E570" s="11"/>
      <c r="F570" s="10"/>
      <c r="G570" s="10"/>
      <c r="H570" s="42"/>
      <c r="I570" s="9"/>
      <c r="J570" s="9"/>
      <c r="K570" s="9"/>
      <c r="L570" s="27"/>
      <c r="M570" s="27"/>
      <c r="N570" s="26"/>
      <c r="O570" s="106"/>
      <c r="P570" s="106"/>
      <c r="Q570" s="107"/>
      <c r="R570" s="107"/>
      <c r="S570" s="108"/>
      <c r="T570" s="108"/>
      <c r="U570" s="61"/>
    </row>
    <row r="571" spans="2:21">
      <c r="B571" s="292"/>
      <c r="C571" s="19">
        <v>0.83333333333333304</v>
      </c>
      <c r="D571" s="5"/>
      <c r="E571" s="11"/>
      <c r="F571" s="10"/>
      <c r="G571" s="10"/>
      <c r="H571" s="42"/>
      <c r="I571" s="9"/>
      <c r="J571" s="9"/>
      <c r="K571" s="9"/>
      <c r="L571" s="27"/>
      <c r="M571" s="27"/>
      <c r="N571" s="26"/>
      <c r="O571" s="106"/>
      <c r="P571" s="106"/>
      <c r="Q571" s="107"/>
      <c r="R571" s="107"/>
      <c r="S571" s="108"/>
      <c r="T571" s="108"/>
      <c r="U571" s="61"/>
    </row>
    <row r="572" spans="2:21">
      <c r="B572" s="292"/>
      <c r="C572" s="19">
        <v>0.875</v>
      </c>
      <c r="D572" s="5"/>
      <c r="E572" s="11"/>
      <c r="F572" s="10"/>
      <c r="G572" s="10"/>
      <c r="H572" s="42"/>
      <c r="I572" s="9"/>
      <c r="J572" s="9"/>
      <c r="K572" s="9"/>
      <c r="L572" s="27"/>
      <c r="M572" s="27"/>
      <c r="N572" s="26"/>
      <c r="O572" s="106"/>
      <c r="P572" s="106"/>
      <c r="Q572" s="107"/>
      <c r="R572" s="107"/>
      <c r="S572" s="108"/>
      <c r="T572" s="108"/>
      <c r="U572" s="61"/>
    </row>
    <row r="573" spans="2:21">
      <c r="B573" s="292"/>
      <c r="C573" s="19">
        <v>0.91666666666666596</v>
      </c>
      <c r="D573" s="5"/>
      <c r="E573" s="11"/>
      <c r="F573" s="10"/>
      <c r="G573" s="10"/>
      <c r="H573" s="42"/>
      <c r="I573" s="9"/>
      <c r="J573" s="9"/>
      <c r="K573" s="9"/>
      <c r="L573" s="27"/>
      <c r="M573" s="27"/>
      <c r="N573" s="26"/>
      <c r="O573" s="106"/>
      <c r="P573" s="106"/>
      <c r="Q573" s="107"/>
      <c r="R573" s="107"/>
      <c r="S573" s="108"/>
      <c r="T573" s="108"/>
      <c r="U573" s="61"/>
    </row>
    <row r="574" spans="2:21" ht="15.75" customHeight="1">
      <c r="B574" s="292"/>
      <c r="C574" s="19">
        <v>0.95833333333333304</v>
      </c>
      <c r="D574" s="5"/>
      <c r="E574" s="11"/>
      <c r="F574" s="10"/>
      <c r="G574" s="10"/>
      <c r="H574" s="42"/>
      <c r="I574" s="9"/>
      <c r="J574" s="9"/>
      <c r="K574" s="9"/>
      <c r="L574" s="27"/>
      <c r="M574" s="27"/>
      <c r="N574" s="26"/>
      <c r="O574" s="106"/>
      <c r="P574" s="106"/>
      <c r="Q574" s="107"/>
      <c r="R574" s="107"/>
      <c r="S574" s="108"/>
      <c r="T574" s="108"/>
      <c r="U574" s="61"/>
    </row>
    <row r="575" spans="2:21">
      <c r="B575" s="292"/>
      <c r="C575" s="19">
        <v>1</v>
      </c>
      <c r="D575" s="5"/>
      <c r="E575" s="11"/>
      <c r="F575" s="10"/>
      <c r="G575" s="10"/>
      <c r="H575" s="42"/>
      <c r="I575" s="9"/>
      <c r="J575" s="9"/>
      <c r="K575" s="9"/>
      <c r="L575" s="27"/>
      <c r="M575" s="27"/>
      <c r="N575" s="26"/>
      <c r="O575" s="63"/>
      <c r="P575" s="63"/>
      <c r="Q575" s="62"/>
      <c r="R575" s="62"/>
      <c r="S575" s="64"/>
      <c r="T575" s="64"/>
      <c r="U575" s="61"/>
    </row>
    <row r="576" spans="2:21">
      <c r="B576" s="292"/>
      <c r="C576" s="19">
        <v>1.0416666666666701</v>
      </c>
      <c r="D576" s="5"/>
      <c r="E576" s="11"/>
      <c r="F576" s="10"/>
      <c r="G576" s="10"/>
      <c r="H576" s="42"/>
      <c r="I576" s="9"/>
      <c r="J576" s="9"/>
      <c r="K576" s="9"/>
      <c r="L576" s="27"/>
      <c r="M576" s="27"/>
      <c r="N576" s="26"/>
      <c r="O576" s="63"/>
      <c r="P576" s="63"/>
      <c r="Q576" s="62"/>
      <c r="R576" s="62"/>
      <c r="S576" s="64"/>
      <c r="T576" s="64"/>
      <c r="U576" s="61"/>
    </row>
    <row r="577" spans="2:22">
      <c r="B577" s="292"/>
      <c r="C577" s="19">
        <v>1.0833333333333399</v>
      </c>
      <c r="D577" s="5"/>
      <c r="E577" s="11"/>
      <c r="F577" s="10"/>
      <c r="G577" s="10"/>
      <c r="H577" s="42"/>
      <c r="I577" s="9"/>
      <c r="J577" s="9"/>
      <c r="K577" s="9"/>
      <c r="L577" s="27"/>
      <c r="M577" s="27"/>
      <c r="N577" s="26"/>
      <c r="O577" s="63"/>
      <c r="P577" s="63"/>
      <c r="Q577" s="62"/>
      <c r="R577" s="62"/>
      <c r="S577" s="64"/>
      <c r="T577" s="64"/>
      <c r="U577" s="61"/>
    </row>
    <row r="578" spans="2:22">
      <c r="B578" s="292"/>
      <c r="C578" s="19">
        <v>1.125</v>
      </c>
      <c r="D578" s="5"/>
      <c r="E578" s="11"/>
      <c r="F578" s="10"/>
      <c r="G578" s="10"/>
      <c r="H578" s="42"/>
      <c r="I578" s="9"/>
      <c r="J578" s="9"/>
      <c r="K578" s="9"/>
      <c r="L578" s="27"/>
      <c r="M578" s="27"/>
      <c r="N578" s="26"/>
      <c r="O578" s="63"/>
      <c r="P578" s="63"/>
      <c r="Q578" s="62"/>
      <c r="R578" s="62"/>
      <c r="S578" s="64"/>
      <c r="T578" s="64"/>
      <c r="U578" s="61"/>
    </row>
    <row r="579" spans="2:22">
      <c r="B579" s="292"/>
      <c r="C579" s="19">
        <v>1.1666666666666701</v>
      </c>
      <c r="D579" s="5"/>
      <c r="E579" s="11"/>
      <c r="F579" s="10"/>
      <c r="G579" s="10"/>
      <c r="H579" s="42"/>
      <c r="I579" s="9"/>
      <c r="J579" s="9"/>
      <c r="K579" s="9"/>
      <c r="L579" s="27"/>
      <c r="M579" s="27"/>
      <c r="N579" s="26"/>
      <c r="O579" s="106"/>
      <c r="P579" s="106"/>
      <c r="Q579" s="107"/>
      <c r="R579" s="107"/>
      <c r="S579" s="108"/>
      <c r="T579" s="108"/>
      <c r="U579" s="61"/>
    </row>
    <row r="580" spans="2:22">
      <c r="B580" s="292"/>
      <c r="C580" s="19">
        <v>1.2083333333333399</v>
      </c>
      <c r="D580" s="5"/>
      <c r="E580" s="11"/>
      <c r="F580" s="10"/>
      <c r="G580" s="10"/>
      <c r="H580" s="42"/>
      <c r="I580" s="9"/>
      <c r="J580" s="9"/>
      <c r="K580" s="9"/>
      <c r="L580" s="27"/>
      <c r="M580" s="27"/>
      <c r="N580" s="26"/>
      <c r="O580" s="106"/>
      <c r="P580" s="106"/>
      <c r="Q580" s="107"/>
      <c r="R580" s="107"/>
      <c r="S580" s="108"/>
      <c r="T580" s="108"/>
      <c r="U580" s="61"/>
    </row>
    <row r="581" spans="2:22">
      <c r="B581" s="292"/>
      <c r="C581" s="19">
        <v>1.25</v>
      </c>
      <c r="D581" s="5"/>
      <c r="E581" s="11"/>
      <c r="F581" s="10"/>
      <c r="G581" s="10"/>
      <c r="H581" s="42"/>
      <c r="I581" s="9"/>
      <c r="J581" s="9"/>
      <c r="K581" s="9"/>
      <c r="L581" s="27"/>
      <c r="M581" s="27"/>
      <c r="N581" s="26"/>
      <c r="O581" s="106"/>
      <c r="P581" s="106"/>
      <c r="Q581" s="107"/>
      <c r="R581" s="107"/>
      <c r="S581" s="108"/>
      <c r="T581" s="108"/>
      <c r="U581" s="61"/>
    </row>
    <row r="582" spans="2:22">
      <c r="B582" s="292"/>
      <c r="C582" s="19">
        <v>1.2916666666666701</v>
      </c>
      <c r="D582" s="5"/>
      <c r="E582" s="11"/>
      <c r="F582" s="10"/>
      <c r="G582" s="10"/>
      <c r="H582" s="42"/>
      <c r="I582" s="9"/>
      <c r="J582" s="9"/>
      <c r="K582" s="9"/>
      <c r="L582" s="27"/>
      <c r="M582" s="27"/>
      <c r="N582" s="26"/>
      <c r="O582" s="106"/>
      <c r="P582" s="106"/>
      <c r="Q582" s="107"/>
      <c r="R582" s="107"/>
      <c r="S582" s="108"/>
      <c r="T582" s="108"/>
      <c r="U582" s="61"/>
    </row>
    <row r="583" spans="2:22">
      <c r="B583" s="293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09">
        <f t="shared" ref="O583:T583" si="41">IFERROR(AVERAGE(O558:O582),0)</f>
        <v>0</v>
      </c>
      <c r="P583" s="109">
        <f t="shared" si="41"/>
        <v>0</v>
      </c>
      <c r="Q583" s="109">
        <f t="shared" si="41"/>
        <v>0</v>
      </c>
      <c r="R583" s="109">
        <f t="shared" si="41"/>
        <v>0</v>
      </c>
      <c r="S583" s="109">
        <f t="shared" si="41"/>
        <v>0</v>
      </c>
      <c r="T583" s="109">
        <f t="shared" si="41"/>
        <v>0</v>
      </c>
      <c r="U583" s="4">
        <f>COUNT(U558:U582)</f>
        <v>0</v>
      </c>
    </row>
    <row r="584" spans="2:22">
      <c r="B584" s="291">
        <f t="shared" ref="B584" si="42">B558+1</f>
        <v>46045</v>
      </c>
      <c r="C584" s="19">
        <v>0.29166666666666669</v>
      </c>
      <c r="D584" s="5"/>
      <c r="E584" s="11"/>
      <c r="F584" s="10"/>
      <c r="G584" s="10"/>
      <c r="H584" s="42"/>
      <c r="I584" s="9"/>
      <c r="J584" s="9"/>
      <c r="K584" s="9"/>
      <c r="L584" s="27"/>
      <c r="M584" s="27"/>
      <c r="N584" s="26"/>
      <c r="O584" s="106"/>
      <c r="P584" s="106"/>
      <c r="Q584" s="107"/>
      <c r="R584" s="107"/>
      <c r="S584" s="108"/>
      <c r="T584" s="108"/>
      <c r="U584" s="61"/>
    </row>
    <row r="585" spans="2:22">
      <c r="B585" s="292"/>
      <c r="C585" s="19">
        <v>0.33333333333333298</v>
      </c>
      <c r="D585" s="5"/>
      <c r="E585" s="11"/>
      <c r="F585" s="10"/>
      <c r="G585" s="10"/>
      <c r="H585" s="42"/>
      <c r="I585" s="9"/>
      <c r="J585" s="9"/>
      <c r="K585" s="9"/>
      <c r="L585" s="27"/>
      <c r="M585" s="27"/>
      <c r="N585" s="26"/>
      <c r="O585" s="106"/>
      <c r="P585" s="106"/>
      <c r="Q585" s="107"/>
      <c r="R585" s="107"/>
      <c r="S585" s="108"/>
      <c r="T585" s="108"/>
      <c r="U585" s="61"/>
    </row>
    <row r="586" spans="2:22">
      <c r="B586" s="292"/>
      <c r="C586" s="19">
        <v>0.375</v>
      </c>
      <c r="D586" s="5"/>
      <c r="E586" s="11"/>
      <c r="F586" s="10"/>
      <c r="G586" s="10"/>
      <c r="H586" s="42"/>
      <c r="I586" s="9"/>
      <c r="J586" s="9"/>
      <c r="K586" s="9"/>
      <c r="L586" s="27"/>
      <c r="M586" s="27"/>
      <c r="N586" s="26"/>
      <c r="O586" s="106"/>
      <c r="P586" s="106"/>
      <c r="Q586" s="107"/>
      <c r="R586" s="107"/>
      <c r="S586" s="108"/>
      <c r="T586" s="108"/>
      <c r="U586" s="61"/>
    </row>
    <row r="587" spans="2:22">
      <c r="B587" s="292"/>
      <c r="C587" s="19">
        <v>0.41666666666666702</v>
      </c>
      <c r="D587" s="5"/>
      <c r="E587" s="11"/>
      <c r="F587" s="10"/>
      <c r="G587" s="10"/>
      <c r="H587" s="42"/>
      <c r="I587" s="9"/>
      <c r="J587" s="9"/>
      <c r="K587" s="9"/>
      <c r="L587" s="27"/>
      <c r="M587" s="27"/>
      <c r="N587" s="26"/>
      <c r="O587" s="106"/>
      <c r="P587" s="106"/>
      <c r="Q587" s="107"/>
      <c r="R587" s="107"/>
      <c r="S587" s="108"/>
      <c r="T587" s="108"/>
      <c r="U587" s="61"/>
    </row>
    <row r="588" spans="2:22">
      <c r="B588" s="292"/>
      <c r="C588" s="19">
        <v>0.45833333333333298</v>
      </c>
      <c r="D588" s="5"/>
      <c r="E588" s="11"/>
      <c r="F588" s="10"/>
      <c r="G588" s="10"/>
      <c r="H588" s="42"/>
      <c r="I588" s="9"/>
      <c r="J588" s="9"/>
      <c r="K588" s="9"/>
      <c r="L588" s="27"/>
      <c r="M588" s="27"/>
      <c r="N588" s="26"/>
      <c r="O588" s="106"/>
      <c r="P588" s="106"/>
      <c r="Q588" s="107"/>
      <c r="R588" s="107"/>
      <c r="S588" s="108"/>
      <c r="T588" s="108"/>
      <c r="U588" s="61"/>
    </row>
    <row r="589" spans="2:22">
      <c r="B589" s="292"/>
      <c r="C589" s="19">
        <v>0.5</v>
      </c>
      <c r="D589" s="5"/>
      <c r="E589" s="11"/>
      <c r="F589" s="10"/>
      <c r="G589" s="10"/>
      <c r="H589" s="42"/>
      <c r="I589" s="9"/>
      <c r="J589" s="9"/>
      <c r="K589" s="9"/>
      <c r="L589" s="27"/>
      <c r="M589" s="27"/>
      <c r="N589" s="26"/>
      <c r="O589" s="106"/>
      <c r="P589" s="106"/>
      <c r="Q589" s="107"/>
      <c r="R589" s="107"/>
      <c r="S589" s="108"/>
      <c r="T589" s="108"/>
      <c r="U589" s="61"/>
      <c r="V589">
        <v>1</v>
      </c>
    </row>
    <row r="590" spans="2:22">
      <c r="B590" s="292"/>
      <c r="C590" s="19">
        <v>0.54166666666666696</v>
      </c>
      <c r="D590" s="5"/>
      <c r="E590" s="11"/>
      <c r="F590" s="10"/>
      <c r="G590" s="10"/>
      <c r="H590" s="42"/>
      <c r="I590" s="9"/>
      <c r="J590" s="9"/>
      <c r="K590" s="9"/>
      <c r="L590" s="27"/>
      <c r="M590" s="27"/>
      <c r="N590" s="26"/>
      <c r="O590" s="106"/>
      <c r="P590" s="106"/>
      <c r="Q590" s="107"/>
      <c r="R590" s="107"/>
      <c r="S590" s="108"/>
      <c r="T590" s="108"/>
      <c r="U590" s="61"/>
    </row>
    <row r="591" spans="2:22">
      <c r="B591" s="292"/>
      <c r="C591" s="19">
        <v>0.58333333333333304</v>
      </c>
      <c r="D591" s="5"/>
      <c r="E591" s="11"/>
      <c r="F591" s="10"/>
      <c r="G591" s="10"/>
      <c r="H591" s="42"/>
      <c r="I591" s="9"/>
      <c r="J591" s="9"/>
      <c r="K591" s="9"/>
      <c r="L591" s="27"/>
      <c r="M591" s="27"/>
      <c r="N591" s="26"/>
      <c r="O591" s="106"/>
      <c r="P591" s="106"/>
      <c r="Q591" s="107"/>
      <c r="R591" s="107"/>
      <c r="S591" s="108"/>
      <c r="T591" s="108"/>
      <c r="U591" s="65"/>
    </row>
    <row r="592" spans="2:22">
      <c r="B592" s="292"/>
      <c r="C592" s="19">
        <v>0.625</v>
      </c>
      <c r="D592" s="5"/>
      <c r="E592" s="11"/>
      <c r="F592" s="10"/>
      <c r="G592" s="10"/>
      <c r="H592" s="42"/>
      <c r="I592" s="9"/>
      <c r="J592" s="9"/>
      <c r="K592" s="9"/>
      <c r="L592" s="27"/>
      <c r="M592" s="27"/>
      <c r="N592" s="26"/>
      <c r="O592" s="106"/>
      <c r="P592" s="106"/>
      <c r="Q592" s="107"/>
      <c r="R592" s="107"/>
      <c r="S592" s="108"/>
      <c r="T592" s="108"/>
      <c r="U592" s="61"/>
    </row>
    <row r="593" spans="2:21">
      <c r="B593" s="292"/>
      <c r="C593" s="19">
        <v>0.66666666666666596</v>
      </c>
      <c r="D593" s="5"/>
      <c r="E593" s="11"/>
      <c r="F593" s="10"/>
      <c r="G593" s="10"/>
      <c r="H593" s="42"/>
      <c r="I593" s="9"/>
      <c r="J593" s="9"/>
      <c r="K593" s="9"/>
      <c r="L593" s="27"/>
      <c r="M593" s="27"/>
      <c r="N593" s="26"/>
      <c r="O593" s="106"/>
      <c r="P593" s="106"/>
      <c r="Q593" s="107"/>
      <c r="R593" s="107"/>
      <c r="S593" s="108"/>
      <c r="T593" s="108"/>
      <c r="U593" s="61"/>
    </row>
    <row r="594" spans="2:21">
      <c r="B594" s="292"/>
      <c r="C594" s="19">
        <v>0.70833333333333304</v>
      </c>
      <c r="D594" s="5"/>
      <c r="E594" s="11"/>
      <c r="F594" s="10"/>
      <c r="G594" s="10"/>
      <c r="H594" s="42"/>
      <c r="I594" s="9"/>
      <c r="J594" s="9"/>
      <c r="K594" s="9"/>
      <c r="L594" s="27"/>
      <c r="M594" s="27"/>
      <c r="N594" s="26"/>
      <c r="O594" s="106"/>
      <c r="P594" s="106"/>
      <c r="Q594" s="107"/>
      <c r="R594" s="107"/>
      <c r="S594" s="108"/>
      <c r="T594" s="108"/>
      <c r="U594" s="61"/>
    </row>
    <row r="595" spans="2:21">
      <c r="B595" s="292"/>
      <c r="C595" s="19">
        <v>0.75</v>
      </c>
      <c r="D595" s="5"/>
      <c r="E595" s="11"/>
      <c r="F595" s="10"/>
      <c r="G595" s="10"/>
      <c r="H595" s="42"/>
      <c r="I595" s="9"/>
      <c r="J595" s="9"/>
      <c r="K595" s="9"/>
      <c r="L595" s="27"/>
      <c r="M595" s="27"/>
      <c r="N595" s="26"/>
      <c r="O595" s="106"/>
      <c r="P595" s="106"/>
      <c r="Q595" s="107"/>
      <c r="R595" s="107"/>
      <c r="S595" s="108"/>
      <c r="T595" s="108"/>
      <c r="U595" s="61"/>
    </row>
    <row r="596" spans="2:21">
      <c r="B596" s="292"/>
      <c r="C596" s="19">
        <v>0.79166666666666596</v>
      </c>
      <c r="D596" s="5"/>
      <c r="E596" s="11"/>
      <c r="F596" s="10"/>
      <c r="G596" s="10"/>
      <c r="H596" s="42"/>
      <c r="I596" s="9"/>
      <c r="J596" s="9"/>
      <c r="K596" s="9"/>
      <c r="L596" s="27"/>
      <c r="M596" s="27"/>
      <c r="N596" s="26"/>
      <c r="O596" s="106"/>
      <c r="P596" s="106"/>
      <c r="Q596" s="107"/>
      <c r="R596" s="107"/>
      <c r="S596" s="108"/>
      <c r="T596" s="108"/>
      <c r="U596" s="61"/>
    </row>
    <row r="597" spans="2:21">
      <c r="B597" s="292"/>
      <c r="C597" s="19">
        <v>0.83333333333333304</v>
      </c>
      <c r="D597" s="5"/>
      <c r="E597" s="11"/>
      <c r="F597" s="10"/>
      <c r="G597" s="10"/>
      <c r="H597" s="42"/>
      <c r="I597" s="9"/>
      <c r="J597" s="9"/>
      <c r="K597" s="9"/>
      <c r="L597" s="27"/>
      <c r="M597" s="27"/>
      <c r="N597" s="26"/>
      <c r="O597" s="106"/>
      <c r="P597" s="106"/>
      <c r="Q597" s="107"/>
      <c r="R597" s="107"/>
      <c r="S597" s="108"/>
      <c r="T597" s="108"/>
      <c r="U597" s="61"/>
    </row>
    <row r="598" spans="2:21">
      <c r="B598" s="292"/>
      <c r="C598" s="19">
        <v>0.875</v>
      </c>
      <c r="D598" s="5"/>
      <c r="E598" s="11"/>
      <c r="F598" s="10"/>
      <c r="G598" s="10"/>
      <c r="H598" s="42"/>
      <c r="I598" s="9"/>
      <c r="J598" s="9"/>
      <c r="K598" s="9"/>
      <c r="L598" s="27"/>
      <c r="M598" s="27"/>
      <c r="N598" s="26"/>
      <c r="O598" s="106"/>
      <c r="P598" s="106"/>
      <c r="Q598" s="107"/>
      <c r="R598" s="107"/>
      <c r="S598" s="108"/>
      <c r="T598" s="108"/>
      <c r="U598" s="61"/>
    </row>
    <row r="599" spans="2:21">
      <c r="B599" s="292"/>
      <c r="C599" s="19">
        <v>0.91666666666666596</v>
      </c>
      <c r="D599" s="5"/>
      <c r="E599" s="11"/>
      <c r="F599" s="10"/>
      <c r="G599" s="10"/>
      <c r="H599" s="42"/>
      <c r="I599" s="9"/>
      <c r="J599" s="9"/>
      <c r="K599" s="9"/>
      <c r="L599" s="27"/>
      <c r="M599" s="27"/>
      <c r="N599" s="26"/>
      <c r="O599" s="106"/>
      <c r="P599" s="106"/>
      <c r="Q599" s="107"/>
      <c r="R599" s="107"/>
      <c r="S599" s="108"/>
      <c r="T599" s="108"/>
      <c r="U599" s="61"/>
    </row>
    <row r="600" spans="2:21">
      <c r="B600" s="292"/>
      <c r="C600" s="19">
        <v>0.95833333333333304</v>
      </c>
      <c r="D600" s="5"/>
      <c r="E600" s="11"/>
      <c r="F600" s="10"/>
      <c r="G600" s="10"/>
      <c r="H600" s="42"/>
      <c r="I600" s="9"/>
      <c r="J600" s="9"/>
      <c r="K600" s="9"/>
      <c r="L600" s="27"/>
      <c r="M600" s="27"/>
      <c r="N600" s="26"/>
      <c r="O600" s="106"/>
      <c r="P600" s="106"/>
      <c r="Q600" s="107"/>
      <c r="R600" s="107"/>
      <c r="S600" s="108"/>
      <c r="T600" s="108"/>
      <c r="U600" s="61"/>
    </row>
    <row r="601" spans="2:21">
      <c r="B601" s="292"/>
      <c r="C601" s="19">
        <v>1</v>
      </c>
      <c r="D601" s="5"/>
      <c r="E601" s="11"/>
      <c r="F601" s="10"/>
      <c r="G601" s="10"/>
      <c r="H601" s="42"/>
      <c r="I601" s="9"/>
      <c r="J601" s="9"/>
      <c r="K601" s="9"/>
      <c r="L601" s="27"/>
      <c r="M601" s="27"/>
      <c r="N601" s="26"/>
      <c r="O601" s="63"/>
      <c r="P601" s="63"/>
      <c r="Q601" s="62"/>
      <c r="R601" s="62"/>
      <c r="S601" s="64"/>
      <c r="T601" s="64"/>
      <c r="U601" s="61"/>
    </row>
    <row r="602" spans="2:21">
      <c r="B602" s="292"/>
      <c r="C602" s="19">
        <v>1.0416666666666701</v>
      </c>
      <c r="D602" s="5"/>
      <c r="E602" s="11"/>
      <c r="F602" s="10"/>
      <c r="G602" s="10"/>
      <c r="H602" s="42"/>
      <c r="I602" s="9"/>
      <c r="J602" s="9"/>
      <c r="K602" s="9"/>
      <c r="L602" s="27"/>
      <c r="M602" s="27"/>
      <c r="N602" s="26"/>
      <c r="O602" s="63"/>
      <c r="P602" s="63"/>
      <c r="Q602" s="62"/>
      <c r="R602" s="62"/>
      <c r="S602" s="64"/>
      <c r="T602" s="64"/>
      <c r="U602" s="61"/>
    </row>
    <row r="603" spans="2:21">
      <c r="B603" s="292"/>
      <c r="C603" s="19">
        <v>1.0833333333333399</v>
      </c>
      <c r="D603" s="5"/>
      <c r="E603" s="11"/>
      <c r="F603" s="10"/>
      <c r="G603" s="10"/>
      <c r="H603" s="42"/>
      <c r="I603" s="9"/>
      <c r="J603" s="9"/>
      <c r="K603" s="9"/>
      <c r="L603" s="27"/>
      <c r="M603" s="27"/>
      <c r="N603" s="26"/>
      <c r="O603" s="63"/>
      <c r="P603" s="63"/>
      <c r="Q603" s="62"/>
      <c r="R603" s="62"/>
      <c r="S603" s="64"/>
      <c r="T603" s="64"/>
      <c r="U603" s="61"/>
    </row>
    <row r="604" spans="2:21">
      <c r="B604" s="292"/>
      <c r="C604" s="19">
        <v>1.125</v>
      </c>
      <c r="D604" s="5"/>
      <c r="E604" s="11"/>
      <c r="F604" s="10"/>
      <c r="G604" s="10"/>
      <c r="H604" s="42"/>
      <c r="I604" s="9"/>
      <c r="J604" s="9"/>
      <c r="K604" s="9"/>
      <c r="L604" s="27"/>
      <c r="M604" s="27"/>
      <c r="N604" s="26"/>
      <c r="O604" s="63"/>
      <c r="P604" s="63"/>
      <c r="Q604" s="62"/>
      <c r="R604" s="62"/>
      <c r="S604" s="64"/>
      <c r="T604" s="64"/>
      <c r="U604" s="61"/>
    </row>
    <row r="605" spans="2:21">
      <c r="B605" s="292"/>
      <c r="C605" s="19">
        <v>1.1666666666666701</v>
      </c>
      <c r="D605" s="5"/>
      <c r="E605" s="11"/>
      <c r="F605" s="10"/>
      <c r="G605" s="10"/>
      <c r="H605" s="42"/>
      <c r="I605" s="9"/>
      <c r="J605" s="9"/>
      <c r="K605" s="9"/>
      <c r="L605" s="27"/>
      <c r="M605" s="27"/>
      <c r="N605" s="26"/>
      <c r="O605" s="106"/>
      <c r="P605" s="106"/>
      <c r="Q605" s="107"/>
      <c r="R605" s="107"/>
      <c r="S605" s="108"/>
      <c r="T605" s="108"/>
      <c r="U605" s="61"/>
    </row>
    <row r="606" spans="2:21">
      <c r="B606" s="292"/>
      <c r="C606" s="19">
        <v>1.2083333333333399</v>
      </c>
      <c r="D606" s="5"/>
      <c r="E606" s="11"/>
      <c r="F606" s="10"/>
      <c r="G606" s="10"/>
      <c r="H606" s="42"/>
      <c r="I606" s="9"/>
      <c r="J606" s="9"/>
      <c r="K606" s="9"/>
      <c r="L606" s="27"/>
      <c r="M606" s="27"/>
      <c r="N606" s="26"/>
      <c r="O606" s="106"/>
      <c r="P606" s="106"/>
      <c r="Q606" s="107"/>
      <c r="R606" s="107"/>
      <c r="S606" s="108"/>
      <c r="T606" s="108"/>
      <c r="U606" s="61"/>
    </row>
    <row r="607" spans="2:21">
      <c r="B607" s="292"/>
      <c r="C607" s="19">
        <v>1.25</v>
      </c>
      <c r="D607" s="5"/>
      <c r="E607" s="11"/>
      <c r="F607" s="10"/>
      <c r="G607" s="10"/>
      <c r="H607" s="42"/>
      <c r="I607" s="9"/>
      <c r="J607" s="9"/>
      <c r="K607" s="9"/>
      <c r="L607" s="27"/>
      <c r="M607" s="27"/>
      <c r="N607" s="26"/>
      <c r="O607" s="106"/>
      <c r="P607" s="106"/>
      <c r="Q607" s="107"/>
      <c r="R607" s="107"/>
      <c r="S607" s="108"/>
      <c r="T607" s="108"/>
      <c r="U607" s="61"/>
    </row>
    <row r="608" spans="2:21">
      <c r="B608" s="292"/>
      <c r="C608" s="19">
        <v>1.2916666666666701</v>
      </c>
      <c r="D608" s="5"/>
      <c r="E608" s="11"/>
      <c r="F608" s="10"/>
      <c r="G608" s="10"/>
      <c r="H608" s="42"/>
      <c r="I608" s="9"/>
      <c r="J608" s="9"/>
      <c r="K608" s="9"/>
      <c r="L608" s="27"/>
      <c r="M608" s="27"/>
      <c r="N608" s="26"/>
      <c r="O608" s="106"/>
      <c r="P608" s="106"/>
      <c r="Q608" s="107"/>
      <c r="R608" s="107"/>
      <c r="S608" s="108"/>
      <c r="T608" s="108"/>
      <c r="U608" s="61"/>
    </row>
    <row r="609" spans="2:21">
      <c r="B609" s="293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09">
        <f t="shared" ref="O609:T609" si="43">IFERROR(AVERAGE(O584:O608),0)</f>
        <v>0</v>
      </c>
      <c r="P609" s="109">
        <f t="shared" si="43"/>
        <v>0</v>
      </c>
      <c r="Q609" s="109">
        <f t="shared" si="43"/>
        <v>0</v>
      </c>
      <c r="R609" s="109">
        <f t="shared" si="43"/>
        <v>0</v>
      </c>
      <c r="S609" s="109">
        <f t="shared" si="43"/>
        <v>0</v>
      </c>
      <c r="T609" s="109">
        <f t="shared" si="43"/>
        <v>0</v>
      </c>
      <c r="U609" s="4">
        <f>COUNT(U584:U608)</f>
        <v>0</v>
      </c>
    </row>
    <row r="610" spans="2:21">
      <c r="B610" s="291">
        <f t="shared" ref="B610" si="44">B584+1</f>
        <v>46046</v>
      </c>
      <c r="C610" s="19">
        <v>0.29166666666666669</v>
      </c>
      <c r="D610" s="5"/>
      <c r="E610" s="11"/>
      <c r="F610" s="10"/>
      <c r="G610" s="10"/>
      <c r="H610" s="42"/>
      <c r="I610" s="9"/>
      <c r="J610" s="9"/>
      <c r="K610" s="9"/>
      <c r="L610" s="27"/>
      <c r="M610" s="27"/>
      <c r="N610" s="26"/>
      <c r="O610" s="106"/>
      <c r="P610" s="106"/>
      <c r="Q610" s="107"/>
      <c r="R610" s="107"/>
      <c r="S610" s="108"/>
      <c r="T610" s="108"/>
      <c r="U610" s="61"/>
    </row>
    <row r="611" spans="2:21">
      <c r="B611" s="292"/>
      <c r="C611" s="19">
        <v>0.33333333333333298</v>
      </c>
      <c r="D611" s="5"/>
      <c r="E611" s="11"/>
      <c r="F611" s="10"/>
      <c r="G611" s="10"/>
      <c r="H611" s="42"/>
      <c r="I611" s="9"/>
      <c r="J611" s="9"/>
      <c r="K611" s="9"/>
      <c r="L611" s="27"/>
      <c r="M611" s="27"/>
      <c r="N611" s="26"/>
      <c r="O611" s="106"/>
      <c r="P611" s="106"/>
      <c r="Q611" s="107"/>
      <c r="R611" s="107"/>
      <c r="S611" s="108"/>
      <c r="T611" s="108"/>
      <c r="U611" s="61"/>
    </row>
    <row r="612" spans="2:21">
      <c r="B612" s="292"/>
      <c r="C612" s="19">
        <v>0.375</v>
      </c>
      <c r="D612" s="5"/>
      <c r="E612" s="11"/>
      <c r="F612" s="10"/>
      <c r="G612" s="10"/>
      <c r="H612" s="42"/>
      <c r="I612" s="9"/>
      <c r="J612" s="9"/>
      <c r="K612" s="9"/>
      <c r="L612" s="27"/>
      <c r="M612" s="27"/>
      <c r="N612" s="26"/>
      <c r="O612" s="106"/>
      <c r="P612" s="106"/>
      <c r="Q612" s="107"/>
      <c r="R612" s="107"/>
      <c r="S612" s="108"/>
      <c r="T612" s="108"/>
      <c r="U612" s="61"/>
    </row>
    <row r="613" spans="2:21">
      <c r="B613" s="292"/>
      <c r="C613" s="19">
        <v>0.41666666666666702</v>
      </c>
      <c r="D613" s="5"/>
      <c r="E613" s="11"/>
      <c r="F613" s="10"/>
      <c r="G613" s="10"/>
      <c r="H613" s="42"/>
      <c r="I613" s="9"/>
      <c r="J613" s="9"/>
      <c r="K613" s="9"/>
      <c r="L613" s="27"/>
      <c r="M613" s="27"/>
      <c r="N613" s="26"/>
      <c r="O613" s="106"/>
      <c r="P613" s="106"/>
      <c r="Q613" s="107"/>
      <c r="R613" s="107"/>
      <c r="S613" s="108"/>
      <c r="T613" s="108"/>
      <c r="U613" s="61"/>
    </row>
    <row r="614" spans="2:21">
      <c r="B614" s="292"/>
      <c r="C614" s="19">
        <v>0.45833333333333298</v>
      </c>
      <c r="D614" s="5"/>
      <c r="E614" s="11"/>
      <c r="F614" s="10"/>
      <c r="G614" s="10"/>
      <c r="H614" s="42"/>
      <c r="I614" s="9"/>
      <c r="J614" s="9"/>
      <c r="K614" s="9"/>
      <c r="L614" s="27"/>
      <c r="M614" s="27"/>
      <c r="N614" s="26"/>
      <c r="O614" s="106"/>
      <c r="P614" s="106"/>
      <c r="Q614" s="107"/>
      <c r="R614" s="107"/>
      <c r="S614" s="108"/>
      <c r="T614" s="108"/>
      <c r="U614" s="61"/>
    </row>
    <row r="615" spans="2:21">
      <c r="B615" s="292"/>
      <c r="C615" s="19">
        <v>0.5</v>
      </c>
      <c r="D615" s="5"/>
      <c r="E615" s="11"/>
      <c r="F615" s="10"/>
      <c r="G615" s="10"/>
      <c r="H615" s="42"/>
      <c r="I615" s="9"/>
      <c r="J615" s="9"/>
      <c r="K615" s="9"/>
      <c r="L615" s="27"/>
      <c r="M615" s="27"/>
      <c r="N615" s="26"/>
      <c r="O615" s="106"/>
      <c r="P615" s="106"/>
      <c r="Q615" s="107"/>
      <c r="R615" s="107"/>
      <c r="S615" s="108"/>
      <c r="T615" s="108"/>
      <c r="U615" s="61"/>
    </row>
    <row r="616" spans="2:21">
      <c r="B616" s="292"/>
      <c r="C616" s="19">
        <v>0.54166666666666696</v>
      </c>
      <c r="D616" s="5"/>
      <c r="E616" s="11"/>
      <c r="F616" s="10"/>
      <c r="G616" s="10"/>
      <c r="H616" s="42"/>
      <c r="I616" s="9"/>
      <c r="J616" s="9"/>
      <c r="K616" s="9"/>
      <c r="L616" s="27"/>
      <c r="M616" s="27"/>
      <c r="N616" s="26"/>
      <c r="O616" s="106"/>
      <c r="P616" s="106"/>
      <c r="Q616" s="107"/>
      <c r="R616" s="107"/>
      <c r="S616" s="108"/>
      <c r="T616" s="108"/>
      <c r="U616" s="61"/>
    </row>
    <row r="617" spans="2:21">
      <c r="B617" s="292"/>
      <c r="C617" s="19">
        <v>0.58333333333333304</v>
      </c>
      <c r="D617" s="5"/>
      <c r="E617" s="11"/>
      <c r="F617" s="10"/>
      <c r="G617" s="10"/>
      <c r="H617" s="42"/>
      <c r="I617" s="9"/>
      <c r="J617" s="9"/>
      <c r="K617" s="9"/>
      <c r="L617" s="27"/>
      <c r="M617" s="27"/>
      <c r="N617" s="26"/>
      <c r="O617" s="106"/>
      <c r="P617" s="106"/>
      <c r="Q617" s="107"/>
      <c r="R617" s="107"/>
      <c r="S617" s="108"/>
      <c r="T617" s="108"/>
      <c r="U617" s="65"/>
    </row>
    <row r="618" spans="2:21">
      <c r="B618" s="292"/>
      <c r="C618" s="19">
        <v>0.625</v>
      </c>
      <c r="D618" s="5"/>
      <c r="E618" s="11"/>
      <c r="F618" s="10"/>
      <c r="G618" s="10"/>
      <c r="H618" s="42"/>
      <c r="I618" s="9"/>
      <c r="J618" s="9"/>
      <c r="K618" s="9"/>
      <c r="L618" s="27"/>
      <c r="M618" s="27"/>
      <c r="N618" s="26"/>
      <c r="O618" s="106"/>
      <c r="P618" s="106"/>
      <c r="Q618" s="107"/>
      <c r="R618" s="107"/>
      <c r="S618" s="108"/>
      <c r="T618" s="108"/>
      <c r="U618" s="61"/>
    </row>
    <row r="619" spans="2:21">
      <c r="B619" s="292"/>
      <c r="C619" s="19">
        <v>0.66666666666666596</v>
      </c>
      <c r="D619" s="5"/>
      <c r="E619" s="11"/>
      <c r="F619" s="10"/>
      <c r="G619" s="10"/>
      <c r="H619" s="42"/>
      <c r="I619" s="9"/>
      <c r="J619" s="9"/>
      <c r="K619" s="9"/>
      <c r="L619" s="27"/>
      <c r="M619" s="27"/>
      <c r="N619" s="26"/>
      <c r="O619" s="106"/>
      <c r="P619" s="106"/>
      <c r="Q619" s="107"/>
      <c r="R619" s="107"/>
      <c r="S619" s="108"/>
      <c r="T619" s="108"/>
      <c r="U619" s="61"/>
    </row>
    <row r="620" spans="2:21">
      <c r="B620" s="292"/>
      <c r="C620" s="19">
        <v>0.70833333333333304</v>
      </c>
      <c r="D620" s="5"/>
      <c r="E620" s="11"/>
      <c r="F620" s="10"/>
      <c r="G620" s="10"/>
      <c r="H620" s="42"/>
      <c r="I620" s="9"/>
      <c r="J620" s="9"/>
      <c r="K620" s="9"/>
      <c r="L620" s="27"/>
      <c r="M620" s="27"/>
      <c r="N620" s="26"/>
      <c r="O620" s="106"/>
      <c r="P620" s="106"/>
      <c r="Q620" s="107"/>
      <c r="R620" s="107"/>
      <c r="S620" s="108"/>
      <c r="T620" s="108"/>
      <c r="U620" s="61"/>
    </row>
    <row r="621" spans="2:21">
      <c r="B621" s="292"/>
      <c r="C621" s="19">
        <v>0.75</v>
      </c>
      <c r="D621" s="5"/>
      <c r="E621" s="11"/>
      <c r="F621" s="10"/>
      <c r="G621" s="10"/>
      <c r="H621" s="42"/>
      <c r="I621" s="9"/>
      <c r="J621" s="9"/>
      <c r="K621" s="9"/>
      <c r="L621" s="27"/>
      <c r="M621" s="27"/>
      <c r="N621" s="26"/>
      <c r="O621" s="106"/>
      <c r="P621" s="106"/>
      <c r="Q621" s="107"/>
      <c r="R621" s="107"/>
      <c r="S621" s="108"/>
      <c r="T621" s="108"/>
      <c r="U621" s="61"/>
    </row>
    <row r="622" spans="2:21">
      <c r="B622" s="292"/>
      <c r="C622" s="19">
        <v>0.79166666666666596</v>
      </c>
      <c r="D622" s="5"/>
      <c r="E622" s="11"/>
      <c r="F622" s="10"/>
      <c r="G622" s="10"/>
      <c r="H622" s="42"/>
      <c r="I622" s="9"/>
      <c r="J622" s="9"/>
      <c r="K622" s="9"/>
      <c r="L622" s="27"/>
      <c r="M622" s="27"/>
      <c r="N622" s="26"/>
      <c r="O622" s="106"/>
      <c r="P622" s="106"/>
      <c r="Q622" s="107"/>
      <c r="R622" s="107"/>
      <c r="S622" s="108"/>
      <c r="T622" s="108"/>
      <c r="U622" s="61"/>
    </row>
    <row r="623" spans="2:21">
      <c r="B623" s="292"/>
      <c r="C623" s="19">
        <v>0.83333333333333304</v>
      </c>
      <c r="D623" s="5"/>
      <c r="E623" s="11"/>
      <c r="F623" s="10"/>
      <c r="G623" s="10"/>
      <c r="H623" s="42"/>
      <c r="I623" s="9"/>
      <c r="J623" s="9"/>
      <c r="K623" s="9"/>
      <c r="L623" s="27"/>
      <c r="M623" s="27"/>
      <c r="N623" s="26"/>
      <c r="O623" s="106"/>
      <c r="P623" s="106"/>
      <c r="Q623" s="107"/>
      <c r="R623" s="107"/>
      <c r="S623" s="108"/>
      <c r="T623" s="108"/>
      <c r="U623" s="61"/>
    </row>
    <row r="624" spans="2:21">
      <c r="B624" s="292"/>
      <c r="C624" s="19">
        <v>0.875</v>
      </c>
      <c r="D624" s="5"/>
      <c r="E624" s="11"/>
      <c r="F624" s="10"/>
      <c r="G624" s="10"/>
      <c r="H624" s="42"/>
      <c r="I624" s="9"/>
      <c r="J624" s="9"/>
      <c r="K624" s="9"/>
      <c r="L624" s="27"/>
      <c r="M624" s="27"/>
      <c r="N624" s="26"/>
      <c r="O624" s="106"/>
      <c r="P624" s="106"/>
      <c r="Q624" s="107"/>
      <c r="R624" s="107"/>
      <c r="S624" s="108"/>
      <c r="T624" s="108"/>
      <c r="U624" s="61"/>
    </row>
    <row r="625" spans="2:21">
      <c r="B625" s="292"/>
      <c r="C625" s="19">
        <v>0.91666666666666596</v>
      </c>
      <c r="D625" s="5"/>
      <c r="E625" s="11"/>
      <c r="F625" s="10"/>
      <c r="G625" s="10"/>
      <c r="H625" s="42"/>
      <c r="I625" s="9"/>
      <c r="J625" s="9"/>
      <c r="K625" s="9"/>
      <c r="L625" s="27"/>
      <c r="M625" s="27"/>
      <c r="N625" s="26"/>
      <c r="O625" s="106"/>
      <c r="P625" s="106"/>
      <c r="Q625" s="107"/>
      <c r="R625" s="107"/>
      <c r="S625" s="108"/>
      <c r="T625" s="108"/>
      <c r="U625" s="61"/>
    </row>
    <row r="626" spans="2:21">
      <c r="B626" s="292"/>
      <c r="C626" s="19">
        <v>0.95833333333333304</v>
      </c>
      <c r="D626" s="5"/>
      <c r="E626" s="11"/>
      <c r="F626" s="10"/>
      <c r="G626" s="10"/>
      <c r="H626" s="42"/>
      <c r="I626" s="9"/>
      <c r="J626" s="9"/>
      <c r="K626" s="9"/>
      <c r="L626" s="27"/>
      <c r="M626" s="27"/>
      <c r="N626" s="26"/>
      <c r="O626" s="106"/>
      <c r="P626" s="106"/>
      <c r="Q626" s="107"/>
      <c r="R626" s="107"/>
      <c r="S626" s="108"/>
      <c r="T626" s="108"/>
      <c r="U626" s="61"/>
    </row>
    <row r="627" spans="2:21">
      <c r="B627" s="292"/>
      <c r="C627" s="19">
        <v>1</v>
      </c>
      <c r="D627" s="5"/>
      <c r="E627" s="11"/>
      <c r="F627" s="10"/>
      <c r="G627" s="10"/>
      <c r="H627" s="42"/>
      <c r="I627" s="9"/>
      <c r="J627" s="9"/>
      <c r="K627" s="9"/>
      <c r="L627" s="27"/>
      <c r="M627" s="27"/>
      <c r="N627" s="26"/>
      <c r="O627" s="63"/>
      <c r="P627" s="63"/>
      <c r="Q627" s="62"/>
      <c r="R627" s="62"/>
      <c r="S627" s="64"/>
      <c r="T627" s="64"/>
      <c r="U627" s="61"/>
    </row>
    <row r="628" spans="2:21">
      <c r="B628" s="292"/>
      <c r="C628" s="19">
        <v>1.0416666666666701</v>
      </c>
      <c r="D628" s="5"/>
      <c r="E628" s="11"/>
      <c r="F628" s="10"/>
      <c r="G628" s="10"/>
      <c r="H628" s="42"/>
      <c r="I628" s="9"/>
      <c r="J628" s="9"/>
      <c r="K628" s="9"/>
      <c r="L628" s="27"/>
      <c r="M628" s="27"/>
      <c r="N628" s="26"/>
      <c r="O628" s="63"/>
      <c r="P628" s="63"/>
      <c r="Q628" s="62"/>
      <c r="R628" s="62"/>
      <c r="S628" s="64"/>
      <c r="T628" s="64"/>
      <c r="U628" s="61"/>
    </row>
    <row r="629" spans="2:21">
      <c r="B629" s="292"/>
      <c r="C629" s="19">
        <v>1.0833333333333399</v>
      </c>
      <c r="D629" s="5"/>
      <c r="E629" s="11"/>
      <c r="F629" s="10"/>
      <c r="G629" s="10"/>
      <c r="H629" s="42"/>
      <c r="I629" s="9"/>
      <c r="J629" s="9"/>
      <c r="K629" s="9"/>
      <c r="L629" s="27"/>
      <c r="M629" s="27"/>
      <c r="N629" s="26"/>
      <c r="O629" s="63"/>
      <c r="P629" s="63"/>
      <c r="Q629" s="62"/>
      <c r="R629" s="62"/>
      <c r="S629" s="64"/>
      <c r="T629" s="64"/>
      <c r="U629" s="61"/>
    </row>
    <row r="630" spans="2:21">
      <c r="B630" s="292"/>
      <c r="C630" s="19">
        <v>1.125</v>
      </c>
      <c r="D630" s="5"/>
      <c r="E630" s="11"/>
      <c r="F630" s="10"/>
      <c r="G630" s="10"/>
      <c r="H630" s="42"/>
      <c r="I630" s="9"/>
      <c r="J630" s="9"/>
      <c r="K630" s="9"/>
      <c r="L630" s="27"/>
      <c r="M630" s="27"/>
      <c r="N630" s="26"/>
      <c r="O630" s="63"/>
      <c r="P630" s="63"/>
      <c r="Q630" s="62"/>
      <c r="R630" s="62"/>
      <c r="S630" s="64"/>
      <c r="T630" s="64"/>
      <c r="U630" s="61"/>
    </row>
    <row r="631" spans="2:21">
      <c r="B631" s="292"/>
      <c r="C631" s="19">
        <v>1.1666666666666701</v>
      </c>
      <c r="D631" s="5"/>
      <c r="E631" s="11"/>
      <c r="F631" s="10"/>
      <c r="G631" s="10"/>
      <c r="H631" s="42"/>
      <c r="I631" s="9"/>
      <c r="J631" s="9"/>
      <c r="K631" s="9"/>
      <c r="L631" s="27"/>
      <c r="M631" s="27"/>
      <c r="N631" s="26"/>
      <c r="O631" s="106"/>
      <c r="P631" s="106"/>
      <c r="Q631" s="107"/>
      <c r="R631" s="107"/>
      <c r="S631" s="108"/>
      <c r="T631" s="108"/>
      <c r="U631" s="61"/>
    </row>
    <row r="632" spans="2:21">
      <c r="B632" s="292"/>
      <c r="C632" s="19">
        <v>1.2083333333333399</v>
      </c>
      <c r="D632" s="5"/>
      <c r="E632" s="11"/>
      <c r="F632" s="10"/>
      <c r="G632" s="10"/>
      <c r="H632" s="42"/>
      <c r="I632" s="9"/>
      <c r="J632" s="9"/>
      <c r="K632" s="9"/>
      <c r="L632" s="27"/>
      <c r="M632" s="27"/>
      <c r="N632" s="26"/>
      <c r="O632" s="106"/>
      <c r="P632" s="106"/>
      <c r="Q632" s="107"/>
      <c r="R632" s="107"/>
      <c r="S632" s="108"/>
      <c r="T632" s="108"/>
      <c r="U632" s="61"/>
    </row>
    <row r="633" spans="2:21">
      <c r="B633" s="292"/>
      <c r="C633" s="19">
        <v>1.25</v>
      </c>
      <c r="D633" s="5"/>
      <c r="E633" s="11"/>
      <c r="F633" s="10"/>
      <c r="G633" s="10"/>
      <c r="H633" s="42"/>
      <c r="I633" s="9"/>
      <c r="J633" s="9"/>
      <c r="K633" s="9"/>
      <c r="L633" s="27"/>
      <c r="M633" s="27"/>
      <c r="N633" s="26"/>
      <c r="O633" s="106"/>
      <c r="P633" s="106"/>
      <c r="Q633" s="107"/>
      <c r="R633" s="107"/>
      <c r="S633" s="108"/>
      <c r="T633" s="108"/>
      <c r="U633" s="61"/>
    </row>
    <row r="634" spans="2:21">
      <c r="B634" s="292"/>
      <c r="C634" s="19">
        <v>1.2916666666666701</v>
      </c>
      <c r="D634" s="5"/>
      <c r="E634" s="11"/>
      <c r="F634" s="10"/>
      <c r="G634" s="10"/>
      <c r="H634" s="42"/>
      <c r="I634" s="9"/>
      <c r="J634" s="9"/>
      <c r="K634" s="9"/>
      <c r="L634" s="27"/>
      <c r="M634" s="27"/>
      <c r="N634" s="26"/>
      <c r="O634" s="106"/>
      <c r="P634" s="106"/>
      <c r="Q634" s="107"/>
      <c r="R634" s="107"/>
      <c r="S634" s="108"/>
      <c r="T634" s="108"/>
      <c r="U634" s="61"/>
    </row>
    <row r="635" spans="2:21">
      <c r="B635" s="293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09">
        <f t="shared" ref="O635:T635" si="45">IFERROR(AVERAGE(O610:O634),0)</f>
        <v>0</v>
      </c>
      <c r="P635" s="109">
        <f t="shared" si="45"/>
        <v>0</v>
      </c>
      <c r="Q635" s="109">
        <f t="shared" si="45"/>
        <v>0</v>
      </c>
      <c r="R635" s="109">
        <f t="shared" si="45"/>
        <v>0</v>
      </c>
      <c r="S635" s="109">
        <f t="shared" si="45"/>
        <v>0</v>
      </c>
      <c r="T635" s="109">
        <f t="shared" si="45"/>
        <v>0</v>
      </c>
      <c r="U635" s="4">
        <f>COUNT(U610:U634)</f>
        <v>0</v>
      </c>
    </row>
    <row r="636" spans="2:21">
      <c r="B636" s="291">
        <f t="shared" ref="B636" si="46">B610+1</f>
        <v>46047</v>
      </c>
      <c r="C636" s="19">
        <v>0.29166666666666669</v>
      </c>
      <c r="D636" s="5"/>
      <c r="E636" s="11"/>
      <c r="F636" s="10"/>
      <c r="G636" s="10"/>
      <c r="H636" s="42"/>
      <c r="I636" s="9"/>
      <c r="J636" s="9"/>
      <c r="K636" s="9"/>
      <c r="L636" s="27"/>
      <c r="M636" s="27"/>
      <c r="N636" s="26"/>
      <c r="O636" s="106"/>
      <c r="P636" s="106"/>
      <c r="Q636" s="107"/>
      <c r="R636" s="107"/>
      <c r="S636" s="108"/>
      <c r="T636" s="108"/>
      <c r="U636" s="61"/>
    </row>
    <row r="637" spans="2:21">
      <c r="B637" s="292"/>
      <c r="C637" s="19">
        <v>0.33333333333333298</v>
      </c>
      <c r="D637" s="5"/>
      <c r="E637" s="11"/>
      <c r="F637" s="10"/>
      <c r="G637" s="10"/>
      <c r="H637" s="42"/>
      <c r="I637" s="9"/>
      <c r="J637" s="9"/>
      <c r="K637" s="9"/>
      <c r="L637" s="27"/>
      <c r="M637" s="27"/>
      <c r="N637" s="26"/>
      <c r="O637" s="106"/>
      <c r="P637" s="106"/>
      <c r="Q637" s="107"/>
      <c r="R637" s="107"/>
      <c r="S637" s="108"/>
      <c r="T637" s="108"/>
      <c r="U637" s="61"/>
    </row>
    <row r="638" spans="2:21">
      <c r="B638" s="292"/>
      <c r="C638" s="19">
        <v>0.375</v>
      </c>
      <c r="D638" s="5"/>
      <c r="E638" s="11"/>
      <c r="F638" s="10"/>
      <c r="G638" s="10"/>
      <c r="H638" s="42"/>
      <c r="I638" s="9"/>
      <c r="J638" s="9"/>
      <c r="K638" s="9"/>
      <c r="L638" s="27"/>
      <c r="M638" s="27"/>
      <c r="N638" s="26"/>
      <c r="O638" s="106"/>
      <c r="P638" s="106"/>
      <c r="Q638" s="107"/>
      <c r="R638" s="107"/>
      <c r="S638" s="108"/>
      <c r="T638" s="108"/>
      <c r="U638" s="61"/>
    </row>
    <row r="639" spans="2:21">
      <c r="B639" s="292"/>
      <c r="C639" s="19">
        <v>0.41666666666666702</v>
      </c>
      <c r="D639" s="5"/>
      <c r="E639" s="11"/>
      <c r="F639" s="10"/>
      <c r="G639" s="10"/>
      <c r="H639" s="42"/>
      <c r="I639" s="9"/>
      <c r="J639" s="9"/>
      <c r="K639" s="9"/>
      <c r="L639" s="27"/>
      <c r="M639" s="27"/>
      <c r="N639" s="26"/>
      <c r="O639" s="106"/>
      <c r="P639" s="106"/>
      <c r="Q639" s="107"/>
      <c r="R639" s="107"/>
      <c r="S639" s="108"/>
      <c r="T639" s="108"/>
      <c r="U639" s="61"/>
    </row>
    <row r="640" spans="2:21">
      <c r="B640" s="292"/>
      <c r="C640" s="19">
        <v>0.45833333333333298</v>
      </c>
      <c r="D640" s="5"/>
      <c r="E640" s="11"/>
      <c r="F640" s="10"/>
      <c r="G640" s="10"/>
      <c r="H640" s="42"/>
      <c r="I640" s="9"/>
      <c r="J640" s="9"/>
      <c r="K640" s="9"/>
      <c r="L640" s="27"/>
      <c r="M640" s="27"/>
      <c r="N640" s="26"/>
      <c r="O640" s="106"/>
      <c r="P640" s="106"/>
      <c r="Q640" s="107"/>
      <c r="R640" s="107"/>
      <c r="S640" s="108"/>
      <c r="T640" s="108"/>
      <c r="U640" s="61"/>
    </row>
    <row r="641" spans="2:21">
      <c r="B641" s="292"/>
      <c r="C641" s="19">
        <v>0.5</v>
      </c>
      <c r="D641" s="5"/>
      <c r="E641" s="11"/>
      <c r="F641" s="10"/>
      <c r="G641" s="10"/>
      <c r="H641" s="42"/>
      <c r="I641" s="9"/>
      <c r="J641" s="9"/>
      <c r="K641" s="9"/>
      <c r="L641" s="27"/>
      <c r="M641" s="27"/>
      <c r="N641" s="26"/>
      <c r="O641" s="106"/>
      <c r="P641" s="106"/>
      <c r="Q641" s="107"/>
      <c r="R641" s="107"/>
      <c r="S641" s="108"/>
      <c r="T641" s="108"/>
      <c r="U641" s="61"/>
    </row>
    <row r="642" spans="2:21">
      <c r="B642" s="292"/>
      <c r="C642" s="19">
        <v>0.54166666666666696</v>
      </c>
      <c r="D642" s="5"/>
      <c r="E642" s="11"/>
      <c r="F642" s="10"/>
      <c r="G642" s="10"/>
      <c r="H642" s="42"/>
      <c r="I642" s="9"/>
      <c r="J642" s="9"/>
      <c r="K642" s="9"/>
      <c r="L642" s="27"/>
      <c r="M642" s="27"/>
      <c r="N642" s="26"/>
      <c r="O642" s="106"/>
      <c r="P642" s="106"/>
      <c r="Q642" s="107"/>
      <c r="R642" s="107"/>
      <c r="S642" s="108"/>
      <c r="T642" s="108"/>
      <c r="U642" s="61"/>
    </row>
    <row r="643" spans="2:21">
      <c r="B643" s="292"/>
      <c r="C643" s="19">
        <v>0.58333333333333304</v>
      </c>
      <c r="D643" s="5"/>
      <c r="E643" s="11"/>
      <c r="F643" s="10"/>
      <c r="G643" s="10"/>
      <c r="H643" s="42"/>
      <c r="I643" s="9"/>
      <c r="J643" s="9"/>
      <c r="K643" s="9"/>
      <c r="L643" s="27"/>
      <c r="M643" s="27"/>
      <c r="N643" s="26"/>
      <c r="O643" s="106"/>
      <c r="P643" s="106"/>
      <c r="Q643" s="107"/>
      <c r="R643" s="107"/>
      <c r="S643" s="108"/>
      <c r="T643" s="108"/>
      <c r="U643" s="65"/>
    </row>
    <row r="644" spans="2:21">
      <c r="B644" s="292"/>
      <c r="C644" s="19">
        <v>0.625</v>
      </c>
      <c r="D644" s="5"/>
      <c r="E644" s="11"/>
      <c r="F644" s="10"/>
      <c r="G644" s="10"/>
      <c r="H644" s="42"/>
      <c r="I644" s="9"/>
      <c r="J644" s="9"/>
      <c r="K644" s="9"/>
      <c r="L644" s="27"/>
      <c r="M644" s="27"/>
      <c r="N644" s="26"/>
      <c r="O644" s="106"/>
      <c r="P644" s="106"/>
      <c r="Q644" s="107"/>
      <c r="R644" s="107"/>
      <c r="S644" s="108"/>
      <c r="T644" s="108"/>
      <c r="U644" s="61"/>
    </row>
    <row r="645" spans="2:21">
      <c r="B645" s="292"/>
      <c r="C645" s="19">
        <v>0.66666666666666596</v>
      </c>
      <c r="D645" s="5"/>
      <c r="E645" s="11"/>
      <c r="F645" s="10"/>
      <c r="G645" s="10"/>
      <c r="H645" s="42"/>
      <c r="I645" s="9"/>
      <c r="J645" s="9"/>
      <c r="K645" s="9"/>
      <c r="L645" s="27"/>
      <c r="M645" s="27"/>
      <c r="N645" s="26"/>
      <c r="O645" s="106"/>
      <c r="P645" s="106"/>
      <c r="Q645" s="107"/>
      <c r="R645" s="107"/>
      <c r="S645" s="108"/>
      <c r="T645" s="108"/>
      <c r="U645" s="61"/>
    </row>
    <row r="646" spans="2:21">
      <c r="B646" s="292"/>
      <c r="C646" s="19">
        <v>0.70833333333333304</v>
      </c>
      <c r="D646" s="5"/>
      <c r="E646" s="11"/>
      <c r="F646" s="10"/>
      <c r="G646" s="10"/>
      <c r="H646" s="42"/>
      <c r="I646" s="9"/>
      <c r="J646" s="9"/>
      <c r="K646" s="9"/>
      <c r="L646" s="27"/>
      <c r="M646" s="27"/>
      <c r="N646" s="26"/>
      <c r="O646" s="106"/>
      <c r="P646" s="106"/>
      <c r="Q646" s="107"/>
      <c r="R646" s="107"/>
      <c r="S646" s="108"/>
      <c r="T646" s="108"/>
      <c r="U646" s="61"/>
    </row>
    <row r="647" spans="2:21">
      <c r="B647" s="292"/>
      <c r="C647" s="19">
        <v>0.75</v>
      </c>
      <c r="D647" s="5"/>
      <c r="E647" s="11"/>
      <c r="F647" s="10"/>
      <c r="G647" s="10"/>
      <c r="H647" s="42"/>
      <c r="I647" s="9"/>
      <c r="J647" s="9"/>
      <c r="K647" s="9"/>
      <c r="L647" s="27"/>
      <c r="M647" s="27"/>
      <c r="N647" s="26"/>
      <c r="O647" s="106"/>
      <c r="P647" s="106"/>
      <c r="Q647" s="107"/>
      <c r="R647" s="107"/>
      <c r="S647" s="108"/>
      <c r="T647" s="108"/>
      <c r="U647" s="61"/>
    </row>
    <row r="648" spans="2:21">
      <c r="B648" s="292"/>
      <c r="C648" s="19">
        <v>0.79166666666666596</v>
      </c>
      <c r="D648" s="5"/>
      <c r="E648" s="11"/>
      <c r="F648" s="10"/>
      <c r="G648" s="10"/>
      <c r="H648" s="42"/>
      <c r="I648" s="9"/>
      <c r="J648" s="9"/>
      <c r="K648" s="9"/>
      <c r="L648" s="27"/>
      <c r="M648" s="27"/>
      <c r="N648" s="26"/>
      <c r="O648" s="106"/>
      <c r="P648" s="106"/>
      <c r="Q648" s="107"/>
      <c r="R648" s="107"/>
      <c r="S648" s="108"/>
      <c r="T648" s="108"/>
      <c r="U648" s="61"/>
    </row>
    <row r="649" spans="2:21">
      <c r="B649" s="292"/>
      <c r="C649" s="19">
        <v>0.83333333333333304</v>
      </c>
      <c r="D649" s="5"/>
      <c r="E649" s="11"/>
      <c r="F649" s="10"/>
      <c r="G649" s="10"/>
      <c r="H649" s="42"/>
      <c r="I649" s="9"/>
      <c r="J649" s="9"/>
      <c r="K649" s="9"/>
      <c r="L649" s="27"/>
      <c r="M649" s="27"/>
      <c r="N649" s="26"/>
      <c r="O649" s="106"/>
      <c r="P649" s="106"/>
      <c r="Q649" s="107"/>
      <c r="R649" s="107"/>
      <c r="S649" s="108"/>
      <c r="T649" s="108"/>
      <c r="U649" s="61"/>
    </row>
    <row r="650" spans="2:21">
      <c r="B650" s="292"/>
      <c r="C650" s="19">
        <v>0.875</v>
      </c>
      <c r="D650" s="5"/>
      <c r="E650" s="11"/>
      <c r="F650" s="10"/>
      <c r="G650" s="10"/>
      <c r="H650" s="42"/>
      <c r="I650" s="9"/>
      <c r="J650" s="9"/>
      <c r="K650" s="9"/>
      <c r="L650" s="27"/>
      <c r="M650" s="27"/>
      <c r="N650" s="26"/>
      <c r="O650" s="106"/>
      <c r="P650" s="106"/>
      <c r="Q650" s="107"/>
      <c r="R650" s="107"/>
      <c r="S650" s="108"/>
      <c r="T650" s="108"/>
      <c r="U650" s="61"/>
    </row>
    <row r="651" spans="2:21">
      <c r="B651" s="292"/>
      <c r="C651" s="19">
        <v>0.91666666666666596</v>
      </c>
      <c r="D651" s="5"/>
      <c r="E651" s="11"/>
      <c r="F651" s="10"/>
      <c r="G651" s="10"/>
      <c r="H651" s="42"/>
      <c r="I651" s="9"/>
      <c r="J651" s="9"/>
      <c r="K651" s="9"/>
      <c r="L651" s="27"/>
      <c r="M651" s="27"/>
      <c r="N651" s="26"/>
      <c r="O651" s="106"/>
      <c r="P651" s="106"/>
      <c r="Q651" s="107"/>
      <c r="R651" s="107"/>
      <c r="S651" s="108"/>
      <c r="T651" s="108"/>
      <c r="U651" s="61"/>
    </row>
    <row r="652" spans="2:21">
      <c r="B652" s="292"/>
      <c r="C652" s="19">
        <v>0.95833333333333304</v>
      </c>
      <c r="D652" s="5"/>
      <c r="E652" s="11"/>
      <c r="F652" s="10"/>
      <c r="G652" s="10"/>
      <c r="H652" s="42"/>
      <c r="I652" s="9"/>
      <c r="J652" s="9"/>
      <c r="K652" s="9"/>
      <c r="L652" s="27"/>
      <c r="M652" s="27"/>
      <c r="N652" s="26"/>
      <c r="O652" s="106"/>
      <c r="P652" s="106"/>
      <c r="Q652" s="107"/>
      <c r="R652" s="107"/>
      <c r="S652" s="108"/>
      <c r="T652" s="108"/>
      <c r="U652" s="61"/>
    </row>
    <row r="653" spans="2:21">
      <c r="B653" s="292"/>
      <c r="C653" s="19">
        <v>1</v>
      </c>
      <c r="D653" s="5"/>
      <c r="E653" s="11"/>
      <c r="F653" s="10"/>
      <c r="G653" s="10"/>
      <c r="H653" s="42"/>
      <c r="I653" s="9"/>
      <c r="J653" s="9"/>
      <c r="K653" s="9"/>
      <c r="L653" s="27"/>
      <c r="M653" s="27"/>
      <c r="N653" s="26"/>
      <c r="O653" s="63"/>
      <c r="P653" s="63"/>
      <c r="Q653" s="62"/>
      <c r="R653" s="62"/>
      <c r="S653" s="64"/>
      <c r="T653" s="64"/>
      <c r="U653" s="61"/>
    </row>
    <row r="654" spans="2:21">
      <c r="B654" s="292"/>
      <c r="C654" s="19">
        <v>1.0416666666666701</v>
      </c>
      <c r="D654" s="5"/>
      <c r="E654" s="11"/>
      <c r="F654" s="10"/>
      <c r="G654" s="10"/>
      <c r="H654" s="42"/>
      <c r="I654" s="9"/>
      <c r="J654" s="9"/>
      <c r="K654" s="9"/>
      <c r="L654" s="27"/>
      <c r="M654" s="27"/>
      <c r="N654" s="26"/>
      <c r="O654" s="63"/>
      <c r="P654" s="63"/>
      <c r="Q654" s="62"/>
      <c r="R654" s="62"/>
      <c r="S654" s="64"/>
      <c r="T654" s="64"/>
      <c r="U654" s="61"/>
    </row>
    <row r="655" spans="2:21">
      <c r="B655" s="292"/>
      <c r="C655" s="19">
        <v>1.0833333333333399</v>
      </c>
      <c r="D655" s="5"/>
      <c r="E655" s="11"/>
      <c r="F655" s="10"/>
      <c r="G655" s="10"/>
      <c r="H655" s="42"/>
      <c r="I655" s="9"/>
      <c r="J655" s="9"/>
      <c r="K655" s="9"/>
      <c r="L655" s="27"/>
      <c r="M655" s="27"/>
      <c r="N655" s="26"/>
      <c r="O655" s="63"/>
      <c r="P655" s="63"/>
      <c r="Q655" s="62"/>
      <c r="R655" s="62"/>
      <c r="S655" s="64"/>
      <c r="T655" s="64"/>
      <c r="U655" s="61"/>
    </row>
    <row r="656" spans="2:21">
      <c r="B656" s="292"/>
      <c r="C656" s="19">
        <v>1.125</v>
      </c>
      <c r="D656" s="5"/>
      <c r="E656" s="11"/>
      <c r="F656" s="10"/>
      <c r="G656" s="10"/>
      <c r="H656" s="42"/>
      <c r="I656" s="9"/>
      <c r="J656" s="9"/>
      <c r="K656" s="9"/>
      <c r="L656" s="27"/>
      <c r="M656" s="27"/>
      <c r="N656" s="26"/>
      <c r="O656" s="63"/>
      <c r="P656" s="63"/>
      <c r="Q656" s="62"/>
      <c r="R656" s="62"/>
      <c r="S656" s="64"/>
      <c r="T656" s="64"/>
      <c r="U656" s="61"/>
    </row>
    <row r="657" spans="2:21">
      <c r="B657" s="292"/>
      <c r="C657" s="19">
        <v>1.1666666666666701</v>
      </c>
      <c r="D657" s="5"/>
      <c r="E657" s="11"/>
      <c r="F657" s="10"/>
      <c r="G657" s="10"/>
      <c r="H657" s="42"/>
      <c r="I657" s="9"/>
      <c r="J657" s="9"/>
      <c r="K657" s="9"/>
      <c r="L657" s="27"/>
      <c r="M657" s="27"/>
      <c r="N657" s="26"/>
      <c r="O657" s="106"/>
      <c r="P657" s="106"/>
      <c r="Q657" s="107"/>
      <c r="R657" s="107"/>
      <c r="S657" s="108"/>
      <c r="T657" s="108"/>
      <c r="U657" s="61"/>
    </row>
    <row r="658" spans="2:21">
      <c r="B658" s="292"/>
      <c r="C658" s="19">
        <v>1.2083333333333399</v>
      </c>
      <c r="D658" s="5"/>
      <c r="E658" s="11"/>
      <c r="F658" s="10"/>
      <c r="G658" s="10"/>
      <c r="H658" s="42"/>
      <c r="I658" s="9"/>
      <c r="J658" s="9"/>
      <c r="K658" s="9"/>
      <c r="L658" s="27"/>
      <c r="M658" s="27"/>
      <c r="N658" s="26"/>
      <c r="O658" s="106"/>
      <c r="P658" s="106"/>
      <c r="Q658" s="107"/>
      <c r="R658" s="107"/>
      <c r="S658" s="108"/>
      <c r="T658" s="108"/>
      <c r="U658" s="61"/>
    </row>
    <row r="659" spans="2:21">
      <c r="B659" s="292"/>
      <c r="C659" s="19">
        <v>1.25</v>
      </c>
      <c r="D659" s="5"/>
      <c r="E659" s="11"/>
      <c r="F659" s="10"/>
      <c r="G659" s="10"/>
      <c r="H659" s="42"/>
      <c r="I659" s="9"/>
      <c r="J659" s="9"/>
      <c r="K659" s="9"/>
      <c r="L659" s="27"/>
      <c r="M659" s="27"/>
      <c r="N659" s="26"/>
      <c r="O659" s="106"/>
      <c r="P659" s="106"/>
      <c r="Q659" s="107"/>
      <c r="R659" s="107"/>
      <c r="S659" s="108"/>
      <c r="T659" s="108"/>
      <c r="U659" s="61"/>
    </row>
    <row r="660" spans="2:21">
      <c r="B660" s="292"/>
      <c r="C660" s="19">
        <v>1.2916666666666701</v>
      </c>
      <c r="D660" s="5"/>
      <c r="E660" s="11"/>
      <c r="F660" s="10"/>
      <c r="G660" s="10"/>
      <c r="H660" s="42"/>
      <c r="I660" s="9"/>
      <c r="J660" s="9"/>
      <c r="K660" s="9"/>
      <c r="L660" s="27"/>
      <c r="M660" s="27"/>
      <c r="N660" s="26"/>
      <c r="O660" s="106"/>
      <c r="P660" s="106"/>
      <c r="Q660" s="107"/>
      <c r="R660" s="107"/>
      <c r="S660" s="108"/>
      <c r="T660" s="108"/>
      <c r="U660" s="61"/>
    </row>
    <row r="661" spans="2:21">
      <c r="B661" s="293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09">
        <f t="shared" ref="O661:T661" si="47">IFERROR(AVERAGE(O636:O660),0)</f>
        <v>0</v>
      </c>
      <c r="P661" s="109">
        <f t="shared" si="47"/>
        <v>0</v>
      </c>
      <c r="Q661" s="109">
        <f t="shared" si="47"/>
        <v>0</v>
      </c>
      <c r="R661" s="109">
        <f t="shared" si="47"/>
        <v>0</v>
      </c>
      <c r="S661" s="109">
        <f t="shared" si="47"/>
        <v>0</v>
      </c>
      <c r="T661" s="109">
        <f t="shared" si="47"/>
        <v>0</v>
      </c>
      <c r="U661" s="4">
        <f>COUNT(U636:U660)</f>
        <v>0</v>
      </c>
    </row>
    <row r="662" spans="2:21">
      <c r="B662" s="291">
        <f t="shared" ref="B662" si="48">B636+1</f>
        <v>46048</v>
      </c>
      <c r="C662" s="19">
        <v>0.29166666666666669</v>
      </c>
      <c r="D662" s="5"/>
      <c r="E662" s="11"/>
      <c r="F662" s="10"/>
      <c r="G662" s="10"/>
      <c r="H662" s="42"/>
      <c r="I662" s="9"/>
      <c r="J662" s="9"/>
      <c r="K662" s="9"/>
      <c r="L662" s="27"/>
      <c r="M662" s="27"/>
      <c r="N662" s="26"/>
      <c r="O662" s="106"/>
      <c r="P662" s="106"/>
      <c r="Q662" s="107"/>
      <c r="R662" s="107"/>
      <c r="S662" s="108"/>
      <c r="T662" s="108"/>
      <c r="U662" s="61"/>
    </row>
    <row r="663" spans="2:21">
      <c r="B663" s="292"/>
      <c r="C663" s="19">
        <v>0.33333333333333298</v>
      </c>
      <c r="D663" s="5"/>
      <c r="E663" s="11"/>
      <c r="F663" s="10"/>
      <c r="G663" s="10"/>
      <c r="H663" s="42"/>
      <c r="I663" s="9"/>
      <c r="J663" s="9"/>
      <c r="K663" s="9"/>
      <c r="L663" s="27"/>
      <c r="M663" s="27"/>
      <c r="N663" s="26"/>
      <c r="O663" s="106"/>
      <c r="P663" s="106"/>
      <c r="Q663" s="107"/>
      <c r="R663" s="107"/>
      <c r="S663" s="108"/>
      <c r="T663" s="108"/>
      <c r="U663" s="61"/>
    </row>
    <row r="664" spans="2:21">
      <c r="B664" s="292"/>
      <c r="C664" s="19">
        <v>0.375</v>
      </c>
      <c r="D664" s="5"/>
      <c r="E664" s="11"/>
      <c r="F664" s="10"/>
      <c r="G664" s="10"/>
      <c r="H664" s="42"/>
      <c r="I664" s="9"/>
      <c r="J664" s="9"/>
      <c r="K664" s="9"/>
      <c r="L664" s="27"/>
      <c r="M664" s="27"/>
      <c r="N664" s="26"/>
      <c r="O664" s="106"/>
      <c r="P664" s="106"/>
      <c r="Q664" s="107"/>
      <c r="R664" s="107"/>
      <c r="S664" s="108"/>
      <c r="T664" s="108"/>
      <c r="U664" s="61"/>
    </row>
    <row r="665" spans="2:21">
      <c r="B665" s="292"/>
      <c r="C665" s="19">
        <v>0.41666666666666702</v>
      </c>
      <c r="D665" s="5"/>
      <c r="E665" s="11"/>
      <c r="F665" s="10"/>
      <c r="G665" s="10"/>
      <c r="H665" s="42"/>
      <c r="I665" s="9"/>
      <c r="J665" s="9"/>
      <c r="K665" s="9"/>
      <c r="L665" s="27"/>
      <c r="M665" s="27"/>
      <c r="N665" s="26"/>
      <c r="O665" s="106"/>
      <c r="P665" s="106"/>
      <c r="Q665" s="107"/>
      <c r="R665" s="107"/>
      <c r="S665" s="108"/>
      <c r="T665" s="108"/>
      <c r="U665" s="61"/>
    </row>
    <row r="666" spans="2:21">
      <c r="B666" s="292"/>
      <c r="C666" s="19">
        <v>0.45833333333333298</v>
      </c>
      <c r="D666" s="5"/>
      <c r="E666" s="11"/>
      <c r="F666" s="10"/>
      <c r="G666" s="10"/>
      <c r="H666" s="42"/>
      <c r="I666" s="9"/>
      <c r="J666" s="9"/>
      <c r="K666" s="9"/>
      <c r="L666" s="27"/>
      <c r="M666" s="27"/>
      <c r="N666" s="26"/>
      <c r="O666" s="106"/>
      <c r="P666" s="106"/>
      <c r="Q666" s="107"/>
      <c r="R666" s="107"/>
      <c r="S666" s="108"/>
      <c r="T666" s="108"/>
      <c r="U666" s="61"/>
    </row>
    <row r="667" spans="2:21">
      <c r="B667" s="292"/>
      <c r="C667" s="19">
        <v>0.5</v>
      </c>
      <c r="D667" s="5"/>
      <c r="E667" s="11"/>
      <c r="F667" s="10"/>
      <c r="G667" s="10"/>
      <c r="H667" s="42"/>
      <c r="I667" s="9"/>
      <c r="J667" s="9"/>
      <c r="K667" s="9"/>
      <c r="L667" s="27"/>
      <c r="M667" s="27"/>
      <c r="N667" s="26"/>
      <c r="O667" s="106"/>
      <c r="P667" s="106"/>
      <c r="Q667" s="107"/>
      <c r="R667" s="107"/>
      <c r="S667" s="108"/>
      <c r="T667" s="108"/>
      <c r="U667" s="61"/>
    </row>
    <row r="668" spans="2:21">
      <c r="B668" s="292"/>
      <c r="C668" s="19">
        <v>0.54166666666666696</v>
      </c>
      <c r="D668" s="5"/>
      <c r="E668" s="11"/>
      <c r="F668" s="10"/>
      <c r="G668" s="10"/>
      <c r="H668" s="42"/>
      <c r="I668" s="9"/>
      <c r="J668" s="9"/>
      <c r="K668" s="9"/>
      <c r="L668" s="27"/>
      <c r="M668" s="27"/>
      <c r="N668" s="26"/>
      <c r="O668" s="106"/>
      <c r="P668" s="106"/>
      <c r="Q668" s="107"/>
      <c r="R668" s="107"/>
      <c r="S668" s="108"/>
      <c r="T668" s="108"/>
      <c r="U668" s="61"/>
    </row>
    <row r="669" spans="2:21">
      <c r="B669" s="292"/>
      <c r="C669" s="19">
        <v>0.58333333333333304</v>
      </c>
      <c r="D669" s="5"/>
      <c r="E669" s="11"/>
      <c r="F669" s="10"/>
      <c r="G669" s="10"/>
      <c r="H669" s="42"/>
      <c r="I669" s="9"/>
      <c r="J669" s="9"/>
      <c r="K669" s="9"/>
      <c r="L669" s="27"/>
      <c r="M669" s="27"/>
      <c r="N669" s="26"/>
      <c r="O669" s="106"/>
      <c r="P669" s="106"/>
      <c r="Q669" s="107"/>
      <c r="R669" s="107"/>
      <c r="S669" s="108"/>
      <c r="T669" s="108"/>
      <c r="U669" s="65"/>
    </row>
    <row r="670" spans="2:21">
      <c r="B670" s="292"/>
      <c r="C670" s="19">
        <v>0.625</v>
      </c>
      <c r="D670" s="5"/>
      <c r="E670" s="11"/>
      <c r="F670" s="10"/>
      <c r="G670" s="10"/>
      <c r="H670" s="42"/>
      <c r="I670" s="9"/>
      <c r="J670" s="9"/>
      <c r="K670" s="9"/>
      <c r="L670" s="27"/>
      <c r="M670" s="27"/>
      <c r="N670" s="26"/>
      <c r="O670" s="106"/>
      <c r="P670" s="106"/>
      <c r="Q670" s="107"/>
      <c r="R670" s="107"/>
      <c r="S670" s="108"/>
      <c r="T670" s="108"/>
      <c r="U670" s="61"/>
    </row>
    <row r="671" spans="2:21">
      <c r="B671" s="292"/>
      <c r="C671" s="19">
        <v>0.66666666666666596</v>
      </c>
      <c r="D671" s="5"/>
      <c r="E671" s="11"/>
      <c r="F671" s="10"/>
      <c r="G671" s="10"/>
      <c r="H671" s="42"/>
      <c r="I671" s="9"/>
      <c r="J671" s="9"/>
      <c r="K671" s="9"/>
      <c r="L671" s="27"/>
      <c r="M671" s="27"/>
      <c r="N671" s="26"/>
      <c r="O671" s="106"/>
      <c r="P671" s="106"/>
      <c r="Q671" s="107"/>
      <c r="R671" s="107"/>
      <c r="S671" s="108"/>
      <c r="T671" s="108"/>
      <c r="U671" s="61"/>
    </row>
    <row r="672" spans="2:21">
      <c r="B672" s="292"/>
      <c r="C672" s="19">
        <v>0.70833333333333304</v>
      </c>
      <c r="D672" s="5"/>
      <c r="E672" s="11"/>
      <c r="F672" s="10"/>
      <c r="G672" s="10"/>
      <c r="H672" s="42"/>
      <c r="I672" s="9"/>
      <c r="J672" s="9"/>
      <c r="K672" s="9"/>
      <c r="L672" s="27"/>
      <c r="M672" s="27"/>
      <c r="N672" s="26"/>
      <c r="O672" s="106"/>
      <c r="P672" s="106"/>
      <c r="Q672" s="107"/>
      <c r="R672" s="107"/>
      <c r="S672" s="108"/>
      <c r="T672" s="108"/>
      <c r="U672" s="61"/>
    </row>
    <row r="673" spans="2:21">
      <c r="B673" s="292"/>
      <c r="C673" s="19">
        <v>0.75</v>
      </c>
      <c r="D673" s="5"/>
      <c r="E673" s="11"/>
      <c r="F673" s="10"/>
      <c r="G673" s="10"/>
      <c r="H673" s="42"/>
      <c r="I673" s="9"/>
      <c r="J673" s="9"/>
      <c r="K673" s="9"/>
      <c r="L673" s="27"/>
      <c r="M673" s="27"/>
      <c r="N673" s="26"/>
      <c r="O673" s="106"/>
      <c r="P673" s="106"/>
      <c r="Q673" s="107"/>
      <c r="R673" s="107"/>
      <c r="S673" s="108"/>
      <c r="T673" s="108"/>
      <c r="U673" s="61"/>
    </row>
    <row r="674" spans="2:21">
      <c r="B674" s="292"/>
      <c r="C674" s="19">
        <v>0.79166666666666596</v>
      </c>
      <c r="D674" s="5"/>
      <c r="E674" s="11"/>
      <c r="F674" s="10"/>
      <c r="G674" s="10"/>
      <c r="H674" s="42"/>
      <c r="I674" s="9"/>
      <c r="J674" s="9"/>
      <c r="K674" s="9"/>
      <c r="L674" s="27"/>
      <c r="M674" s="27"/>
      <c r="N674" s="26"/>
      <c r="O674" s="106"/>
      <c r="P674" s="106"/>
      <c r="Q674" s="107"/>
      <c r="R674" s="107"/>
      <c r="S674" s="108"/>
      <c r="T674" s="108"/>
      <c r="U674" s="61"/>
    </row>
    <row r="675" spans="2:21">
      <c r="B675" s="292"/>
      <c r="C675" s="19">
        <v>0.83333333333333304</v>
      </c>
      <c r="D675" s="5"/>
      <c r="E675" s="11"/>
      <c r="F675" s="10"/>
      <c r="G675" s="10"/>
      <c r="H675" s="42"/>
      <c r="I675" s="9"/>
      <c r="J675" s="9"/>
      <c r="K675" s="9"/>
      <c r="L675" s="27"/>
      <c r="M675" s="27"/>
      <c r="N675" s="26"/>
      <c r="O675" s="106"/>
      <c r="P675" s="106"/>
      <c r="Q675" s="107"/>
      <c r="R675" s="107"/>
      <c r="S675" s="108"/>
      <c r="T675" s="108"/>
      <c r="U675" s="61"/>
    </row>
    <row r="676" spans="2:21">
      <c r="B676" s="292"/>
      <c r="C676" s="19">
        <v>0.875</v>
      </c>
      <c r="D676" s="5"/>
      <c r="E676" s="11"/>
      <c r="F676" s="10"/>
      <c r="G676" s="10"/>
      <c r="H676" s="42"/>
      <c r="I676" s="9"/>
      <c r="J676" s="9"/>
      <c r="K676" s="9"/>
      <c r="L676" s="27"/>
      <c r="M676" s="27"/>
      <c r="N676" s="26"/>
      <c r="O676" s="106"/>
      <c r="P676" s="106"/>
      <c r="Q676" s="107"/>
      <c r="R676" s="107"/>
      <c r="S676" s="108"/>
      <c r="T676" s="108"/>
      <c r="U676" s="61"/>
    </row>
    <row r="677" spans="2:21">
      <c r="B677" s="292"/>
      <c r="C677" s="19">
        <v>0.91666666666666596</v>
      </c>
      <c r="D677" s="5"/>
      <c r="E677" s="11"/>
      <c r="F677" s="10"/>
      <c r="G677" s="10"/>
      <c r="H677" s="42"/>
      <c r="I677" s="9"/>
      <c r="J677" s="9"/>
      <c r="K677" s="9"/>
      <c r="L677" s="27"/>
      <c r="M677" s="27"/>
      <c r="N677" s="26"/>
      <c r="O677" s="106"/>
      <c r="P677" s="106"/>
      <c r="Q677" s="107"/>
      <c r="R677" s="107"/>
      <c r="S677" s="108"/>
      <c r="T677" s="108"/>
      <c r="U677" s="61"/>
    </row>
    <row r="678" spans="2:21">
      <c r="B678" s="292"/>
      <c r="C678" s="19">
        <v>0.95833333333333304</v>
      </c>
      <c r="D678" s="5"/>
      <c r="E678" s="11"/>
      <c r="F678" s="10"/>
      <c r="G678" s="10"/>
      <c r="H678" s="42"/>
      <c r="I678" s="9"/>
      <c r="J678" s="9"/>
      <c r="K678" s="9"/>
      <c r="L678" s="27"/>
      <c r="M678" s="27"/>
      <c r="N678" s="26"/>
      <c r="O678" s="106"/>
      <c r="P678" s="106"/>
      <c r="Q678" s="107"/>
      <c r="R678" s="107"/>
      <c r="S678" s="108"/>
      <c r="T678" s="108"/>
      <c r="U678" s="61"/>
    </row>
    <row r="679" spans="2:21">
      <c r="B679" s="292"/>
      <c r="C679" s="19">
        <v>1</v>
      </c>
      <c r="D679" s="5"/>
      <c r="E679" s="11"/>
      <c r="F679" s="10"/>
      <c r="G679" s="10"/>
      <c r="H679" s="42"/>
      <c r="I679" s="9"/>
      <c r="J679" s="9"/>
      <c r="K679" s="9"/>
      <c r="L679" s="27"/>
      <c r="M679" s="27"/>
      <c r="N679" s="26"/>
      <c r="O679" s="63"/>
      <c r="P679" s="63"/>
      <c r="Q679" s="62"/>
      <c r="R679" s="62"/>
      <c r="S679" s="64"/>
      <c r="T679" s="64"/>
      <c r="U679" s="61"/>
    </row>
    <row r="680" spans="2:21">
      <c r="B680" s="292"/>
      <c r="C680" s="19">
        <v>1.0416666666666701</v>
      </c>
      <c r="D680" s="5"/>
      <c r="E680" s="11"/>
      <c r="F680" s="10"/>
      <c r="G680" s="10"/>
      <c r="H680" s="42"/>
      <c r="I680" s="9"/>
      <c r="J680" s="9"/>
      <c r="K680" s="9"/>
      <c r="L680" s="27"/>
      <c r="M680" s="27"/>
      <c r="N680" s="26"/>
      <c r="O680" s="63"/>
      <c r="P680" s="63"/>
      <c r="Q680" s="62"/>
      <c r="R680" s="62"/>
      <c r="S680" s="64"/>
      <c r="T680" s="64"/>
      <c r="U680" s="61"/>
    </row>
    <row r="681" spans="2:21">
      <c r="B681" s="292"/>
      <c r="C681" s="19">
        <v>1.0833333333333399</v>
      </c>
      <c r="D681" s="5"/>
      <c r="E681" s="11"/>
      <c r="F681" s="10"/>
      <c r="G681" s="10"/>
      <c r="H681" s="42"/>
      <c r="I681" s="9"/>
      <c r="J681" s="9"/>
      <c r="K681" s="9"/>
      <c r="L681" s="27"/>
      <c r="M681" s="27"/>
      <c r="N681" s="26"/>
      <c r="O681" s="63"/>
      <c r="P681" s="63"/>
      <c r="Q681" s="62"/>
      <c r="R681" s="62"/>
      <c r="S681" s="64"/>
      <c r="T681" s="64"/>
      <c r="U681" s="61"/>
    </row>
    <row r="682" spans="2:21">
      <c r="B682" s="292"/>
      <c r="C682" s="19">
        <v>1.125</v>
      </c>
      <c r="D682" s="5"/>
      <c r="E682" s="11"/>
      <c r="F682" s="10"/>
      <c r="G682" s="10"/>
      <c r="H682" s="42"/>
      <c r="I682" s="9"/>
      <c r="J682" s="9"/>
      <c r="K682" s="9"/>
      <c r="L682" s="27"/>
      <c r="M682" s="27"/>
      <c r="N682" s="26"/>
      <c r="O682" s="63"/>
      <c r="P682" s="63"/>
      <c r="Q682" s="62"/>
      <c r="R682" s="62"/>
      <c r="S682" s="64"/>
      <c r="T682" s="64"/>
      <c r="U682" s="61"/>
    </row>
    <row r="683" spans="2:21">
      <c r="B683" s="292"/>
      <c r="C683" s="19">
        <v>1.1666666666666701</v>
      </c>
      <c r="D683" s="5"/>
      <c r="E683" s="11"/>
      <c r="F683" s="10"/>
      <c r="G683" s="10"/>
      <c r="H683" s="42"/>
      <c r="I683" s="9"/>
      <c r="J683" s="9"/>
      <c r="K683" s="9"/>
      <c r="L683" s="27"/>
      <c r="M683" s="27"/>
      <c r="N683" s="26"/>
      <c r="O683" s="106"/>
      <c r="P683" s="106"/>
      <c r="Q683" s="107"/>
      <c r="R683" s="107"/>
      <c r="S683" s="108"/>
      <c r="T683" s="108"/>
      <c r="U683" s="61"/>
    </row>
    <row r="684" spans="2:21">
      <c r="B684" s="292"/>
      <c r="C684" s="19">
        <v>1.2083333333333399</v>
      </c>
      <c r="D684" s="5"/>
      <c r="E684" s="11"/>
      <c r="F684" s="10"/>
      <c r="G684" s="10"/>
      <c r="H684" s="42"/>
      <c r="I684" s="9"/>
      <c r="J684" s="9"/>
      <c r="K684" s="9"/>
      <c r="L684" s="27"/>
      <c r="M684" s="27"/>
      <c r="N684" s="26"/>
      <c r="O684" s="106"/>
      <c r="P684" s="106"/>
      <c r="Q684" s="107"/>
      <c r="R684" s="107"/>
      <c r="S684" s="108"/>
      <c r="T684" s="108"/>
      <c r="U684" s="61"/>
    </row>
    <row r="685" spans="2:21">
      <c r="B685" s="292"/>
      <c r="C685" s="19">
        <v>1.25</v>
      </c>
      <c r="D685" s="5"/>
      <c r="E685" s="11"/>
      <c r="F685" s="10"/>
      <c r="G685" s="10"/>
      <c r="H685" s="42"/>
      <c r="I685" s="9"/>
      <c r="J685" s="9"/>
      <c r="K685" s="9"/>
      <c r="L685" s="27"/>
      <c r="M685" s="27"/>
      <c r="N685" s="26"/>
      <c r="O685" s="106"/>
      <c r="P685" s="106"/>
      <c r="Q685" s="107"/>
      <c r="R685" s="107"/>
      <c r="S685" s="108"/>
      <c r="T685" s="108"/>
      <c r="U685" s="61"/>
    </row>
    <row r="686" spans="2:21">
      <c r="B686" s="292"/>
      <c r="C686" s="19">
        <v>1.2916666666666701</v>
      </c>
      <c r="D686" s="5"/>
      <c r="E686" s="11"/>
      <c r="F686" s="10"/>
      <c r="G686" s="10"/>
      <c r="H686" s="42"/>
      <c r="I686" s="9"/>
      <c r="J686" s="9"/>
      <c r="K686" s="9"/>
      <c r="L686" s="27"/>
      <c r="M686" s="27"/>
      <c r="N686" s="26"/>
      <c r="O686" s="106"/>
      <c r="P686" s="106"/>
      <c r="Q686" s="107"/>
      <c r="R686" s="107"/>
      <c r="S686" s="108"/>
      <c r="T686" s="108"/>
      <c r="U686" s="61"/>
    </row>
    <row r="687" spans="2:21">
      <c r="B687" s="293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09">
        <f t="shared" ref="O687:T687" si="49">IFERROR(AVERAGE(O662:O686),0)</f>
        <v>0</v>
      </c>
      <c r="P687" s="109">
        <f t="shared" si="49"/>
        <v>0</v>
      </c>
      <c r="Q687" s="109">
        <f t="shared" si="49"/>
        <v>0</v>
      </c>
      <c r="R687" s="109">
        <f t="shared" si="49"/>
        <v>0</v>
      </c>
      <c r="S687" s="109">
        <f t="shared" si="49"/>
        <v>0</v>
      </c>
      <c r="T687" s="109">
        <f t="shared" si="49"/>
        <v>0</v>
      </c>
      <c r="U687" s="4">
        <f>COUNT(U662:U686)</f>
        <v>0</v>
      </c>
    </row>
    <row r="688" spans="2:21">
      <c r="B688" s="291">
        <f t="shared" ref="B688" si="50">B662+1</f>
        <v>46049</v>
      </c>
      <c r="C688" s="19">
        <v>0.29166666666666669</v>
      </c>
      <c r="D688" s="5"/>
      <c r="E688" s="11"/>
      <c r="F688" s="10"/>
      <c r="G688" s="10"/>
      <c r="H688" s="42"/>
      <c r="I688" s="9"/>
      <c r="J688" s="9"/>
      <c r="K688" s="9"/>
      <c r="L688" s="27"/>
      <c r="M688" s="27"/>
      <c r="N688" s="26"/>
      <c r="O688" s="106"/>
      <c r="P688" s="106"/>
      <c r="Q688" s="107"/>
      <c r="R688" s="107"/>
      <c r="S688" s="108"/>
      <c r="T688" s="108"/>
      <c r="U688" s="61"/>
    </row>
    <row r="689" spans="2:21">
      <c r="B689" s="292"/>
      <c r="C689" s="19">
        <v>0.33333333333333298</v>
      </c>
      <c r="D689" s="5"/>
      <c r="E689" s="11"/>
      <c r="F689" s="10"/>
      <c r="G689" s="10"/>
      <c r="H689" s="42"/>
      <c r="I689" s="9"/>
      <c r="J689" s="9"/>
      <c r="K689" s="9"/>
      <c r="L689" s="27"/>
      <c r="M689" s="27"/>
      <c r="N689" s="26"/>
      <c r="O689" s="106"/>
      <c r="P689" s="106"/>
      <c r="Q689" s="107"/>
      <c r="R689" s="107"/>
      <c r="S689" s="108"/>
      <c r="T689" s="108"/>
      <c r="U689" s="61"/>
    </row>
    <row r="690" spans="2:21">
      <c r="B690" s="292"/>
      <c r="C690" s="19">
        <v>0.375</v>
      </c>
      <c r="D690" s="5"/>
      <c r="E690" s="11"/>
      <c r="F690" s="10"/>
      <c r="G690" s="10"/>
      <c r="H690" s="42"/>
      <c r="I690" s="9"/>
      <c r="J690" s="9"/>
      <c r="K690" s="9"/>
      <c r="L690" s="27"/>
      <c r="M690" s="27"/>
      <c r="N690" s="26"/>
      <c r="O690" s="106"/>
      <c r="P690" s="106"/>
      <c r="Q690" s="107"/>
      <c r="R690" s="107"/>
      <c r="S690" s="108"/>
      <c r="T690" s="108"/>
      <c r="U690" s="61"/>
    </row>
    <row r="691" spans="2:21">
      <c r="B691" s="292"/>
      <c r="C691" s="19">
        <v>0.41666666666666702</v>
      </c>
      <c r="D691" s="5"/>
      <c r="E691" s="11"/>
      <c r="F691" s="10"/>
      <c r="G691" s="10"/>
      <c r="H691" s="42"/>
      <c r="I691" s="9"/>
      <c r="J691" s="9"/>
      <c r="K691" s="9"/>
      <c r="L691" s="27"/>
      <c r="M691" s="27"/>
      <c r="N691" s="26"/>
      <c r="O691" s="106"/>
      <c r="P691" s="106"/>
      <c r="Q691" s="107"/>
      <c r="R691" s="107"/>
      <c r="S691" s="108"/>
      <c r="T691" s="108"/>
      <c r="U691" s="61"/>
    </row>
    <row r="692" spans="2:21">
      <c r="B692" s="292"/>
      <c r="C692" s="19">
        <v>0.45833333333333298</v>
      </c>
      <c r="D692" s="5"/>
      <c r="E692" s="11"/>
      <c r="F692" s="10"/>
      <c r="G692" s="10"/>
      <c r="H692" s="42"/>
      <c r="I692" s="9"/>
      <c r="J692" s="9"/>
      <c r="K692" s="9"/>
      <c r="L692" s="27"/>
      <c r="M692" s="27"/>
      <c r="N692" s="26"/>
      <c r="O692" s="106"/>
      <c r="P692" s="106"/>
      <c r="Q692" s="107"/>
      <c r="R692" s="107"/>
      <c r="S692" s="108"/>
      <c r="T692" s="108"/>
      <c r="U692" s="61"/>
    </row>
    <row r="693" spans="2:21">
      <c r="B693" s="292"/>
      <c r="C693" s="19">
        <v>0.5</v>
      </c>
      <c r="D693" s="5"/>
      <c r="E693" s="11"/>
      <c r="F693" s="10"/>
      <c r="G693" s="10"/>
      <c r="H693" s="42"/>
      <c r="I693" s="9"/>
      <c r="J693" s="9"/>
      <c r="K693" s="9"/>
      <c r="L693" s="27"/>
      <c r="M693" s="27"/>
      <c r="N693" s="26"/>
      <c r="O693" s="106"/>
      <c r="P693" s="106"/>
      <c r="Q693" s="107"/>
      <c r="R693" s="107"/>
      <c r="S693" s="108"/>
      <c r="T693" s="108"/>
      <c r="U693" s="61"/>
    </row>
    <row r="694" spans="2:21">
      <c r="B694" s="292"/>
      <c r="C694" s="19">
        <v>0.54166666666666696</v>
      </c>
      <c r="D694" s="5"/>
      <c r="E694" s="11"/>
      <c r="F694" s="10"/>
      <c r="G694" s="10"/>
      <c r="H694" s="42"/>
      <c r="I694" s="9"/>
      <c r="J694" s="9"/>
      <c r="K694" s="9"/>
      <c r="L694" s="27"/>
      <c r="M694" s="27"/>
      <c r="N694" s="26"/>
      <c r="O694" s="106"/>
      <c r="P694" s="106"/>
      <c r="Q694" s="107"/>
      <c r="R694" s="107"/>
      <c r="S694" s="108"/>
      <c r="T694" s="108"/>
      <c r="U694" s="61"/>
    </row>
    <row r="695" spans="2:21">
      <c r="B695" s="292"/>
      <c r="C695" s="19">
        <v>0.58333333333333304</v>
      </c>
      <c r="D695" s="5"/>
      <c r="E695" s="11"/>
      <c r="F695" s="10"/>
      <c r="G695" s="10"/>
      <c r="H695" s="42"/>
      <c r="I695" s="9"/>
      <c r="J695" s="9"/>
      <c r="K695" s="9"/>
      <c r="L695" s="27"/>
      <c r="M695" s="27"/>
      <c r="N695" s="26"/>
      <c r="O695" s="106"/>
      <c r="P695" s="106"/>
      <c r="Q695" s="107"/>
      <c r="R695" s="107"/>
      <c r="S695" s="108"/>
      <c r="T695" s="108"/>
      <c r="U695" s="65"/>
    </row>
    <row r="696" spans="2:21">
      <c r="B696" s="292"/>
      <c r="C696" s="19">
        <v>0.625</v>
      </c>
      <c r="D696" s="5"/>
      <c r="E696" s="11"/>
      <c r="F696" s="10"/>
      <c r="G696" s="10"/>
      <c r="H696" s="42"/>
      <c r="I696" s="9"/>
      <c r="J696" s="9"/>
      <c r="K696" s="9"/>
      <c r="L696" s="27"/>
      <c r="M696" s="27"/>
      <c r="N696" s="26"/>
      <c r="O696" s="106"/>
      <c r="P696" s="106"/>
      <c r="Q696" s="107"/>
      <c r="R696" s="107"/>
      <c r="S696" s="108"/>
      <c r="T696" s="108"/>
      <c r="U696" s="61"/>
    </row>
    <row r="697" spans="2:21">
      <c r="B697" s="292"/>
      <c r="C697" s="19">
        <v>0.66666666666666596</v>
      </c>
      <c r="D697" s="5"/>
      <c r="E697" s="11"/>
      <c r="F697" s="10"/>
      <c r="G697" s="10"/>
      <c r="H697" s="42"/>
      <c r="I697" s="9"/>
      <c r="J697" s="9"/>
      <c r="K697" s="9"/>
      <c r="L697" s="27"/>
      <c r="M697" s="27"/>
      <c r="N697" s="26"/>
      <c r="O697" s="106"/>
      <c r="P697" s="106"/>
      <c r="Q697" s="107"/>
      <c r="R697" s="107"/>
      <c r="S697" s="108"/>
      <c r="T697" s="108"/>
      <c r="U697" s="61"/>
    </row>
    <row r="698" spans="2:21">
      <c r="B698" s="292"/>
      <c r="C698" s="19">
        <v>0.70833333333333304</v>
      </c>
      <c r="D698" s="5"/>
      <c r="E698" s="11"/>
      <c r="F698" s="10"/>
      <c r="G698" s="10"/>
      <c r="H698" s="42"/>
      <c r="I698" s="9"/>
      <c r="J698" s="9"/>
      <c r="K698" s="9"/>
      <c r="L698" s="27"/>
      <c r="M698" s="27"/>
      <c r="N698" s="26"/>
      <c r="O698" s="106"/>
      <c r="P698" s="106"/>
      <c r="Q698" s="107"/>
      <c r="R698" s="107"/>
      <c r="S698" s="108"/>
      <c r="T698" s="108"/>
      <c r="U698" s="61"/>
    </row>
    <row r="699" spans="2:21">
      <c r="B699" s="292"/>
      <c r="C699" s="19">
        <v>0.75</v>
      </c>
      <c r="D699" s="5"/>
      <c r="E699" s="11"/>
      <c r="F699" s="10"/>
      <c r="G699" s="10"/>
      <c r="H699" s="42"/>
      <c r="I699" s="9"/>
      <c r="J699" s="9"/>
      <c r="K699" s="9"/>
      <c r="L699" s="27"/>
      <c r="M699" s="27"/>
      <c r="N699" s="26"/>
      <c r="O699" s="106"/>
      <c r="P699" s="106"/>
      <c r="Q699" s="107"/>
      <c r="R699" s="107"/>
      <c r="S699" s="108"/>
      <c r="T699" s="108"/>
      <c r="U699" s="61"/>
    </row>
    <row r="700" spans="2:21">
      <c r="B700" s="292"/>
      <c r="C700" s="19">
        <v>0.79166666666666596</v>
      </c>
      <c r="D700" s="5"/>
      <c r="E700" s="11"/>
      <c r="F700" s="10"/>
      <c r="G700" s="10"/>
      <c r="H700" s="42"/>
      <c r="I700" s="9"/>
      <c r="J700" s="9"/>
      <c r="K700" s="9"/>
      <c r="L700" s="27"/>
      <c r="M700" s="27"/>
      <c r="N700" s="26"/>
      <c r="O700" s="106"/>
      <c r="P700" s="106"/>
      <c r="Q700" s="107"/>
      <c r="R700" s="107"/>
      <c r="S700" s="108"/>
      <c r="T700" s="108"/>
      <c r="U700" s="61"/>
    </row>
    <row r="701" spans="2:21">
      <c r="B701" s="292"/>
      <c r="C701" s="19">
        <v>0.83333333333333304</v>
      </c>
      <c r="D701" s="5"/>
      <c r="E701" s="11"/>
      <c r="F701" s="10"/>
      <c r="G701" s="10"/>
      <c r="H701" s="42"/>
      <c r="I701" s="9"/>
      <c r="J701" s="9"/>
      <c r="K701" s="9"/>
      <c r="L701" s="27"/>
      <c r="M701" s="27"/>
      <c r="N701" s="26"/>
      <c r="O701" s="106"/>
      <c r="P701" s="106"/>
      <c r="Q701" s="107"/>
      <c r="R701" s="107"/>
      <c r="S701" s="108"/>
      <c r="T701" s="108"/>
      <c r="U701" s="61"/>
    </row>
    <row r="702" spans="2:21" ht="15.75" customHeight="1">
      <c r="B702" s="292"/>
      <c r="C702" s="19">
        <v>0.875</v>
      </c>
      <c r="D702" s="5"/>
      <c r="E702" s="11"/>
      <c r="F702" s="10"/>
      <c r="G702" s="10"/>
      <c r="H702" s="42"/>
      <c r="I702" s="9"/>
      <c r="J702" s="9"/>
      <c r="K702" s="9"/>
      <c r="L702" s="27"/>
      <c r="M702" s="27"/>
      <c r="N702" s="26"/>
      <c r="O702" s="106"/>
      <c r="P702" s="106"/>
      <c r="Q702" s="107"/>
      <c r="R702" s="107"/>
      <c r="S702" s="108"/>
      <c r="T702" s="108"/>
      <c r="U702" s="61"/>
    </row>
    <row r="703" spans="2:21">
      <c r="B703" s="292"/>
      <c r="C703" s="19">
        <v>0.91666666666666596</v>
      </c>
      <c r="D703" s="5"/>
      <c r="E703" s="11"/>
      <c r="F703" s="10"/>
      <c r="G703" s="10"/>
      <c r="H703" s="42"/>
      <c r="I703" s="9"/>
      <c r="J703" s="9"/>
      <c r="K703" s="9"/>
      <c r="L703" s="27"/>
      <c r="M703" s="27"/>
      <c r="N703" s="26"/>
      <c r="O703" s="106"/>
      <c r="P703" s="106"/>
      <c r="Q703" s="107"/>
      <c r="R703" s="107"/>
      <c r="S703" s="108"/>
      <c r="T703" s="108"/>
      <c r="U703" s="61"/>
    </row>
    <row r="704" spans="2:21">
      <c r="B704" s="292"/>
      <c r="C704" s="19">
        <v>0.95833333333333304</v>
      </c>
      <c r="D704" s="5"/>
      <c r="E704" s="11"/>
      <c r="F704" s="10"/>
      <c r="G704" s="10"/>
      <c r="H704" s="42"/>
      <c r="I704" s="9"/>
      <c r="J704" s="9"/>
      <c r="K704" s="9"/>
      <c r="L704" s="27"/>
      <c r="M704" s="27"/>
      <c r="N704" s="26"/>
      <c r="O704" s="106"/>
      <c r="P704" s="106"/>
      <c r="Q704" s="107"/>
      <c r="R704" s="107"/>
      <c r="S704" s="108"/>
      <c r="T704" s="108"/>
      <c r="U704" s="61"/>
    </row>
    <row r="705" spans="2:21">
      <c r="B705" s="292"/>
      <c r="C705" s="19">
        <v>1</v>
      </c>
      <c r="D705" s="5"/>
      <c r="E705" s="11"/>
      <c r="F705" s="10"/>
      <c r="G705" s="10"/>
      <c r="H705" s="42"/>
      <c r="I705" s="9"/>
      <c r="J705" s="9"/>
      <c r="K705" s="9"/>
      <c r="L705" s="27"/>
      <c r="M705" s="27"/>
      <c r="N705" s="26"/>
      <c r="O705" s="63"/>
      <c r="P705" s="63"/>
      <c r="Q705" s="62"/>
      <c r="R705" s="62"/>
      <c r="S705" s="64"/>
      <c r="T705" s="64"/>
      <c r="U705" s="61"/>
    </row>
    <row r="706" spans="2:21">
      <c r="B706" s="292"/>
      <c r="C706" s="19">
        <v>1.0416666666666701</v>
      </c>
      <c r="D706" s="5"/>
      <c r="E706" s="11"/>
      <c r="F706" s="10"/>
      <c r="G706" s="10"/>
      <c r="H706" s="42"/>
      <c r="I706" s="9"/>
      <c r="J706" s="9"/>
      <c r="K706" s="9"/>
      <c r="L706" s="27"/>
      <c r="M706" s="27"/>
      <c r="N706" s="26"/>
      <c r="O706" s="63"/>
      <c r="P706" s="63"/>
      <c r="Q706" s="62"/>
      <c r="R706" s="62"/>
      <c r="S706" s="64"/>
      <c r="T706" s="64"/>
      <c r="U706" s="61"/>
    </row>
    <row r="707" spans="2:21">
      <c r="B707" s="292"/>
      <c r="C707" s="19">
        <v>1.0833333333333399</v>
      </c>
      <c r="D707" s="5"/>
      <c r="E707" s="11"/>
      <c r="F707" s="10"/>
      <c r="G707" s="10"/>
      <c r="H707" s="42"/>
      <c r="I707" s="9"/>
      <c r="J707" s="9"/>
      <c r="K707" s="9"/>
      <c r="L707" s="27"/>
      <c r="M707" s="27"/>
      <c r="N707" s="26"/>
      <c r="O707" s="63"/>
      <c r="P707" s="63"/>
      <c r="Q707" s="62"/>
      <c r="R707" s="62"/>
      <c r="S707" s="64"/>
      <c r="T707" s="64"/>
      <c r="U707" s="61"/>
    </row>
    <row r="708" spans="2:21">
      <c r="B708" s="292"/>
      <c r="C708" s="19">
        <v>1.125</v>
      </c>
      <c r="D708" s="5"/>
      <c r="E708" s="11"/>
      <c r="F708" s="10"/>
      <c r="G708" s="10"/>
      <c r="H708" s="42"/>
      <c r="I708" s="9"/>
      <c r="J708" s="9"/>
      <c r="K708" s="9"/>
      <c r="L708" s="27"/>
      <c r="M708" s="27"/>
      <c r="N708" s="26"/>
      <c r="O708" s="63"/>
      <c r="P708" s="63"/>
      <c r="Q708" s="62"/>
      <c r="R708" s="62"/>
      <c r="S708" s="64"/>
      <c r="T708" s="64"/>
      <c r="U708" s="61"/>
    </row>
    <row r="709" spans="2:21">
      <c r="B709" s="292"/>
      <c r="C709" s="19">
        <v>1.1666666666666701</v>
      </c>
      <c r="D709" s="5"/>
      <c r="E709" s="11"/>
      <c r="F709" s="10"/>
      <c r="G709" s="10"/>
      <c r="H709" s="42"/>
      <c r="I709" s="9"/>
      <c r="J709" s="9"/>
      <c r="K709" s="9"/>
      <c r="L709" s="27"/>
      <c r="M709" s="27"/>
      <c r="N709" s="26"/>
      <c r="O709" s="106"/>
      <c r="P709" s="106"/>
      <c r="Q709" s="107"/>
      <c r="R709" s="107"/>
      <c r="S709" s="108"/>
      <c r="T709" s="108"/>
      <c r="U709" s="61"/>
    </row>
    <row r="710" spans="2:21">
      <c r="B710" s="292"/>
      <c r="C710" s="19">
        <v>1.2083333333333399</v>
      </c>
      <c r="D710" s="5"/>
      <c r="E710" s="11"/>
      <c r="F710" s="10"/>
      <c r="G710" s="10"/>
      <c r="H710" s="42"/>
      <c r="I710" s="9"/>
      <c r="J710" s="9"/>
      <c r="K710" s="9"/>
      <c r="L710" s="27"/>
      <c r="M710" s="27"/>
      <c r="N710" s="26"/>
      <c r="O710" s="106"/>
      <c r="P710" s="106"/>
      <c r="Q710" s="107"/>
      <c r="R710" s="107"/>
      <c r="S710" s="108"/>
      <c r="T710" s="108"/>
      <c r="U710" s="61"/>
    </row>
    <row r="711" spans="2:21">
      <c r="B711" s="292"/>
      <c r="C711" s="19">
        <v>1.25</v>
      </c>
      <c r="D711" s="5"/>
      <c r="E711" s="11"/>
      <c r="F711" s="10"/>
      <c r="G711" s="10"/>
      <c r="H711" s="42"/>
      <c r="I711" s="9"/>
      <c r="J711" s="9"/>
      <c r="K711" s="9"/>
      <c r="L711" s="27"/>
      <c r="M711" s="27"/>
      <c r="N711" s="26"/>
      <c r="O711" s="106"/>
      <c r="P711" s="106"/>
      <c r="Q711" s="107"/>
      <c r="R711" s="107"/>
      <c r="S711" s="108"/>
      <c r="T711" s="108"/>
      <c r="U711" s="61"/>
    </row>
    <row r="712" spans="2:21">
      <c r="B712" s="292"/>
      <c r="C712" s="19">
        <v>1.2916666666666701</v>
      </c>
      <c r="D712" s="5"/>
      <c r="E712" s="11"/>
      <c r="F712" s="10"/>
      <c r="G712" s="10"/>
      <c r="H712" s="42"/>
      <c r="I712" s="9"/>
      <c r="J712" s="9"/>
      <c r="K712" s="9"/>
      <c r="L712" s="27"/>
      <c r="M712" s="27"/>
      <c r="N712" s="26"/>
      <c r="O712" s="106"/>
      <c r="P712" s="106"/>
      <c r="Q712" s="107"/>
      <c r="R712" s="107"/>
      <c r="S712" s="108"/>
      <c r="T712" s="108"/>
      <c r="U712" s="61"/>
    </row>
    <row r="713" spans="2:21">
      <c r="B713" s="293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09">
        <f t="shared" ref="O713:T713" si="51">IFERROR(AVERAGE(O688:O712),0)</f>
        <v>0</v>
      </c>
      <c r="P713" s="109">
        <f t="shared" si="51"/>
        <v>0</v>
      </c>
      <c r="Q713" s="109">
        <f t="shared" si="51"/>
        <v>0</v>
      </c>
      <c r="R713" s="109">
        <f t="shared" si="51"/>
        <v>0</v>
      </c>
      <c r="S713" s="109">
        <f t="shared" si="51"/>
        <v>0</v>
      </c>
      <c r="T713" s="109">
        <f t="shared" si="51"/>
        <v>0</v>
      </c>
      <c r="U713" s="4">
        <f>COUNT(U688:U712)</f>
        <v>0</v>
      </c>
    </row>
    <row r="714" spans="2:21">
      <c r="B714" s="291">
        <f t="shared" ref="B714" si="52">B688+1</f>
        <v>46050</v>
      </c>
      <c r="C714" s="19">
        <v>0.29166666666666669</v>
      </c>
      <c r="D714" s="5"/>
      <c r="E714" s="11"/>
      <c r="F714" s="10"/>
      <c r="G714" s="10"/>
      <c r="H714" s="42"/>
      <c r="I714" s="9"/>
      <c r="J714" s="9"/>
      <c r="K714" s="9"/>
      <c r="L714" s="27"/>
      <c r="M714" s="27"/>
      <c r="N714" s="26"/>
      <c r="O714" s="106"/>
      <c r="P714" s="106"/>
      <c r="Q714" s="107"/>
      <c r="R714" s="107"/>
      <c r="S714" s="108"/>
      <c r="T714" s="108"/>
      <c r="U714" s="61"/>
    </row>
    <row r="715" spans="2:21">
      <c r="B715" s="292"/>
      <c r="C715" s="19">
        <v>0.33333333333333298</v>
      </c>
      <c r="D715" s="5"/>
      <c r="E715" s="11"/>
      <c r="F715" s="10"/>
      <c r="G715" s="10"/>
      <c r="H715" s="42"/>
      <c r="I715" s="9"/>
      <c r="J715" s="9"/>
      <c r="K715" s="9"/>
      <c r="L715" s="27"/>
      <c r="M715" s="27"/>
      <c r="N715" s="26"/>
      <c r="O715" s="106"/>
      <c r="P715" s="106"/>
      <c r="Q715" s="107"/>
      <c r="R715" s="107"/>
      <c r="S715" s="108"/>
      <c r="T715" s="108"/>
      <c r="U715" s="61"/>
    </row>
    <row r="716" spans="2:21">
      <c r="B716" s="292"/>
      <c r="C716" s="19">
        <v>0.375</v>
      </c>
      <c r="D716" s="5"/>
      <c r="E716" s="11"/>
      <c r="F716" s="10"/>
      <c r="G716" s="10"/>
      <c r="H716" s="42"/>
      <c r="I716" s="9"/>
      <c r="J716" s="9"/>
      <c r="K716" s="9"/>
      <c r="L716" s="27"/>
      <c r="M716" s="27"/>
      <c r="N716" s="26"/>
      <c r="O716" s="106"/>
      <c r="P716" s="106"/>
      <c r="Q716" s="107"/>
      <c r="R716" s="107"/>
      <c r="S716" s="108"/>
      <c r="T716" s="108"/>
      <c r="U716" s="61"/>
    </row>
    <row r="717" spans="2:21">
      <c r="B717" s="292"/>
      <c r="C717" s="19">
        <v>0.41666666666666702</v>
      </c>
      <c r="D717" s="5"/>
      <c r="E717" s="11"/>
      <c r="F717" s="10"/>
      <c r="G717" s="10"/>
      <c r="H717" s="42"/>
      <c r="I717" s="9"/>
      <c r="J717" s="9"/>
      <c r="K717" s="9"/>
      <c r="L717" s="27"/>
      <c r="M717" s="27"/>
      <c r="N717" s="26"/>
      <c r="O717" s="106"/>
      <c r="P717" s="106"/>
      <c r="Q717" s="107"/>
      <c r="R717" s="107"/>
      <c r="S717" s="108"/>
      <c r="T717" s="108"/>
      <c r="U717" s="61"/>
    </row>
    <row r="718" spans="2:21">
      <c r="B718" s="292"/>
      <c r="C718" s="19">
        <v>0.45833333333333298</v>
      </c>
      <c r="D718" s="5"/>
      <c r="E718" s="11"/>
      <c r="F718" s="10"/>
      <c r="G718" s="10"/>
      <c r="H718" s="42"/>
      <c r="I718" s="9"/>
      <c r="J718" s="9"/>
      <c r="K718" s="9"/>
      <c r="L718" s="27"/>
      <c r="M718" s="27"/>
      <c r="N718" s="26"/>
      <c r="O718" s="106"/>
      <c r="P718" s="106"/>
      <c r="Q718" s="107"/>
      <c r="R718" s="107"/>
      <c r="S718" s="108"/>
      <c r="T718" s="108"/>
      <c r="U718" s="61"/>
    </row>
    <row r="719" spans="2:21">
      <c r="B719" s="292"/>
      <c r="C719" s="19">
        <v>0.5</v>
      </c>
      <c r="D719" s="5"/>
      <c r="E719" s="11"/>
      <c r="F719" s="10"/>
      <c r="G719" s="10"/>
      <c r="H719" s="42"/>
      <c r="I719" s="9"/>
      <c r="J719" s="9"/>
      <c r="K719" s="9"/>
      <c r="L719" s="27"/>
      <c r="M719" s="27"/>
      <c r="N719" s="26"/>
      <c r="O719" s="106"/>
      <c r="P719" s="106"/>
      <c r="Q719" s="107"/>
      <c r="R719" s="107"/>
      <c r="S719" s="108"/>
      <c r="T719" s="108"/>
      <c r="U719" s="61"/>
    </row>
    <row r="720" spans="2:21">
      <c r="B720" s="292"/>
      <c r="C720" s="19">
        <v>0.54166666666666696</v>
      </c>
      <c r="D720" s="5"/>
      <c r="E720" s="11"/>
      <c r="F720" s="10"/>
      <c r="G720" s="10"/>
      <c r="H720" s="42"/>
      <c r="I720" s="9"/>
      <c r="J720" s="9"/>
      <c r="K720" s="9"/>
      <c r="L720" s="27"/>
      <c r="M720" s="27"/>
      <c r="N720" s="26"/>
      <c r="O720" s="106"/>
      <c r="P720" s="106"/>
      <c r="Q720" s="107"/>
      <c r="R720" s="107"/>
      <c r="S720" s="108"/>
      <c r="T720" s="108"/>
      <c r="U720" s="61"/>
    </row>
    <row r="721" spans="2:21">
      <c r="B721" s="292"/>
      <c r="C721" s="19">
        <v>0.58333333333333304</v>
      </c>
      <c r="D721" s="5"/>
      <c r="E721" s="11"/>
      <c r="F721" s="10"/>
      <c r="G721" s="10"/>
      <c r="H721" s="42"/>
      <c r="I721" s="9"/>
      <c r="J721" s="9"/>
      <c r="K721" s="9"/>
      <c r="L721" s="27"/>
      <c r="M721" s="27"/>
      <c r="N721" s="26"/>
      <c r="O721" s="106"/>
      <c r="P721" s="106"/>
      <c r="Q721" s="107"/>
      <c r="R721" s="107"/>
      <c r="S721" s="108"/>
      <c r="T721" s="108"/>
      <c r="U721" s="65"/>
    </row>
    <row r="722" spans="2:21">
      <c r="B722" s="292"/>
      <c r="C722" s="19">
        <v>0.625</v>
      </c>
      <c r="D722" s="5"/>
      <c r="E722" s="11"/>
      <c r="F722" s="10"/>
      <c r="G722" s="10"/>
      <c r="H722" s="42"/>
      <c r="I722" s="9"/>
      <c r="J722" s="9"/>
      <c r="K722" s="9"/>
      <c r="L722" s="27"/>
      <c r="M722" s="27"/>
      <c r="N722" s="26"/>
      <c r="O722" s="106"/>
      <c r="P722" s="106"/>
      <c r="Q722" s="107"/>
      <c r="R722" s="107"/>
      <c r="S722" s="108"/>
      <c r="T722" s="108"/>
      <c r="U722" s="61"/>
    </row>
    <row r="723" spans="2:21">
      <c r="B723" s="292"/>
      <c r="C723" s="19">
        <v>0.66666666666666596</v>
      </c>
      <c r="D723" s="5"/>
      <c r="E723" s="11"/>
      <c r="F723" s="10"/>
      <c r="G723" s="10"/>
      <c r="H723" s="42"/>
      <c r="I723" s="9"/>
      <c r="J723" s="9"/>
      <c r="K723" s="9"/>
      <c r="L723" s="27"/>
      <c r="M723" s="27"/>
      <c r="N723" s="26"/>
      <c r="O723" s="106"/>
      <c r="P723" s="106"/>
      <c r="Q723" s="107"/>
      <c r="R723" s="107"/>
      <c r="S723" s="108"/>
      <c r="T723" s="108"/>
      <c r="U723" s="61"/>
    </row>
    <row r="724" spans="2:21">
      <c r="B724" s="292"/>
      <c r="C724" s="19">
        <v>0.70833333333333304</v>
      </c>
      <c r="D724" s="5"/>
      <c r="E724" s="11"/>
      <c r="F724" s="10"/>
      <c r="G724" s="10"/>
      <c r="H724" s="42"/>
      <c r="I724" s="9"/>
      <c r="J724" s="9"/>
      <c r="K724" s="9"/>
      <c r="L724" s="27"/>
      <c r="M724" s="27"/>
      <c r="N724" s="26"/>
      <c r="O724" s="106"/>
      <c r="P724" s="106"/>
      <c r="Q724" s="107"/>
      <c r="R724" s="107"/>
      <c r="S724" s="108"/>
      <c r="T724" s="108"/>
      <c r="U724" s="61"/>
    </row>
    <row r="725" spans="2:21">
      <c r="B725" s="292"/>
      <c r="C725" s="19">
        <v>0.75</v>
      </c>
      <c r="D725" s="5"/>
      <c r="E725" s="11"/>
      <c r="F725" s="10"/>
      <c r="G725" s="10"/>
      <c r="H725" s="42"/>
      <c r="I725" s="9"/>
      <c r="J725" s="9"/>
      <c r="K725" s="9"/>
      <c r="L725" s="27"/>
      <c r="M725" s="27"/>
      <c r="N725" s="26"/>
      <c r="O725" s="106"/>
      <c r="P725" s="106"/>
      <c r="Q725" s="107"/>
      <c r="R725" s="107"/>
      <c r="S725" s="108"/>
      <c r="T725" s="108"/>
      <c r="U725" s="61"/>
    </row>
    <row r="726" spans="2:21">
      <c r="B726" s="292"/>
      <c r="C726" s="19">
        <v>0.79166666666666596</v>
      </c>
      <c r="D726" s="5"/>
      <c r="E726" s="11"/>
      <c r="F726" s="10"/>
      <c r="G726" s="10"/>
      <c r="H726" s="42"/>
      <c r="I726" s="9"/>
      <c r="J726" s="9"/>
      <c r="K726" s="9"/>
      <c r="L726" s="27"/>
      <c r="M726" s="27"/>
      <c r="N726" s="26"/>
      <c r="O726" s="106"/>
      <c r="P726" s="106"/>
      <c r="Q726" s="107"/>
      <c r="R726" s="107"/>
      <c r="S726" s="108"/>
      <c r="T726" s="108"/>
      <c r="U726" s="61"/>
    </row>
    <row r="727" spans="2:21">
      <c r="B727" s="292"/>
      <c r="C727" s="19">
        <v>0.83333333333333304</v>
      </c>
      <c r="D727" s="5"/>
      <c r="E727" s="11"/>
      <c r="F727" s="10"/>
      <c r="G727" s="10"/>
      <c r="H727" s="42"/>
      <c r="I727" s="9"/>
      <c r="J727" s="9"/>
      <c r="K727" s="9"/>
      <c r="L727" s="27"/>
      <c r="M727" s="27"/>
      <c r="N727" s="26"/>
      <c r="O727" s="106"/>
      <c r="P727" s="106"/>
      <c r="Q727" s="107"/>
      <c r="R727" s="107"/>
      <c r="S727" s="108"/>
      <c r="T727" s="108"/>
      <c r="U727" s="61"/>
    </row>
    <row r="728" spans="2:21">
      <c r="B728" s="292"/>
      <c r="C728" s="19">
        <v>0.875</v>
      </c>
      <c r="D728" s="5"/>
      <c r="E728" s="11"/>
      <c r="F728" s="10"/>
      <c r="G728" s="10"/>
      <c r="H728" s="42"/>
      <c r="I728" s="9"/>
      <c r="J728" s="9"/>
      <c r="K728" s="9"/>
      <c r="L728" s="27"/>
      <c r="M728" s="27"/>
      <c r="N728" s="26"/>
      <c r="O728" s="106"/>
      <c r="P728" s="106"/>
      <c r="Q728" s="107"/>
      <c r="R728" s="107"/>
      <c r="S728" s="108"/>
      <c r="T728" s="108"/>
      <c r="U728" s="61"/>
    </row>
    <row r="729" spans="2:21">
      <c r="B729" s="292"/>
      <c r="C729" s="19">
        <v>0.91666666666666596</v>
      </c>
      <c r="D729" s="5"/>
      <c r="E729" s="11"/>
      <c r="F729" s="10"/>
      <c r="G729" s="10"/>
      <c r="H729" s="42"/>
      <c r="I729" s="9"/>
      <c r="J729" s="9"/>
      <c r="K729" s="9"/>
      <c r="L729" s="27"/>
      <c r="M729" s="27"/>
      <c r="N729" s="26"/>
      <c r="O729" s="106"/>
      <c r="P729" s="106"/>
      <c r="Q729" s="107"/>
      <c r="R729" s="107"/>
      <c r="S729" s="108"/>
      <c r="T729" s="108"/>
      <c r="U729" s="61"/>
    </row>
    <row r="730" spans="2:21">
      <c r="B730" s="292"/>
      <c r="C730" s="19">
        <v>0.95833333333333304</v>
      </c>
      <c r="D730" s="5"/>
      <c r="E730" s="11"/>
      <c r="F730" s="10"/>
      <c r="G730" s="10"/>
      <c r="H730" s="42"/>
      <c r="I730" s="9"/>
      <c r="J730" s="9"/>
      <c r="K730" s="9"/>
      <c r="L730" s="27"/>
      <c r="M730" s="27"/>
      <c r="N730" s="26"/>
      <c r="O730" s="106"/>
      <c r="P730" s="106"/>
      <c r="Q730" s="107"/>
      <c r="R730" s="107"/>
      <c r="S730" s="108"/>
      <c r="T730" s="108"/>
      <c r="U730" s="61"/>
    </row>
    <row r="731" spans="2:21">
      <c r="B731" s="292"/>
      <c r="C731" s="19">
        <v>1</v>
      </c>
      <c r="D731" s="5"/>
      <c r="E731" s="11"/>
      <c r="F731" s="10"/>
      <c r="G731" s="10"/>
      <c r="H731" s="42"/>
      <c r="I731" s="9"/>
      <c r="J731" s="9"/>
      <c r="K731" s="9"/>
      <c r="L731" s="27"/>
      <c r="M731" s="27"/>
      <c r="N731" s="26"/>
      <c r="O731" s="63"/>
      <c r="P731" s="63"/>
      <c r="Q731" s="62"/>
      <c r="R731" s="62"/>
      <c r="S731" s="64"/>
      <c r="T731" s="64"/>
      <c r="U731" s="61"/>
    </row>
    <row r="732" spans="2:21">
      <c r="B732" s="292"/>
      <c r="C732" s="19">
        <v>1.0416666666666701</v>
      </c>
      <c r="D732" s="5"/>
      <c r="E732" s="11"/>
      <c r="F732" s="10"/>
      <c r="G732" s="10"/>
      <c r="H732" s="42"/>
      <c r="I732" s="9"/>
      <c r="J732" s="9"/>
      <c r="K732" s="9"/>
      <c r="L732" s="27"/>
      <c r="M732" s="27"/>
      <c r="N732" s="26"/>
      <c r="O732" s="63"/>
      <c r="P732" s="63"/>
      <c r="Q732" s="62"/>
      <c r="R732" s="62"/>
      <c r="S732" s="64"/>
      <c r="T732" s="64"/>
      <c r="U732" s="61"/>
    </row>
    <row r="733" spans="2:21">
      <c r="B733" s="292"/>
      <c r="C733" s="19">
        <v>1.0833333333333399</v>
      </c>
      <c r="D733" s="5"/>
      <c r="E733" s="11"/>
      <c r="F733" s="10"/>
      <c r="G733" s="10"/>
      <c r="H733" s="42"/>
      <c r="I733" s="9"/>
      <c r="J733" s="9"/>
      <c r="K733" s="9"/>
      <c r="L733" s="27"/>
      <c r="M733" s="27"/>
      <c r="N733" s="26"/>
      <c r="O733" s="63"/>
      <c r="P733" s="63"/>
      <c r="Q733" s="62"/>
      <c r="R733" s="62"/>
      <c r="S733" s="64"/>
      <c r="T733" s="64"/>
      <c r="U733" s="61"/>
    </row>
    <row r="734" spans="2:21">
      <c r="B734" s="292"/>
      <c r="C734" s="19">
        <v>1.125</v>
      </c>
      <c r="D734" s="5"/>
      <c r="E734" s="11"/>
      <c r="F734" s="10"/>
      <c r="G734" s="10"/>
      <c r="H734" s="42"/>
      <c r="I734" s="9"/>
      <c r="J734" s="9"/>
      <c r="K734" s="9"/>
      <c r="L734" s="27"/>
      <c r="M734" s="27"/>
      <c r="N734" s="26"/>
      <c r="O734" s="63"/>
      <c r="P734" s="63"/>
      <c r="Q734" s="62"/>
      <c r="R734" s="62"/>
      <c r="S734" s="64"/>
      <c r="T734" s="64"/>
      <c r="U734" s="61"/>
    </row>
    <row r="735" spans="2:21">
      <c r="B735" s="292"/>
      <c r="C735" s="19">
        <v>1.1666666666666701</v>
      </c>
      <c r="D735" s="5"/>
      <c r="E735" s="11"/>
      <c r="F735" s="10"/>
      <c r="G735" s="10"/>
      <c r="H735" s="42"/>
      <c r="I735" s="9"/>
      <c r="J735" s="9"/>
      <c r="K735" s="9"/>
      <c r="L735" s="27"/>
      <c r="M735" s="27"/>
      <c r="N735" s="26"/>
      <c r="O735" s="106"/>
      <c r="P735" s="106"/>
      <c r="Q735" s="107"/>
      <c r="R735" s="107"/>
      <c r="S735" s="108"/>
      <c r="T735" s="108"/>
      <c r="U735" s="61"/>
    </row>
    <row r="736" spans="2:21">
      <c r="B736" s="292"/>
      <c r="C736" s="19">
        <v>1.2083333333333399</v>
      </c>
      <c r="D736" s="5"/>
      <c r="E736" s="11"/>
      <c r="F736" s="10"/>
      <c r="G736" s="10"/>
      <c r="H736" s="42"/>
      <c r="I736" s="9"/>
      <c r="J736" s="9"/>
      <c r="K736" s="9"/>
      <c r="L736" s="27"/>
      <c r="M736" s="27"/>
      <c r="N736" s="26"/>
      <c r="O736" s="106"/>
      <c r="P736" s="106"/>
      <c r="Q736" s="107"/>
      <c r="R736" s="107"/>
      <c r="S736" s="108"/>
      <c r="T736" s="108"/>
      <c r="U736" s="61"/>
    </row>
    <row r="737" spans="2:21">
      <c r="B737" s="292"/>
      <c r="C737" s="19">
        <v>1.25</v>
      </c>
      <c r="D737" s="5"/>
      <c r="E737" s="11"/>
      <c r="F737" s="10"/>
      <c r="G737" s="10"/>
      <c r="H737" s="42"/>
      <c r="I737" s="9"/>
      <c r="J737" s="9"/>
      <c r="K737" s="9"/>
      <c r="L737" s="27"/>
      <c r="M737" s="27"/>
      <c r="N737" s="26"/>
      <c r="O737" s="106"/>
      <c r="P737" s="106"/>
      <c r="Q737" s="107"/>
      <c r="R737" s="107"/>
      <c r="S737" s="108"/>
      <c r="T737" s="108"/>
      <c r="U737" s="61"/>
    </row>
    <row r="738" spans="2:21">
      <c r="B738" s="292"/>
      <c r="C738" s="19">
        <v>1.2916666666666701</v>
      </c>
      <c r="D738" s="5"/>
      <c r="E738" s="11"/>
      <c r="F738" s="10"/>
      <c r="G738" s="10"/>
      <c r="H738" s="42"/>
      <c r="I738" s="9"/>
      <c r="J738" s="9"/>
      <c r="K738" s="9"/>
      <c r="L738" s="27"/>
      <c r="M738" s="27"/>
      <c r="N738" s="26"/>
      <c r="O738" s="106"/>
      <c r="P738" s="106"/>
      <c r="Q738" s="107"/>
      <c r="R738" s="107"/>
      <c r="S738" s="108"/>
      <c r="T738" s="108"/>
      <c r="U738" s="61"/>
    </row>
    <row r="739" spans="2:21">
      <c r="B739" s="293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09">
        <f t="shared" ref="O739:T739" si="53">IFERROR(AVERAGE(O714:O738),0)</f>
        <v>0</v>
      </c>
      <c r="P739" s="109">
        <f t="shared" si="53"/>
        <v>0</v>
      </c>
      <c r="Q739" s="109">
        <f t="shared" si="53"/>
        <v>0</v>
      </c>
      <c r="R739" s="109">
        <f t="shared" si="53"/>
        <v>0</v>
      </c>
      <c r="S739" s="109">
        <f t="shared" si="53"/>
        <v>0</v>
      </c>
      <c r="T739" s="109">
        <f t="shared" si="53"/>
        <v>0</v>
      </c>
      <c r="U739" s="4">
        <f>COUNT(U714:U738)</f>
        <v>0</v>
      </c>
    </row>
    <row r="740" spans="2:21">
      <c r="B740" s="291">
        <f t="shared" ref="B740" si="54">B714+1</f>
        <v>46051</v>
      </c>
      <c r="C740" s="19">
        <v>0.29166666666666669</v>
      </c>
      <c r="D740" s="5"/>
      <c r="E740" s="11"/>
      <c r="F740" s="10"/>
      <c r="G740" s="10"/>
      <c r="H740" s="42"/>
      <c r="I740" s="9"/>
      <c r="J740" s="9"/>
      <c r="K740" s="9"/>
      <c r="L740" s="27"/>
      <c r="M740" s="27"/>
      <c r="N740" s="26"/>
      <c r="O740" s="106"/>
      <c r="P740" s="106"/>
      <c r="Q740" s="107"/>
      <c r="R740" s="107"/>
      <c r="S740" s="108"/>
      <c r="T740" s="108"/>
      <c r="U740" s="61"/>
    </row>
    <row r="741" spans="2:21">
      <c r="B741" s="292"/>
      <c r="C741" s="19">
        <v>0.33333333333333298</v>
      </c>
      <c r="D741" s="5"/>
      <c r="E741" s="11"/>
      <c r="F741" s="10"/>
      <c r="G741" s="10"/>
      <c r="H741" s="42"/>
      <c r="I741" s="9"/>
      <c r="J741" s="9"/>
      <c r="K741" s="9"/>
      <c r="L741" s="27"/>
      <c r="M741" s="27"/>
      <c r="N741" s="26"/>
      <c r="O741" s="106"/>
      <c r="P741" s="106"/>
      <c r="Q741" s="107"/>
      <c r="R741" s="107"/>
      <c r="S741" s="108"/>
      <c r="T741" s="108"/>
      <c r="U741" s="61"/>
    </row>
    <row r="742" spans="2:21">
      <c r="B742" s="292"/>
      <c r="C742" s="19">
        <v>0.375</v>
      </c>
      <c r="D742" s="5"/>
      <c r="E742" s="11"/>
      <c r="F742" s="10"/>
      <c r="G742" s="10"/>
      <c r="H742" s="42"/>
      <c r="I742" s="9"/>
      <c r="J742" s="9"/>
      <c r="K742" s="9"/>
      <c r="L742" s="27"/>
      <c r="M742" s="27"/>
      <c r="N742" s="26"/>
      <c r="O742" s="106"/>
      <c r="P742" s="106"/>
      <c r="Q742" s="107"/>
      <c r="R742" s="107"/>
      <c r="S742" s="108"/>
      <c r="T742" s="108"/>
      <c r="U742" s="61"/>
    </row>
    <row r="743" spans="2:21">
      <c r="B743" s="292"/>
      <c r="C743" s="19">
        <v>0.41666666666666702</v>
      </c>
      <c r="D743" s="5"/>
      <c r="E743" s="11"/>
      <c r="F743" s="10"/>
      <c r="G743" s="10"/>
      <c r="H743" s="42"/>
      <c r="I743" s="9"/>
      <c r="J743" s="9"/>
      <c r="K743" s="9"/>
      <c r="L743" s="27"/>
      <c r="M743" s="27"/>
      <c r="N743" s="26"/>
      <c r="O743" s="106"/>
      <c r="P743" s="106"/>
      <c r="Q743" s="107"/>
      <c r="R743" s="107"/>
      <c r="S743" s="108"/>
      <c r="T743" s="108"/>
      <c r="U743" s="61"/>
    </row>
    <row r="744" spans="2:21">
      <c r="B744" s="292"/>
      <c r="C744" s="19">
        <v>0.45833333333333298</v>
      </c>
      <c r="D744" s="5"/>
      <c r="E744" s="11"/>
      <c r="F744" s="10"/>
      <c r="G744" s="10"/>
      <c r="H744" s="42"/>
      <c r="I744" s="9"/>
      <c r="J744" s="9"/>
      <c r="K744" s="9"/>
      <c r="L744" s="27"/>
      <c r="M744" s="27"/>
      <c r="N744" s="26"/>
      <c r="O744" s="106"/>
      <c r="P744" s="106"/>
      <c r="Q744" s="107"/>
      <c r="R744" s="107"/>
      <c r="S744" s="108"/>
      <c r="T744" s="108"/>
      <c r="U744" s="61"/>
    </row>
    <row r="745" spans="2:21">
      <c r="B745" s="292"/>
      <c r="C745" s="19">
        <v>0.5</v>
      </c>
      <c r="D745" s="5"/>
      <c r="E745" s="11"/>
      <c r="F745" s="10"/>
      <c r="G745" s="10"/>
      <c r="H745" s="42"/>
      <c r="I745" s="9"/>
      <c r="J745" s="9"/>
      <c r="K745" s="9"/>
      <c r="L745" s="27"/>
      <c r="M745" s="27"/>
      <c r="N745" s="26"/>
      <c r="O745" s="106"/>
      <c r="P745" s="106"/>
      <c r="Q745" s="107"/>
      <c r="R745" s="107"/>
      <c r="S745" s="108"/>
      <c r="T745" s="108"/>
      <c r="U745" s="61"/>
    </row>
    <row r="746" spans="2:21">
      <c r="B746" s="292"/>
      <c r="C746" s="19">
        <v>0.54166666666666696</v>
      </c>
      <c r="D746" s="5"/>
      <c r="E746" s="11"/>
      <c r="F746" s="10"/>
      <c r="G746" s="10"/>
      <c r="H746" s="42"/>
      <c r="I746" s="9"/>
      <c r="J746" s="9"/>
      <c r="K746" s="9"/>
      <c r="L746" s="27"/>
      <c r="M746" s="27"/>
      <c r="N746" s="26"/>
      <c r="O746" s="106"/>
      <c r="P746" s="106"/>
      <c r="Q746" s="107"/>
      <c r="R746" s="107"/>
      <c r="S746" s="108"/>
      <c r="T746" s="108"/>
      <c r="U746" s="61"/>
    </row>
    <row r="747" spans="2:21">
      <c r="B747" s="292"/>
      <c r="C747" s="19">
        <v>0.58333333333333304</v>
      </c>
      <c r="D747" s="5"/>
      <c r="E747" s="11"/>
      <c r="F747" s="10"/>
      <c r="G747" s="10"/>
      <c r="H747" s="42"/>
      <c r="I747" s="9"/>
      <c r="J747" s="9"/>
      <c r="K747" s="9"/>
      <c r="L747" s="27"/>
      <c r="M747" s="27"/>
      <c r="N747" s="26"/>
      <c r="O747" s="106"/>
      <c r="P747" s="106"/>
      <c r="Q747" s="107"/>
      <c r="R747" s="107"/>
      <c r="S747" s="108"/>
      <c r="T747" s="108"/>
      <c r="U747" s="65"/>
    </row>
    <row r="748" spans="2:21">
      <c r="B748" s="292"/>
      <c r="C748" s="19">
        <v>0.625</v>
      </c>
      <c r="D748" s="5"/>
      <c r="E748" s="11"/>
      <c r="F748" s="10"/>
      <c r="G748" s="10"/>
      <c r="H748" s="42"/>
      <c r="I748" s="9"/>
      <c r="J748" s="9"/>
      <c r="K748" s="9"/>
      <c r="L748" s="27"/>
      <c r="M748" s="27"/>
      <c r="N748" s="26"/>
      <c r="O748" s="106"/>
      <c r="P748" s="106"/>
      <c r="Q748" s="107"/>
      <c r="R748" s="107"/>
      <c r="S748" s="108"/>
      <c r="T748" s="108"/>
      <c r="U748" s="61"/>
    </row>
    <row r="749" spans="2:21">
      <c r="B749" s="292"/>
      <c r="C749" s="19">
        <v>0.66666666666666596</v>
      </c>
      <c r="D749" s="5"/>
      <c r="E749" s="11"/>
      <c r="F749" s="10"/>
      <c r="G749" s="10"/>
      <c r="H749" s="42"/>
      <c r="I749" s="9"/>
      <c r="J749" s="9"/>
      <c r="K749" s="9"/>
      <c r="L749" s="27"/>
      <c r="M749" s="27"/>
      <c r="N749" s="26"/>
      <c r="O749" s="106"/>
      <c r="P749" s="106"/>
      <c r="Q749" s="107"/>
      <c r="R749" s="107"/>
      <c r="S749" s="108"/>
      <c r="T749" s="108"/>
      <c r="U749" s="61"/>
    </row>
    <row r="750" spans="2:21">
      <c r="B750" s="292"/>
      <c r="C750" s="19">
        <v>0.70833333333333304</v>
      </c>
      <c r="D750" s="5"/>
      <c r="E750" s="11"/>
      <c r="F750" s="10"/>
      <c r="G750" s="10"/>
      <c r="H750" s="42"/>
      <c r="I750" s="9"/>
      <c r="J750" s="9"/>
      <c r="K750" s="9"/>
      <c r="L750" s="27"/>
      <c r="M750" s="27"/>
      <c r="N750" s="26"/>
      <c r="O750" s="106"/>
      <c r="P750" s="106"/>
      <c r="Q750" s="107"/>
      <c r="R750" s="107"/>
      <c r="S750" s="108"/>
      <c r="T750" s="108"/>
      <c r="U750" s="61"/>
    </row>
    <row r="751" spans="2:21">
      <c r="B751" s="292"/>
      <c r="C751" s="19">
        <v>0.75</v>
      </c>
      <c r="D751" s="5"/>
      <c r="E751" s="11"/>
      <c r="F751" s="10"/>
      <c r="G751" s="10"/>
      <c r="H751" s="42"/>
      <c r="I751" s="9"/>
      <c r="J751" s="9"/>
      <c r="K751" s="9"/>
      <c r="L751" s="27"/>
      <c r="M751" s="27"/>
      <c r="N751" s="26"/>
      <c r="O751" s="106"/>
      <c r="P751" s="106"/>
      <c r="Q751" s="107"/>
      <c r="R751" s="107"/>
      <c r="S751" s="108"/>
      <c r="T751" s="108"/>
      <c r="U751" s="61"/>
    </row>
    <row r="752" spans="2:21">
      <c r="B752" s="292"/>
      <c r="C752" s="19">
        <v>0.79166666666666596</v>
      </c>
      <c r="D752" s="5"/>
      <c r="E752" s="11"/>
      <c r="F752" s="10"/>
      <c r="G752" s="10"/>
      <c r="H752" s="42"/>
      <c r="I752" s="9"/>
      <c r="J752" s="9"/>
      <c r="K752" s="9"/>
      <c r="L752" s="27"/>
      <c r="M752" s="27"/>
      <c r="N752" s="26"/>
      <c r="O752" s="106"/>
      <c r="P752" s="106"/>
      <c r="Q752" s="107"/>
      <c r="R752" s="107"/>
      <c r="S752" s="108"/>
      <c r="T752" s="108"/>
      <c r="U752" s="61"/>
    </row>
    <row r="753" spans="2:21">
      <c r="B753" s="292"/>
      <c r="C753" s="19">
        <v>0.83333333333333304</v>
      </c>
      <c r="D753" s="5"/>
      <c r="E753" s="11"/>
      <c r="F753" s="10"/>
      <c r="G753" s="10"/>
      <c r="H753" s="42"/>
      <c r="I753" s="9"/>
      <c r="J753" s="9"/>
      <c r="K753" s="9"/>
      <c r="L753" s="27"/>
      <c r="M753" s="27"/>
      <c r="N753" s="26"/>
      <c r="O753" s="106"/>
      <c r="P753" s="106"/>
      <c r="Q753" s="107"/>
      <c r="R753" s="107"/>
      <c r="S753" s="108"/>
      <c r="T753" s="108"/>
      <c r="U753" s="61"/>
    </row>
    <row r="754" spans="2:21">
      <c r="B754" s="292"/>
      <c r="C754" s="19">
        <v>0.875</v>
      </c>
      <c r="D754" s="5"/>
      <c r="E754" s="11"/>
      <c r="F754" s="10"/>
      <c r="G754" s="10"/>
      <c r="H754" s="42"/>
      <c r="I754" s="9"/>
      <c r="J754" s="9"/>
      <c r="K754" s="9"/>
      <c r="L754" s="27"/>
      <c r="M754" s="27"/>
      <c r="N754" s="26"/>
      <c r="O754" s="106"/>
      <c r="P754" s="106"/>
      <c r="Q754" s="107"/>
      <c r="R754" s="107"/>
      <c r="S754" s="108"/>
      <c r="T754" s="108"/>
      <c r="U754" s="61"/>
    </row>
    <row r="755" spans="2:21">
      <c r="B755" s="292"/>
      <c r="C755" s="19">
        <v>0.91666666666666596</v>
      </c>
      <c r="D755" s="5"/>
      <c r="E755" s="11"/>
      <c r="F755" s="10"/>
      <c r="G755" s="10"/>
      <c r="H755" s="42"/>
      <c r="I755" s="9"/>
      <c r="J755" s="9"/>
      <c r="K755" s="9"/>
      <c r="L755" s="27"/>
      <c r="M755" s="27"/>
      <c r="N755" s="26"/>
      <c r="O755" s="106"/>
      <c r="P755" s="106"/>
      <c r="Q755" s="107"/>
      <c r="R755" s="107"/>
      <c r="S755" s="108"/>
      <c r="T755" s="108"/>
      <c r="U755" s="61"/>
    </row>
    <row r="756" spans="2:21">
      <c r="B756" s="292"/>
      <c r="C756" s="19">
        <v>0.95833333333333304</v>
      </c>
      <c r="D756" s="5"/>
      <c r="E756" s="11"/>
      <c r="F756" s="10"/>
      <c r="G756" s="10"/>
      <c r="H756" s="42"/>
      <c r="I756" s="9"/>
      <c r="J756" s="9"/>
      <c r="K756" s="9"/>
      <c r="L756" s="27"/>
      <c r="M756" s="27"/>
      <c r="N756" s="26"/>
      <c r="O756" s="106"/>
      <c r="P756" s="106"/>
      <c r="Q756" s="107"/>
      <c r="R756" s="107"/>
      <c r="S756" s="108"/>
      <c r="T756" s="108"/>
      <c r="U756" s="61"/>
    </row>
    <row r="757" spans="2:21">
      <c r="B757" s="292"/>
      <c r="C757" s="19">
        <v>1</v>
      </c>
      <c r="D757" s="5"/>
      <c r="E757" s="11"/>
      <c r="F757" s="10"/>
      <c r="G757" s="10"/>
      <c r="H757" s="42"/>
      <c r="I757" s="9"/>
      <c r="J757" s="9"/>
      <c r="K757" s="9"/>
      <c r="L757" s="27"/>
      <c r="M757" s="27"/>
      <c r="N757" s="26"/>
      <c r="O757" s="63"/>
      <c r="P757" s="63"/>
      <c r="Q757" s="62"/>
      <c r="R757" s="62"/>
      <c r="S757" s="64"/>
      <c r="T757" s="64"/>
      <c r="U757" s="61"/>
    </row>
    <row r="758" spans="2:21">
      <c r="B758" s="292"/>
      <c r="C758" s="19">
        <v>1.0416666666666701</v>
      </c>
      <c r="D758" s="5"/>
      <c r="E758" s="11"/>
      <c r="F758" s="10"/>
      <c r="G758" s="10"/>
      <c r="H758" s="42"/>
      <c r="I758" s="9"/>
      <c r="J758" s="9"/>
      <c r="K758" s="9"/>
      <c r="L758" s="27"/>
      <c r="M758" s="27"/>
      <c r="N758" s="26"/>
      <c r="O758" s="63"/>
      <c r="P758" s="63"/>
      <c r="Q758" s="62"/>
      <c r="R758" s="62"/>
      <c r="S758" s="64"/>
      <c r="T758" s="64"/>
      <c r="U758" s="61"/>
    </row>
    <row r="759" spans="2:21">
      <c r="B759" s="292"/>
      <c r="C759" s="19">
        <v>1.0833333333333399</v>
      </c>
      <c r="D759" s="5"/>
      <c r="E759" s="11"/>
      <c r="F759" s="10"/>
      <c r="G759" s="10"/>
      <c r="H759" s="42"/>
      <c r="I759" s="9"/>
      <c r="J759" s="9"/>
      <c r="K759" s="9"/>
      <c r="L759" s="27"/>
      <c r="M759" s="27"/>
      <c r="N759" s="26"/>
      <c r="O759" s="63"/>
      <c r="P759" s="63"/>
      <c r="Q759" s="62"/>
      <c r="R759" s="62"/>
      <c r="S759" s="64"/>
      <c r="T759" s="64"/>
      <c r="U759" s="61"/>
    </row>
    <row r="760" spans="2:21">
      <c r="B760" s="292"/>
      <c r="C760" s="19">
        <v>1.125</v>
      </c>
      <c r="D760" s="5"/>
      <c r="E760" s="11"/>
      <c r="F760" s="10"/>
      <c r="G760" s="10"/>
      <c r="H760" s="42"/>
      <c r="I760" s="9"/>
      <c r="J760" s="9"/>
      <c r="K760" s="9"/>
      <c r="L760" s="27"/>
      <c r="M760" s="27"/>
      <c r="N760" s="26"/>
      <c r="O760" s="63"/>
      <c r="P760" s="63"/>
      <c r="Q760" s="62"/>
      <c r="R760" s="62"/>
      <c r="S760" s="64"/>
      <c r="T760" s="64"/>
      <c r="U760" s="61"/>
    </row>
    <row r="761" spans="2:21">
      <c r="B761" s="292"/>
      <c r="C761" s="19">
        <v>1.1666666666666701</v>
      </c>
      <c r="D761" s="5"/>
      <c r="E761" s="11"/>
      <c r="F761" s="10"/>
      <c r="G761" s="10"/>
      <c r="H761" s="42"/>
      <c r="I761" s="9"/>
      <c r="J761" s="9"/>
      <c r="K761" s="9"/>
      <c r="L761" s="27"/>
      <c r="M761" s="27"/>
      <c r="N761" s="26"/>
      <c r="O761" s="106"/>
      <c r="P761" s="106"/>
      <c r="Q761" s="107"/>
      <c r="R761" s="107"/>
      <c r="S761" s="108"/>
      <c r="T761" s="108"/>
      <c r="U761" s="61"/>
    </row>
    <row r="762" spans="2:21">
      <c r="B762" s="292"/>
      <c r="C762" s="19">
        <v>1.2083333333333399</v>
      </c>
      <c r="D762" s="5"/>
      <c r="E762" s="11"/>
      <c r="F762" s="10"/>
      <c r="G762" s="10"/>
      <c r="H762" s="42"/>
      <c r="I762" s="9"/>
      <c r="J762" s="9"/>
      <c r="K762" s="9"/>
      <c r="L762" s="27"/>
      <c r="M762" s="27"/>
      <c r="N762" s="26"/>
      <c r="O762" s="106"/>
      <c r="P762" s="106"/>
      <c r="Q762" s="107"/>
      <c r="R762" s="107"/>
      <c r="S762" s="108"/>
      <c r="T762" s="108"/>
      <c r="U762" s="61"/>
    </row>
    <row r="763" spans="2:21">
      <c r="B763" s="292"/>
      <c r="C763" s="19">
        <v>1.25</v>
      </c>
      <c r="D763" s="5"/>
      <c r="E763" s="11"/>
      <c r="F763" s="10"/>
      <c r="G763" s="10"/>
      <c r="H763" s="42"/>
      <c r="I763" s="9"/>
      <c r="J763" s="9"/>
      <c r="K763" s="9"/>
      <c r="L763" s="27"/>
      <c r="M763" s="27"/>
      <c r="N763" s="26"/>
      <c r="O763" s="106"/>
      <c r="P763" s="106"/>
      <c r="Q763" s="107"/>
      <c r="R763" s="107"/>
      <c r="S763" s="108"/>
      <c r="T763" s="108"/>
      <c r="U763" s="61"/>
    </row>
    <row r="764" spans="2:21">
      <c r="B764" s="292"/>
      <c r="C764" s="19">
        <v>1.2916666666666701</v>
      </c>
      <c r="D764" s="5"/>
      <c r="E764" s="11"/>
      <c r="F764" s="10"/>
      <c r="G764" s="10"/>
      <c r="H764" s="42"/>
      <c r="I764" s="9"/>
      <c r="J764" s="9"/>
      <c r="K764" s="9"/>
      <c r="L764" s="27"/>
      <c r="M764" s="27"/>
      <c r="N764" s="26"/>
      <c r="O764" s="106"/>
      <c r="P764" s="106"/>
      <c r="Q764" s="107"/>
      <c r="R764" s="107"/>
      <c r="S764" s="108"/>
      <c r="T764" s="108"/>
      <c r="U764" s="61"/>
    </row>
    <row r="765" spans="2:21">
      <c r="B765" s="293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09">
        <f t="shared" ref="O765:T765" si="55">IFERROR(AVERAGE(O740:O764),0)</f>
        <v>0</v>
      </c>
      <c r="P765" s="109">
        <f t="shared" si="55"/>
        <v>0</v>
      </c>
      <c r="Q765" s="109">
        <f t="shared" si="55"/>
        <v>0</v>
      </c>
      <c r="R765" s="109">
        <f t="shared" si="55"/>
        <v>0</v>
      </c>
      <c r="S765" s="109">
        <f t="shared" si="55"/>
        <v>0</v>
      </c>
      <c r="T765" s="109">
        <f t="shared" si="55"/>
        <v>0</v>
      </c>
      <c r="U765" s="4">
        <f>COUNT(U740:U764)</f>
        <v>0</v>
      </c>
    </row>
    <row r="766" spans="2:21">
      <c r="B766" s="291">
        <f t="shared" ref="B766" si="56">B740+1</f>
        <v>46052</v>
      </c>
      <c r="C766" s="19">
        <v>0.29166666666666669</v>
      </c>
      <c r="D766" s="5"/>
      <c r="E766" s="11"/>
      <c r="F766" s="10"/>
      <c r="G766" s="10"/>
      <c r="H766" s="42"/>
      <c r="I766" s="9"/>
      <c r="J766" s="9"/>
      <c r="K766" s="9"/>
      <c r="L766" s="27"/>
      <c r="M766" s="27"/>
      <c r="N766" s="26"/>
      <c r="O766" s="106"/>
      <c r="P766" s="106"/>
      <c r="Q766" s="107"/>
      <c r="R766" s="107"/>
      <c r="S766" s="108"/>
      <c r="T766" s="108"/>
      <c r="U766" s="61"/>
    </row>
    <row r="767" spans="2:21">
      <c r="B767" s="292"/>
      <c r="C767" s="19">
        <v>0.33333333333333298</v>
      </c>
      <c r="D767" s="5"/>
      <c r="E767" s="11"/>
      <c r="F767" s="10"/>
      <c r="G767" s="10"/>
      <c r="H767" s="42"/>
      <c r="I767" s="9"/>
      <c r="J767" s="9"/>
      <c r="K767" s="9"/>
      <c r="L767" s="27"/>
      <c r="M767" s="27"/>
      <c r="N767" s="26"/>
      <c r="O767" s="106"/>
      <c r="P767" s="106"/>
      <c r="Q767" s="107"/>
      <c r="R767" s="107"/>
      <c r="S767" s="108"/>
      <c r="T767" s="108"/>
      <c r="U767" s="61"/>
    </row>
    <row r="768" spans="2:21">
      <c r="B768" s="292"/>
      <c r="C768" s="19">
        <v>0.375</v>
      </c>
      <c r="D768" s="5"/>
      <c r="E768" s="11"/>
      <c r="F768" s="10"/>
      <c r="G768" s="10"/>
      <c r="H768" s="42"/>
      <c r="I768" s="9"/>
      <c r="J768" s="9"/>
      <c r="K768" s="9"/>
      <c r="L768" s="27"/>
      <c r="M768" s="27"/>
      <c r="N768" s="26"/>
      <c r="O768" s="106"/>
      <c r="P768" s="106"/>
      <c r="Q768" s="107"/>
      <c r="R768" s="107"/>
      <c r="S768" s="108"/>
      <c r="T768" s="108"/>
      <c r="U768" s="61"/>
    </row>
    <row r="769" spans="2:21">
      <c r="B769" s="292"/>
      <c r="C769" s="19">
        <v>0.41666666666666702</v>
      </c>
      <c r="D769" s="5"/>
      <c r="E769" s="11"/>
      <c r="F769" s="10"/>
      <c r="G769" s="10"/>
      <c r="H769" s="42"/>
      <c r="I769" s="9"/>
      <c r="J769" s="9"/>
      <c r="K769" s="9"/>
      <c r="L769" s="27"/>
      <c r="M769" s="27"/>
      <c r="N769" s="26"/>
      <c r="O769" s="106"/>
      <c r="P769" s="106"/>
      <c r="Q769" s="107"/>
      <c r="R769" s="107"/>
      <c r="S769" s="108"/>
      <c r="T769" s="108"/>
      <c r="U769" s="61"/>
    </row>
    <row r="770" spans="2:21">
      <c r="B770" s="292"/>
      <c r="C770" s="19">
        <v>0.45833333333333298</v>
      </c>
      <c r="D770" s="5"/>
      <c r="E770" s="11"/>
      <c r="F770" s="10"/>
      <c r="G770" s="10"/>
      <c r="H770" s="42"/>
      <c r="I770" s="9"/>
      <c r="J770" s="9"/>
      <c r="K770" s="9"/>
      <c r="L770" s="27"/>
      <c r="M770" s="27"/>
      <c r="N770" s="26"/>
      <c r="O770" s="106"/>
      <c r="P770" s="106"/>
      <c r="Q770" s="107"/>
      <c r="R770" s="107"/>
      <c r="S770" s="108"/>
      <c r="T770" s="108"/>
      <c r="U770" s="61"/>
    </row>
    <row r="771" spans="2:21">
      <c r="B771" s="292"/>
      <c r="C771" s="19">
        <v>0.5</v>
      </c>
      <c r="D771" s="5"/>
      <c r="E771" s="11"/>
      <c r="F771" s="10"/>
      <c r="G771" s="10"/>
      <c r="H771" s="42"/>
      <c r="I771" s="9"/>
      <c r="J771" s="9"/>
      <c r="K771" s="9"/>
      <c r="L771" s="27"/>
      <c r="M771" s="27"/>
      <c r="N771" s="26"/>
      <c r="O771" s="106"/>
      <c r="P771" s="106"/>
      <c r="Q771" s="107"/>
      <c r="R771" s="107"/>
      <c r="S771" s="108"/>
      <c r="T771" s="108"/>
      <c r="U771" s="61"/>
    </row>
    <row r="772" spans="2:21">
      <c r="B772" s="292"/>
      <c r="C772" s="19">
        <v>0.54166666666666696</v>
      </c>
      <c r="D772" s="5"/>
      <c r="E772" s="11"/>
      <c r="F772" s="10"/>
      <c r="G772" s="10"/>
      <c r="H772" s="42"/>
      <c r="I772" s="9"/>
      <c r="J772" s="9"/>
      <c r="K772" s="9"/>
      <c r="L772" s="27"/>
      <c r="M772" s="27"/>
      <c r="N772" s="26"/>
      <c r="O772" s="106"/>
      <c r="P772" s="106"/>
      <c r="Q772" s="107"/>
      <c r="R772" s="107"/>
      <c r="S772" s="108"/>
      <c r="T772" s="108"/>
      <c r="U772" s="61"/>
    </row>
    <row r="773" spans="2:21">
      <c r="B773" s="292"/>
      <c r="C773" s="19">
        <v>0.58333333333333304</v>
      </c>
      <c r="D773" s="5"/>
      <c r="E773" s="11"/>
      <c r="F773" s="10"/>
      <c r="G773" s="10"/>
      <c r="H773" s="42"/>
      <c r="I773" s="9"/>
      <c r="J773" s="9"/>
      <c r="K773" s="9"/>
      <c r="L773" s="27"/>
      <c r="M773" s="27"/>
      <c r="N773" s="26"/>
      <c r="O773" s="106"/>
      <c r="P773" s="106"/>
      <c r="Q773" s="107"/>
      <c r="R773" s="107"/>
      <c r="S773" s="108"/>
      <c r="T773" s="108"/>
      <c r="U773" s="65"/>
    </row>
    <row r="774" spans="2:21">
      <c r="B774" s="292"/>
      <c r="C774" s="19">
        <v>0.625</v>
      </c>
      <c r="D774" s="5"/>
      <c r="E774" s="11"/>
      <c r="F774" s="10"/>
      <c r="G774" s="10"/>
      <c r="H774" s="42"/>
      <c r="I774" s="9"/>
      <c r="J774" s="9"/>
      <c r="K774" s="9"/>
      <c r="L774" s="27"/>
      <c r="M774" s="27"/>
      <c r="N774" s="26"/>
      <c r="O774" s="106"/>
      <c r="P774" s="106"/>
      <c r="Q774" s="107"/>
      <c r="R774" s="107"/>
      <c r="S774" s="108"/>
      <c r="T774" s="108"/>
      <c r="U774" s="61"/>
    </row>
    <row r="775" spans="2:21">
      <c r="B775" s="292"/>
      <c r="C775" s="19">
        <v>0.66666666666666596</v>
      </c>
      <c r="D775" s="5"/>
      <c r="E775" s="11"/>
      <c r="F775" s="10"/>
      <c r="G775" s="10"/>
      <c r="H775" s="42"/>
      <c r="I775" s="9"/>
      <c r="J775" s="9"/>
      <c r="K775" s="9"/>
      <c r="L775" s="27"/>
      <c r="M775" s="27"/>
      <c r="N775" s="26"/>
      <c r="O775" s="106"/>
      <c r="P775" s="106"/>
      <c r="Q775" s="107"/>
      <c r="R775" s="107"/>
      <c r="S775" s="108"/>
      <c r="T775" s="108"/>
      <c r="U775" s="61"/>
    </row>
    <row r="776" spans="2:21">
      <c r="B776" s="292"/>
      <c r="C776" s="19">
        <v>0.70833333333333304</v>
      </c>
      <c r="D776" s="5"/>
      <c r="E776" s="11"/>
      <c r="F776" s="10"/>
      <c r="G776" s="10"/>
      <c r="H776" s="42"/>
      <c r="I776" s="9"/>
      <c r="J776" s="9"/>
      <c r="K776" s="9"/>
      <c r="L776" s="27"/>
      <c r="M776" s="27"/>
      <c r="N776" s="26"/>
      <c r="O776" s="106"/>
      <c r="P776" s="106"/>
      <c r="Q776" s="107"/>
      <c r="R776" s="107"/>
      <c r="S776" s="108"/>
      <c r="T776" s="108"/>
      <c r="U776" s="61"/>
    </row>
    <row r="777" spans="2:21">
      <c r="B777" s="292"/>
      <c r="C777" s="19">
        <v>0.75</v>
      </c>
      <c r="D777" s="5"/>
      <c r="E777" s="11"/>
      <c r="F777" s="10"/>
      <c r="G777" s="10"/>
      <c r="H777" s="42"/>
      <c r="I777" s="9"/>
      <c r="J777" s="9"/>
      <c r="K777" s="9"/>
      <c r="L777" s="27"/>
      <c r="M777" s="27"/>
      <c r="N777" s="26"/>
      <c r="O777" s="106"/>
      <c r="P777" s="106"/>
      <c r="Q777" s="107"/>
      <c r="R777" s="107"/>
      <c r="S777" s="108"/>
      <c r="T777" s="108"/>
      <c r="U777" s="61"/>
    </row>
    <row r="778" spans="2:21">
      <c r="B778" s="292"/>
      <c r="C778" s="19">
        <v>0.79166666666666596</v>
      </c>
      <c r="D778" s="5"/>
      <c r="E778" s="11"/>
      <c r="F778" s="10"/>
      <c r="G778" s="10"/>
      <c r="H778" s="42"/>
      <c r="I778" s="9"/>
      <c r="J778" s="9"/>
      <c r="K778" s="9"/>
      <c r="L778" s="27"/>
      <c r="M778" s="27"/>
      <c r="N778" s="26"/>
      <c r="O778" s="106"/>
      <c r="P778" s="106"/>
      <c r="Q778" s="107"/>
      <c r="R778" s="107"/>
      <c r="S778" s="108"/>
      <c r="T778" s="108"/>
      <c r="U778" s="61"/>
    </row>
    <row r="779" spans="2:21">
      <c r="B779" s="292"/>
      <c r="C779" s="19">
        <v>0.83333333333333304</v>
      </c>
      <c r="D779" s="5"/>
      <c r="E779" s="11"/>
      <c r="F779" s="10"/>
      <c r="G779" s="10"/>
      <c r="H779" s="42"/>
      <c r="I779" s="9"/>
      <c r="J779" s="9"/>
      <c r="K779" s="9"/>
      <c r="L779" s="27"/>
      <c r="M779" s="27"/>
      <c r="N779" s="26"/>
      <c r="O779" s="106"/>
      <c r="P779" s="106"/>
      <c r="Q779" s="107"/>
      <c r="R779" s="107"/>
      <c r="S779" s="108"/>
      <c r="T779" s="108"/>
      <c r="U779" s="61"/>
    </row>
    <row r="780" spans="2:21">
      <c r="B780" s="292"/>
      <c r="C780" s="19">
        <v>0.875</v>
      </c>
      <c r="D780" s="5"/>
      <c r="E780" s="11"/>
      <c r="F780" s="10"/>
      <c r="G780" s="10"/>
      <c r="H780" s="42"/>
      <c r="I780" s="9"/>
      <c r="J780" s="9"/>
      <c r="K780" s="9"/>
      <c r="L780" s="27"/>
      <c r="M780" s="27"/>
      <c r="N780" s="26"/>
      <c r="O780" s="106"/>
      <c r="P780" s="106"/>
      <c r="Q780" s="107"/>
      <c r="R780" s="107"/>
      <c r="S780" s="108"/>
      <c r="T780" s="108"/>
      <c r="U780" s="61"/>
    </row>
    <row r="781" spans="2:21">
      <c r="B781" s="292"/>
      <c r="C781" s="19">
        <v>0.91666666666666596</v>
      </c>
      <c r="D781" s="5"/>
      <c r="E781" s="11"/>
      <c r="F781" s="10"/>
      <c r="G781" s="10"/>
      <c r="H781" s="42"/>
      <c r="I781" s="9"/>
      <c r="J781" s="9"/>
      <c r="K781" s="9"/>
      <c r="L781" s="27"/>
      <c r="M781" s="27"/>
      <c r="N781" s="26"/>
      <c r="O781" s="106"/>
      <c r="P781" s="106"/>
      <c r="Q781" s="107"/>
      <c r="R781" s="107"/>
      <c r="S781" s="108"/>
      <c r="T781" s="108"/>
      <c r="U781" s="61"/>
    </row>
    <row r="782" spans="2:21">
      <c r="B782" s="292"/>
      <c r="C782" s="19">
        <v>0.95833333333333304</v>
      </c>
      <c r="D782" s="5"/>
      <c r="E782" s="11"/>
      <c r="F782" s="10"/>
      <c r="G782" s="10"/>
      <c r="H782" s="42"/>
      <c r="I782" s="9"/>
      <c r="J782" s="9"/>
      <c r="K782" s="9"/>
      <c r="L782" s="27"/>
      <c r="M782" s="27"/>
      <c r="N782" s="26"/>
      <c r="O782" s="106"/>
      <c r="P782" s="106"/>
      <c r="Q782" s="107"/>
      <c r="R782" s="107"/>
      <c r="S782" s="108"/>
      <c r="T782" s="108"/>
      <c r="U782" s="61"/>
    </row>
    <row r="783" spans="2:21">
      <c r="B783" s="292"/>
      <c r="C783" s="19">
        <v>1</v>
      </c>
      <c r="D783" s="5"/>
      <c r="E783" s="11"/>
      <c r="F783" s="10"/>
      <c r="G783" s="10"/>
      <c r="H783" s="42"/>
      <c r="I783" s="9"/>
      <c r="J783" s="9"/>
      <c r="K783" s="9"/>
      <c r="L783" s="27"/>
      <c r="M783" s="27"/>
      <c r="N783" s="26"/>
      <c r="O783" s="63"/>
      <c r="P783" s="63"/>
      <c r="Q783" s="62"/>
      <c r="R783" s="62"/>
      <c r="S783" s="64"/>
      <c r="T783" s="64"/>
      <c r="U783" s="61"/>
    </row>
    <row r="784" spans="2:21">
      <c r="B784" s="292"/>
      <c r="C784" s="19">
        <v>1.0416666666666701</v>
      </c>
      <c r="D784" s="5"/>
      <c r="E784" s="11"/>
      <c r="F784" s="10"/>
      <c r="G784" s="10"/>
      <c r="H784" s="42"/>
      <c r="I784" s="9"/>
      <c r="J784" s="9"/>
      <c r="K784" s="9"/>
      <c r="L784" s="27"/>
      <c r="M784" s="27"/>
      <c r="N784" s="26"/>
      <c r="O784" s="63"/>
      <c r="P784" s="63"/>
      <c r="Q784" s="62"/>
      <c r="R784" s="62"/>
      <c r="S784" s="64"/>
      <c r="T784" s="64"/>
      <c r="U784" s="61"/>
    </row>
    <row r="785" spans="2:21">
      <c r="B785" s="292"/>
      <c r="C785" s="19">
        <v>1.0833333333333399</v>
      </c>
      <c r="D785" s="5"/>
      <c r="E785" s="11"/>
      <c r="F785" s="10"/>
      <c r="G785" s="10"/>
      <c r="H785" s="42"/>
      <c r="I785" s="9"/>
      <c r="J785" s="9"/>
      <c r="K785" s="9"/>
      <c r="L785" s="27"/>
      <c r="M785" s="27"/>
      <c r="N785" s="26"/>
      <c r="O785" s="63"/>
      <c r="P785" s="63"/>
      <c r="Q785" s="62"/>
      <c r="R785" s="62"/>
      <c r="S785" s="64"/>
      <c r="T785" s="64"/>
      <c r="U785" s="61"/>
    </row>
    <row r="786" spans="2:21">
      <c r="B786" s="292"/>
      <c r="C786" s="19">
        <v>1.125</v>
      </c>
      <c r="D786" s="5"/>
      <c r="E786" s="11"/>
      <c r="F786" s="10"/>
      <c r="G786" s="10"/>
      <c r="H786" s="42"/>
      <c r="I786" s="9"/>
      <c r="J786" s="9"/>
      <c r="K786" s="9"/>
      <c r="L786" s="27"/>
      <c r="M786" s="27"/>
      <c r="N786" s="26"/>
      <c r="O786" s="63"/>
      <c r="P786" s="63"/>
      <c r="Q786" s="62"/>
      <c r="R786" s="62"/>
      <c r="S786" s="64"/>
      <c r="T786" s="64"/>
      <c r="U786" s="61"/>
    </row>
    <row r="787" spans="2:21">
      <c r="B787" s="292"/>
      <c r="C787" s="19">
        <v>1.1666666666666701</v>
      </c>
      <c r="D787" s="5"/>
      <c r="E787" s="11"/>
      <c r="F787" s="10"/>
      <c r="G787" s="10"/>
      <c r="H787" s="42"/>
      <c r="I787" s="9"/>
      <c r="J787" s="9"/>
      <c r="K787" s="9"/>
      <c r="L787" s="27"/>
      <c r="M787" s="27"/>
      <c r="N787" s="26"/>
      <c r="O787" s="106"/>
      <c r="P787" s="106"/>
      <c r="Q787" s="107"/>
      <c r="R787" s="107"/>
      <c r="S787" s="108"/>
      <c r="T787" s="108"/>
      <c r="U787" s="61"/>
    </row>
    <row r="788" spans="2:21">
      <c r="B788" s="292"/>
      <c r="C788" s="19">
        <v>1.2083333333333399</v>
      </c>
      <c r="D788" s="5"/>
      <c r="E788" s="11"/>
      <c r="F788" s="10"/>
      <c r="G788" s="10"/>
      <c r="H788" s="42"/>
      <c r="I788" s="9"/>
      <c r="J788" s="9"/>
      <c r="K788" s="9"/>
      <c r="L788" s="27"/>
      <c r="M788" s="27"/>
      <c r="N788" s="26"/>
      <c r="O788" s="106"/>
      <c r="P788" s="106"/>
      <c r="Q788" s="107"/>
      <c r="R788" s="107"/>
      <c r="S788" s="108"/>
      <c r="T788" s="108"/>
      <c r="U788" s="61"/>
    </row>
    <row r="789" spans="2:21">
      <c r="B789" s="292"/>
      <c r="C789" s="19">
        <v>1.25</v>
      </c>
      <c r="D789" s="5"/>
      <c r="E789" s="11"/>
      <c r="F789" s="10"/>
      <c r="G789" s="10"/>
      <c r="H789" s="42"/>
      <c r="I789" s="9"/>
      <c r="J789" s="9"/>
      <c r="K789" s="9"/>
      <c r="L789" s="27"/>
      <c r="M789" s="27"/>
      <c r="N789" s="26"/>
      <c r="O789" s="106"/>
      <c r="P789" s="106"/>
      <c r="Q789" s="107"/>
      <c r="R789" s="107"/>
      <c r="S789" s="108"/>
      <c r="T789" s="108"/>
      <c r="U789" s="61"/>
    </row>
    <row r="790" spans="2:21">
      <c r="B790" s="292"/>
      <c r="C790" s="19">
        <v>1.2916666666666701</v>
      </c>
      <c r="D790" s="5"/>
      <c r="E790" s="11"/>
      <c r="F790" s="10"/>
      <c r="G790" s="10"/>
      <c r="H790" s="42"/>
      <c r="I790" s="9"/>
      <c r="J790" s="9"/>
      <c r="K790" s="9"/>
      <c r="L790" s="27"/>
      <c r="M790" s="27"/>
      <c r="N790" s="26"/>
      <c r="O790" s="106"/>
      <c r="P790" s="106"/>
      <c r="Q790" s="107"/>
      <c r="R790" s="107"/>
      <c r="S790" s="108"/>
      <c r="T790" s="108"/>
      <c r="U790" s="61"/>
    </row>
    <row r="791" spans="2:21">
      <c r="B791" s="293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09">
        <f t="shared" ref="O791:T791" si="57">IFERROR(AVERAGE(O766:O790),0)</f>
        <v>0</v>
      </c>
      <c r="P791" s="109">
        <f t="shared" si="57"/>
        <v>0</v>
      </c>
      <c r="Q791" s="109">
        <f t="shared" si="57"/>
        <v>0</v>
      </c>
      <c r="R791" s="109">
        <f t="shared" si="57"/>
        <v>0</v>
      </c>
      <c r="S791" s="109">
        <f t="shared" si="57"/>
        <v>0</v>
      </c>
      <c r="T791" s="109">
        <f t="shared" si="57"/>
        <v>0</v>
      </c>
      <c r="U791" s="4">
        <f>COUNT(U766:U790)</f>
        <v>0</v>
      </c>
    </row>
    <row r="792" spans="2:21">
      <c r="B792" s="291">
        <f t="shared" ref="B792" si="58">B766+1</f>
        <v>46053</v>
      </c>
      <c r="C792" s="19">
        <v>0.29166666666666669</v>
      </c>
      <c r="D792" s="5"/>
      <c r="E792" s="11"/>
      <c r="F792" s="10"/>
      <c r="G792" s="10"/>
      <c r="H792" s="42"/>
      <c r="I792" s="9"/>
      <c r="J792" s="9"/>
      <c r="K792" s="9"/>
      <c r="L792" s="27"/>
      <c r="M792" s="27"/>
      <c r="N792" s="26"/>
      <c r="O792" s="106"/>
      <c r="P792" s="106"/>
      <c r="Q792" s="107"/>
      <c r="R792" s="107"/>
      <c r="S792" s="108"/>
      <c r="T792" s="108"/>
      <c r="U792" s="61"/>
    </row>
    <row r="793" spans="2:21">
      <c r="B793" s="292"/>
      <c r="C793" s="19">
        <v>0.33333333333333298</v>
      </c>
      <c r="D793" s="5"/>
      <c r="E793" s="11"/>
      <c r="F793" s="10"/>
      <c r="G793" s="10"/>
      <c r="H793" s="42"/>
      <c r="I793" s="9"/>
      <c r="J793" s="9"/>
      <c r="K793" s="9"/>
      <c r="L793" s="27"/>
      <c r="M793" s="27"/>
      <c r="N793" s="26"/>
      <c r="O793" s="106"/>
      <c r="P793" s="106"/>
      <c r="Q793" s="107"/>
      <c r="R793" s="107"/>
      <c r="S793" s="108"/>
      <c r="T793" s="108"/>
      <c r="U793" s="61"/>
    </row>
    <row r="794" spans="2:21">
      <c r="B794" s="292"/>
      <c r="C794" s="19">
        <v>0.375</v>
      </c>
      <c r="D794" s="5"/>
      <c r="E794" s="11"/>
      <c r="F794" s="10"/>
      <c r="G794" s="10"/>
      <c r="H794" s="42"/>
      <c r="I794" s="9"/>
      <c r="J794" s="9"/>
      <c r="K794" s="9"/>
      <c r="L794" s="27"/>
      <c r="M794" s="27"/>
      <c r="N794" s="26"/>
      <c r="O794" s="106"/>
      <c r="P794" s="106"/>
      <c r="Q794" s="107"/>
      <c r="R794" s="107"/>
      <c r="S794" s="108"/>
      <c r="T794" s="108"/>
      <c r="U794" s="61"/>
    </row>
    <row r="795" spans="2:21">
      <c r="B795" s="292"/>
      <c r="C795" s="19">
        <v>0.41666666666666702</v>
      </c>
      <c r="D795" s="5"/>
      <c r="E795" s="11"/>
      <c r="F795" s="10"/>
      <c r="G795" s="10"/>
      <c r="H795" s="42"/>
      <c r="I795" s="9"/>
      <c r="J795" s="9"/>
      <c r="K795" s="9"/>
      <c r="L795" s="27"/>
      <c r="M795" s="27"/>
      <c r="N795" s="26"/>
      <c r="O795" s="106"/>
      <c r="P795" s="106"/>
      <c r="Q795" s="107"/>
      <c r="R795" s="107"/>
      <c r="S795" s="108"/>
      <c r="T795" s="108"/>
      <c r="U795" s="61"/>
    </row>
    <row r="796" spans="2:21">
      <c r="B796" s="292"/>
      <c r="C796" s="19">
        <v>0.45833333333333298</v>
      </c>
      <c r="D796" s="5"/>
      <c r="E796" s="11"/>
      <c r="F796" s="10"/>
      <c r="G796" s="10"/>
      <c r="H796" s="42"/>
      <c r="I796" s="9"/>
      <c r="J796" s="9"/>
      <c r="K796" s="9"/>
      <c r="L796" s="27"/>
      <c r="M796" s="27"/>
      <c r="N796" s="26"/>
      <c r="O796" s="106"/>
      <c r="P796" s="106"/>
      <c r="Q796" s="107"/>
      <c r="R796" s="107"/>
      <c r="S796" s="108"/>
      <c r="T796" s="108"/>
      <c r="U796" s="61"/>
    </row>
    <row r="797" spans="2:21">
      <c r="B797" s="292"/>
      <c r="C797" s="19">
        <v>0.5</v>
      </c>
      <c r="D797" s="5"/>
      <c r="E797" s="11"/>
      <c r="F797" s="10"/>
      <c r="G797" s="10"/>
      <c r="H797" s="42"/>
      <c r="I797" s="9"/>
      <c r="J797" s="9"/>
      <c r="K797" s="9"/>
      <c r="L797" s="27"/>
      <c r="M797" s="27"/>
      <c r="N797" s="26"/>
      <c r="O797" s="106"/>
      <c r="P797" s="106"/>
      <c r="Q797" s="107"/>
      <c r="R797" s="107"/>
      <c r="S797" s="108"/>
      <c r="T797" s="108"/>
      <c r="U797" s="61"/>
    </row>
    <row r="798" spans="2:21">
      <c r="B798" s="292"/>
      <c r="C798" s="19">
        <v>0.54166666666666696</v>
      </c>
      <c r="D798" s="5"/>
      <c r="E798" s="11"/>
      <c r="F798" s="10"/>
      <c r="G798" s="10"/>
      <c r="H798" s="42"/>
      <c r="I798" s="9"/>
      <c r="J798" s="9"/>
      <c r="K798" s="9"/>
      <c r="L798" s="27"/>
      <c r="M798" s="27"/>
      <c r="N798" s="26"/>
      <c r="O798" s="106"/>
      <c r="P798" s="106"/>
      <c r="Q798" s="107"/>
      <c r="R798" s="107"/>
      <c r="S798" s="108"/>
      <c r="T798" s="108"/>
      <c r="U798" s="61"/>
    </row>
    <row r="799" spans="2:21">
      <c r="B799" s="292"/>
      <c r="C799" s="19">
        <v>0.58333333333333304</v>
      </c>
      <c r="D799" s="5"/>
      <c r="E799" s="11"/>
      <c r="F799" s="10"/>
      <c r="G799" s="10"/>
      <c r="H799" s="42"/>
      <c r="I799" s="9"/>
      <c r="J799" s="9"/>
      <c r="K799" s="9"/>
      <c r="L799" s="27"/>
      <c r="M799" s="27"/>
      <c r="N799" s="26"/>
      <c r="O799" s="106"/>
      <c r="P799" s="106"/>
      <c r="Q799" s="107"/>
      <c r="R799" s="107"/>
      <c r="S799" s="108"/>
      <c r="T799" s="108"/>
      <c r="U799" s="65"/>
    </row>
    <row r="800" spans="2:21">
      <c r="B800" s="292"/>
      <c r="C800" s="19">
        <v>0.625</v>
      </c>
      <c r="D800" s="5"/>
      <c r="E800" s="11"/>
      <c r="F800" s="10"/>
      <c r="G800" s="10"/>
      <c r="H800" s="42"/>
      <c r="I800" s="9"/>
      <c r="J800" s="9"/>
      <c r="K800" s="9"/>
      <c r="L800" s="27"/>
      <c r="M800" s="27"/>
      <c r="N800" s="26"/>
      <c r="O800" s="106"/>
      <c r="P800" s="106"/>
      <c r="Q800" s="107"/>
      <c r="R800" s="107"/>
      <c r="S800" s="108"/>
      <c r="T800" s="108"/>
      <c r="U800" s="61"/>
    </row>
    <row r="801" spans="2:21">
      <c r="B801" s="292"/>
      <c r="C801" s="19">
        <v>0.66666666666666596</v>
      </c>
      <c r="D801" s="5"/>
      <c r="E801" s="11"/>
      <c r="F801" s="10"/>
      <c r="G801" s="10"/>
      <c r="H801" s="42"/>
      <c r="I801" s="9"/>
      <c r="J801" s="9"/>
      <c r="K801" s="9"/>
      <c r="L801" s="27"/>
      <c r="M801" s="27"/>
      <c r="N801" s="26"/>
      <c r="O801" s="106"/>
      <c r="P801" s="106"/>
      <c r="Q801" s="107"/>
      <c r="R801" s="107"/>
      <c r="S801" s="108"/>
      <c r="T801" s="108"/>
      <c r="U801" s="61"/>
    </row>
    <row r="802" spans="2:21">
      <c r="B802" s="292"/>
      <c r="C802" s="19">
        <v>0.70833333333333304</v>
      </c>
      <c r="D802" s="5"/>
      <c r="E802" s="11"/>
      <c r="F802" s="10"/>
      <c r="G802" s="10"/>
      <c r="H802" s="42"/>
      <c r="I802" s="9"/>
      <c r="J802" s="9"/>
      <c r="K802" s="9"/>
      <c r="L802" s="27"/>
      <c r="M802" s="27"/>
      <c r="N802" s="26"/>
      <c r="O802" s="106"/>
      <c r="P802" s="106"/>
      <c r="Q802" s="107"/>
      <c r="R802" s="107"/>
      <c r="S802" s="108"/>
      <c r="T802" s="108"/>
      <c r="U802" s="61"/>
    </row>
    <row r="803" spans="2:21">
      <c r="B803" s="292"/>
      <c r="C803" s="19">
        <v>0.75</v>
      </c>
      <c r="D803" s="5"/>
      <c r="E803" s="11"/>
      <c r="F803" s="10"/>
      <c r="G803" s="10"/>
      <c r="H803" s="42"/>
      <c r="I803" s="9"/>
      <c r="J803" s="9"/>
      <c r="K803" s="9"/>
      <c r="L803" s="27"/>
      <c r="M803" s="27"/>
      <c r="N803" s="26"/>
      <c r="O803" s="106"/>
      <c r="P803" s="106"/>
      <c r="Q803" s="107"/>
      <c r="R803" s="107"/>
      <c r="S803" s="108"/>
      <c r="T803" s="108"/>
      <c r="U803" s="61"/>
    </row>
    <row r="804" spans="2:21">
      <c r="B804" s="292"/>
      <c r="C804" s="19">
        <v>0.79166666666666596</v>
      </c>
      <c r="D804" s="5"/>
      <c r="E804" s="11"/>
      <c r="F804" s="10"/>
      <c r="G804" s="10"/>
      <c r="H804" s="42"/>
      <c r="I804" s="9"/>
      <c r="J804" s="9"/>
      <c r="K804" s="9"/>
      <c r="L804" s="27"/>
      <c r="M804" s="27"/>
      <c r="N804" s="26"/>
      <c r="O804" s="106"/>
      <c r="P804" s="106"/>
      <c r="Q804" s="107"/>
      <c r="R804" s="107"/>
      <c r="S804" s="108"/>
      <c r="T804" s="108"/>
      <c r="U804" s="61"/>
    </row>
    <row r="805" spans="2:21">
      <c r="B805" s="292"/>
      <c r="C805" s="19">
        <v>0.83333333333333304</v>
      </c>
      <c r="D805" s="5"/>
      <c r="E805" s="11"/>
      <c r="F805" s="10"/>
      <c r="G805" s="10"/>
      <c r="H805" s="42"/>
      <c r="I805" s="9"/>
      <c r="J805" s="9"/>
      <c r="K805" s="9"/>
      <c r="L805" s="27"/>
      <c r="M805" s="27"/>
      <c r="N805" s="26"/>
      <c r="O805" s="106"/>
      <c r="P805" s="106"/>
      <c r="Q805" s="107"/>
      <c r="R805" s="107"/>
      <c r="S805" s="108"/>
      <c r="T805" s="108"/>
      <c r="U805" s="61"/>
    </row>
    <row r="806" spans="2:21">
      <c r="B806" s="292"/>
      <c r="C806" s="19">
        <v>0.875</v>
      </c>
      <c r="D806" s="5"/>
      <c r="E806" s="11"/>
      <c r="F806" s="10"/>
      <c r="G806" s="10"/>
      <c r="H806" s="42"/>
      <c r="I806" s="9"/>
      <c r="J806" s="9"/>
      <c r="K806" s="9"/>
      <c r="L806" s="27"/>
      <c r="M806" s="27"/>
      <c r="N806" s="26"/>
      <c r="O806" s="106"/>
      <c r="P806" s="106"/>
      <c r="Q806" s="107"/>
      <c r="R806" s="107"/>
      <c r="S806" s="108"/>
      <c r="T806" s="108"/>
      <c r="U806" s="61"/>
    </row>
    <row r="807" spans="2:21">
      <c r="B807" s="292"/>
      <c r="C807" s="19">
        <v>0.91666666666666596</v>
      </c>
      <c r="D807" s="5"/>
      <c r="E807" s="11"/>
      <c r="F807" s="10"/>
      <c r="G807" s="10"/>
      <c r="H807" s="42"/>
      <c r="I807" s="9"/>
      <c r="J807" s="9"/>
      <c r="K807" s="9"/>
      <c r="L807" s="27"/>
      <c r="M807" s="27"/>
      <c r="N807" s="26"/>
      <c r="O807" s="106"/>
      <c r="P807" s="106"/>
      <c r="Q807" s="107"/>
      <c r="R807" s="107"/>
      <c r="S807" s="108"/>
      <c r="T807" s="108"/>
      <c r="U807" s="61"/>
    </row>
    <row r="808" spans="2:21">
      <c r="B808" s="292"/>
      <c r="C808" s="19">
        <v>0.95833333333333304</v>
      </c>
      <c r="D808" s="5"/>
      <c r="E808" s="11"/>
      <c r="F808" s="10"/>
      <c r="G808" s="10"/>
      <c r="H808" s="42"/>
      <c r="I808" s="9"/>
      <c r="J808" s="9"/>
      <c r="K808" s="9"/>
      <c r="L808" s="27"/>
      <c r="M808" s="27"/>
      <c r="N808" s="26"/>
      <c r="O808" s="106"/>
      <c r="P808" s="106"/>
      <c r="Q808" s="107"/>
      <c r="R808" s="107"/>
      <c r="S808" s="108"/>
      <c r="T808" s="108"/>
      <c r="U808" s="61"/>
    </row>
    <row r="809" spans="2:21">
      <c r="B809" s="292"/>
      <c r="C809" s="19">
        <v>1</v>
      </c>
      <c r="D809" s="5"/>
      <c r="E809" s="11"/>
      <c r="F809" s="10"/>
      <c r="G809" s="10"/>
      <c r="H809" s="42"/>
      <c r="I809" s="9"/>
      <c r="J809" s="9"/>
      <c r="K809" s="9"/>
      <c r="L809" s="27"/>
      <c r="M809" s="27"/>
      <c r="N809" s="26"/>
      <c r="O809" s="106"/>
      <c r="P809" s="106"/>
      <c r="Q809" s="107"/>
      <c r="R809" s="107"/>
      <c r="S809" s="108"/>
      <c r="T809" s="108"/>
      <c r="U809" s="61"/>
    </row>
    <row r="810" spans="2:21">
      <c r="B810" s="292"/>
      <c r="C810" s="19">
        <v>1.0416666666666701</v>
      </c>
      <c r="D810" s="5"/>
      <c r="E810" s="11"/>
      <c r="F810" s="10"/>
      <c r="G810" s="10"/>
      <c r="H810" s="42"/>
      <c r="I810" s="9"/>
      <c r="J810" s="9"/>
      <c r="K810" s="9"/>
      <c r="L810" s="27"/>
      <c r="M810" s="27"/>
      <c r="N810" s="26"/>
      <c r="O810" s="106"/>
      <c r="P810" s="106"/>
      <c r="Q810" s="107"/>
      <c r="R810" s="107"/>
      <c r="S810" s="108"/>
      <c r="T810" s="108"/>
      <c r="U810" s="61"/>
    </row>
    <row r="811" spans="2:21">
      <c r="B811" s="292"/>
      <c r="C811" s="19">
        <v>1.0833333333333399</v>
      </c>
      <c r="D811" s="5"/>
      <c r="E811" s="11"/>
      <c r="F811" s="10"/>
      <c r="G811" s="10"/>
      <c r="H811" s="42"/>
      <c r="I811" s="9"/>
      <c r="J811" s="9"/>
      <c r="K811" s="9"/>
      <c r="L811" s="27"/>
      <c r="M811" s="27"/>
      <c r="N811" s="26"/>
      <c r="O811" s="106"/>
      <c r="P811" s="106"/>
      <c r="Q811" s="107"/>
      <c r="R811" s="107"/>
      <c r="S811" s="108"/>
      <c r="T811" s="108"/>
      <c r="U811" s="61"/>
    </row>
    <row r="812" spans="2:21">
      <c r="B812" s="292"/>
      <c r="C812" s="19">
        <v>1.125</v>
      </c>
      <c r="D812" s="5"/>
      <c r="E812" s="11"/>
      <c r="F812" s="10"/>
      <c r="G812" s="10"/>
      <c r="H812" s="42"/>
      <c r="I812" s="9"/>
      <c r="J812" s="9"/>
      <c r="K812" s="9"/>
      <c r="L812" s="27"/>
      <c r="M812" s="27"/>
      <c r="N812" s="26"/>
      <c r="O812" s="106"/>
      <c r="P812" s="106"/>
      <c r="Q812" s="107"/>
      <c r="R812" s="107"/>
      <c r="S812" s="108"/>
      <c r="T812" s="108"/>
      <c r="U812" s="61"/>
    </row>
    <row r="813" spans="2:21">
      <c r="B813" s="292"/>
      <c r="C813" s="19">
        <v>1.1666666666666701</v>
      </c>
      <c r="D813" s="5"/>
      <c r="E813" s="11"/>
      <c r="F813" s="10"/>
      <c r="G813" s="10"/>
      <c r="H813" s="42"/>
      <c r="I813" s="9"/>
      <c r="J813" s="9"/>
      <c r="K813" s="9"/>
      <c r="L813" s="27"/>
      <c r="M813" s="27"/>
      <c r="N813" s="26"/>
      <c r="O813" s="106"/>
      <c r="P813" s="106"/>
      <c r="Q813" s="107"/>
      <c r="R813" s="107"/>
      <c r="S813" s="108"/>
      <c r="T813" s="108"/>
      <c r="U813" s="61"/>
    </row>
    <row r="814" spans="2:21">
      <c r="B814" s="292"/>
      <c r="C814" s="19">
        <v>1.2083333333333399</v>
      </c>
      <c r="D814" s="5"/>
      <c r="E814" s="11"/>
      <c r="F814" s="10"/>
      <c r="G814" s="10"/>
      <c r="H814" s="42"/>
      <c r="I814" s="9"/>
      <c r="J814" s="9"/>
      <c r="K814" s="9"/>
      <c r="L814" s="27"/>
      <c r="M814" s="27"/>
      <c r="N814" s="26"/>
      <c r="O814" s="106"/>
      <c r="P814" s="106"/>
      <c r="Q814" s="107"/>
      <c r="R814" s="107"/>
      <c r="S814" s="108"/>
      <c r="T814" s="108"/>
      <c r="U814" s="61"/>
    </row>
    <row r="815" spans="2:21">
      <c r="B815" s="292"/>
      <c r="C815" s="19">
        <v>1.25</v>
      </c>
      <c r="D815" s="5"/>
      <c r="E815" s="11"/>
      <c r="F815" s="10"/>
      <c r="G815" s="10"/>
      <c r="H815" s="42"/>
      <c r="I815" s="9"/>
      <c r="J815" s="9"/>
      <c r="K815" s="9"/>
      <c r="L815" s="27"/>
      <c r="M815" s="27"/>
      <c r="N815" s="26"/>
      <c r="O815" s="106"/>
      <c r="P815" s="106"/>
      <c r="Q815" s="107"/>
      <c r="R815" s="107"/>
      <c r="S815" s="108"/>
      <c r="T815" s="108"/>
      <c r="U815" s="61"/>
    </row>
    <row r="816" spans="2:21">
      <c r="B816" s="292"/>
      <c r="C816" s="19">
        <v>1.2916666666666701</v>
      </c>
      <c r="D816" s="5"/>
      <c r="E816" s="11"/>
      <c r="F816" s="10"/>
      <c r="G816" s="10"/>
      <c r="H816" s="42"/>
      <c r="I816" s="9"/>
      <c r="J816" s="9"/>
      <c r="K816" s="9"/>
      <c r="L816" s="27"/>
      <c r="M816" s="27"/>
      <c r="N816" s="26"/>
      <c r="O816" s="106"/>
      <c r="P816" s="106"/>
      <c r="Q816" s="107"/>
      <c r="R816" s="107"/>
      <c r="S816" s="108"/>
      <c r="T816" s="108"/>
      <c r="U816" s="61"/>
    </row>
    <row r="817" spans="2:21">
      <c r="B817" s="293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09">
        <f t="shared" ref="O817:T817" si="59">IFERROR(AVERAGE(O792:O816),0)</f>
        <v>0</v>
      </c>
      <c r="P817" s="109">
        <f t="shared" si="59"/>
        <v>0</v>
      </c>
      <c r="Q817" s="109">
        <f t="shared" si="59"/>
        <v>0</v>
      </c>
      <c r="R817" s="109">
        <f t="shared" si="59"/>
        <v>0</v>
      </c>
      <c r="S817" s="109">
        <f t="shared" si="59"/>
        <v>0</v>
      </c>
      <c r="T817" s="109">
        <f t="shared" si="59"/>
        <v>0</v>
      </c>
      <c r="U817" s="4">
        <f>COUNT(U792:U816)</f>
        <v>0</v>
      </c>
    </row>
    <row r="818" spans="2:21">
      <c r="L818" s="22"/>
      <c r="M818" s="22"/>
      <c r="N818" s="22"/>
    </row>
    <row r="819" spans="2:21">
      <c r="L819" s="22"/>
      <c r="M819" s="22"/>
      <c r="N819" s="22"/>
    </row>
    <row r="820" spans="2:21">
      <c r="L820" s="22"/>
      <c r="M820" s="22"/>
      <c r="N820" s="22"/>
    </row>
    <row r="821" spans="2:21">
      <c r="L821" s="22"/>
      <c r="M821" s="22"/>
      <c r="N821" s="22"/>
    </row>
    <row r="822" spans="2:21">
      <c r="L822" s="22"/>
      <c r="M822" s="22"/>
      <c r="N822" s="22"/>
    </row>
    <row r="823" spans="2:21">
      <c r="L823" s="22"/>
      <c r="M823" s="22"/>
      <c r="N823" s="22"/>
    </row>
    <row r="824" spans="2:21">
      <c r="L824" s="22"/>
      <c r="M824" s="22"/>
      <c r="N824" s="22"/>
    </row>
    <row r="825" spans="2:21">
      <c r="L825" s="22"/>
      <c r="M825" s="22"/>
      <c r="N825" s="22"/>
    </row>
    <row r="826" spans="2:21">
      <c r="D826" s="23"/>
      <c r="L826" s="22"/>
      <c r="M826" s="22"/>
      <c r="N826" s="22"/>
    </row>
    <row r="827" spans="2:21">
      <c r="L827" s="22"/>
      <c r="M827" s="22"/>
      <c r="N827" s="22"/>
    </row>
    <row r="828" spans="2:21">
      <c r="L828" s="22"/>
      <c r="M828" s="22"/>
      <c r="N828" s="22"/>
    </row>
    <row r="829" spans="2:21">
      <c r="L829" s="22"/>
      <c r="M829" s="22"/>
      <c r="N829" s="22"/>
    </row>
    <row r="830" spans="2:21">
      <c r="L830" s="22"/>
      <c r="M830" s="22"/>
      <c r="N830" s="22"/>
    </row>
    <row r="831" spans="2:21">
      <c r="L831" s="22"/>
      <c r="M831" s="22"/>
      <c r="N831" s="22"/>
    </row>
    <row r="832" spans="2:21">
      <c r="L832" s="22"/>
      <c r="M832" s="22"/>
      <c r="N832" s="22"/>
    </row>
    <row r="833" spans="12:14">
      <c r="L833" s="22"/>
      <c r="M833" s="22"/>
      <c r="N833" s="22"/>
    </row>
    <row r="834" spans="12:14">
      <c r="L834" s="22"/>
      <c r="M834" s="22"/>
      <c r="N834" s="22"/>
    </row>
    <row r="835" spans="12:14">
      <c r="L835" s="22"/>
      <c r="M835" s="22"/>
      <c r="N835" s="22"/>
    </row>
    <row r="836" spans="12:14">
      <c r="L836" s="22"/>
      <c r="M836" s="22"/>
      <c r="N836" s="22"/>
    </row>
    <row r="837" spans="12:14">
      <c r="L837" s="22"/>
      <c r="M837" s="22"/>
      <c r="N837" s="22"/>
    </row>
    <row r="838" spans="12:14">
      <c r="L838" s="22"/>
      <c r="M838" s="22"/>
      <c r="N838" s="22"/>
    </row>
    <row r="839" spans="12:14">
      <c r="L839" s="22"/>
      <c r="M839" s="22"/>
      <c r="N839" s="22"/>
    </row>
    <row r="840" spans="12:14">
      <c r="L840" s="22"/>
      <c r="M840" s="22"/>
      <c r="N840" s="22"/>
    </row>
    <row r="841" spans="12:14">
      <c r="L841" s="22"/>
      <c r="M841" s="22"/>
      <c r="N841" s="22"/>
    </row>
    <row r="842" spans="12:14">
      <c r="L842" s="22"/>
      <c r="M842" s="22"/>
      <c r="N842" s="22"/>
    </row>
  </sheetData>
  <mergeCells count="52">
    <mergeCell ref="D9:E10"/>
    <mergeCell ref="I9:N9"/>
    <mergeCell ref="I10:K10"/>
    <mergeCell ref="L10:N10"/>
    <mergeCell ref="B194:B219"/>
    <mergeCell ref="B64:B89"/>
    <mergeCell ref="B90:B115"/>
    <mergeCell ref="B12:B37"/>
    <mergeCell ref="B9:B11"/>
    <mergeCell ref="B38:B63"/>
    <mergeCell ref="B116:B141"/>
    <mergeCell ref="B142:B167"/>
    <mergeCell ref="B168:B193"/>
    <mergeCell ref="B220:B245"/>
    <mergeCell ref="B298:B323"/>
    <mergeCell ref="B324:B349"/>
    <mergeCell ref="B350:B375"/>
    <mergeCell ref="B376:B401"/>
    <mergeCell ref="B246:B271"/>
    <mergeCell ref="B272:B297"/>
    <mergeCell ref="B402:B427"/>
    <mergeCell ref="B428:B453"/>
    <mergeCell ref="B454:B479"/>
    <mergeCell ref="B480:B505"/>
    <mergeCell ref="B506:B531"/>
    <mergeCell ref="B532:B557"/>
    <mergeCell ref="B558:B583"/>
    <mergeCell ref="B584:B609"/>
    <mergeCell ref="B610:B635"/>
    <mergeCell ref="B636:B661"/>
    <mergeCell ref="B792:B817"/>
    <mergeCell ref="B662:B687"/>
    <mergeCell ref="B688:B713"/>
    <mergeCell ref="B714:B739"/>
    <mergeCell ref="B740:B765"/>
    <mergeCell ref="B766:B791"/>
    <mergeCell ref="U9:U10"/>
    <mergeCell ref="F9:G10"/>
    <mergeCell ref="B3:D7"/>
    <mergeCell ref="Q3:R5"/>
    <mergeCell ref="Q6:R7"/>
    <mergeCell ref="S3:U5"/>
    <mergeCell ref="E3:P5"/>
    <mergeCell ref="E6:F7"/>
    <mergeCell ref="G6:J7"/>
    <mergeCell ref="K6:L7"/>
    <mergeCell ref="M6:P7"/>
    <mergeCell ref="S6:U7"/>
    <mergeCell ref="C9:C11"/>
    <mergeCell ref="O9:P9"/>
    <mergeCell ref="Q9:R9"/>
    <mergeCell ref="S9:T9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fitToWidth="0" fitToHeight="0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20" man="1"/>
    <brk id="739" max="16383" man="1"/>
    <brk id="765" max="20" man="1"/>
    <brk id="791" max="16383" man="1"/>
  </rowBreaks>
  <colBreaks count="1" manualBreakCount="1">
    <brk id="21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B1:U817"/>
  <sheetViews>
    <sheetView view="pageBreakPreview" zoomScale="110" zoomScaleNormal="53" zoomScaleSheetLayoutView="130" workbookViewId="0">
      <pane ySplit="11" topLeftCell="A492" activePane="bottomLeft" state="frozen"/>
      <selection pane="bottomLeft" activeCell="H505" sqref="F505:H505"/>
      <selection activeCell="D107" sqref="D107"/>
    </sheetView>
  </sheetViews>
  <sheetFormatPr defaultRowHeight="15"/>
  <cols>
    <col min="1" max="1" width="2.5703125" style="7" customWidth="1"/>
    <col min="2" max="2" width="13.42578125" style="7" customWidth="1"/>
    <col min="3" max="15" width="10.7109375" style="7" customWidth="1"/>
    <col min="16" max="16" width="10.28515625" style="7" customWidth="1"/>
    <col min="17" max="19" width="10.140625" style="7" customWidth="1"/>
    <col min="20" max="20" width="10.7109375" style="7" customWidth="1"/>
    <col min="21" max="21" width="12.140625" style="7" customWidth="1"/>
    <col min="22" max="16384" width="9.140625" style="7"/>
  </cols>
  <sheetData>
    <row r="1" spans="2:21" ht="14.45" customHeight="1"/>
    <row r="2" spans="2:21" ht="14.45" customHeight="1"/>
    <row r="3" spans="2:21" ht="14.45" customHeight="1">
      <c r="B3" s="279"/>
      <c r="C3" s="279"/>
      <c r="D3" s="279"/>
      <c r="E3" s="279" t="s">
        <v>0</v>
      </c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80" t="s">
        <v>35</v>
      </c>
      <c r="R3" s="280"/>
      <c r="S3" s="280" t="s">
        <v>36</v>
      </c>
      <c r="T3" s="280"/>
      <c r="U3" s="280"/>
    </row>
    <row r="4" spans="2:21" ht="14.45" customHeight="1">
      <c r="B4" s="279"/>
      <c r="C4" s="279"/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80"/>
      <c r="R4" s="280"/>
      <c r="S4" s="280"/>
      <c r="T4" s="280"/>
      <c r="U4" s="280"/>
    </row>
    <row r="5" spans="2:21" ht="14.45" customHeight="1">
      <c r="B5" s="279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80"/>
      <c r="R5" s="280"/>
      <c r="S5" s="280"/>
      <c r="T5" s="280"/>
      <c r="U5" s="280"/>
    </row>
    <row r="6" spans="2:21" ht="14.45" customHeight="1">
      <c r="B6" s="279"/>
      <c r="C6" s="279"/>
      <c r="D6" s="279"/>
      <c r="E6" s="283" t="s">
        <v>3</v>
      </c>
      <c r="F6" s="283"/>
      <c r="G6" s="283" t="s">
        <v>4</v>
      </c>
      <c r="H6" s="283"/>
      <c r="I6" s="283"/>
      <c r="J6" s="283"/>
      <c r="K6" s="283" t="s">
        <v>5</v>
      </c>
      <c r="L6" s="283"/>
      <c r="M6" s="283" t="s">
        <v>6</v>
      </c>
      <c r="N6" s="283"/>
      <c r="O6" s="283"/>
      <c r="P6" s="283"/>
      <c r="Q6" s="279" t="s">
        <v>7</v>
      </c>
      <c r="R6" s="279"/>
      <c r="S6" s="314">
        <f>'DATA B1'!S6</f>
        <v>46023</v>
      </c>
      <c r="T6" s="314"/>
      <c r="U6" s="314"/>
    </row>
    <row r="7" spans="2:21" ht="14.45" customHeight="1">
      <c r="B7" s="279"/>
      <c r="C7" s="279"/>
      <c r="D7" s="279"/>
      <c r="E7" s="283"/>
      <c r="F7" s="283"/>
      <c r="G7" s="283"/>
      <c r="H7" s="283"/>
      <c r="I7" s="283"/>
      <c r="J7" s="283"/>
      <c r="K7" s="283"/>
      <c r="L7" s="283"/>
      <c r="M7" s="283"/>
      <c r="N7" s="283"/>
      <c r="O7" s="283"/>
      <c r="P7" s="283"/>
      <c r="Q7" s="279"/>
      <c r="R7" s="279"/>
      <c r="S7" s="314"/>
      <c r="T7" s="314"/>
      <c r="U7" s="314"/>
    </row>
    <row r="8" spans="2:21" ht="14.45" customHeight="1">
      <c r="B8" s="262"/>
      <c r="C8" s="262"/>
      <c r="K8" s="202"/>
      <c r="L8" s="202"/>
      <c r="M8" s="202"/>
      <c r="N8" s="202"/>
      <c r="O8" s="202"/>
      <c r="P8" s="202"/>
      <c r="Q8" s="262"/>
      <c r="R8" s="262"/>
      <c r="S8" s="198"/>
      <c r="T8" s="198"/>
      <c r="U8" s="198"/>
    </row>
    <row r="9" spans="2:21" ht="15" customHeight="1">
      <c r="B9" s="315" t="s">
        <v>8</v>
      </c>
      <c r="C9" s="315" t="s">
        <v>9</v>
      </c>
      <c r="D9" s="317" t="s">
        <v>10</v>
      </c>
      <c r="E9" s="317"/>
      <c r="F9" s="316" t="s">
        <v>37</v>
      </c>
      <c r="G9" s="316"/>
      <c r="H9" s="257" t="s">
        <v>12</v>
      </c>
      <c r="I9" s="311" t="s">
        <v>38</v>
      </c>
      <c r="J9" s="311"/>
      <c r="K9" s="311"/>
      <c r="L9" s="311"/>
      <c r="M9" s="311"/>
      <c r="N9" s="311"/>
      <c r="O9" s="307" t="s">
        <v>14</v>
      </c>
      <c r="P9" s="307"/>
      <c r="Q9" s="308" t="s">
        <v>15</v>
      </c>
      <c r="R9" s="308"/>
      <c r="S9" s="309" t="s">
        <v>16</v>
      </c>
      <c r="T9" s="309"/>
      <c r="U9" s="310" t="s">
        <v>17</v>
      </c>
    </row>
    <row r="10" spans="2:21" ht="14.45" customHeight="1">
      <c r="B10" s="315"/>
      <c r="C10" s="315"/>
      <c r="D10" s="317"/>
      <c r="E10" s="317"/>
      <c r="F10" s="316"/>
      <c r="G10" s="316"/>
      <c r="H10" s="257"/>
      <c r="I10" s="312" t="s">
        <v>18</v>
      </c>
      <c r="J10" s="312"/>
      <c r="K10" s="312"/>
      <c r="L10" s="313" t="s">
        <v>19</v>
      </c>
      <c r="M10" s="313"/>
      <c r="N10" s="313"/>
      <c r="O10" s="68" t="s">
        <v>20</v>
      </c>
      <c r="P10" s="68" t="s">
        <v>21</v>
      </c>
      <c r="Q10" s="69" t="s">
        <v>22</v>
      </c>
      <c r="R10" s="69" t="s">
        <v>23</v>
      </c>
      <c r="S10" s="256" t="s">
        <v>22</v>
      </c>
      <c r="T10" s="256" t="s">
        <v>23</v>
      </c>
      <c r="U10" s="310"/>
    </row>
    <row r="11" spans="2:21" ht="15" customHeight="1">
      <c r="B11" s="315"/>
      <c r="C11" s="315"/>
      <c r="D11" s="200" t="s">
        <v>24</v>
      </c>
      <c r="E11" s="201" t="s">
        <v>25</v>
      </c>
      <c r="F11" s="258" t="s">
        <v>26</v>
      </c>
      <c r="G11" s="258" t="s">
        <v>27</v>
      </c>
      <c r="H11" s="258" t="s">
        <v>28</v>
      </c>
      <c r="I11" s="254" t="s">
        <v>29</v>
      </c>
      <c r="J11" s="254" t="s">
        <v>30</v>
      </c>
      <c r="K11" s="254" t="s">
        <v>12</v>
      </c>
      <c r="L11" s="255" t="s">
        <v>29</v>
      </c>
      <c r="M11" s="255" t="s">
        <v>30</v>
      </c>
      <c r="N11" s="255" t="s">
        <v>12</v>
      </c>
      <c r="O11" s="194" t="s">
        <v>31</v>
      </c>
      <c r="P11" s="253" t="s">
        <v>32</v>
      </c>
      <c r="Q11" s="195" t="s">
        <v>33</v>
      </c>
      <c r="R11" s="195" t="s">
        <v>34</v>
      </c>
      <c r="S11" s="196" t="s">
        <v>33</v>
      </c>
      <c r="T11" s="196" t="s">
        <v>34</v>
      </c>
      <c r="U11" s="197" t="s">
        <v>39</v>
      </c>
    </row>
    <row r="12" spans="2:21">
      <c r="B12" s="292">
        <f>'DATA B1'!B12</f>
        <v>46023</v>
      </c>
      <c r="C12" s="175">
        <v>0.29166666666666669</v>
      </c>
      <c r="D12" s="5">
        <v>511196</v>
      </c>
      <c r="E12" s="11">
        <v>566596</v>
      </c>
      <c r="F12" s="10">
        <v>1.5995999999999999</v>
      </c>
      <c r="G12" s="144">
        <v>1.129</v>
      </c>
      <c r="H12" s="10"/>
      <c r="I12" s="9">
        <v>321484</v>
      </c>
      <c r="J12" s="9">
        <v>124091</v>
      </c>
      <c r="K12" s="9"/>
      <c r="L12" s="27">
        <v>200857</v>
      </c>
      <c r="M12" s="27">
        <v>161766</v>
      </c>
      <c r="N12" s="27"/>
      <c r="O12" s="145">
        <v>101.2</v>
      </c>
      <c r="P12" s="145">
        <v>17</v>
      </c>
      <c r="Q12" s="146">
        <v>101.2</v>
      </c>
      <c r="R12" s="146">
        <v>112.4</v>
      </c>
      <c r="S12" s="91">
        <v>230.1</v>
      </c>
      <c r="T12" s="91">
        <v>190.5</v>
      </c>
      <c r="U12" s="199"/>
    </row>
    <row r="13" spans="2:21">
      <c r="B13" s="292"/>
      <c r="C13" s="19">
        <v>0.33333333333333298</v>
      </c>
      <c r="D13" s="5">
        <v>511214</v>
      </c>
      <c r="E13" s="11">
        <v>566619</v>
      </c>
      <c r="F13" s="10">
        <v>1.5995999999999999</v>
      </c>
      <c r="G13" s="144">
        <v>1.129</v>
      </c>
      <c r="H13" s="144"/>
      <c r="I13" s="9">
        <v>322104</v>
      </c>
      <c r="J13" s="9">
        <v>124696</v>
      </c>
      <c r="K13" s="9"/>
      <c r="L13" s="27">
        <v>200866</v>
      </c>
      <c r="M13" s="27">
        <v>161784</v>
      </c>
      <c r="N13" s="27"/>
      <c r="O13" s="145">
        <v>101.1</v>
      </c>
      <c r="P13" s="145">
        <v>17</v>
      </c>
      <c r="Q13" s="146">
        <v>101.2</v>
      </c>
      <c r="R13" s="146">
        <v>112.1</v>
      </c>
      <c r="S13" s="91">
        <v>235.5</v>
      </c>
      <c r="T13" s="91">
        <v>192.3</v>
      </c>
      <c r="U13" s="147"/>
    </row>
    <row r="14" spans="2:21">
      <c r="B14" s="292"/>
      <c r="C14" s="19">
        <v>0.375</v>
      </c>
      <c r="D14" s="5">
        <v>511225</v>
      </c>
      <c r="E14" s="11">
        <v>566632</v>
      </c>
      <c r="F14" s="10">
        <v>1.5996999999999999</v>
      </c>
      <c r="G14" s="144">
        <v>1.129</v>
      </c>
      <c r="H14" s="144"/>
      <c r="I14" s="9">
        <v>322444</v>
      </c>
      <c r="J14" s="9">
        <v>125026</v>
      </c>
      <c r="K14" s="9"/>
      <c r="L14" s="27">
        <v>200871</v>
      </c>
      <c r="M14" s="27">
        <v>161795</v>
      </c>
      <c r="N14" s="27"/>
      <c r="O14" s="145">
        <v>101.2</v>
      </c>
      <c r="P14" s="145">
        <v>17</v>
      </c>
      <c r="Q14" s="146">
        <v>101.2</v>
      </c>
      <c r="R14" s="146">
        <v>111.1</v>
      </c>
      <c r="S14" s="91">
        <v>199.1</v>
      </c>
      <c r="T14" s="91">
        <v>194.1</v>
      </c>
      <c r="U14" s="147"/>
    </row>
    <row r="15" spans="2:21">
      <c r="B15" s="292"/>
      <c r="C15" s="19">
        <v>0.41666666666666702</v>
      </c>
      <c r="D15" s="5">
        <v>511236</v>
      </c>
      <c r="E15" s="11">
        <v>566645</v>
      </c>
      <c r="F15" s="10">
        <v>1.5996999999999999</v>
      </c>
      <c r="G15" s="144">
        <v>1.129</v>
      </c>
      <c r="H15" s="144"/>
      <c r="I15" s="9">
        <v>322802</v>
      </c>
      <c r="J15" s="9">
        <v>125349</v>
      </c>
      <c r="K15" s="9"/>
      <c r="L15" s="27">
        <v>200876</v>
      </c>
      <c r="M15" s="27">
        <v>161806</v>
      </c>
      <c r="N15" s="27"/>
      <c r="O15" s="145">
        <v>100.9</v>
      </c>
      <c r="P15" s="145">
        <v>17</v>
      </c>
      <c r="Q15" s="146">
        <v>100.9</v>
      </c>
      <c r="R15" s="146">
        <v>112.2</v>
      </c>
      <c r="S15" s="91">
        <v>198.6</v>
      </c>
      <c r="T15" s="91">
        <v>193.1</v>
      </c>
      <c r="U15" s="147"/>
    </row>
    <row r="16" spans="2:21">
      <c r="B16" s="292"/>
      <c r="C16" s="19">
        <v>0.45833333333333298</v>
      </c>
      <c r="D16" s="5">
        <v>511247</v>
      </c>
      <c r="E16" s="11">
        <v>566659</v>
      </c>
      <c r="F16" s="10">
        <v>1.5998000000000001</v>
      </c>
      <c r="G16" s="144">
        <v>1.129</v>
      </c>
      <c r="H16" s="144"/>
      <c r="I16" s="9">
        <v>323151</v>
      </c>
      <c r="J16" s="9">
        <v>125688</v>
      </c>
      <c r="K16" s="9"/>
      <c r="L16" s="27">
        <v>200881</v>
      </c>
      <c r="M16" s="27">
        <v>161818</v>
      </c>
      <c r="N16" s="27"/>
      <c r="O16" s="145">
        <v>100.7</v>
      </c>
      <c r="P16" s="145">
        <v>17</v>
      </c>
      <c r="Q16" s="146">
        <v>100.7</v>
      </c>
      <c r="R16" s="146">
        <v>110.4</v>
      </c>
      <c r="S16" s="91">
        <v>234.9</v>
      </c>
      <c r="T16" s="91">
        <v>191.7</v>
      </c>
      <c r="U16" s="147"/>
    </row>
    <row r="17" spans="2:21">
      <c r="B17" s="292"/>
      <c r="C17" s="19">
        <v>0.5</v>
      </c>
      <c r="D17" s="5">
        <v>511261</v>
      </c>
      <c r="E17" s="11">
        <v>566673</v>
      </c>
      <c r="F17" s="10">
        <v>1.5998000000000001</v>
      </c>
      <c r="G17" s="144">
        <v>1.129</v>
      </c>
      <c r="H17" s="144"/>
      <c r="I17" s="9">
        <v>323549</v>
      </c>
      <c r="J17" s="9">
        <v>126065</v>
      </c>
      <c r="K17" s="9"/>
      <c r="L17" s="27">
        <v>200886</v>
      </c>
      <c r="M17" s="27">
        <v>161830</v>
      </c>
      <c r="N17" s="27"/>
      <c r="O17" s="145">
        <v>101.2</v>
      </c>
      <c r="P17" s="145">
        <v>17</v>
      </c>
      <c r="Q17" s="146">
        <v>101.2</v>
      </c>
      <c r="R17" s="146">
        <v>112.1</v>
      </c>
      <c r="S17" s="91">
        <v>235.5</v>
      </c>
      <c r="T17" s="91">
        <v>192.3</v>
      </c>
      <c r="U17" s="147"/>
    </row>
    <row r="18" spans="2:21">
      <c r="B18" s="292"/>
      <c r="C18" s="19">
        <v>0.54166666666666696</v>
      </c>
      <c r="D18" s="5">
        <v>511275</v>
      </c>
      <c r="E18" s="11">
        <v>566687</v>
      </c>
      <c r="F18" s="10">
        <v>1.5998000000000001</v>
      </c>
      <c r="G18" s="144">
        <v>1.129</v>
      </c>
      <c r="H18" s="144"/>
      <c r="I18" s="9">
        <v>323951</v>
      </c>
      <c r="J18" s="9">
        <v>126446</v>
      </c>
      <c r="K18" s="9"/>
      <c r="L18" s="27">
        <v>200891</v>
      </c>
      <c r="M18" s="27">
        <v>161842</v>
      </c>
      <c r="N18" s="27"/>
      <c r="O18" s="145">
        <v>101.4</v>
      </c>
      <c r="P18" s="145">
        <v>17</v>
      </c>
      <c r="Q18" s="146">
        <v>101.4</v>
      </c>
      <c r="R18" s="146">
        <v>111.1</v>
      </c>
      <c r="S18" s="91">
        <v>202.8</v>
      </c>
      <c r="T18" s="91">
        <v>193.7</v>
      </c>
      <c r="U18" s="147"/>
    </row>
    <row r="19" spans="2:21">
      <c r="B19" s="292"/>
      <c r="C19" s="19">
        <v>0.58333333333333304</v>
      </c>
      <c r="D19" s="5">
        <v>511288</v>
      </c>
      <c r="E19" s="11">
        <v>566701</v>
      </c>
      <c r="F19" s="10">
        <v>1.5998000000000001</v>
      </c>
      <c r="G19" s="144">
        <v>1.129</v>
      </c>
      <c r="H19" s="144"/>
      <c r="I19" s="9">
        <v>324346</v>
      </c>
      <c r="J19" s="9">
        <v>126820</v>
      </c>
      <c r="K19" s="9"/>
      <c r="L19" s="27">
        <v>200896</v>
      </c>
      <c r="M19" s="27">
        <v>161854</v>
      </c>
      <c r="N19" s="27"/>
      <c r="O19" s="145">
        <v>100.7</v>
      </c>
      <c r="P19" s="145">
        <v>17</v>
      </c>
      <c r="Q19" s="146">
        <v>100.7</v>
      </c>
      <c r="R19" s="146">
        <v>113</v>
      </c>
      <c r="S19" s="91">
        <v>198.6</v>
      </c>
      <c r="T19" s="91">
        <v>198.2</v>
      </c>
      <c r="U19" s="147"/>
    </row>
    <row r="20" spans="2:21">
      <c r="B20" s="292"/>
      <c r="C20" s="19">
        <v>0.625</v>
      </c>
      <c r="D20" s="5">
        <v>511302</v>
      </c>
      <c r="E20" s="11">
        <v>566718</v>
      </c>
      <c r="F20" s="144">
        <v>1.6</v>
      </c>
      <c r="G20" s="144">
        <v>1.129</v>
      </c>
      <c r="H20" s="144"/>
      <c r="I20" s="9">
        <v>324752</v>
      </c>
      <c r="J20" s="9">
        <v>127207</v>
      </c>
      <c r="K20" s="9"/>
      <c r="L20" s="27">
        <v>200907</v>
      </c>
      <c r="M20" s="27">
        <v>161921</v>
      </c>
      <c r="N20" s="27"/>
      <c r="O20" s="145">
        <v>100.9</v>
      </c>
      <c r="P20" s="145">
        <v>17</v>
      </c>
      <c r="Q20" s="146">
        <v>100.9</v>
      </c>
      <c r="R20" s="146">
        <v>110.8</v>
      </c>
      <c r="S20" s="91">
        <v>229.9</v>
      </c>
      <c r="T20" s="91">
        <v>198.6</v>
      </c>
      <c r="U20" s="147"/>
    </row>
    <row r="21" spans="2:21">
      <c r="B21" s="292"/>
      <c r="C21" s="19">
        <v>0.66666666666666696</v>
      </c>
      <c r="D21" s="5">
        <v>511312</v>
      </c>
      <c r="E21" s="11">
        <v>566732</v>
      </c>
      <c r="F21" s="144">
        <v>1.6</v>
      </c>
      <c r="G21" s="144">
        <v>1.129</v>
      </c>
      <c r="H21" s="144"/>
      <c r="I21" s="9">
        <v>325119</v>
      </c>
      <c r="J21" s="9">
        <v>127556</v>
      </c>
      <c r="K21" s="9"/>
      <c r="L21" s="27">
        <v>200918</v>
      </c>
      <c r="M21" s="27">
        <v>161988</v>
      </c>
      <c r="N21" s="27"/>
      <c r="O21" s="145">
        <v>101.2</v>
      </c>
      <c r="P21" s="145">
        <v>17</v>
      </c>
      <c r="Q21" s="146">
        <v>101.2</v>
      </c>
      <c r="R21" s="146">
        <v>112.4</v>
      </c>
      <c r="S21" s="91">
        <v>230.1</v>
      </c>
      <c r="T21" s="91">
        <v>190.5</v>
      </c>
      <c r="U21" s="147"/>
    </row>
    <row r="22" spans="2:21">
      <c r="B22" s="292"/>
      <c r="C22" s="19">
        <v>0.70833333333333304</v>
      </c>
      <c r="D22" s="5">
        <v>511322</v>
      </c>
      <c r="E22" s="11">
        <v>566746</v>
      </c>
      <c r="F22" s="144">
        <v>1.6001000000000001</v>
      </c>
      <c r="G22" s="144">
        <v>1.129</v>
      </c>
      <c r="H22" s="144"/>
      <c r="I22" s="9">
        <v>325490</v>
      </c>
      <c r="J22" s="9">
        <v>127909</v>
      </c>
      <c r="K22" s="9"/>
      <c r="L22" s="27">
        <v>200929</v>
      </c>
      <c r="M22" s="27">
        <v>161988</v>
      </c>
      <c r="N22" s="27"/>
      <c r="O22" s="145">
        <v>101.4</v>
      </c>
      <c r="P22" s="145">
        <v>17</v>
      </c>
      <c r="Q22" s="146">
        <v>101.4</v>
      </c>
      <c r="R22" s="146">
        <v>112.1</v>
      </c>
      <c r="S22" s="91">
        <v>235.5</v>
      </c>
      <c r="T22" s="91">
        <v>193.9</v>
      </c>
      <c r="U22" s="147"/>
    </row>
    <row r="23" spans="2:21">
      <c r="B23" s="292"/>
      <c r="C23" s="19">
        <v>0.75</v>
      </c>
      <c r="D23" s="5">
        <v>511332</v>
      </c>
      <c r="E23" s="11">
        <v>566760</v>
      </c>
      <c r="F23" s="144">
        <v>1.6001000000000001</v>
      </c>
      <c r="G23" s="144">
        <v>1.129</v>
      </c>
      <c r="H23" s="144"/>
      <c r="I23" s="9">
        <v>325854</v>
      </c>
      <c r="J23" s="9">
        <v>128255</v>
      </c>
      <c r="K23" s="9"/>
      <c r="L23" s="27">
        <v>200929</v>
      </c>
      <c r="M23" s="27">
        <v>161988</v>
      </c>
      <c r="N23" s="27"/>
      <c r="O23" s="145">
        <v>101.2</v>
      </c>
      <c r="P23" s="145">
        <v>17</v>
      </c>
      <c r="Q23" s="146">
        <v>101.2</v>
      </c>
      <c r="R23" s="146">
        <v>111.1</v>
      </c>
      <c r="S23" s="91">
        <v>199.1</v>
      </c>
      <c r="T23" s="91">
        <v>194.1</v>
      </c>
      <c r="U23" s="147"/>
    </row>
    <row r="24" spans="2:21">
      <c r="B24" s="292"/>
      <c r="C24" s="19">
        <v>0.79166666666666696</v>
      </c>
      <c r="D24" s="5">
        <v>511343</v>
      </c>
      <c r="E24" s="11">
        <v>566776</v>
      </c>
      <c r="F24" s="10">
        <v>1.6002000000000001</v>
      </c>
      <c r="G24" s="144">
        <v>1.129</v>
      </c>
      <c r="H24" s="144"/>
      <c r="I24" s="9">
        <v>326228</v>
      </c>
      <c r="J24" s="9">
        <v>128614</v>
      </c>
      <c r="K24" s="9"/>
      <c r="L24" s="27">
        <v>200930</v>
      </c>
      <c r="M24" s="27">
        <v>161993</v>
      </c>
      <c r="N24" s="27"/>
      <c r="O24" s="145">
        <v>100.9</v>
      </c>
      <c r="P24" s="145">
        <v>17</v>
      </c>
      <c r="Q24" s="146">
        <v>100.9</v>
      </c>
      <c r="R24" s="146">
        <v>111.9</v>
      </c>
      <c r="S24" s="91">
        <v>232.8</v>
      </c>
      <c r="T24" s="91">
        <v>200.2</v>
      </c>
      <c r="U24" s="147"/>
    </row>
    <row r="25" spans="2:21">
      <c r="B25" s="292"/>
      <c r="C25" s="19">
        <v>0.83333333333333304</v>
      </c>
      <c r="D25" s="5">
        <v>511355</v>
      </c>
      <c r="E25" s="11">
        <v>566795</v>
      </c>
      <c r="F25" s="10">
        <v>1.6002000000000001</v>
      </c>
      <c r="G25" s="144">
        <v>1.129</v>
      </c>
      <c r="H25" s="144"/>
      <c r="I25" s="9">
        <v>326600</v>
      </c>
      <c r="J25" s="9">
        <v>128971</v>
      </c>
      <c r="K25" s="9"/>
      <c r="L25" s="27">
        <v>200937</v>
      </c>
      <c r="M25" s="27">
        <v>162010</v>
      </c>
      <c r="N25" s="27"/>
      <c r="O25" s="145">
        <v>101.1</v>
      </c>
      <c r="P25" s="145">
        <v>17</v>
      </c>
      <c r="Q25" s="146">
        <v>101.1</v>
      </c>
      <c r="R25" s="146">
        <v>108.2</v>
      </c>
      <c r="S25" s="91">
        <v>219.5</v>
      </c>
      <c r="T25" s="91">
        <v>197.4</v>
      </c>
      <c r="U25" s="147"/>
    </row>
    <row r="26" spans="2:21">
      <c r="B26" s="292"/>
      <c r="C26" s="19">
        <v>0.875</v>
      </c>
      <c r="D26" s="5">
        <v>511364</v>
      </c>
      <c r="E26" s="11">
        <v>566809</v>
      </c>
      <c r="F26" s="10">
        <v>1.6003000000000001</v>
      </c>
      <c r="G26" s="144">
        <v>1.129</v>
      </c>
      <c r="H26" s="144"/>
      <c r="I26" s="9">
        <v>326865</v>
      </c>
      <c r="J26" s="9">
        <v>129229</v>
      </c>
      <c r="K26" s="9"/>
      <c r="L26" s="27">
        <v>200937</v>
      </c>
      <c r="M26" s="27">
        <v>162010</v>
      </c>
      <c r="N26" s="27"/>
      <c r="O26" s="145">
        <v>101.1</v>
      </c>
      <c r="P26" s="145">
        <v>17</v>
      </c>
      <c r="Q26" s="146">
        <v>101.2</v>
      </c>
      <c r="R26" s="146">
        <v>112.1</v>
      </c>
      <c r="S26" s="91">
        <v>235.5</v>
      </c>
      <c r="T26" s="91">
        <v>192.3</v>
      </c>
      <c r="U26" s="147"/>
    </row>
    <row r="27" spans="2:21">
      <c r="B27" s="292"/>
      <c r="C27" s="19">
        <v>0.91666666666666696</v>
      </c>
      <c r="D27" s="5">
        <v>511373</v>
      </c>
      <c r="E27" s="11">
        <v>566824</v>
      </c>
      <c r="F27" s="10">
        <v>1.6003000000000001</v>
      </c>
      <c r="G27" s="144">
        <v>1.1291</v>
      </c>
      <c r="H27" s="144"/>
      <c r="I27" s="9">
        <v>327142</v>
      </c>
      <c r="J27" s="9">
        <v>129484</v>
      </c>
      <c r="K27" s="9"/>
      <c r="L27" s="27">
        <v>200937</v>
      </c>
      <c r="M27" s="27">
        <v>162010</v>
      </c>
      <c r="N27" s="27"/>
      <c r="O27" s="145">
        <v>101.2</v>
      </c>
      <c r="P27" s="145">
        <v>17</v>
      </c>
      <c r="Q27" s="146">
        <v>101.2</v>
      </c>
      <c r="R27" s="146">
        <v>111.1</v>
      </c>
      <c r="S27" s="91">
        <v>229.7</v>
      </c>
      <c r="T27" s="91">
        <v>191.2</v>
      </c>
      <c r="U27" s="147"/>
    </row>
    <row r="28" spans="2:21">
      <c r="B28" s="292"/>
      <c r="C28" s="19">
        <v>0.95833333333333304</v>
      </c>
      <c r="D28" s="5">
        <v>511383</v>
      </c>
      <c r="E28" s="11">
        <v>566839</v>
      </c>
      <c r="F28" s="10">
        <v>1.6003000000000001</v>
      </c>
      <c r="G28" s="144">
        <v>1.1291</v>
      </c>
      <c r="H28" s="144"/>
      <c r="I28" s="9">
        <v>327469</v>
      </c>
      <c r="J28" s="9">
        <v>129792</v>
      </c>
      <c r="K28" s="9"/>
      <c r="L28" s="27">
        <v>200958</v>
      </c>
      <c r="M28" s="27">
        <v>162087</v>
      </c>
      <c r="N28" s="27"/>
      <c r="O28" s="145">
        <v>100.4</v>
      </c>
      <c r="P28" s="145">
        <v>17</v>
      </c>
      <c r="Q28" s="146">
        <v>100.4</v>
      </c>
      <c r="R28" s="146">
        <v>111.2</v>
      </c>
      <c r="S28" s="91">
        <v>223.5</v>
      </c>
      <c r="T28" s="91">
        <v>189.6</v>
      </c>
      <c r="U28" s="147"/>
    </row>
    <row r="29" spans="2:21">
      <c r="B29" s="292"/>
      <c r="C29" s="19">
        <v>1</v>
      </c>
      <c r="D29" s="5">
        <v>511393</v>
      </c>
      <c r="E29" s="11">
        <v>566855</v>
      </c>
      <c r="F29" s="10">
        <v>1.6003000000000001</v>
      </c>
      <c r="G29" s="144">
        <v>1.1291</v>
      </c>
      <c r="H29" s="144"/>
      <c r="I29" s="9">
        <v>327800</v>
      </c>
      <c r="J29" s="9">
        <v>130100</v>
      </c>
      <c r="K29" s="9"/>
      <c r="L29" s="27">
        <v>200964</v>
      </c>
      <c r="M29" s="27">
        <v>162103</v>
      </c>
      <c r="N29" s="27"/>
      <c r="O29" s="145">
        <v>101.2</v>
      </c>
      <c r="P29" s="145">
        <v>17</v>
      </c>
      <c r="Q29" s="146">
        <v>101.2</v>
      </c>
      <c r="R29" s="146">
        <v>112.4</v>
      </c>
      <c r="S29" s="91">
        <v>230.1</v>
      </c>
      <c r="T29" s="91">
        <v>190.5</v>
      </c>
      <c r="U29" s="147"/>
    </row>
    <row r="30" spans="2:21">
      <c r="B30" s="292"/>
      <c r="C30" s="19">
        <v>1.0416666666666701</v>
      </c>
      <c r="D30" s="5">
        <v>511403</v>
      </c>
      <c r="E30" s="11">
        <v>566871</v>
      </c>
      <c r="F30" s="10">
        <v>1.6003000000000001</v>
      </c>
      <c r="G30" s="144">
        <v>1.1291</v>
      </c>
      <c r="H30" s="144"/>
      <c r="I30" s="9">
        <v>328160</v>
      </c>
      <c r="J30" s="9">
        <v>130382</v>
      </c>
      <c r="K30" s="9"/>
      <c r="L30" s="27">
        <v>200970</v>
      </c>
      <c r="M30" s="27">
        <v>162119</v>
      </c>
      <c r="N30" s="27"/>
      <c r="O30" s="145">
        <v>101.1</v>
      </c>
      <c r="P30" s="145">
        <v>17</v>
      </c>
      <c r="Q30" s="146">
        <v>101.2</v>
      </c>
      <c r="R30" s="146">
        <v>112.1</v>
      </c>
      <c r="S30" s="91">
        <v>235.5</v>
      </c>
      <c r="T30" s="91">
        <v>192.3</v>
      </c>
      <c r="U30" s="147"/>
    </row>
    <row r="31" spans="2:21">
      <c r="B31" s="292"/>
      <c r="C31" s="19">
        <v>1.0833333333333299</v>
      </c>
      <c r="D31" s="5">
        <v>511414</v>
      </c>
      <c r="E31" s="11">
        <v>566887</v>
      </c>
      <c r="F31" s="10">
        <v>1.6003000000000001</v>
      </c>
      <c r="G31" s="144">
        <v>1.1292</v>
      </c>
      <c r="H31" s="144"/>
      <c r="I31" s="9">
        <v>328652</v>
      </c>
      <c r="J31" s="9">
        <v>130537</v>
      </c>
      <c r="K31" s="9"/>
      <c r="L31" s="27">
        <v>200976</v>
      </c>
      <c r="M31" s="27">
        <v>162135</v>
      </c>
      <c r="N31" s="27"/>
      <c r="O31" s="145">
        <v>101.2</v>
      </c>
      <c r="P31" s="145">
        <v>17</v>
      </c>
      <c r="Q31" s="146">
        <v>101.2</v>
      </c>
      <c r="R31" s="146">
        <v>111.1</v>
      </c>
      <c r="S31" s="91">
        <v>199.1</v>
      </c>
      <c r="T31" s="91">
        <v>194.1</v>
      </c>
      <c r="U31" s="147"/>
    </row>
    <row r="32" spans="2:21">
      <c r="B32" s="292"/>
      <c r="C32" s="19">
        <v>1.125</v>
      </c>
      <c r="D32" s="5">
        <v>511426</v>
      </c>
      <c r="E32" s="11">
        <v>566904</v>
      </c>
      <c r="F32" s="10">
        <v>1.6003000000000001</v>
      </c>
      <c r="G32" s="144">
        <v>1.1293</v>
      </c>
      <c r="H32" s="144"/>
      <c r="I32" s="9">
        <v>328809</v>
      </c>
      <c r="J32" s="9">
        <v>131071</v>
      </c>
      <c r="K32" s="9"/>
      <c r="L32" s="27">
        <v>200984</v>
      </c>
      <c r="M32" s="27">
        <v>162153</v>
      </c>
      <c r="N32" s="27"/>
      <c r="O32" s="145">
        <v>100.2</v>
      </c>
      <c r="P32" s="145">
        <v>17</v>
      </c>
      <c r="Q32" s="146">
        <v>100.2</v>
      </c>
      <c r="R32" s="146">
        <v>108.2</v>
      </c>
      <c r="S32" s="91">
        <v>219.8</v>
      </c>
      <c r="T32" s="91">
        <v>197.4</v>
      </c>
      <c r="U32" s="147"/>
    </row>
    <row r="33" spans="2:21">
      <c r="B33" s="292"/>
      <c r="C33" s="19">
        <v>1.1666666666666701</v>
      </c>
      <c r="D33" s="5">
        <v>511435</v>
      </c>
      <c r="E33" s="11">
        <v>566917</v>
      </c>
      <c r="F33" s="10">
        <v>1.6003000000000001</v>
      </c>
      <c r="G33" s="144">
        <v>1.1293</v>
      </c>
      <c r="H33" s="144"/>
      <c r="I33" s="9">
        <v>329092</v>
      </c>
      <c r="J33" s="9">
        <v>131335</v>
      </c>
      <c r="K33" s="9"/>
      <c r="L33" s="27">
        <v>200984</v>
      </c>
      <c r="M33" s="27">
        <v>162153</v>
      </c>
      <c r="N33" s="27"/>
      <c r="O33" s="145">
        <v>100.6</v>
      </c>
      <c r="P33" s="145">
        <v>17</v>
      </c>
      <c r="Q33" s="146">
        <v>100.6</v>
      </c>
      <c r="R33" s="146">
        <v>110.4</v>
      </c>
      <c r="S33" s="91">
        <v>234.9</v>
      </c>
      <c r="T33" s="91">
        <v>192.6</v>
      </c>
      <c r="U33" s="147"/>
    </row>
    <row r="34" spans="2:21">
      <c r="B34" s="292"/>
      <c r="C34" s="19">
        <v>1.2083333333333299</v>
      </c>
      <c r="D34" s="5">
        <v>511444</v>
      </c>
      <c r="E34" s="11">
        <v>566931</v>
      </c>
      <c r="F34" s="10">
        <v>1.6003000000000001</v>
      </c>
      <c r="G34" s="144">
        <v>1.1293</v>
      </c>
      <c r="H34" s="144"/>
      <c r="I34" s="9">
        <v>329342</v>
      </c>
      <c r="J34" s="9">
        <v>131610</v>
      </c>
      <c r="K34" s="9"/>
      <c r="L34" s="27">
        <v>200984</v>
      </c>
      <c r="M34" s="27">
        <v>162153</v>
      </c>
      <c r="N34" s="27"/>
      <c r="O34" s="145">
        <v>101.3</v>
      </c>
      <c r="P34" s="145">
        <v>17</v>
      </c>
      <c r="Q34" s="146">
        <v>101.3</v>
      </c>
      <c r="R34" s="146">
        <v>112.1</v>
      </c>
      <c r="S34" s="91">
        <v>232.1</v>
      </c>
      <c r="T34" s="91">
        <v>192.3</v>
      </c>
      <c r="U34" s="147"/>
    </row>
    <row r="35" spans="2:21">
      <c r="B35" s="292"/>
      <c r="C35" s="19">
        <v>1.25</v>
      </c>
      <c r="D35" s="5">
        <v>511454</v>
      </c>
      <c r="E35" s="11">
        <v>566945</v>
      </c>
      <c r="F35" s="10">
        <v>1.6003000000000001</v>
      </c>
      <c r="G35" s="144">
        <v>1.1294</v>
      </c>
      <c r="H35" s="144"/>
      <c r="I35" s="9">
        <v>329676</v>
      </c>
      <c r="J35" s="9">
        <v>131886</v>
      </c>
      <c r="K35" s="9"/>
      <c r="L35" s="27">
        <v>200984</v>
      </c>
      <c r="M35" s="27">
        <v>162153</v>
      </c>
      <c r="N35" s="27"/>
      <c r="O35" s="145">
        <v>101.4</v>
      </c>
      <c r="P35" s="145">
        <v>17</v>
      </c>
      <c r="Q35" s="146">
        <v>101.4</v>
      </c>
      <c r="R35" s="146">
        <v>111.1</v>
      </c>
      <c r="S35" s="91">
        <v>202.8</v>
      </c>
      <c r="T35" s="91">
        <v>193.7</v>
      </c>
      <c r="U35" s="147"/>
    </row>
    <row r="36" spans="2:21">
      <c r="B36" s="292"/>
      <c r="C36" s="19">
        <v>1.2916666666666701</v>
      </c>
      <c r="D36" s="5">
        <v>511464</v>
      </c>
      <c r="E36" s="11">
        <v>566959</v>
      </c>
      <c r="F36" s="10">
        <v>1.6003000000000001</v>
      </c>
      <c r="G36" s="144">
        <v>1.1294</v>
      </c>
      <c r="H36" s="144"/>
      <c r="I36" s="9">
        <v>329988</v>
      </c>
      <c r="J36" s="9">
        <v>132189</v>
      </c>
      <c r="K36" s="9"/>
      <c r="L36" s="27">
        <v>201012</v>
      </c>
      <c r="M36" s="27">
        <v>162246</v>
      </c>
      <c r="N36" s="27"/>
      <c r="O36" s="145">
        <v>101</v>
      </c>
      <c r="P36" s="145">
        <v>17</v>
      </c>
      <c r="Q36" s="146">
        <v>101</v>
      </c>
      <c r="R36" s="146">
        <v>110.8</v>
      </c>
      <c r="S36" s="91">
        <v>234.2</v>
      </c>
      <c r="T36" s="91">
        <v>196.8</v>
      </c>
      <c r="U36" s="147"/>
    </row>
    <row r="37" spans="2:21">
      <c r="B37" s="293"/>
      <c r="C37" s="6"/>
      <c r="D37" s="13" cm="1">
        <f t="array" ref="D37">IFERROR(LOOKUP(2,1/(D12:D36&gt;0),D12:D36-D12),0)</f>
        <v>268</v>
      </c>
      <c r="E37" s="13" cm="1">
        <f t="array" ref="E37">IFERROR(LOOKUP(2,1/(E12:E36&gt;0),E12:E36-E12),0)</f>
        <v>363</v>
      </c>
      <c r="F37" s="13" cm="1">
        <f t="array" ref="F37">IFERROR(LOOKUP(2,1/(F12:F36&gt;0),F12:F36-F12),0)</f>
        <v>7.0000000000014495E-4</v>
      </c>
      <c r="G37" s="13" cm="1">
        <f t="array" ref="G37">IFERROR(LOOKUP(2,1/(G12:G36&gt;0),G12:G36-G12),0)</f>
        <v>3.9999999999995595E-4</v>
      </c>
      <c r="H37" s="13">
        <f>F37+G37</f>
        <v>1.1000000000001009E-3</v>
      </c>
      <c r="I37" s="13" cm="1">
        <f t="array" ref="I37">IFERROR(LOOKUP(2,1/(I12:I36&gt;0),I12:I36-I12),0)</f>
        <v>8504</v>
      </c>
      <c r="J37" s="13" cm="1">
        <f t="array" ref="J37">IFERROR(LOOKUP(2,1/(J12:J36&gt;0),J12:J36-J12),0)</f>
        <v>8098</v>
      </c>
      <c r="K37" s="13">
        <f>I37+J37</f>
        <v>16602</v>
      </c>
      <c r="L37" s="13" cm="1">
        <f t="array" ref="L37">IFERROR(LOOKUP(2,1/(L12:L36&gt;0),L12:L36-L12),0)</f>
        <v>155</v>
      </c>
      <c r="M37" s="13" cm="1">
        <f t="array" ref="M37">IFERROR(LOOKUP(2,1/(M12:M36&gt;0),M12:M36-M12),0)</f>
        <v>480</v>
      </c>
      <c r="N37" s="13">
        <f>L37+M37</f>
        <v>635</v>
      </c>
      <c r="O37" s="148">
        <f t="shared" ref="O37:T37" si="0">IFERROR(AVERAGE(O12:O36),0)</f>
        <v>101.03200000000001</v>
      </c>
      <c r="P37" s="148">
        <f t="shared" si="0"/>
        <v>17</v>
      </c>
      <c r="Q37" s="148">
        <f t="shared" si="0"/>
        <v>101.04400000000001</v>
      </c>
      <c r="R37" s="148">
        <f t="shared" si="0"/>
        <v>111.34</v>
      </c>
      <c r="S37" s="148">
        <f t="shared" si="0"/>
        <v>222.36799999999999</v>
      </c>
      <c r="T37" s="148">
        <f t="shared" si="0"/>
        <v>193.73600000000002</v>
      </c>
      <c r="U37" s="148">
        <f>COUNT(U12:U36)</f>
        <v>0</v>
      </c>
    </row>
    <row r="38" spans="2:21">
      <c r="B38" s="291">
        <f>'DATA B1'!B38</f>
        <v>46024</v>
      </c>
      <c r="C38" s="19">
        <v>0.29166666666666669</v>
      </c>
      <c r="D38" s="5">
        <v>511464</v>
      </c>
      <c r="E38" s="11">
        <v>566959</v>
      </c>
      <c r="F38" s="10">
        <v>1.6003000000000001</v>
      </c>
      <c r="G38" s="144">
        <v>1.1294</v>
      </c>
      <c r="H38" s="144"/>
      <c r="I38" s="9">
        <v>329988</v>
      </c>
      <c r="J38" s="9">
        <v>132189</v>
      </c>
      <c r="K38" s="9"/>
      <c r="L38" s="27">
        <v>201012</v>
      </c>
      <c r="M38" s="27">
        <v>162246</v>
      </c>
      <c r="N38" s="27"/>
      <c r="O38" s="245">
        <v>101</v>
      </c>
      <c r="P38" s="145">
        <v>17</v>
      </c>
      <c r="Q38" s="244">
        <v>101</v>
      </c>
      <c r="R38" s="146">
        <v>110.8</v>
      </c>
      <c r="S38" s="91">
        <v>234.2</v>
      </c>
      <c r="T38" s="91">
        <v>196.8</v>
      </c>
      <c r="U38" s="147"/>
    </row>
    <row r="39" spans="2:21">
      <c r="B39" s="292"/>
      <c r="C39" s="19">
        <v>0.33333333333333298</v>
      </c>
      <c r="D39" s="5">
        <v>511484</v>
      </c>
      <c r="E39" s="11">
        <v>566982</v>
      </c>
      <c r="F39" s="10">
        <v>1.6004</v>
      </c>
      <c r="G39" s="144">
        <v>1.1294</v>
      </c>
      <c r="H39" s="144"/>
      <c r="I39" s="9">
        <v>330447</v>
      </c>
      <c r="J39" s="9">
        <v>132632</v>
      </c>
      <c r="K39" s="9"/>
      <c r="L39" s="27">
        <v>201018</v>
      </c>
      <c r="M39" s="27">
        <v>162256</v>
      </c>
      <c r="N39" s="27"/>
      <c r="O39" s="145">
        <v>100.6</v>
      </c>
      <c r="P39" s="145">
        <v>17</v>
      </c>
      <c r="Q39" s="146">
        <v>100.6</v>
      </c>
      <c r="R39" s="146">
        <v>114</v>
      </c>
      <c r="S39" s="91">
        <v>225.8</v>
      </c>
      <c r="T39" s="91">
        <v>199.2</v>
      </c>
      <c r="U39" s="147"/>
    </row>
    <row r="40" spans="2:21">
      <c r="B40" s="292"/>
      <c r="C40" s="19">
        <v>0.375</v>
      </c>
      <c r="D40" s="5">
        <v>511490</v>
      </c>
      <c r="E40" s="11">
        <v>566993</v>
      </c>
      <c r="F40" s="10">
        <v>1.6004</v>
      </c>
      <c r="G40" s="144">
        <v>1.1294</v>
      </c>
      <c r="H40" s="144"/>
      <c r="I40" s="9">
        <v>330691</v>
      </c>
      <c r="J40" s="9">
        <v>132863</v>
      </c>
      <c r="K40" s="9"/>
      <c r="L40" s="27">
        <v>201024</v>
      </c>
      <c r="M40" s="27">
        <v>162266</v>
      </c>
      <c r="N40" s="27"/>
      <c r="O40" s="145">
        <v>101.2</v>
      </c>
      <c r="P40" s="145">
        <v>17</v>
      </c>
      <c r="Q40" s="146">
        <v>101.2</v>
      </c>
      <c r="R40" s="146">
        <v>111.9</v>
      </c>
      <c r="S40" s="91">
        <v>231.6</v>
      </c>
      <c r="T40" s="91">
        <v>198.6</v>
      </c>
      <c r="U40" s="147"/>
    </row>
    <row r="41" spans="2:21">
      <c r="B41" s="292"/>
      <c r="C41" s="19">
        <v>0.41666666666666702</v>
      </c>
      <c r="D41" s="5">
        <v>511496</v>
      </c>
      <c r="E41" s="11">
        <v>567004</v>
      </c>
      <c r="F41" s="10">
        <v>1.6005</v>
      </c>
      <c r="G41" s="144">
        <v>1.1294</v>
      </c>
      <c r="H41" s="144"/>
      <c r="I41" s="9">
        <v>330930</v>
      </c>
      <c r="J41" s="9">
        <v>133089</v>
      </c>
      <c r="K41" s="9"/>
      <c r="L41" s="27">
        <v>201030</v>
      </c>
      <c r="M41" s="27">
        <v>162276</v>
      </c>
      <c r="N41" s="27"/>
      <c r="O41" s="145">
        <v>101.2</v>
      </c>
      <c r="P41" s="145">
        <v>17</v>
      </c>
      <c r="Q41" s="146">
        <v>101.2</v>
      </c>
      <c r="R41" s="146">
        <v>111.1</v>
      </c>
      <c r="S41" s="91">
        <v>199.1</v>
      </c>
      <c r="T41" s="91">
        <v>194.1</v>
      </c>
      <c r="U41" s="147"/>
    </row>
    <row r="42" spans="2:21">
      <c r="B42" s="292"/>
      <c r="C42" s="19">
        <v>0.45833333333333298</v>
      </c>
      <c r="D42" s="5">
        <v>511508</v>
      </c>
      <c r="E42" s="11">
        <v>567028</v>
      </c>
      <c r="F42" s="10">
        <v>1.6005</v>
      </c>
      <c r="G42" s="144">
        <v>1.1294</v>
      </c>
      <c r="H42" s="144"/>
      <c r="I42" s="9">
        <v>331424</v>
      </c>
      <c r="J42" s="9">
        <v>133557</v>
      </c>
      <c r="K42" s="9"/>
      <c r="L42" s="27">
        <v>201033</v>
      </c>
      <c r="M42" s="27">
        <v>162279</v>
      </c>
      <c r="N42" s="27"/>
      <c r="O42" s="243">
        <v>101</v>
      </c>
      <c r="P42" s="145">
        <v>17</v>
      </c>
      <c r="Q42" s="244">
        <v>101</v>
      </c>
      <c r="R42" s="146">
        <v>113.5</v>
      </c>
      <c r="S42" s="91">
        <v>231.1</v>
      </c>
      <c r="T42" s="91">
        <v>200.2</v>
      </c>
      <c r="U42" s="147"/>
    </row>
    <row r="43" spans="2:21">
      <c r="B43" s="292"/>
      <c r="C43" s="19">
        <v>0.5</v>
      </c>
      <c r="D43" s="5">
        <v>511518</v>
      </c>
      <c r="E43" s="11">
        <v>567044</v>
      </c>
      <c r="F43" s="10">
        <v>1.6006</v>
      </c>
      <c r="G43" s="144">
        <v>1.1294</v>
      </c>
      <c r="H43" s="144"/>
      <c r="I43" s="9">
        <v>331750</v>
      </c>
      <c r="J43" s="9">
        <v>133856</v>
      </c>
      <c r="K43" s="9"/>
      <c r="L43" s="27">
        <v>201039</v>
      </c>
      <c r="M43" s="27">
        <v>162300</v>
      </c>
      <c r="N43" s="27"/>
      <c r="O43" s="145">
        <v>101.1</v>
      </c>
      <c r="P43" s="145">
        <v>17</v>
      </c>
      <c r="Q43" s="146">
        <v>101.2</v>
      </c>
      <c r="R43" s="146">
        <v>112.1</v>
      </c>
      <c r="S43" s="91">
        <v>235.5</v>
      </c>
      <c r="T43" s="91">
        <v>192.3</v>
      </c>
      <c r="U43" s="147"/>
    </row>
    <row r="44" spans="2:21">
      <c r="B44" s="292"/>
      <c r="C44" s="19">
        <v>0.54166666666666696</v>
      </c>
      <c r="D44" s="5">
        <v>511528</v>
      </c>
      <c r="E44" s="11">
        <v>567060</v>
      </c>
      <c r="F44" s="10">
        <v>1.6006</v>
      </c>
      <c r="G44" s="144">
        <v>1.1294</v>
      </c>
      <c r="H44" s="144"/>
      <c r="I44" s="9">
        <v>332082</v>
      </c>
      <c r="J44" s="9">
        <v>134161</v>
      </c>
      <c r="K44" s="9"/>
      <c r="L44" s="27">
        <v>201045</v>
      </c>
      <c r="M44" s="27">
        <v>162321</v>
      </c>
      <c r="N44" s="27"/>
      <c r="O44" s="145">
        <v>101.2</v>
      </c>
      <c r="P44" s="145">
        <v>17</v>
      </c>
      <c r="Q44" s="146">
        <v>101.2</v>
      </c>
      <c r="R44" s="146">
        <v>111.1</v>
      </c>
      <c r="S44" s="91">
        <v>229.7</v>
      </c>
      <c r="T44" s="91">
        <v>191.2</v>
      </c>
      <c r="U44" s="147"/>
    </row>
    <row r="45" spans="2:21">
      <c r="B45" s="292"/>
      <c r="C45" s="19">
        <v>0.58333333333333304</v>
      </c>
      <c r="D45" s="5">
        <v>511538</v>
      </c>
      <c r="E45" s="11">
        <v>567076</v>
      </c>
      <c r="F45" s="10">
        <v>1.6007</v>
      </c>
      <c r="G45" s="144">
        <v>1.1294</v>
      </c>
      <c r="H45" s="144"/>
      <c r="I45" s="9">
        <v>332411</v>
      </c>
      <c r="J45" s="9">
        <v>134479</v>
      </c>
      <c r="K45" s="9"/>
      <c r="L45" s="27">
        <v>201051</v>
      </c>
      <c r="M45" s="27">
        <v>162342</v>
      </c>
      <c r="N45" s="27"/>
      <c r="O45" s="145">
        <v>100.4</v>
      </c>
      <c r="P45" s="145">
        <v>17</v>
      </c>
      <c r="Q45" s="146">
        <v>100.4</v>
      </c>
      <c r="R45" s="146">
        <v>111.2</v>
      </c>
      <c r="S45" s="91">
        <v>223.5</v>
      </c>
      <c r="T45" s="91">
        <v>189.6</v>
      </c>
      <c r="U45" s="149"/>
    </row>
    <row r="46" spans="2:21">
      <c r="B46" s="292"/>
      <c r="C46" s="19">
        <v>0.625</v>
      </c>
      <c r="D46" s="5">
        <v>511549</v>
      </c>
      <c r="E46" s="11">
        <v>567092</v>
      </c>
      <c r="F46" s="10">
        <v>1.6007</v>
      </c>
      <c r="G46" s="144">
        <v>1.1294</v>
      </c>
      <c r="H46" s="144"/>
      <c r="I46" s="9">
        <v>332743</v>
      </c>
      <c r="J46" s="9">
        <v>134816</v>
      </c>
      <c r="K46" s="9"/>
      <c r="L46" s="27">
        <v>201058</v>
      </c>
      <c r="M46" s="27">
        <v>162366</v>
      </c>
      <c r="N46" s="27"/>
      <c r="O46" s="145">
        <v>101.3</v>
      </c>
      <c r="P46" s="145">
        <v>17</v>
      </c>
      <c r="Q46" s="146">
        <v>101.3</v>
      </c>
      <c r="R46" s="146">
        <v>110.2</v>
      </c>
      <c r="S46" s="91">
        <v>226.9</v>
      </c>
      <c r="T46" s="91">
        <v>186.4</v>
      </c>
      <c r="U46" s="147"/>
    </row>
    <row r="47" spans="2:21">
      <c r="B47" s="292"/>
      <c r="C47" s="19">
        <v>0.66666666666666696</v>
      </c>
      <c r="D47" s="5">
        <v>511559</v>
      </c>
      <c r="E47" s="11">
        <v>567108</v>
      </c>
      <c r="F47" s="10">
        <v>1.6007</v>
      </c>
      <c r="G47" s="144">
        <v>1.1294</v>
      </c>
      <c r="H47" s="144"/>
      <c r="I47" s="9">
        <v>333044</v>
      </c>
      <c r="J47" s="9">
        <v>135110</v>
      </c>
      <c r="K47" s="9"/>
      <c r="L47" s="27">
        <v>201064</v>
      </c>
      <c r="M47" s="27">
        <v>162386</v>
      </c>
      <c r="N47" s="27"/>
      <c r="O47" s="145">
        <v>101.2</v>
      </c>
      <c r="P47" s="145">
        <v>17</v>
      </c>
      <c r="Q47" s="146">
        <v>101.2</v>
      </c>
      <c r="R47" s="146">
        <v>111.1</v>
      </c>
      <c r="S47" s="91">
        <v>199.1</v>
      </c>
      <c r="T47" s="91">
        <v>194.1</v>
      </c>
      <c r="U47" s="147"/>
    </row>
    <row r="48" spans="2:21">
      <c r="B48" s="292"/>
      <c r="C48" s="19">
        <v>0.70833333333333304</v>
      </c>
      <c r="D48" s="5">
        <v>511569</v>
      </c>
      <c r="E48" s="11">
        <v>567124</v>
      </c>
      <c r="F48" s="10">
        <v>1.6008</v>
      </c>
      <c r="G48" s="144">
        <v>1.1294</v>
      </c>
      <c r="H48" s="144"/>
      <c r="I48" s="9">
        <v>333335</v>
      </c>
      <c r="J48" s="9">
        <v>135404</v>
      </c>
      <c r="K48" s="9"/>
      <c r="L48" s="27">
        <v>201070</v>
      </c>
      <c r="M48" s="27">
        <v>162406</v>
      </c>
      <c r="N48" s="27"/>
      <c r="O48" s="145">
        <v>100.9</v>
      </c>
      <c r="P48" s="145">
        <v>17</v>
      </c>
      <c r="Q48" s="146">
        <v>100.9</v>
      </c>
      <c r="R48" s="146">
        <v>112.2</v>
      </c>
      <c r="S48" s="91">
        <v>198.6</v>
      </c>
      <c r="T48" s="91">
        <v>193.1</v>
      </c>
      <c r="U48" s="147"/>
    </row>
    <row r="49" spans="2:21">
      <c r="B49" s="292"/>
      <c r="C49" s="19">
        <v>0.75</v>
      </c>
      <c r="D49" s="5">
        <v>511579</v>
      </c>
      <c r="E49" s="11">
        <v>567140</v>
      </c>
      <c r="F49" s="10">
        <v>1.6008</v>
      </c>
      <c r="G49" s="144">
        <v>1.1294</v>
      </c>
      <c r="H49" s="144"/>
      <c r="I49" s="9">
        <v>333646</v>
      </c>
      <c r="J49" s="9">
        <v>135698</v>
      </c>
      <c r="K49" s="9"/>
      <c r="L49" s="27">
        <v>201076</v>
      </c>
      <c r="M49" s="27">
        <v>162426</v>
      </c>
      <c r="N49" s="27"/>
      <c r="O49" s="145">
        <v>100.7</v>
      </c>
      <c r="P49" s="145">
        <v>17</v>
      </c>
      <c r="Q49" s="146">
        <v>100.7</v>
      </c>
      <c r="R49" s="146">
        <v>110.4</v>
      </c>
      <c r="S49" s="91">
        <v>234.9</v>
      </c>
      <c r="T49" s="91">
        <v>191.7</v>
      </c>
      <c r="U49" s="147"/>
    </row>
    <row r="50" spans="2:21">
      <c r="B50" s="292"/>
      <c r="C50" s="19">
        <v>0.79166666666666696</v>
      </c>
      <c r="D50" s="5">
        <v>511590</v>
      </c>
      <c r="E50" s="11">
        <v>567158</v>
      </c>
      <c r="F50" s="10">
        <v>1.6008</v>
      </c>
      <c r="G50" s="144">
        <v>1.1294</v>
      </c>
      <c r="H50" s="144"/>
      <c r="I50" s="9">
        <v>333988</v>
      </c>
      <c r="J50" s="9">
        <v>135993</v>
      </c>
      <c r="K50" s="9"/>
      <c r="L50" s="27">
        <v>201083</v>
      </c>
      <c r="M50" s="27">
        <v>162448</v>
      </c>
      <c r="N50" s="27"/>
      <c r="O50" s="145">
        <v>100.9</v>
      </c>
      <c r="P50" s="145">
        <v>17</v>
      </c>
      <c r="Q50" s="146">
        <v>100.9</v>
      </c>
      <c r="R50" s="146">
        <v>112.7</v>
      </c>
      <c r="S50" s="91">
        <v>224.6</v>
      </c>
      <c r="T50" s="91">
        <v>187.1</v>
      </c>
      <c r="U50" s="147"/>
    </row>
    <row r="51" spans="2:21">
      <c r="B51" s="292"/>
      <c r="C51" s="19">
        <v>0.83333333333333304</v>
      </c>
      <c r="D51" s="5">
        <v>511603</v>
      </c>
      <c r="E51" s="11">
        <v>567178</v>
      </c>
      <c r="F51" s="10">
        <v>1.6009</v>
      </c>
      <c r="G51" s="144">
        <v>1.1294</v>
      </c>
      <c r="H51" s="144"/>
      <c r="I51" s="9">
        <v>334389</v>
      </c>
      <c r="J51" s="9">
        <v>136378</v>
      </c>
      <c r="K51" s="9"/>
      <c r="L51" s="27">
        <v>201090</v>
      </c>
      <c r="M51" s="27">
        <v>162464</v>
      </c>
      <c r="N51" s="27"/>
      <c r="O51" s="145">
        <v>101.1</v>
      </c>
      <c r="P51" s="145">
        <v>17</v>
      </c>
      <c r="Q51" s="146">
        <v>101.1</v>
      </c>
      <c r="R51" s="146">
        <v>110.3</v>
      </c>
      <c r="S51" s="91">
        <v>222.1</v>
      </c>
      <c r="T51" s="91">
        <v>197.6</v>
      </c>
      <c r="U51" s="147"/>
    </row>
    <row r="52" spans="2:21">
      <c r="B52" s="292"/>
      <c r="C52" s="19">
        <v>0.875</v>
      </c>
      <c r="D52" s="5">
        <v>511612</v>
      </c>
      <c r="E52" s="11">
        <v>567195</v>
      </c>
      <c r="F52" s="10">
        <v>1.6009</v>
      </c>
      <c r="G52" s="144">
        <v>1.1294</v>
      </c>
      <c r="H52" s="144"/>
      <c r="I52" s="9">
        <v>334668</v>
      </c>
      <c r="J52" s="9">
        <v>136656</v>
      </c>
      <c r="K52" s="9"/>
      <c r="L52" s="27">
        <v>201090</v>
      </c>
      <c r="M52" s="27">
        <v>162464</v>
      </c>
      <c r="N52" s="27"/>
      <c r="O52" s="145">
        <v>100.9</v>
      </c>
      <c r="P52" s="145">
        <v>17</v>
      </c>
      <c r="Q52" s="146">
        <v>100.9</v>
      </c>
      <c r="R52" s="146">
        <v>110.8</v>
      </c>
      <c r="S52" s="91">
        <v>229.9</v>
      </c>
      <c r="T52" s="91">
        <v>198.6</v>
      </c>
      <c r="U52" s="147"/>
    </row>
    <row r="53" spans="2:21">
      <c r="B53" s="292"/>
      <c r="C53" s="19">
        <v>0.91666666666666696</v>
      </c>
      <c r="D53" s="5">
        <v>511621</v>
      </c>
      <c r="E53" s="11">
        <v>567213</v>
      </c>
      <c r="F53" s="10">
        <v>1.6009</v>
      </c>
      <c r="G53" s="144">
        <v>1.1294</v>
      </c>
      <c r="H53" s="144"/>
      <c r="I53" s="9">
        <v>334954</v>
      </c>
      <c r="J53" s="9">
        <v>136942</v>
      </c>
      <c r="K53" s="9"/>
      <c r="L53" s="27">
        <v>201090</v>
      </c>
      <c r="M53" s="27">
        <v>162464</v>
      </c>
      <c r="N53" s="27"/>
      <c r="O53" s="145">
        <v>101.2</v>
      </c>
      <c r="P53" s="145">
        <v>17</v>
      </c>
      <c r="Q53" s="146">
        <v>101.2</v>
      </c>
      <c r="R53" s="146">
        <v>112.4</v>
      </c>
      <c r="S53" s="91">
        <v>230.1</v>
      </c>
      <c r="T53" s="91">
        <v>190.5</v>
      </c>
      <c r="U53" s="147"/>
    </row>
    <row r="54" spans="2:21">
      <c r="B54" s="292"/>
      <c r="C54" s="19">
        <v>0.95833333333333304</v>
      </c>
      <c r="D54" s="5">
        <v>511631</v>
      </c>
      <c r="E54" s="11">
        <v>567231</v>
      </c>
      <c r="F54" s="10">
        <v>1.6009</v>
      </c>
      <c r="G54" s="144">
        <v>1.1294999999999999</v>
      </c>
      <c r="H54" s="144"/>
      <c r="I54" s="9">
        <v>335300</v>
      </c>
      <c r="J54" s="9">
        <v>137205</v>
      </c>
      <c r="K54" s="9"/>
      <c r="L54" s="27">
        <v>201107</v>
      </c>
      <c r="M54" s="27">
        <v>162507</v>
      </c>
      <c r="N54" s="27"/>
      <c r="O54" s="145">
        <v>101</v>
      </c>
      <c r="P54" s="145">
        <v>17</v>
      </c>
      <c r="Q54" s="146">
        <v>101</v>
      </c>
      <c r="R54" s="146">
        <v>112.1</v>
      </c>
      <c r="S54" s="91">
        <v>234.5</v>
      </c>
      <c r="T54" s="91">
        <v>190.7</v>
      </c>
      <c r="U54" s="147"/>
    </row>
    <row r="55" spans="2:21">
      <c r="B55" s="292"/>
      <c r="C55" s="19">
        <v>1</v>
      </c>
      <c r="D55" s="5">
        <v>511642</v>
      </c>
      <c r="E55" s="11">
        <v>567248</v>
      </c>
      <c r="F55" s="10">
        <v>1.6009</v>
      </c>
      <c r="G55" s="144">
        <v>1.1294999999999999</v>
      </c>
      <c r="H55" s="144"/>
      <c r="I55" s="9">
        <v>335588</v>
      </c>
      <c r="J55" s="9">
        <v>137534</v>
      </c>
      <c r="K55" s="9"/>
      <c r="L55" s="27">
        <v>201114</v>
      </c>
      <c r="M55" s="27">
        <v>162529</v>
      </c>
      <c r="N55" s="27"/>
      <c r="O55" s="145">
        <v>100.7</v>
      </c>
      <c r="P55" s="145">
        <v>17</v>
      </c>
      <c r="Q55" s="146">
        <v>100.7</v>
      </c>
      <c r="R55" s="146">
        <v>110.4</v>
      </c>
      <c r="S55" s="91">
        <v>234.9</v>
      </c>
      <c r="T55" s="91">
        <v>191.7</v>
      </c>
      <c r="U55" s="147"/>
    </row>
    <row r="56" spans="2:21">
      <c r="B56" s="292"/>
      <c r="C56" s="19">
        <v>1.0416666666666701</v>
      </c>
      <c r="D56" s="5">
        <v>511653</v>
      </c>
      <c r="E56" s="11">
        <v>567265</v>
      </c>
      <c r="F56" s="10">
        <v>1.6009</v>
      </c>
      <c r="G56" s="144">
        <v>1.1294999999999999</v>
      </c>
      <c r="H56" s="144"/>
      <c r="I56" s="9">
        <v>335795</v>
      </c>
      <c r="J56" s="9">
        <v>137937</v>
      </c>
      <c r="K56" s="9"/>
      <c r="L56" s="27">
        <v>201121</v>
      </c>
      <c r="M56" s="27">
        <v>162551</v>
      </c>
      <c r="N56" s="27"/>
      <c r="O56" s="145">
        <v>101.2</v>
      </c>
      <c r="P56" s="145">
        <v>17</v>
      </c>
      <c r="Q56" s="146">
        <v>101.2</v>
      </c>
      <c r="R56" s="146">
        <v>112.1</v>
      </c>
      <c r="S56" s="91">
        <v>235.5</v>
      </c>
      <c r="T56" s="91">
        <v>192.3</v>
      </c>
      <c r="U56" s="147"/>
    </row>
    <row r="57" spans="2:21">
      <c r="B57" s="292"/>
      <c r="C57" s="19">
        <v>1.0833333333333299</v>
      </c>
      <c r="D57" s="5">
        <v>511664</v>
      </c>
      <c r="E57" s="11">
        <v>567283</v>
      </c>
      <c r="F57" s="10">
        <v>1.6009</v>
      </c>
      <c r="G57" s="144">
        <v>1.1295999999999999</v>
      </c>
      <c r="H57" s="144"/>
      <c r="I57" s="9">
        <v>336445</v>
      </c>
      <c r="J57" s="9">
        <v>137899</v>
      </c>
      <c r="K57" s="9"/>
      <c r="L57" s="27">
        <v>201128</v>
      </c>
      <c r="M57" s="27">
        <v>162573</v>
      </c>
      <c r="N57" s="27"/>
      <c r="O57" s="145">
        <v>101.4</v>
      </c>
      <c r="P57" s="145">
        <v>17</v>
      </c>
      <c r="Q57" s="146">
        <v>101.4</v>
      </c>
      <c r="R57" s="146">
        <v>111.1</v>
      </c>
      <c r="S57" s="91">
        <v>202.8</v>
      </c>
      <c r="T57" s="91">
        <v>193.7</v>
      </c>
      <c r="U57" s="147"/>
    </row>
    <row r="58" spans="2:21">
      <c r="B58" s="292"/>
      <c r="C58" s="19">
        <v>1.125</v>
      </c>
      <c r="D58" s="5">
        <v>511675</v>
      </c>
      <c r="E58" s="11">
        <v>567302</v>
      </c>
      <c r="F58" s="10">
        <v>1.6009</v>
      </c>
      <c r="G58" s="144">
        <v>1.1296999999999999</v>
      </c>
      <c r="H58" s="144"/>
      <c r="I58" s="9">
        <v>336642</v>
      </c>
      <c r="J58" s="9">
        <v>138317</v>
      </c>
      <c r="K58" s="9"/>
      <c r="L58" s="27">
        <v>201135</v>
      </c>
      <c r="M58" s="27">
        <v>162598</v>
      </c>
      <c r="N58" s="27"/>
      <c r="O58" s="243">
        <v>101</v>
      </c>
      <c r="P58" s="145">
        <v>17</v>
      </c>
      <c r="Q58" s="244">
        <v>101</v>
      </c>
      <c r="R58" s="146">
        <v>110.5</v>
      </c>
      <c r="S58" s="91">
        <v>225.7</v>
      </c>
      <c r="T58" s="91">
        <v>198.7</v>
      </c>
      <c r="U58" s="147"/>
    </row>
    <row r="59" spans="2:21">
      <c r="B59" s="292"/>
      <c r="C59" s="19">
        <v>1.1666666666666701</v>
      </c>
      <c r="D59" s="5">
        <v>511685</v>
      </c>
      <c r="E59" s="11">
        <v>567317</v>
      </c>
      <c r="F59" s="10">
        <v>1.6009</v>
      </c>
      <c r="G59" s="144">
        <v>1.1296999999999999</v>
      </c>
      <c r="H59" s="144"/>
      <c r="I59" s="9">
        <v>336947</v>
      </c>
      <c r="J59" s="9">
        <v>138658</v>
      </c>
      <c r="K59" s="9"/>
      <c r="L59" s="27">
        <v>201135</v>
      </c>
      <c r="M59" s="27">
        <v>162598</v>
      </c>
      <c r="N59" s="27"/>
      <c r="O59" s="145">
        <v>101.1</v>
      </c>
      <c r="P59" s="145">
        <v>17</v>
      </c>
      <c r="Q59" s="146">
        <v>101.2</v>
      </c>
      <c r="R59" s="146">
        <v>112.1</v>
      </c>
      <c r="S59" s="91">
        <v>235.5</v>
      </c>
      <c r="T59" s="91">
        <v>192.3</v>
      </c>
      <c r="U59" s="147"/>
    </row>
    <row r="60" spans="2:21">
      <c r="B60" s="292"/>
      <c r="C60" s="19">
        <v>1.2083333333333299</v>
      </c>
      <c r="D60" s="5">
        <v>511695</v>
      </c>
      <c r="E60" s="11">
        <v>567332</v>
      </c>
      <c r="F60" s="10">
        <v>1.6009</v>
      </c>
      <c r="G60" s="144">
        <v>1.1297999999999999</v>
      </c>
      <c r="H60" s="144"/>
      <c r="I60" s="9">
        <v>337254</v>
      </c>
      <c r="J60" s="9">
        <v>139000</v>
      </c>
      <c r="K60" s="9"/>
      <c r="L60" s="27">
        <v>201135</v>
      </c>
      <c r="M60" s="27">
        <v>162598</v>
      </c>
      <c r="N60" s="27"/>
      <c r="O60" s="145">
        <v>101.2</v>
      </c>
      <c r="P60" s="145">
        <v>17</v>
      </c>
      <c r="Q60" s="146">
        <v>101.2</v>
      </c>
      <c r="R60" s="146">
        <v>111.9</v>
      </c>
      <c r="S60" s="91">
        <v>285.89999999999998</v>
      </c>
      <c r="T60" s="91">
        <v>191.2</v>
      </c>
      <c r="U60" s="147"/>
    </row>
    <row r="61" spans="2:21">
      <c r="B61" s="292"/>
      <c r="C61" s="19">
        <v>1.25</v>
      </c>
      <c r="D61" s="5">
        <v>511705</v>
      </c>
      <c r="E61" s="11">
        <v>567347</v>
      </c>
      <c r="F61" s="10">
        <v>1.6009</v>
      </c>
      <c r="G61" s="144">
        <v>1.1297999999999999</v>
      </c>
      <c r="H61" s="144"/>
      <c r="I61" s="9">
        <v>337562</v>
      </c>
      <c r="J61" s="9">
        <v>139343</v>
      </c>
      <c r="K61" s="9"/>
      <c r="L61" s="27">
        <v>201135</v>
      </c>
      <c r="M61" s="27">
        <v>162598</v>
      </c>
      <c r="N61" s="27"/>
      <c r="O61" s="145">
        <v>106.7</v>
      </c>
      <c r="P61" s="145">
        <v>17</v>
      </c>
      <c r="Q61" s="146">
        <v>106.7</v>
      </c>
      <c r="R61" s="146">
        <v>111.2</v>
      </c>
      <c r="S61" s="91">
        <v>230.1</v>
      </c>
      <c r="T61" s="91">
        <v>189.6</v>
      </c>
      <c r="U61" s="147"/>
    </row>
    <row r="62" spans="2:21">
      <c r="B62" s="292"/>
      <c r="C62" s="19">
        <v>1.2916666666666701</v>
      </c>
      <c r="D62" s="5">
        <v>511716</v>
      </c>
      <c r="E62" s="11">
        <v>567363</v>
      </c>
      <c r="F62" s="10">
        <v>1.6009</v>
      </c>
      <c r="G62" s="10">
        <v>1.1298999999999999</v>
      </c>
      <c r="H62" s="144"/>
      <c r="I62" s="9">
        <v>337923</v>
      </c>
      <c r="J62" s="9">
        <v>139726</v>
      </c>
      <c r="K62" s="9"/>
      <c r="L62" s="27">
        <v>201158</v>
      </c>
      <c r="M62" s="27">
        <v>162642</v>
      </c>
      <c r="N62" s="27"/>
      <c r="O62" s="145">
        <v>101.3</v>
      </c>
      <c r="P62" s="145">
        <v>17</v>
      </c>
      <c r="Q62" s="146">
        <v>101.3</v>
      </c>
      <c r="R62" s="146">
        <v>115.7</v>
      </c>
      <c r="S62" s="91">
        <v>234.5</v>
      </c>
      <c r="T62" s="91">
        <v>192.4</v>
      </c>
      <c r="U62" s="147"/>
    </row>
    <row r="63" spans="2:21">
      <c r="B63" s="293"/>
      <c r="C63" s="6"/>
      <c r="D63" s="13" cm="1">
        <f t="array" ref="D63">IFERROR(LOOKUP(2,1/(D38:D62&gt;0),D38:D62-D38),0)</f>
        <v>252</v>
      </c>
      <c r="E63" s="13" cm="1">
        <f t="array" ref="E63">IFERROR(LOOKUP(2,1/(E38:E62&gt;0),E38:E62-E38),0)</f>
        <v>404</v>
      </c>
      <c r="F63" s="13" cm="1">
        <f t="array" ref="F63">IFERROR(LOOKUP(2,1/(F38:F62&gt;0),F38:F62-F38),0)</f>
        <v>5.9999999999993392E-4</v>
      </c>
      <c r="G63" s="13" cm="1">
        <f t="array" ref="G63">IFERROR(LOOKUP(2,1/(G38:G62&gt;0),G38:G62-G38),0)</f>
        <v>4.9999999999994493E-4</v>
      </c>
      <c r="H63" s="13">
        <f>F63+G63</f>
        <v>1.0999999999998789E-3</v>
      </c>
      <c r="I63" s="13" cm="1">
        <f t="array" ref="I63">IFERROR(LOOKUP(2,1/(I38:I62&gt;0),I38:I62-I38),0)</f>
        <v>7935</v>
      </c>
      <c r="J63" s="13" cm="1">
        <f t="array" ref="J63">IFERROR(LOOKUP(2,1/(J38:J62&gt;0),J38:J62-J38),0)</f>
        <v>7537</v>
      </c>
      <c r="K63" s="13">
        <f>I63+J63</f>
        <v>15472</v>
      </c>
      <c r="L63" s="13" cm="1">
        <f t="array" ref="L63">IFERROR(LOOKUP(2,1/(L38:L62&gt;0),L38:L62-L38),0)</f>
        <v>146</v>
      </c>
      <c r="M63" s="13" cm="1">
        <f t="array" ref="M63">IFERROR(LOOKUP(2,1/(M38:M62&gt;0),M38:M62-M38),0)</f>
        <v>396</v>
      </c>
      <c r="N63" s="13">
        <f>L63+M63</f>
        <v>542</v>
      </c>
      <c r="O63" s="148">
        <f t="shared" ref="O63:T63" si="1">IFERROR(AVERAGE(O38:O62),0)</f>
        <v>101.26000000000002</v>
      </c>
      <c r="P63" s="148">
        <f t="shared" si="1"/>
        <v>17</v>
      </c>
      <c r="Q63" s="148">
        <f t="shared" si="1"/>
        <v>101.26799999999999</v>
      </c>
      <c r="R63" s="148">
        <f t="shared" si="1"/>
        <v>111.71600000000001</v>
      </c>
      <c r="S63" s="148">
        <f t="shared" si="1"/>
        <v>227.84400000000002</v>
      </c>
      <c r="T63" s="148">
        <f t="shared" si="1"/>
        <v>193.34799999999996</v>
      </c>
      <c r="U63" s="148">
        <f>COUNT(U38:U62)</f>
        <v>0</v>
      </c>
    </row>
    <row r="64" spans="2:21">
      <c r="B64" s="291">
        <f>'DATA B1'!B64</f>
        <v>46025</v>
      </c>
      <c r="C64" s="19">
        <v>0.29166666666666669</v>
      </c>
      <c r="D64" s="5">
        <v>511716</v>
      </c>
      <c r="E64" s="11">
        <v>567363</v>
      </c>
      <c r="F64" s="10">
        <v>1.6009</v>
      </c>
      <c r="G64" s="10">
        <v>1.1298999999999999</v>
      </c>
      <c r="H64" s="144"/>
      <c r="I64" s="9">
        <v>337923</v>
      </c>
      <c r="J64" s="9">
        <v>139726</v>
      </c>
      <c r="K64" s="9"/>
      <c r="L64" s="27">
        <v>201158</v>
      </c>
      <c r="M64" s="27">
        <v>162642</v>
      </c>
      <c r="N64" s="27"/>
      <c r="O64" s="145">
        <v>101.3</v>
      </c>
      <c r="P64" s="145">
        <v>17</v>
      </c>
      <c r="Q64" s="146">
        <v>101.3</v>
      </c>
      <c r="R64" s="146">
        <v>115.7</v>
      </c>
      <c r="S64" s="91">
        <v>234.5</v>
      </c>
      <c r="T64" s="91">
        <v>192.4</v>
      </c>
      <c r="U64" s="147"/>
    </row>
    <row r="65" spans="2:21">
      <c r="B65" s="292"/>
      <c r="C65" s="19">
        <v>0.33333333333333298</v>
      </c>
      <c r="D65" s="5">
        <v>511734</v>
      </c>
      <c r="E65" s="11">
        <v>567386</v>
      </c>
      <c r="F65" s="144">
        <v>1.601</v>
      </c>
      <c r="G65" s="10">
        <v>1.1298999999999999</v>
      </c>
      <c r="H65" s="144"/>
      <c r="I65" s="9">
        <v>338358</v>
      </c>
      <c r="J65" s="9">
        <v>140148</v>
      </c>
      <c r="K65" s="9"/>
      <c r="L65" s="27">
        <v>201169</v>
      </c>
      <c r="M65" s="27">
        <v>162683</v>
      </c>
      <c r="N65" s="27"/>
      <c r="O65" s="145">
        <v>101.4</v>
      </c>
      <c r="P65" s="145">
        <v>17</v>
      </c>
      <c r="Q65" s="146">
        <v>101.4</v>
      </c>
      <c r="R65" s="146">
        <v>109.6</v>
      </c>
      <c r="S65" s="91">
        <v>226.1</v>
      </c>
      <c r="T65" s="91">
        <v>197.8</v>
      </c>
      <c r="U65" s="147"/>
    </row>
    <row r="66" spans="2:21">
      <c r="B66" s="292"/>
      <c r="C66" s="19">
        <v>0.375</v>
      </c>
      <c r="D66" s="5">
        <v>511749</v>
      </c>
      <c r="E66" s="11">
        <v>567402</v>
      </c>
      <c r="F66" s="144">
        <v>1.601</v>
      </c>
      <c r="G66" s="10">
        <v>1.1298999999999999</v>
      </c>
      <c r="H66" s="144"/>
      <c r="I66" s="9">
        <v>338666</v>
      </c>
      <c r="J66" s="9">
        <v>140439</v>
      </c>
      <c r="K66" s="9"/>
      <c r="L66" s="27">
        <v>201180</v>
      </c>
      <c r="M66" s="27">
        <v>162683</v>
      </c>
      <c r="N66" s="27"/>
      <c r="O66" s="145">
        <v>100.6</v>
      </c>
      <c r="P66" s="145">
        <v>17</v>
      </c>
      <c r="Q66" s="146">
        <v>100.6</v>
      </c>
      <c r="R66" s="146">
        <v>114</v>
      </c>
      <c r="S66" s="91">
        <v>225.8</v>
      </c>
      <c r="T66" s="91">
        <v>199.2</v>
      </c>
      <c r="U66" s="147"/>
    </row>
    <row r="67" spans="2:21">
      <c r="B67" s="292"/>
      <c r="C67" s="19">
        <v>0.41666666666666702</v>
      </c>
      <c r="D67" s="5">
        <v>511763</v>
      </c>
      <c r="E67" s="11">
        <v>567418</v>
      </c>
      <c r="F67" s="144">
        <v>1.6011</v>
      </c>
      <c r="G67" s="10">
        <v>1.1298999999999999</v>
      </c>
      <c r="H67" s="144"/>
      <c r="I67" s="9">
        <v>338969</v>
      </c>
      <c r="J67" s="9">
        <v>140725</v>
      </c>
      <c r="K67" s="9"/>
      <c r="L67" s="27">
        <v>201183</v>
      </c>
      <c r="M67" s="27">
        <v>162683</v>
      </c>
      <c r="N67" s="27"/>
      <c r="O67" s="145">
        <v>101.2</v>
      </c>
      <c r="P67" s="145">
        <v>17</v>
      </c>
      <c r="Q67" s="146">
        <v>101.2</v>
      </c>
      <c r="R67" s="146">
        <v>111.9</v>
      </c>
      <c r="S67" s="91">
        <v>231.6</v>
      </c>
      <c r="T67" s="91">
        <v>198.6</v>
      </c>
      <c r="U67" s="147"/>
    </row>
    <row r="68" spans="2:21">
      <c r="B68" s="292"/>
      <c r="C68" s="19">
        <v>0.45833333333333298</v>
      </c>
      <c r="D68" s="5">
        <v>511777</v>
      </c>
      <c r="E68" s="11">
        <v>567434</v>
      </c>
      <c r="F68" s="144">
        <v>1.6011</v>
      </c>
      <c r="G68" s="10">
        <v>1.1298999999999999</v>
      </c>
      <c r="H68" s="144"/>
      <c r="I68" s="9">
        <v>339284</v>
      </c>
      <c r="J68" s="9">
        <v>141023</v>
      </c>
      <c r="K68" s="9"/>
      <c r="L68" s="27">
        <v>201185</v>
      </c>
      <c r="M68" s="27">
        <v>162720</v>
      </c>
      <c r="N68" s="27"/>
      <c r="O68" s="243">
        <v>101</v>
      </c>
      <c r="P68" s="145">
        <v>17</v>
      </c>
      <c r="Q68" s="244">
        <v>101</v>
      </c>
      <c r="R68" s="146">
        <v>111.4</v>
      </c>
      <c r="S68" s="247">
        <v>224</v>
      </c>
      <c r="T68" s="91">
        <v>198.4</v>
      </c>
      <c r="U68" s="147"/>
    </row>
    <row r="69" spans="2:21">
      <c r="B69" s="292"/>
      <c r="C69" s="19">
        <v>0.5</v>
      </c>
      <c r="D69" s="5">
        <v>511785</v>
      </c>
      <c r="E69" s="11">
        <v>567453</v>
      </c>
      <c r="F69" s="144">
        <v>1.6012</v>
      </c>
      <c r="G69" s="10">
        <v>1.1298999999999999</v>
      </c>
      <c r="H69" s="144"/>
      <c r="I69" s="9">
        <v>339621</v>
      </c>
      <c r="J69" s="9">
        <v>141350</v>
      </c>
      <c r="K69" s="9"/>
      <c r="L69" s="27">
        <v>201190</v>
      </c>
      <c r="M69" s="27">
        <v>162732</v>
      </c>
      <c r="N69" s="27"/>
      <c r="O69" s="145">
        <v>101.4</v>
      </c>
      <c r="P69" s="145">
        <v>17</v>
      </c>
      <c r="Q69" s="146">
        <v>101.4</v>
      </c>
      <c r="R69" s="146">
        <v>111.1</v>
      </c>
      <c r="S69" s="91">
        <v>202.8</v>
      </c>
      <c r="T69" s="91">
        <v>193.7</v>
      </c>
      <c r="U69" s="147"/>
    </row>
    <row r="70" spans="2:21">
      <c r="B70" s="292"/>
      <c r="C70" s="19">
        <v>0.54166666666666696</v>
      </c>
      <c r="D70" s="5">
        <v>511794</v>
      </c>
      <c r="E70" s="11">
        <v>567472</v>
      </c>
      <c r="F70" s="144">
        <v>1.6012</v>
      </c>
      <c r="G70" s="10">
        <v>1.1298999999999999</v>
      </c>
      <c r="H70" s="144"/>
      <c r="I70" s="9">
        <v>339972</v>
      </c>
      <c r="J70" s="9">
        <v>141677</v>
      </c>
      <c r="K70" s="9"/>
      <c r="L70" s="27">
        <v>201195</v>
      </c>
      <c r="M70" s="27">
        <v>162744</v>
      </c>
      <c r="N70" s="27"/>
      <c r="O70" s="243">
        <v>101</v>
      </c>
      <c r="P70" s="145">
        <v>17</v>
      </c>
      <c r="Q70" s="244">
        <v>101</v>
      </c>
      <c r="R70" s="146">
        <v>110.5</v>
      </c>
      <c r="S70" s="91">
        <v>225.7</v>
      </c>
      <c r="T70" s="91">
        <v>198.7</v>
      </c>
      <c r="U70" s="147"/>
    </row>
    <row r="71" spans="2:21">
      <c r="B71" s="292"/>
      <c r="C71" s="19">
        <v>0.58333333333333304</v>
      </c>
      <c r="D71" s="5">
        <v>511803</v>
      </c>
      <c r="E71" s="11">
        <v>567491</v>
      </c>
      <c r="F71" s="144">
        <v>1.6012999999999999</v>
      </c>
      <c r="G71" s="10">
        <v>1.1298999999999999</v>
      </c>
      <c r="H71" s="144"/>
      <c r="I71" s="9">
        <v>340319</v>
      </c>
      <c r="J71" s="9">
        <v>142004</v>
      </c>
      <c r="K71" s="9"/>
      <c r="L71" s="27">
        <v>201200</v>
      </c>
      <c r="M71" s="27">
        <v>162756</v>
      </c>
      <c r="N71" s="27"/>
      <c r="O71" s="145">
        <v>101.1</v>
      </c>
      <c r="P71" s="145">
        <v>17</v>
      </c>
      <c r="Q71" s="146">
        <v>101.2</v>
      </c>
      <c r="R71" s="146">
        <v>112.1</v>
      </c>
      <c r="S71" s="91">
        <v>235.5</v>
      </c>
      <c r="T71" s="91">
        <v>192.3</v>
      </c>
      <c r="U71" s="149"/>
    </row>
    <row r="72" spans="2:21">
      <c r="B72" s="292"/>
      <c r="C72" s="19">
        <v>0.625</v>
      </c>
      <c r="D72" s="5">
        <v>511812</v>
      </c>
      <c r="E72" s="11">
        <v>567510</v>
      </c>
      <c r="F72" s="144">
        <v>1.6012999999999999</v>
      </c>
      <c r="G72" s="10">
        <v>1.1298999999999999</v>
      </c>
      <c r="H72" s="144"/>
      <c r="I72" s="9">
        <v>340662</v>
      </c>
      <c r="J72" s="9">
        <v>142331</v>
      </c>
      <c r="K72" s="9"/>
      <c r="L72" s="27">
        <v>201208</v>
      </c>
      <c r="M72" s="27">
        <v>162770</v>
      </c>
      <c r="N72" s="27"/>
      <c r="O72" s="145">
        <v>101.6</v>
      </c>
      <c r="P72" s="145">
        <v>17</v>
      </c>
      <c r="Q72" s="146">
        <v>101.6</v>
      </c>
      <c r="R72" s="146">
        <v>112.1</v>
      </c>
      <c r="S72" s="91">
        <v>235.1</v>
      </c>
      <c r="T72" s="91">
        <v>190.6</v>
      </c>
      <c r="U72" s="147"/>
    </row>
    <row r="73" spans="2:21">
      <c r="B73" s="292"/>
      <c r="C73" s="19">
        <v>0.66666666666666696</v>
      </c>
      <c r="D73" s="5">
        <v>511819</v>
      </c>
      <c r="E73" s="11">
        <v>567527</v>
      </c>
      <c r="F73" s="144">
        <v>1.6013999999999999</v>
      </c>
      <c r="G73" s="10">
        <v>1.1298999999999999</v>
      </c>
      <c r="H73" s="144"/>
      <c r="I73" s="9">
        <v>340975</v>
      </c>
      <c r="J73" s="9">
        <v>142628</v>
      </c>
      <c r="K73" s="9"/>
      <c r="L73" s="27">
        <v>201213</v>
      </c>
      <c r="M73" s="27">
        <v>162781</v>
      </c>
      <c r="N73" s="27"/>
      <c r="O73" s="145">
        <v>101.1</v>
      </c>
      <c r="P73" s="145">
        <v>17</v>
      </c>
      <c r="Q73" s="146">
        <v>101.2</v>
      </c>
      <c r="R73" s="146">
        <v>112.1</v>
      </c>
      <c r="S73" s="91">
        <v>235.5</v>
      </c>
      <c r="T73" s="91">
        <v>192.3</v>
      </c>
      <c r="U73" s="147"/>
    </row>
    <row r="74" spans="2:21">
      <c r="B74" s="292"/>
      <c r="C74" s="19">
        <v>0.70833333333333304</v>
      </c>
      <c r="D74" s="5">
        <v>511826</v>
      </c>
      <c r="E74" s="11">
        <v>567544</v>
      </c>
      <c r="F74" s="144">
        <v>1.6013999999999999</v>
      </c>
      <c r="G74" s="10">
        <v>1.1298999999999999</v>
      </c>
      <c r="H74" s="144"/>
      <c r="I74" s="9">
        <v>341288</v>
      </c>
      <c r="J74" s="9">
        <v>142924</v>
      </c>
      <c r="K74" s="9"/>
      <c r="L74" s="27">
        <v>201218</v>
      </c>
      <c r="M74" s="27">
        <v>162792</v>
      </c>
      <c r="N74" s="27"/>
      <c r="O74" s="145">
        <v>101.2</v>
      </c>
      <c r="P74" s="145">
        <v>17</v>
      </c>
      <c r="Q74" s="146">
        <v>101.2</v>
      </c>
      <c r="R74" s="146">
        <v>111.1</v>
      </c>
      <c r="S74" s="91">
        <v>199.1</v>
      </c>
      <c r="T74" s="91">
        <v>194.1</v>
      </c>
      <c r="U74" s="147"/>
    </row>
    <row r="75" spans="2:21">
      <c r="B75" s="292"/>
      <c r="C75" s="19">
        <v>0.75</v>
      </c>
      <c r="D75" s="5">
        <v>511833</v>
      </c>
      <c r="E75" s="11">
        <v>567561</v>
      </c>
      <c r="F75" s="144">
        <v>1.6014999999999999</v>
      </c>
      <c r="G75" s="10">
        <v>1.1298999999999999</v>
      </c>
      <c r="H75" s="144"/>
      <c r="I75" s="9">
        <v>341601</v>
      </c>
      <c r="J75" s="9">
        <v>143213</v>
      </c>
      <c r="K75" s="9"/>
      <c r="L75" s="27">
        <v>201223</v>
      </c>
      <c r="M75" s="27">
        <v>162803</v>
      </c>
      <c r="N75" s="27"/>
      <c r="O75" s="145">
        <v>101.4</v>
      </c>
      <c r="P75" s="145">
        <v>17</v>
      </c>
      <c r="Q75" s="146">
        <v>101.4</v>
      </c>
      <c r="R75" s="146">
        <v>109.6</v>
      </c>
      <c r="S75" s="91">
        <v>226.1</v>
      </c>
      <c r="T75" s="91">
        <v>197.8</v>
      </c>
      <c r="U75" s="147"/>
    </row>
    <row r="76" spans="2:21">
      <c r="B76" s="292"/>
      <c r="C76" s="19">
        <v>0.79166666666666696</v>
      </c>
      <c r="D76" s="5">
        <v>511841</v>
      </c>
      <c r="E76" s="11">
        <v>567580</v>
      </c>
      <c r="F76" s="144">
        <v>1.6014999999999999</v>
      </c>
      <c r="G76" s="10">
        <v>1.1298999999999999</v>
      </c>
      <c r="H76" s="144"/>
      <c r="I76" s="9">
        <v>341915</v>
      </c>
      <c r="J76" s="9">
        <v>143522</v>
      </c>
      <c r="K76" s="9"/>
      <c r="L76" s="27">
        <v>201228</v>
      </c>
      <c r="M76" s="27">
        <v>162816</v>
      </c>
      <c r="N76" s="27"/>
      <c r="O76" s="145">
        <v>101.2</v>
      </c>
      <c r="P76" s="145">
        <v>17</v>
      </c>
      <c r="Q76" s="146">
        <v>101.2</v>
      </c>
      <c r="R76" s="146">
        <v>112.2</v>
      </c>
      <c r="S76" s="91">
        <v>233.1</v>
      </c>
      <c r="T76" s="91">
        <v>159.5</v>
      </c>
      <c r="U76" s="147"/>
    </row>
    <row r="77" spans="2:21">
      <c r="B77" s="292"/>
      <c r="C77" s="19">
        <v>0.83333333333333304</v>
      </c>
      <c r="D77" s="5">
        <v>511856</v>
      </c>
      <c r="E77" s="11">
        <v>567606</v>
      </c>
      <c r="F77" s="10">
        <v>1.6015999999999999</v>
      </c>
      <c r="G77" s="10">
        <v>1.1298999999999999</v>
      </c>
      <c r="H77" s="144"/>
      <c r="I77" s="9">
        <v>342349</v>
      </c>
      <c r="J77" s="9">
        <v>143936</v>
      </c>
      <c r="K77" s="9"/>
      <c r="L77" s="27">
        <v>201237</v>
      </c>
      <c r="M77" s="27">
        <v>162839</v>
      </c>
      <c r="N77" s="27"/>
      <c r="O77" s="145">
        <v>101.1</v>
      </c>
      <c r="P77" s="145">
        <v>17</v>
      </c>
      <c r="Q77" s="146">
        <v>101.1</v>
      </c>
      <c r="R77" s="146">
        <v>111.5</v>
      </c>
      <c r="S77" s="91">
        <v>200.4</v>
      </c>
      <c r="T77" s="91">
        <v>190.4</v>
      </c>
      <c r="U77" s="147"/>
    </row>
    <row r="78" spans="2:21">
      <c r="B78" s="292"/>
      <c r="C78" s="19">
        <v>0.875</v>
      </c>
      <c r="D78" s="5">
        <v>511865</v>
      </c>
      <c r="E78" s="11">
        <v>567622</v>
      </c>
      <c r="F78" s="10">
        <v>1.6015999999999999</v>
      </c>
      <c r="G78" s="10">
        <v>1.1304000000000001</v>
      </c>
      <c r="H78" s="144"/>
      <c r="I78" s="9">
        <v>342609</v>
      </c>
      <c r="J78" s="9">
        <v>144209</v>
      </c>
      <c r="K78" s="9"/>
      <c r="L78" s="27">
        <v>201244</v>
      </c>
      <c r="M78" s="27">
        <v>162863</v>
      </c>
      <c r="N78" s="27"/>
      <c r="O78" s="145">
        <v>100.7</v>
      </c>
      <c r="P78" s="145">
        <v>17</v>
      </c>
      <c r="Q78" s="146">
        <v>100.7</v>
      </c>
      <c r="R78" s="146">
        <v>110.4</v>
      </c>
      <c r="S78" s="91">
        <v>234.9</v>
      </c>
      <c r="T78" s="91">
        <v>191.7</v>
      </c>
      <c r="U78" s="147"/>
    </row>
    <row r="79" spans="2:21">
      <c r="B79" s="292"/>
      <c r="C79" s="19">
        <v>0.91666666666666696</v>
      </c>
      <c r="D79" s="5">
        <v>511874</v>
      </c>
      <c r="E79" s="11">
        <v>567638</v>
      </c>
      <c r="F79" s="10">
        <v>1.6015999999999999</v>
      </c>
      <c r="G79" s="10">
        <v>1.1304000000000001</v>
      </c>
      <c r="H79" s="144"/>
      <c r="I79" s="9">
        <v>342905</v>
      </c>
      <c r="J79" s="9">
        <v>144444</v>
      </c>
      <c r="K79" s="9"/>
      <c r="L79" s="27">
        <v>201251</v>
      </c>
      <c r="M79" s="27">
        <v>162887</v>
      </c>
      <c r="N79" s="27"/>
      <c r="O79" s="145">
        <v>101.2</v>
      </c>
      <c r="P79" s="145">
        <v>17</v>
      </c>
      <c r="Q79" s="146">
        <v>101.2</v>
      </c>
      <c r="R79" s="146">
        <v>112.1</v>
      </c>
      <c r="S79" s="91">
        <v>235.5</v>
      </c>
      <c r="T79" s="91">
        <v>192.3</v>
      </c>
      <c r="U79" s="147"/>
    </row>
    <row r="80" spans="2:21">
      <c r="B80" s="292"/>
      <c r="C80" s="19">
        <v>0.95833333333333304</v>
      </c>
      <c r="D80" s="5">
        <v>511884</v>
      </c>
      <c r="E80" s="11">
        <v>567654</v>
      </c>
      <c r="F80" s="10">
        <v>1.6015999999999999</v>
      </c>
      <c r="G80" s="10">
        <v>1.1304000000000001</v>
      </c>
      <c r="H80" s="144"/>
      <c r="I80" s="9">
        <v>343199</v>
      </c>
      <c r="J80" s="9">
        <v>144744</v>
      </c>
      <c r="K80" s="9"/>
      <c r="L80" s="27">
        <v>201258</v>
      </c>
      <c r="M80" s="27">
        <v>162913</v>
      </c>
      <c r="N80" s="27"/>
      <c r="O80" s="145">
        <v>101.4</v>
      </c>
      <c r="P80" s="145">
        <v>17</v>
      </c>
      <c r="Q80" s="146">
        <v>101.4</v>
      </c>
      <c r="R80" s="146">
        <v>108.3</v>
      </c>
      <c r="S80" s="91">
        <v>197.6</v>
      </c>
      <c r="T80" s="91">
        <v>184.8</v>
      </c>
      <c r="U80" s="147"/>
    </row>
    <row r="81" spans="2:21">
      <c r="B81" s="292"/>
      <c r="C81" s="19">
        <v>1</v>
      </c>
      <c r="D81" s="5">
        <v>511894</v>
      </c>
      <c r="E81" s="11">
        <v>567671</v>
      </c>
      <c r="F81" s="10">
        <v>1.6015999999999999</v>
      </c>
      <c r="G81" s="10">
        <v>1.1301000000000001</v>
      </c>
      <c r="H81" s="144"/>
      <c r="I81" s="9">
        <v>343505</v>
      </c>
      <c r="J81" s="9">
        <v>145061</v>
      </c>
      <c r="K81" s="9"/>
      <c r="L81" s="27">
        <v>201265</v>
      </c>
      <c r="M81" s="27">
        <v>162923</v>
      </c>
      <c r="N81" s="27"/>
      <c r="O81" s="145">
        <v>100.2</v>
      </c>
      <c r="P81" s="145">
        <v>17</v>
      </c>
      <c r="Q81" s="146">
        <v>100.2</v>
      </c>
      <c r="R81" s="146">
        <v>108.2</v>
      </c>
      <c r="S81" s="91">
        <v>219.8</v>
      </c>
      <c r="T81" s="91">
        <v>197.4</v>
      </c>
      <c r="U81" s="147"/>
    </row>
    <row r="82" spans="2:21">
      <c r="B82" s="292"/>
      <c r="C82" s="19">
        <v>1.0416666666666701</v>
      </c>
      <c r="D82" s="5">
        <v>511904</v>
      </c>
      <c r="E82" s="11">
        <v>567688</v>
      </c>
      <c r="F82" s="10">
        <v>1.6015999999999999</v>
      </c>
      <c r="G82" s="10">
        <v>1.1301000000000001</v>
      </c>
      <c r="H82" s="144"/>
      <c r="I82" s="9">
        <v>343799</v>
      </c>
      <c r="J82" s="9">
        <v>145389</v>
      </c>
      <c r="K82" s="9"/>
      <c r="L82" s="27">
        <v>201272</v>
      </c>
      <c r="M82" s="27">
        <v>162933</v>
      </c>
      <c r="N82" s="27"/>
      <c r="O82" s="145">
        <v>100.6</v>
      </c>
      <c r="P82" s="145">
        <v>17</v>
      </c>
      <c r="Q82" s="146">
        <v>100.6</v>
      </c>
      <c r="R82" s="146">
        <v>110.4</v>
      </c>
      <c r="S82" s="91">
        <v>234.9</v>
      </c>
      <c r="T82" s="91">
        <v>192.6</v>
      </c>
      <c r="U82" s="147"/>
    </row>
    <row r="83" spans="2:21">
      <c r="B83" s="292"/>
      <c r="C83" s="19">
        <v>1.0833333333333299</v>
      </c>
      <c r="D83" s="5">
        <v>511914</v>
      </c>
      <c r="E83" s="11">
        <v>567706</v>
      </c>
      <c r="F83" s="10">
        <v>1.6015999999999999</v>
      </c>
      <c r="G83" s="10">
        <v>1.1301000000000001</v>
      </c>
      <c r="H83" s="144"/>
      <c r="I83" s="9">
        <v>344105</v>
      </c>
      <c r="J83" s="9">
        <v>145699</v>
      </c>
      <c r="K83" s="9"/>
      <c r="L83" s="27">
        <v>201279</v>
      </c>
      <c r="M83" s="27">
        <v>162943</v>
      </c>
      <c r="N83" s="27"/>
      <c r="O83" s="145">
        <v>101.3</v>
      </c>
      <c r="P83" s="145">
        <v>17</v>
      </c>
      <c r="Q83" s="146">
        <v>101.3</v>
      </c>
      <c r="R83" s="146">
        <v>112.1</v>
      </c>
      <c r="S83" s="91">
        <v>232.1</v>
      </c>
      <c r="T83" s="91">
        <v>192.3</v>
      </c>
      <c r="U83" s="147"/>
    </row>
    <row r="84" spans="2:21">
      <c r="B84" s="292"/>
      <c r="C84" s="19">
        <v>1.125</v>
      </c>
      <c r="D84" s="5">
        <v>511924</v>
      </c>
      <c r="E84" s="11">
        <v>567724</v>
      </c>
      <c r="F84" s="10">
        <v>1.6015999999999999</v>
      </c>
      <c r="G84" s="10">
        <v>1.1302000000000001</v>
      </c>
      <c r="H84" s="144"/>
      <c r="I84" s="9">
        <v>344410</v>
      </c>
      <c r="J84" s="9">
        <v>146014</v>
      </c>
      <c r="K84" s="9"/>
      <c r="L84" s="27">
        <v>201286</v>
      </c>
      <c r="M84" s="27">
        <v>162953</v>
      </c>
      <c r="N84" s="27"/>
      <c r="O84" s="145">
        <v>101.4</v>
      </c>
      <c r="P84" s="145">
        <v>17</v>
      </c>
      <c r="Q84" s="146">
        <v>101.4</v>
      </c>
      <c r="R84" s="146">
        <v>111.1</v>
      </c>
      <c r="S84" s="91">
        <v>202.8</v>
      </c>
      <c r="T84" s="91">
        <v>193.7</v>
      </c>
      <c r="U84" s="147"/>
    </row>
    <row r="85" spans="2:21">
      <c r="B85" s="292"/>
      <c r="C85" s="19">
        <v>1.1666666666666701</v>
      </c>
      <c r="D85" s="5">
        <v>511934</v>
      </c>
      <c r="E85" s="11">
        <v>567737</v>
      </c>
      <c r="F85" s="10">
        <v>1.6015999999999999</v>
      </c>
      <c r="G85" s="10">
        <v>1.1302000000000001</v>
      </c>
      <c r="H85" s="144"/>
      <c r="I85" s="9">
        <v>344734</v>
      </c>
      <c r="J85" s="9">
        <v>146295</v>
      </c>
      <c r="K85" s="9"/>
      <c r="L85" s="27">
        <v>201291</v>
      </c>
      <c r="M85" s="27">
        <v>162971</v>
      </c>
      <c r="N85" s="27"/>
      <c r="O85" s="145">
        <v>101.2</v>
      </c>
      <c r="P85" s="145">
        <v>17</v>
      </c>
      <c r="Q85" s="146">
        <v>101.2</v>
      </c>
      <c r="R85" s="146">
        <v>111.9</v>
      </c>
      <c r="S85" s="91">
        <v>285.89999999999998</v>
      </c>
      <c r="T85" s="91">
        <v>191.2</v>
      </c>
      <c r="U85" s="147"/>
    </row>
    <row r="86" spans="2:21">
      <c r="B86" s="292"/>
      <c r="C86" s="19">
        <v>1.2083333333333299</v>
      </c>
      <c r="D86" s="5">
        <v>511944</v>
      </c>
      <c r="E86" s="11">
        <v>567750</v>
      </c>
      <c r="F86" s="10">
        <v>1.6015999999999999</v>
      </c>
      <c r="G86" s="10">
        <v>1.1302000000000001</v>
      </c>
      <c r="H86" s="144"/>
      <c r="I86" s="9">
        <v>345060</v>
      </c>
      <c r="J86" s="9">
        <v>146576</v>
      </c>
      <c r="K86" s="9"/>
      <c r="L86" s="27">
        <v>201296</v>
      </c>
      <c r="M86" s="27">
        <v>162989</v>
      </c>
      <c r="N86" s="27"/>
      <c r="O86" s="145">
        <v>106.7</v>
      </c>
      <c r="P86" s="145">
        <v>17</v>
      </c>
      <c r="Q86" s="146">
        <v>106.7</v>
      </c>
      <c r="R86" s="146">
        <v>111.2</v>
      </c>
      <c r="S86" s="91">
        <v>230.1</v>
      </c>
      <c r="T86" s="91">
        <v>189.6</v>
      </c>
      <c r="U86" s="147"/>
    </row>
    <row r="87" spans="2:21">
      <c r="B87" s="292"/>
      <c r="C87" s="19">
        <v>1.25</v>
      </c>
      <c r="D87" s="5">
        <v>511954</v>
      </c>
      <c r="E87" s="11">
        <v>567763</v>
      </c>
      <c r="F87" s="10">
        <v>1.6015999999999999</v>
      </c>
      <c r="G87" s="10">
        <v>1.1304000000000001</v>
      </c>
      <c r="H87" s="144"/>
      <c r="I87" s="9">
        <v>345383</v>
      </c>
      <c r="J87" s="9">
        <v>146857</v>
      </c>
      <c r="K87" s="9"/>
      <c r="L87" s="27">
        <v>201301</v>
      </c>
      <c r="M87" s="27">
        <v>163007</v>
      </c>
      <c r="N87" s="27"/>
      <c r="O87" s="145">
        <v>101.3</v>
      </c>
      <c r="P87" s="145">
        <v>17</v>
      </c>
      <c r="Q87" s="146">
        <v>101.3</v>
      </c>
      <c r="R87" s="146">
        <v>115.7</v>
      </c>
      <c r="S87" s="91">
        <v>234.5</v>
      </c>
      <c r="T87" s="91">
        <v>192.4</v>
      </c>
      <c r="U87" s="147"/>
    </row>
    <row r="88" spans="2:21">
      <c r="B88" s="292"/>
      <c r="C88" s="19">
        <v>1.2916666666666701</v>
      </c>
      <c r="D88" s="5">
        <v>511965</v>
      </c>
      <c r="E88" s="11">
        <v>567777</v>
      </c>
      <c r="F88" s="10">
        <v>1.6015999999999999</v>
      </c>
      <c r="G88" s="10">
        <v>1.1304000000000001</v>
      </c>
      <c r="H88" s="144"/>
      <c r="I88" s="9">
        <v>345721</v>
      </c>
      <c r="J88" s="9">
        <v>147140</v>
      </c>
      <c r="K88" s="9"/>
      <c r="L88" s="27">
        <v>201306</v>
      </c>
      <c r="M88" s="27">
        <v>163025</v>
      </c>
      <c r="N88" s="27"/>
      <c r="O88" s="145">
        <v>101.1</v>
      </c>
      <c r="P88" s="145">
        <v>17</v>
      </c>
      <c r="Q88" s="146">
        <v>101.1</v>
      </c>
      <c r="R88" s="146">
        <v>109.9</v>
      </c>
      <c r="S88" s="91">
        <v>179.9</v>
      </c>
      <c r="T88" s="91">
        <v>183.6</v>
      </c>
      <c r="U88" s="147"/>
    </row>
    <row r="89" spans="2:21">
      <c r="B89" s="293"/>
      <c r="C89" s="6"/>
      <c r="D89" s="13" cm="1">
        <f t="array" ref="D89">IFERROR(LOOKUP(2,1/(D64:D88&gt;0),D64:D88-D64),0)</f>
        <v>249</v>
      </c>
      <c r="E89" s="13" cm="1">
        <f t="array" ref="E89">IFERROR(LOOKUP(2,1/(E64:E88&gt;0),E64:E88-E64),0)</f>
        <v>414</v>
      </c>
      <c r="F89" s="13" cm="1">
        <f t="array" ref="F89">IFERROR(LOOKUP(2,1/(F64:F88&gt;0),F64:F88-F64),0)</f>
        <v>6.9999999999992291E-4</v>
      </c>
      <c r="G89" s="13" cm="1">
        <f t="array" ref="G89">IFERROR(LOOKUP(2,1/(G64:G88&gt;0),G64:G88-G64),0)</f>
        <v>5.0000000000016698E-4</v>
      </c>
      <c r="H89" s="13">
        <f>F89+G89</f>
        <v>1.2000000000000899E-3</v>
      </c>
      <c r="I89" s="13" cm="1">
        <f t="array" ref="I89">IFERROR(LOOKUP(2,1/(I64:I88&gt;0),I64:I88-I64),0)</f>
        <v>7798</v>
      </c>
      <c r="J89" s="13" cm="1">
        <f t="array" ref="J89">IFERROR(LOOKUP(2,1/(J64:J88&gt;0),J64:J88-J64),0)</f>
        <v>7414</v>
      </c>
      <c r="K89" s="13">
        <f>I89+J89</f>
        <v>15212</v>
      </c>
      <c r="L89" s="13" cm="1">
        <f t="array" ref="L89">IFERROR(LOOKUP(2,1/(L64:L88&gt;0),L64:L88-L64),0)</f>
        <v>148</v>
      </c>
      <c r="M89" s="13" cm="1">
        <f t="array" ref="M89">IFERROR(LOOKUP(2,1/(M64:M88&gt;0),M64:M88-M64),0)</f>
        <v>383</v>
      </c>
      <c r="N89" s="13">
        <f>L89+M89</f>
        <v>531</v>
      </c>
      <c r="O89" s="148">
        <f t="shared" ref="O89:T89" si="2">IFERROR(AVERAGE(O64:O88),0)</f>
        <v>101.348</v>
      </c>
      <c r="P89" s="148">
        <f t="shared" si="2"/>
        <v>17</v>
      </c>
      <c r="Q89" s="148">
        <f t="shared" si="2"/>
        <v>101.35600000000001</v>
      </c>
      <c r="R89" s="148">
        <f t="shared" si="2"/>
        <v>111.44799999999998</v>
      </c>
      <c r="S89" s="148">
        <f t="shared" si="2"/>
        <v>224.93200000000002</v>
      </c>
      <c r="T89" s="148">
        <f t="shared" si="2"/>
        <v>191.89600000000002</v>
      </c>
      <c r="U89" s="148">
        <f>COUNT(U64:U88)</f>
        <v>0</v>
      </c>
    </row>
    <row r="90" spans="2:21">
      <c r="B90" s="291">
        <f>'DATA B1'!B90</f>
        <v>46026</v>
      </c>
      <c r="C90" s="19">
        <v>0.29166666666666669</v>
      </c>
      <c r="D90" s="5">
        <v>511965</v>
      </c>
      <c r="E90" s="11">
        <v>567777</v>
      </c>
      <c r="F90" s="10">
        <v>1.6015999999999999</v>
      </c>
      <c r="G90" s="10">
        <v>1.1304000000000001</v>
      </c>
      <c r="H90" s="144"/>
      <c r="I90" s="9">
        <v>345721</v>
      </c>
      <c r="J90" s="9">
        <v>147140</v>
      </c>
      <c r="K90" s="9"/>
      <c r="L90" s="27">
        <v>201306</v>
      </c>
      <c r="M90" s="27">
        <v>163025</v>
      </c>
      <c r="N90" s="27"/>
      <c r="O90" s="145">
        <v>101.1</v>
      </c>
      <c r="P90" s="145">
        <v>17</v>
      </c>
      <c r="Q90" s="146">
        <v>101.1</v>
      </c>
      <c r="R90" s="146">
        <v>109.9</v>
      </c>
      <c r="S90" s="91">
        <v>179.9</v>
      </c>
      <c r="T90" s="91">
        <v>183.6</v>
      </c>
      <c r="U90" s="147"/>
    </row>
    <row r="91" spans="2:21">
      <c r="B91" s="292"/>
      <c r="C91" s="19">
        <v>0.33333333333333298</v>
      </c>
      <c r="D91" s="5">
        <v>511978</v>
      </c>
      <c r="E91" s="11">
        <v>567798</v>
      </c>
      <c r="F91" s="10">
        <v>1.6016999999999999</v>
      </c>
      <c r="G91" s="10">
        <v>1.1304000000000001</v>
      </c>
      <c r="H91" s="144"/>
      <c r="I91" s="9">
        <v>346166</v>
      </c>
      <c r="J91" s="9">
        <v>147563</v>
      </c>
      <c r="K91" s="9"/>
      <c r="L91" s="27">
        <v>201313</v>
      </c>
      <c r="M91" s="27">
        <v>163036</v>
      </c>
      <c r="N91" s="27"/>
      <c r="O91" s="145">
        <v>101.1</v>
      </c>
      <c r="P91" s="145">
        <v>17</v>
      </c>
      <c r="Q91" s="146">
        <v>101.1</v>
      </c>
      <c r="R91" s="146">
        <v>111.9</v>
      </c>
      <c r="S91" s="91">
        <v>235.1</v>
      </c>
      <c r="T91" s="91">
        <v>191.1</v>
      </c>
      <c r="U91" s="147"/>
    </row>
    <row r="92" spans="2:21">
      <c r="B92" s="292"/>
      <c r="C92" s="19">
        <v>0.375</v>
      </c>
      <c r="D92" s="5">
        <v>511988</v>
      </c>
      <c r="E92" s="11">
        <v>567812</v>
      </c>
      <c r="F92" s="10">
        <v>1.6016999999999999</v>
      </c>
      <c r="G92" s="10">
        <v>1.1304000000000001</v>
      </c>
      <c r="H92" s="144"/>
      <c r="I92" s="9">
        <v>346463</v>
      </c>
      <c r="J92" s="9">
        <v>147847</v>
      </c>
      <c r="K92" s="9"/>
      <c r="L92" s="27">
        <v>201319</v>
      </c>
      <c r="M92" s="27">
        <v>163036</v>
      </c>
      <c r="N92" s="27"/>
      <c r="O92" s="145">
        <v>100.7</v>
      </c>
      <c r="P92" s="145">
        <v>17</v>
      </c>
      <c r="Q92" s="146">
        <v>100.7</v>
      </c>
      <c r="R92" s="146">
        <v>110.4</v>
      </c>
      <c r="S92" s="91">
        <v>234.9</v>
      </c>
      <c r="T92" s="91">
        <v>191.7</v>
      </c>
      <c r="U92" s="147"/>
    </row>
    <row r="93" spans="2:21">
      <c r="B93" s="292"/>
      <c r="C93" s="19">
        <v>0.41666666666666702</v>
      </c>
      <c r="D93" s="5">
        <v>511998</v>
      </c>
      <c r="E93" s="11">
        <v>567826</v>
      </c>
      <c r="F93" s="10">
        <v>1.6017999999999999</v>
      </c>
      <c r="G93" s="10">
        <v>1.1304000000000001</v>
      </c>
      <c r="H93" s="144"/>
      <c r="I93" s="9">
        <v>346760</v>
      </c>
      <c r="J93" s="9">
        <v>148129</v>
      </c>
      <c r="K93" s="9"/>
      <c r="L93" s="27">
        <v>201325</v>
      </c>
      <c r="M93" s="27">
        <v>163036</v>
      </c>
      <c r="N93" s="27"/>
      <c r="O93" s="145">
        <v>100.9</v>
      </c>
      <c r="P93" s="145">
        <v>17</v>
      </c>
      <c r="Q93" s="146">
        <v>100.9</v>
      </c>
      <c r="R93" s="146">
        <v>112.7</v>
      </c>
      <c r="S93" s="91">
        <v>224.6</v>
      </c>
      <c r="T93" s="91">
        <v>187.1</v>
      </c>
      <c r="U93" s="147"/>
    </row>
    <row r="94" spans="2:21">
      <c r="B94" s="292"/>
      <c r="C94" s="19">
        <v>0.45833333333333298</v>
      </c>
      <c r="D94" s="5">
        <v>512008</v>
      </c>
      <c r="E94" s="11">
        <v>567840</v>
      </c>
      <c r="F94" s="10">
        <v>1.6017999999999999</v>
      </c>
      <c r="G94" s="10">
        <v>1.1304000000000001</v>
      </c>
      <c r="H94" s="144"/>
      <c r="I94" s="9">
        <v>347057</v>
      </c>
      <c r="J94" s="9">
        <v>148407</v>
      </c>
      <c r="K94" s="9"/>
      <c r="L94" s="27">
        <v>201333</v>
      </c>
      <c r="M94" s="27">
        <v>163036</v>
      </c>
      <c r="N94" s="27"/>
      <c r="O94" s="145">
        <v>100.8</v>
      </c>
      <c r="P94" s="145">
        <v>17</v>
      </c>
      <c r="Q94" s="146">
        <v>100.8</v>
      </c>
      <c r="R94" s="146">
        <v>110.1</v>
      </c>
      <c r="S94" s="91">
        <v>227.5</v>
      </c>
      <c r="T94" s="91">
        <v>186.9</v>
      </c>
      <c r="U94" s="147"/>
    </row>
    <row r="95" spans="2:21">
      <c r="B95" s="292"/>
      <c r="C95" s="19">
        <v>0.5</v>
      </c>
      <c r="D95" s="5">
        <v>512020</v>
      </c>
      <c r="E95" s="11">
        <v>567857</v>
      </c>
      <c r="F95" s="10">
        <v>1.6019000000000001</v>
      </c>
      <c r="G95" s="10">
        <v>1.1304000000000001</v>
      </c>
      <c r="H95" s="144"/>
      <c r="I95" s="9">
        <v>347401</v>
      </c>
      <c r="J95" s="9">
        <v>148736</v>
      </c>
      <c r="K95" s="9"/>
      <c r="L95" s="27">
        <v>201341</v>
      </c>
      <c r="M95" s="27">
        <v>163036</v>
      </c>
      <c r="N95" s="27"/>
      <c r="O95" s="145">
        <v>101.2</v>
      </c>
      <c r="P95" s="145">
        <v>17</v>
      </c>
      <c r="Q95" s="146">
        <v>101.2</v>
      </c>
      <c r="R95" s="146">
        <v>111.1</v>
      </c>
      <c r="S95" s="91">
        <v>229.7</v>
      </c>
      <c r="T95" s="91">
        <v>191.2</v>
      </c>
      <c r="U95" s="147"/>
    </row>
    <row r="96" spans="2:21">
      <c r="B96" s="292"/>
      <c r="C96" s="19">
        <v>0.54166666666666696</v>
      </c>
      <c r="D96" s="5">
        <v>512033</v>
      </c>
      <c r="E96" s="11">
        <v>567874</v>
      </c>
      <c r="F96" s="10">
        <v>1.6019000000000001</v>
      </c>
      <c r="G96" s="10">
        <v>1.1304000000000001</v>
      </c>
      <c r="H96" s="144"/>
      <c r="I96" s="9">
        <v>347749</v>
      </c>
      <c r="J96" s="9">
        <v>149067</v>
      </c>
      <c r="K96" s="9"/>
      <c r="L96" s="27">
        <v>201349</v>
      </c>
      <c r="M96" s="27">
        <v>163036</v>
      </c>
      <c r="N96" s="27"/>
      <c r="O96" s="145">
        <v>100.4</v>
      </c>
      <c r="P96" s="145">
        <v>17</v>
      </c>
      <c r="Q96" s="146">
        <v>100.4</v>
      </c>
      <c r="R96" s="146">
        <v>111.2</v>
      </c>
      <c r="S96" s="91">
        <v>223.5</v>
      </c>
      <c r="T96" s="91">
        <v>189.6</v>
      </c>
      <c r="U96" s="147"/>
    </row>
    <row r="97" spans="2:21">
      <c r="B97" s="292"/>
      <c r="C97" s="19">
        <v>0.58333333333333304</v>
      </c>
      <c r="D97" s="5">
        <v>512046</v>
      </c>
      <c r="E97" s="11">
        <v>567891</v>
      </c>
      <c r="F97" s="144">
        <v>1.6020000000000001</v>
      </c>
      <c r="G97" s="10">
        <v>1.1304000000000001</v>
      </c>
      <c r="H97" s="144"/>
      <c r="I97" s="9">
        <v>348090</v>
      </c>
      <c r="J97" s="9">
        <v>149392</v>
      </c>
      <c r="K97" s="9"/>
      <c r="L97" s="27">
        <v>201353</v>
      </c>
      <c r="M97" s="27">
        <v>163036</v>
      </c>
      <c r="N97" s="27"/>
      <c r="O97" s="145">
        <v>101.3</v>
      </c>
      <c r="P97" s="145">
        <v>17</v>
      </c>
      <c r="Q97" s="146">
        <v>101.3</v>
      </c>
      <c r="R97" s="146">
        <v>110.2</v>
      </c>
      <c r="S97" s="91">
        <v>226.9</v>
      </c>
      <c r="T97" s="91">
        <v>186.4</v>
      </c>
      <c r="U97" s="149"/>
    </row>
    <row r="98" spans="2:21">
      <c r="B98" s="292"/>
      <c r="C98" s="19">
        <v>0.625</v>
      </c>
      <c r="D98" s="5">
        <v>512058</v>
      </c>
      <c r="E98" s="11">
        <v>567911</v>
      </c>
      <c r="F98" s="144">
        <v>1.6020000000000001</v>
      </c>
      <c r="G98" s="10">
        <v>1.1304000000000001</v>
      </c>
      <c r="H98" s="144"/>
      <c r="I98" s="9">
        <v>348444</v>
      </c>
      <c r="J98" s="9">
        <v>149727</v>
      </c>
      <c r="K98" s="9"/>
      <c r="L98" s="27">
        <v>201358</v>
      </c>
      <c r="M98" s="27">
        <v>163199</v>
      </c>
      <c r="N98" s="27"/>
      <c r="O98" s="145">
        <v>101.3</v>
      </c>
      <c r="P98" s="145">
        <v>17</v>
      </c>
      <c r="Q98" s="146">
        <v>101.3</v>
      </c>
      <c r="R98" s="146">
        <v>113.8</v>
      </c>
      <c r="S98" s="91">
        <v>232</v>
      </c>
      <c r="T98" s="91">
        <v>200</v>
      </c>
      <c r="U98" s="147"/>
    </row>
    <row r="99" spans="2:21">
      <c r="B99" s="292"/>
      <c r="C99" s="19">
        <v>0.66666666666666696</v>
      </c>
      <c r="D99" s="5">
        <v>512067</v>
      </c>
      <c r="E99" s="11">
        <v>567926</v>
      </c>
      <c r="F99" s="144">
        <v>1.6021000000000001</v>
      </c>
      <c r="G99" s="10">
        <v>1.1304000000000001</v>
      </c>
      <c r="H99" s="144"/>
      <c r="I99" s="9">
        <v>348768</v>
      </c>
      <c r="J99" s="9">
        <v>150035</v>
      </c>
      <c r="K99" s="9"/>
      <c r="L99" s="27">
        <v>201363</v>
      </c>
      <c r="M99" s="27">
        <v>163199</v>
      </c>
      <c r="N99" s="27"/>
      <c r="O99" s="145">
        <v>101.2</v>
      </c>
      <c r="P99" s="145">
        <v>17</v>
      </c>
      <c r="Q99" s="146">
        <v>101.2</v>
      </c>
      <c r="R99" s="146">
        <v>111.9</v>
      </c>
      <c r="S99" s="91">
        <v>231.6</v>
      </c>
      <c r="T99" s="91">
        <v>198.6</v>
      </c>
      <c r="U99" s="147"/>
    </row>
    <row r="100" spans="2:21">
      <c r="B100" s="292"/>
      <c r="C100" s="19">
        <v>0.70833333333333304</v>
      </c>
      <c r="D100" s="5">
        <v>512075</v>
      </c>
      <c r="E100" s="11">
        <v>567941</v>
      </c>
      <c r="F100" s="144">
        <v>1.6021000000000001</v>
      </c>
      <c r="G100" s="10">
        <v>1.1304000000000001</v>
      </c>
      <c r="H100" s="144"/>
      <c r="I100" s="9">
        <v>349096</v>
      </c>
      <c r="J100" s="9">
        <v>150347</v>
      </c>
      <c r="K100" s="9"/>
      <c r="L100" s="27">
        <v>201368</v>
      </c>
      <c r="M100" s="27">
        <v>163199</v>
      </c>
      <c r="N100" s="27"/>
      <c r="O100" s="145">
        <v>101.2</v>
      </c>
      <c r="P100" s="145">
        <v>17</v>
      </c>
      <c r="Q100" s="146">
        <v>101.2</v>
      </c>
      <c r="R100" s="146">
        <v>111.1</v>
      </c>
      <c r="S100" s="91">
        <v>199.1</v>
      </c>
      <c r="T100" s="91">
        <v>194.1</v>
      </c>
      <c r="U100" s="147"/>
    </row>
    <row r="101" spans="2:21">
      <c r="B101" s="292"/>
      <c r="C101" s="19">
        <v>0.75</v>
      </c>
      <c r="D101" s="5">
        <v>512082</v>
      </c>
      <c r="E101" s="11">
        <v>567956</v>
      </c>
      <c r="F101" s="10">
        <v>1.6022000000000001</v>
      </c>
      <c r="G101" s="10">
        <v>1.1304000000000001</v>
      </c>
      <c r="H101" s="144"/>
      <c r="I101" s="9">
        <v>349417</v>
      </c>
      <c r="J101" s="9">
        <v>150652</v>
      </c>
      <c r="K101" s="9"/>
      <c r="L101" s="27">
        <v>201373</v>
      </c>
      <c r="M101" s="27">
        <v>163199</v>
      </c>
      <c r="N101" s="27"/>
      <c r="O101" s="243">
        <v>101</v>
      </c>
      <c r="P101" s="145">
        <v>17</v>
      </c>
      <c r="Q101" s="244">
        <v>101</v>
      </c>
      <c r="R101" s="146">
        <v>113.5</v>
      </c>
      <c r="S101" s="91">
        <v>231.1</v>
      </c>
      <c r="T101" s="91">
        <v>200.2</v>
      </c>
      <c r="U101" s="147"/>
    </row>
    <row r="102" spans="2:21">
      <c r="B102" s="292"/>
      <c r="C102" s="19">
        <v>0.79166666666666696</v>
      </c>
      <c r="D102" s="5">
        <v>512092</v>
      </c>
      <c r="E102" s="11">
        <v>567972</v>
      </c>
      <c r="F102" s="10">
        <v>1.6022000000000001</v>
      </c>
      <c r="G102" s="10">
        <v>1.1304000000000001</v>
      </c>
      <c r="H102" s="144"/>
      <c r="I102" s="9">
        <v>349751</v>
      </c>
      <c r="J102" s="9">
        <v>150969</v>
      </c>
      <c r="K102" s="9"/>
      <c r="L102" s="27">
        <v>201378</v>
      </c>
      <c r="M102" s="27">
        <v>163226</v>
      </c>
      <c r="N102" s="27"/>
      <c r="O102" s="145">
        <v>101.1</v>
      </c>
      <c r="P102" s="145">
        <v>17</v>
      </c>
      <c r="Q102" s="146">
        <v>101.1</v>
      </c>
      <c r="R102" s="146">
        <v>109.4</v>
      </c>
      <c r="S102" s="91">
        <v>226.1</v>
      </c>
      <c r="T102" s="91">
        <v>197.8</v>
      </c>
      <c r="U102" s="147"/>
    </row>
    <row r="103" spans="2:21">
      <c r="B103" s="292"/>
      <c r="C103" s="19">
        <v>0.83333333333333304</v>
      </c>
      <c r="D103" s="5">
        <v>512107</v>
      </c>
      <c r="E103" s="11">
        <v>567994</v>
      </c>
      <c r="F103" s="10">
        <v>1.6022000000000001</v>
      </c>
      <c r="G103" s="10">
        <v>1.1304000000000001</v>
      </c>
      <c r="H103" s="144"/>
      <c r="I103" s="9">
        <v>350228</v>
      </c>
      <c r="J103" s="9">
        <v>151427</v>
      </c>
      <c r="K103" s="9"/>
      <c r="L103" s="27">
        <v>201385</v>
      </c>
      <c r="M103" s="27">
        <v>163235</v>
      </c>
      <c r="N103" s="27"/>
      <c r="O103" s="145">
        <v>100.9</v>
      </c>
      <c r="P103" s="145">
        <v>17</v>
      </c>
      <c r="Q103" s="146">
        <v>100.9</v>
      </c>
      <c r="R103" s="146">
        <v>108.3</v>
      </c>
      <c r="S103" s="91">
        <v>197.5</v>
      </c>
      <c r="T103" s="91">
        <v>186.2</v>
      </c>
      <c r="U103" s="147"/>
    </row>
    <row r="104" spans="2:21">
      <c r="B104" s="292"/>
      <c r="C104" s="19">
        <v>0.875</v>
      </c>
      <c r="D104" s="5">
        <v>512117</v>
      </c>
      <c r="E104" s="11">
        <v>568007</v>
      </c>
      <c r="F104" s="10">
        <v>1.6022000000000001</v>
      </c>
      <c r="G104" s="144">
        <v>1.1305000000000001</v>
      </c>
      <c r="H104" s="144"/>
      <c r="I104" s="9">
        <v>350508</v>
      </c>
      <c r="J104" s="9">
        <v>151702</v>
      </c>
      <c r="K104" s="9"/>
      <c r="L104" s="27">
        <v>201392</v>
      </c>
      <c r="M104" s="27">
        <v>163248</v>
      </c>
      <c r="N104" s="27"/>
      <c r="O104" s="145">
        <v>101.2</v>
      </c>
      <c r="P104" s="145">
        <v>17</v>
      </c>
      <c r="Q104" s="146">
        <v>101.2</v>
      </c>
      <c r="R104" s="146">
        <v>112.2</v>
      </c>
      <c r="S104" s="91">
        <v>233.1</v>
      </c>
      <c r="T104" s="91">
        <v>159.5</v>
      </c>
      <c r="U104" s="147"/>
    </row>
    <row r="105" spans="2:21">
      <c r="B105" s="292"/>
      <c r="C105" s="19">
        <v>0.91666666666666696</v>
      </c>
      <c r="D105" s="5">
        <v>512127</v>
      </c>
      <c r="E105" s="11">
        <v>568020</v>
      </c>
      <c r="F105" s="10">
        <v>1.6022000000000001</v>
      </c>
      <c r="G105" s="144">
        <v>1.1305000000000001</v>
      </c>
      <c r="H105" s="144"/>
      <c r="I105" s="9">
        <v>350808</v>
      </c>
      <c r="J105" s="9">
        <v>151952</v>
      </c>
      <c r="K105" s="9"/>
      <c r="L105" s="27">
        <v>201399</v>
      </c>
      <c r="M105" s="27">
        <v>163261</v>
      </c>
      <c r="N105" s="27"/>
      <c r="O105" s="145">
        <v>101.1</v>
      </c>
      <c r="P105" s="145">
        <v>17</v>
      </c>
      <c r="Q105" s="146">
        <v>101.1</v>
      </c>
      <c r="R105" s="146">
        <v>111.5</v>
      </c>
      <c r="S105" s="91">
        <v>200.4</v>
      </c>
      <c r="T105" s="91">
        <v>190.4</v>
      </c>
      <c r="U105" s="147"/>
    </row>
    <row r="106" spans="2:21">
      <c r="B106" s="292"/>
      <c r="C106" s="19">
        <v>0.95833333333333304</v>
      </c>
      <c r="D106" s="5">
        <v>512138</v>
      </c>
      <c r="E106" s="11">
        <v>568033</v>
      </c>
      <c r="F106" s="10">
        <v>1.6022000000000001</v>
      </c>
      <c r="G106" s="144">
        <v>1.1305000000000001</v>
      </c>
      <c r="H106" s="144"/>
      <c r="I106" s="9">
        <v>351099</v>
      </c>
      <c r="J106" s="9">
        <v>152254</v>
      </c>
      <c r="K106" s="9"/>
      <c r="L106" s="27">
        <v>201408</v>
      </c>
      <c r="M106" s="27">
        <v>163276</v>
      </c>
      <c r="N106" s="27"/>
      <c r="O106" s="145">
        <v>101.2</v>
      </c>
      <c r="P106" s="145">
        <v>17</v>
      </c>
      <c r="Q106" s="146">
        <v>101.2</v>
      </c>
      <c r="R106" s="146">
        <v>114.1</v>
      </c>
      <c r="S106" s="91">
        <v>199.6</v>
      </c>
      <c r="T106" s="91">
        <v>190.1</v>
      </c>
      <c r="U106" s="147"/>
    </row>
    <row r="107" spans="2:21">
      <c r="B107" s="292"/>
      <c r="C107" s="19">
        <v>1</v>
      </c>
      <c r="D107" s="5">
        <v>512148</v>
      </c>
      <c r="E107" s="11">
        <v>568047</v>
      </c>
      <c r="F107" s="10">
        <v>1.6022000000000001</v>
      </c>
      <c r="G107" s="10">
        <v>1.1306</v>
      </c>
      <c r="H107" s="144"/>
      <c r="I107" s="9">
        <v>351390</v>
      </c>
      <c r="J107" s="9">
        <v>152550</v>
      </c>
      <c r="K107" s="9"/>
      <c r="L107" s="27">
        <v>201414</v>
      </c>
      <c r="M107" s="27">
        <v>163288</v>
      </c>
      <c r="N107" s="27"/>
      <c r="O107" s="145">
        <v>101.1</v>
      </c>
      <c r="P107" s="145">
        <v>17</v>
      </c>
      <c r="Q107" s="146">
        <v>101.2</v>
      </c>
      <c r="R107" s="146">
        <v>112.1</v>
      </c>
      <c r="S107" s="91">
        <v>235.5</v>
      </c>
      <c r="T107" s="91">
        <v>192.3</v>
      </c>
      <c r="U107" s="147"/>
    </row>
    <row r="108" spans="2:21">
      <c r="B108" s="292"/>
      <c r="C108" s="19">
        <v>1.0416666666666701</v>
      </c>
      <c r="D108" s="5">
        <v>512158</v>
      </c>
      <c r="E108" s="11">
        <v>568061</v>
      </c>
      <c r="F108" s="10">
        <v>1.6022000000000001</v>
      </c>
      <c r="G108" s="10">
        <v>1.1306</v>
      </c>
      <c r="H108" s="144"/>
      <c r="I108" s="9">
        <v>351684</v>
      </c>
      <c r="J108" s="9">
        <v>152846</v>
      </c>
      <c r="K108" s="9"/>
      <c r="L108" s="27">
        <v>201420</v>
      </c>
      <c r="M108" s="27">
        <v>163300</v>
      </c>
      <c r="N108" s="27"/>
      <c r="O108" s="145">
        <v>101.2</v>
      </c>
      <c r="P108" s="145">
        <v>17</v>
      </c>
      <c r="Q108" s="146">
        <v>101.2</v>
      </c>
      <c r="R108" s="146">
        <v>111.9</v>
      </c>
      <c r="S108" s="91">
        <v>285.89999999999998</v>
      </c>
      <c r="T108" s="91">
        <v>191.2</v>
      </c>
      <c r="U108" s="147"/>
    </row>
    <row r="109" spans="2:21">
      <c r="B109" s="292"/>
      <c r="C109" s="19">
        <v>1.0833333333333299</v>
      </c>
      <c r="D109" s="5">
        <v>512168</v>
      </c>
      <c r="E109" s="11">
        <v>568075</v>
      </c>
      <c r="F109" s="10">
        <v>1.6022000000000001</v>
      </c>
      <c r="G109" s="10">
        <v>1.1307</v>
      </c>
      <c r="H109" s="144"/>
      <c r="I109" s="9">
        <v>351970</v>
      </c>
      <c r="J109" s="9">
        <v>153142</v>
      </c>
      <c r="K109" s="9"/>
      <c r="L109" s="27">
        <v>201426</v>
      </c>
      <c r="M109" s="27">
        <v>163312</v>
      </c>
      <c r="N109" s="27"/>
      <c r="O109" s="145">
        <v>106.7</v>
      </c>
      <c r="P109" s="145">
        <v>17</v>
      </c>
      <c r="Q109" s="146">
        <v>106.7</v>
      </c>
      <c r="R109" s="146">
        <v>111.2</v>
      </c>
      <c r="S109" s="91">
        <v>230.1</v>
      </c>
      <c r="T109" s="91">
        <v>189.6</v>
      </c>
      <c r="U109" s="147"/>
    </row>
    <row r="110" spans="2:21">
      <c r="B110" s="292"/>
      <c r="C110" s="19">
        <v>1.125</v>
      </c>
      <c r="D110" s="5">
        <v>512178</v>
      </c>
      <c r="E110" s="11">
        <v>568089</v>
      </c>
      <c r="F110" s="10">
        <v>1.6022000000000001</v>
      </c>
      <c r="G110" s="10">
        <v>1.1307</v>
      </c>
      <c r="H110" s="144"/>
      <c r="I110" s="9">
        <v>352254</v>
      </c>
      <c r="J110" s="9">
        <v>153438</v>
      </c>
      <c r="K110" s="9"/>
      <c r="L110" s="27">
        <v>201432</v>
      </c>
      <c r="M110" s="27">
        <v>163324</v>
      </c>
      <c r="N110" s="27"/>
      <c r="O110" s="145">
        <v>101.3</v>
      </c>
      <c r="P110" s="145">
        <v>17</v>
      </c>
      <c r="Q110" s="146">
        <v>101.3</v>
      </c>
      <c r="R110" s="146">
        <v>115.7</v>
      </c>
      <c r="S110" s="91">
        <v>234.5</v>
      </c>
      <c r="T110" s="91">
        <v>192.4</v>
      </c>
      <c r="U110" s="147"/>
    </row>
    <row r="111" spans="2:21">
      <c r="B111" s="292"/>
      <c r="C111" s="19">
        <v>1.1666666666666701</v>
      </c>
      <c r="D111" s="5">
        <v>512189</v>
      </c>
      <c r="E111" s="11">
        <v>568106</v>
      </c>
      <c r="F111" s="10">
        <v>1.6022000000000001</v>
      </c>
      <c r="G111" s="10">
        <v>1.1308</v>
      </c>
      <c r="H111" s="144"/>
      <c r="I111" s="9">
        <v>352654</v>
      </c>
      <c r="J111" s="9">
        <v>153780</v>
      </c>
      <c r="K111" s="9"/>
      <c r="L111" s="27">
        <v>201437</v>
      </c>
      <c r="M111" s="27">
        <v>163347</v>
      </c>
      <c r="N111" s="27"/>
      <c r="O111" s="145">
        <v>101.4</v>
      </c>
      <c r="P111" s="145">
        <v>17</v>
      </c>
      <c r="Q111" s="146">
        <v>101.4</v>
      </c>
      <c r="R111" s="146">
        <v>109.6</v>
      </c>
      <c r="S111" s="91">
        <v>226.1</v>
      </c>
      <c r="T111" s="91">
        <v>197.8</v>
      </c>
      <c r="U111" s="147"/>
    </row>
    <row r="112" spans="2:21">
      <c r="B112" s="292"/>
      <c r="C112" s="19">
        <v>1.2083333333333299</v>
      </c>
      <c r="D112" s="5">
        <v>512201</v>
      </c>
      <c r="E112" s="11">
        <v>568124</v>
      </c>
      <c r="F112" s="10">
        <v>1.6022000000000001</v>
      </c>
      <c r="G112" s="10">
        <v>1.1308</v>
      </c>
      <c r="H112" s="144"/>
      <c r="I112" s="9">
        <v>353054</v>
      </c>
      <c r="J112" s="9">
        <v>154140</v>
      </c>
      <c r="K112" s="9"/>
      <c r="L112" s="27">
        <v>201442</v>
      </c>
      <c r="M112" s="27">
        <v>163370</v>
      </c>
      <c r="N112" s="27"/>
      <c r="O112" s="145">
        <v>101.2</v>
      </c>
      <c r="P112" s="145">
        <v>17</v>
      </c>
      <c r="Q112" s="146">
        <v>101.2</v>
      </c>
      <c r="R112" s="146">
        <v>112.2</v>
      </c>
      <c r="S112" s="91">
        <v>233.1</v>
      </c>
      <c r="T112" s="91">
        <v>159.5</v>
      </c>
      <c r="U112" s="147"/>
    </row>
    <row r="113" spans="2:21">
      <c r="B113" s="292"/>
      <c r="C113" s="19">
        <v>1.25</v>
      </c>
      <c r="D113" s="5">
        <v>512213</v>
      </c>
      <c r="E113" s="11">
        <v>568142</v>
      </c>
      <c r="F113" s="10">
        <v>1.6022000000000001</v>
      </c>
      <c r="G113" s="10">
        <v>1.1309</v>
      </c>
      <c r="H113" s="144"/>
      <c r="I113" s="9">
        <v>353453</v>
      </c>
      <c r="J113" s="9">
        <v>154500</v>
      </c>
      <c r="K113" s="9"/>
      <c r="L113" s="27">
        <v>201447</v>
      </c>
      <c r="M113" s="27">
        <v>163393</v>
      </c>
      <c r="N113" s="27"/>
      <c r="O113" s="145">
        <v>101.1</v>
      </c>
      <c r="P113" s="145">
        <v>17</v>
      </c>
      <c r="Q113" s="146">
        <v>101.1</v>
      </c>
      <c r="R113" s="146">
        <v>111.5</v>
      </c>
      <c r="S113" s="91">
        <v>200.4</v>
      </c>
      <c r="T113" s="91">
        <v>190.4</v>
      </c>
      <c r="U113" s="147"/>
    </row>
    <row r="114" spans="2:21">
      <c r="B114" s="292"/>
      <c r="C114" s="19">
        <v>1.2916666666666701</v>
      </c>
      <c r="D114" s="5">
        <v>512225</v>
      </c>
      <c r="E114" s="11">
        <v>568159</v>
      </c>
      <c r="F114" s="10">
        <v>1.6022000000000001</v>
      </c>
      <c r="G114" s="10">
        <v>1.1309</v>
      </c>
      <c r="H114" s="144"/>
      <c r="I114" s="9">
        <v>353857</v>
      </c>
      <c r="J114" s="9">
        <v>154857</v>
      </c>
      <c r="K114" s="9"/>
      <c r="L114" s="27">
        <v>201455</v>
      </c>
      <c r="M114" s="27">
        <v>163419</v>
      </c>
      <c r="N114" s="27"/>
      <c r="O114" s="145">
        <v>100.6</v>
      </c>
      <c r="P114" s="145">
        <v>17</v>
      </c>
      <c r="Q114" s="146">
        <v>100.6</v>
      </c>
      <c r="R114" s="146">
        <v>111.4</v>
      </c>
      <c r="S114" s="91">
        <v>200.6</v>
      </c>
      <c r="T114" s="91">
        <v>189.9</v>
      </c>
      <c r="U114" s="147"/>
    </row>
    <row r="115" spans="2:21">
      <c r="B115" s="293"/>
      <c r="C115" s="6"/>
      <c r="D115" s="13" cm="1">
        <f t="array" ref="D115">IFERROR(LOOKUP(2,1/(D90:D114&gt;0),D90:D114-D90),0)</f>
        <v>260</v>
      </c>
      <c r="E115" s="13" cm="1">
        <f t="array" ref="E115">IFERROR(LOOKUP(2,1/(E90:E114&gt;0),E90:E114-E90),0)</f>
        <v>382</v>
      </c>
      <c r="F115" s="13" cm="1">
        <f t="array" ref="F115">IFERROR(LOOKUP(2,1/(F90:F114&gt;0),F90:F114-F90),0)</f>
        <v>6.0000000000015596E-4</v>
      </c>
      <c r="G115" s="13" cm="1">
        <f t="array" ref="G115">IFERROR(LOOKUP(2,1/(G90:G114&gt;0),G90:G114-G90),0)</f>
        <v>4.9999999999994493E-4</v>
      </c>
      <c r="H115" s="13">
        <f>F115+G115</f>
        <v>1.1000000000001009E-3</v>
      </c>
      <c r="I115" s="13" cm="1">
        <f t="array" ref="I115">IFERROR(LOOKUP(2,1/(I90:I114&gt;0),I90:I114-I90),0)</f>
        <v>8136</v>
      </c>
      <c r="J115" s="13" cm="1">
        <f t="array" ref="J115">IFERROR(LOOKUP(2,1/(J90:J114&gt;0),J90:J114-J90),0)</f>
        <v>7717</v>
      </c>
      <c r="K115" s="13">
        <f>I115+J115</f>
        <v>15853</v>
      </c>
      <c r="L115" s="13" cm="1">
        <f t="array" ref="L115">IFERROR(LOOKUP(2,1/(L90:L114&gt;0),L90:L114-L90),0)</f>
        <v>149</v>
      </c>
      <c r="M115" s="13" cm="1">
        <f t="array" ref="M115">IFERROR(LOOKUP(2,1/(M90:M114&gt;0),M90:M114-M90),0)</f>
        <v>394</v>
      </c>
      <c r="N115" s="13">
        <f>L115+M115</f>
        <v>543</v>
      </c>
      <c r="O115" s="148">
        <f t="shared" ref="O115:T115" si="3">IFERROR(AVERAGE(O90:O114),0)</f>
        <v>101.29199999999999</v>
      </c>
      <c r="P115" s="148">
        <f t="shared" si="3"/>
        <v>17</v>
      </c>
      <c r="Q115" s="148">
        <f t="shared" si="3"/>
        <v>101.29599999999999</v>
      </c>
      <c r="R115" s="148">
        <f t="shared" si="3"/>
        <v>111.55599999999997</v>
      </c>
      <c r="S115" s="148">
        <f t="shared" si="3"/>
        <v>223.15200000000004</v>
      </c>
      <c r="T115" s="148">
        <f t="shared" si="3"/>
        <v>189.10399999999993</v>
      </c>
      <c r="U115" s="148">
        <f>COUNT(U90:U114)</f>
        <v>0</v>
      </c>
    </row>
    <row r="116" spans="2:21">
      <c r="B116" s="291">
        <f>'DATA B1'!B116</f>
        <v>46027</v>
      </c>
      <c r="C116" s="19">
        <v>0.29166666666666669</v>
      </c>
      <c r="D116" s="5">
        <v>512225</v>
      </c>
      <c r="E116" s="11">
        <v>568159</v>
      </c>
      <c r="F116" s="10">
        <v>1.6022000000000001</v>
      </c>
      <c r="G116" s="10">
        <v>1.1309</v>
      </c>
      <c r="H116" s="144"/>
      <c r="I116" s="9">
        <v>353857</v>
      </c>
      <c r="J116" s="9">
        <v>154857</v>
      </c>
      <c r="K116" s="9"/>
      <c r="L116" s="27">
        <v>201455</v>
      </c>
      <c r="M116" s="27">
        <v>163419</v>
      </c>
      <c r="N116" s="27"/>
      <c r="O116" s="145">
        <v>100.6</v>
      </c>
      <c r="P116" s="145">
        <v>17</v>
      </c>
      <c r="Q116" s="146">
        <v>100.6</v>
      </c>
      <c r="R116" s="146">
        <v>111.4</v>
      </c>
      <c r="S116" s="91">
        <v>200.6</v>
      </c>
      <c r="T116" s="91">
        <v>189.9</v>
      </c>
      <c r="U116" s="147"/>
    </row>
    <row r="117" spans="2:21">
      <c r="B117" s="292"/>
      <c r="C117" s="19">
        <v>0.33333333333333298</v>
      </c>
      <c r="D117" s="5">
        <v>512241</v>
      </c>
      <c r="E117" s="11">
        <v>568187</v>
      </c>
      <c r="F117" s="10">
        <v>1.6023000000000001</v>
      </c>
      <c r="G117" s="10">
        <v>1.1309</v>
      </c>
      <c r="H117" s="144"/>
      <c r="I117" s="9">
        <v>354382</v>
      </c>
      <c r="J117" s="9">
        <v>155371</v>
      </c>
      <c r="K117" s="9"/>
      <c r="L117" s="27">
        <v>201462</v>
      </c>
      <c r="M117" s="27">
        <v>163430</v>
      </c>
      <c r="N117" s="27"/>
      <c r="O117" s="145">
        <v>101.1</v>
      </c>
      <c r="P117" s="145">
        <v>17</v>
      </c>
      <c r="Q117" s="146">
        <v>101.1</v>
      </c>
      <c r="R117" s="146">
        <v>110.7</v>
      </c>
      <c r="S117" s="91">
        <v>233.5</v>
      </c>
      <c r="T117" s="91">
        <v>199.1</v>
      </c>
      <c r="U117" s="147"/>
    </row>
    <row r="118" spans="2:21">
      <c r="B118" s="292"/>
      <c r="C118" s="19">
        <v>0.375</v>
      </c>
      <c r="D118" s="5">
        <v>512250</v>
      </c>
      <c r="E118" s="11">
        <v>568201</v>
      </c>
      <c r="F118" s="10">
        <v>1.6024</v>
      </c>
      <c r="G118" s="10">
        <v>1.1309</v>
      </c>
      <c r="H118" s="144"/>
      <c r="I118" s="9">
        <v>354664</v>
      </c>
      <c r="J118" s="9">
        <v>155637</v>
      </c>
      <c r="K118" s="9"/>
      <c r="L118" s="27">
        <v>201462</v>
      </c>
      <c r="M118" s="27">
        <v>163430</v>
      </c>
      <c r="N118" s="27"/>
      <c r="O118" s="145">
        <v>101.2</v>
      </c>
      <c r="P118" s="145">
        <v>17</v>
      </c>
      <c r="Q118" s="146">
        <v>101.2</v>
      </c>
      <c r="R118" s="146">
        <v>111.1</v>
      </c>
      <c r="S118" s="91">
        <v>229.7</v>
      </c>
      <c r="T118" s="91">
        <v>191.2</v>
      </c>
      <c r="U118" s="147"/>
    </row>
    <row r="119" spans="2:21">
      <c r="B119" s="292"/>
      <c r="C119" s="19">
        <v>0.41666666666666702</v>
      </c>
      <c r="D119" s="5">
        <v>512259</v>
      </c>
      <c r="E119" s="11">
        <v>568216</v>
      </c>
      <c r="F119" s="10">
        <v>1.6024</v>
      </c>
      <c r="G119" s="10">
        <v>1.1309</v>
      </c>
      <c r="H119" s="144"/>
      <c r="I119" s="9">
        <v>354934</v>
      </c>
      <c r="J119" s="9">
        <v>155892</v>
      </c>
      <c r="K119" s="9"/>
      <c r="L119" s="27">
        <v>201462</v>
      </c>
      <c r="M119" s="27">
        <v>163430</v>
      </c>
      <c r="N119" s="27"/>
      <c r="O119" s="145">
        <v>100.4</v>
      </c>
      <c r="P119" s="145">
        <v>17</v>
      </c>
      <c r="Q119" s="146">
        <v>100.4</v>
      </c>
      <c r="R119" s="146">
        <v>111.2</v>
      </c>
      <c r="S119" s="91">
        <v>223.5</v>
      </c>
      <c r="T119" s="91">
        <v>189.6</v>
      </c>
      <c r="U119" s="147"/>
    </row>
    <row r="120" spans="2:21">
      <c r="B120" s="292"/>
      <c r="C120" s="19">
        <v>0.45833333333333298</v>
      </c>
      <c r="D120" s="5">
        <v>512268</v>
      </c>
      <c r="E120" s="11">
        <v>568231</v>
      </c>
      <c r="F120" s="10">
        <v>1.6025</v>
      </c>
      <c r="G120" s="10">
        <v>1.1309</v>
      </c>
      <c r="H120" s="144"/>
      <c r="I120" s="9">
        <v>355226</v>
      </c>
      <c r="J120" s="9">
        <v>156169</v>
      </c>
      <c r="K120" s="9"/>
      <c r="L120" s="27">
        <v>201465</v>
      </c>
      <c r="M120" s="27">
        <v>163434</v>
      </c>
      <c r="N120" s="27"/>
      <c r="O120" s="145">
        <v>100</v>
      </c>
      <c r="P120" s="145">
        <v>17</v>
      </c>
      <c r="Q120" s="146">
        <v>100</v>
      </c>
      <c r="R120" s="146">
        <v>112.4</v>
      </c>
      <c r="S120" s="91">
        <v>236.1</v>
      </c>
      <c r="T120" s="91">
        <v>191.5</v>
      </c>
      <c r="U120" s="147"/>
    </row>
    <row r="121" spans="2:21">
      <c r="B121" s="292"/>
      <c r="C121" s="19">
        <v>0.5</v>
      </c>
      <c r="D121" s="5">
        <v>512279</v>
      </c>
      <c r="E121" s="11">
        <v>568247</v>
      </c>
      <c r="F121" s="10">
        <v>1.6025</v>
      </c>
      <c r="G121" s="10">
        <v>1.1309</v>
      </c>
      <c r="H121" s="144"/>
      <c r="I121" s="9">
        <v>355578</v>
      </c>
      <c r="J121" s="9">
        <v>156502</v>
      </c>
      <c r="K121" s="9"/>
      <c r="L121" s="27">
        <v>201468</v>
      </c>
      <c r="M121" s="27">
        <v>163438</v>
      </c>
      <c r="N121" s="27"/>
      <c r="O121" s="145">
        <v>100.6</v>
      </c>
      <c r="P121" s="145">
        <v>17</v>
      </c>
      <c r="Q121" s="146">
        <v>100.6</v>
      </c>
      <c r="R121" s="146">
        <v>114</v>
      </c>
      <c r="S121" s="91">
        <v>225.8</v>
      </c>
      <c r="T121" s="91">
        <v>199.2</v>
      </c>
      <c r="U121" s="147"/>
    </row>
    <row r="122" spans="2:21">
      <c r="B122" s="292"/>
      <c r="C122" s="19">
        <v>0.54166666666666696</v>
      </c>
      <c r="D122" s="5">
        <v>512290</v>
      </c>
      <c r="E122" s="11">
        <v>568263</v>
      </c>
      <c r="F122" s="10">
        <v>1.6026</v>
      </c>
      <c r="G122" s="10">
        <v>1.1309</v>
      </c>
      <c r="H122" s="144"/>
      <c r="I122" s="9">
        <v>355934</v>
      </c>
      <c r="J122" s="9">
        <v>156845</v>
      </c>
      <c r="K122" s="9"/>
      <c r="L122" s="27">
        <v>201471</v>
      </c>
      <c r="M122" s="27">
        <v>163442</v>
      </c>
      <c r="N122" s="27"/>
      <c r="O122" s="145">
        <v>101.2</v>
      </c>
      <c r="P122" s="145">
        <v>17</v>
      </c>
      <c r="Q122" s="146">
        <v>101.2</v>
      </c>
      <c r="R122" s="146">
        <v>111.9</v>
      </c>
      <c r="S122" s="91">
        <v>231.6</v>
      </c>
      <c r="T122" s="91">
        <v>198.6</v>
      </c>
      <c r="U122" s="147"/>
    </row>
    <row r="123" spans="2:21">
      <c r="B123" s="292"/>
      <c r="C123" s="19">
        <v>0.58333333333333304</v>
      </c>
      <c r="D123" s="5">
        <v>512301</v>
      </c>
      <c r="E123" s="11">
        <v>568279</v>
      </c>
      <c r="F123" s="10">
        <v>1.6026</v>
      </c>
      <c r="G123" s="10">
        <v>1.1309</v>
      </c>
      <c r="H123" s="144"/>
      <c r="I123" s="9">
        <v>356283</v>
      </c>
      <c r="J123" s="9">
        <v>157177</v>
      </c>
      <c r="K123" s="9"/>
      <c r="L123" s="27">
        <v>201474</v>
      </c>
      <c r="M123" s="27">
        <v>163446</v>
      </c>
      <c r="N123" s="27"/>
      <c r="O123" s="243">
        <v>101</v>
      </c>
      <c r="P123" s="145">
        <v>17</v>
      </c>
      <c r="Q123" s="244">
        <v>101</v>
      </c>
      <c r="R123" s="146">
        <v>111.4</v>
      </c>
      <c r="S123" s="247">
        <v>224</v>
      </c>
      <c r="T123" s="91">
        <v>198.4</v>
      </c>
      <c r="U123" s="149"/>
    </row>
    <row r="124" spans="2:21">
      <c r="B124" s="292"/>
      <c r="C124" s="19">
        <v>0.625</v>
      </c>
      <c r="D124" s="5">
        <v>512313</v>
      </c>
      <c r="E124" s="11">
        <v>568298</v>
      </c>
      <c r="F124" s="10">
        <v>1.6027</v>
      </c>
      <c r="G124" s="10">
        <v>1.1309</v>
      </c>
      <c r="H124" s="144"/>
      <c r="I124" s="9">
        <v>356644</v>
      </c>
      <c r="J124" s="9">
        <v>157522</v>
      </c>
      <c r="K124" s="9"/>
      <c r="L124" s="27">
        <v>201508</v>
      </c>
      <c r="M124" s="27">
        <v>163610</v>
      </c>
      <c r="N124" s="27"/>
      <c r="O124" s="243">
        <v>100</v>
      </c>
      <c r="P124" s="145">
        <v>17</v>
      </c>
      <c r="Q124" s="244">
        <v>100</v>
      </c>
      <c r="R124" s="146">
        <v>110.1</v>
      </c>
      <c r="S124" s="91">
        <v>224.8</v>
      </c>
      <c r="T124" s="91">
        <v>198.7</v>
      </c>
      <c r="U124" s="147"/>
    </row>
    <row r="125" spans="2:21">
      <c r="B125" s="292"/>
      <c r="C125" s="19">
        <v>0.66666666666666696</v>
      </c>
      <c r="D125" s="5">
        <v>512323</v>
      </c>
      <c r="E125" s="11">
        <v>568314</v>
      </c>
      <c r="F125" s="10">
        <v>1.6027</v>
      </c>
      <c r="G125" s="10">
        <v>1.1309</v>
      </c>
      <c r="H125" s="144"/>
      <c r="I125" s="9">
        <v>356957</v>
      </c>
      <c r="J125" s="9">
        <v>157813</v>
      </c>
      <c r="K125" s="9"/>
      <c r="L125" s="27">
        <v>201508</v>
      </c>
      <c r="M125" s="27">
        <v>163610</v>
      </c>
      <c r="N125" s="27"/>
      <c r="O125" s="243">
        <v>101</v>
      </c>
      <c r="P125" s="145">
        <v>17</v>
      </c>
      <c r="Q125" s="244">
        <v>101</v>
      </c>
      <c r="R125" s="146">
        <v>110.5</v>
      </c>
      <c r="S125" s="91">
        <v>225.7</v>
      </c>
      <c r="T125" s="91">
        <v>198.7</v>
      </c>
      <c r="U125" s="147"/>
    </row>
    <row r="126" spans="2:21">
      <c r="B126" s="292"/>
      <c r="C126" s="19">
        <v>0.70833333333333304</v>
      </c>
      <c r="D126" s="5">
        <v>512333</v>
      </c>
      <c r="E126" s="11">
        <v>568330</v>
      </c>
      <c r="F126" s="10">
        <v>1.6028</v>
      </c>
      <c r="G126" s="10">
        <v>1.1309</v>
      </c>
      <c r="H126" s="144"/>
      <c r="I126" s="9">
        <v>357268</v>
      </c>
      <c r="J126" s="9">
        <v>158118</v>
      </c>
      <c r="K126" s="9"/>
      <c r="L126" s="27">
        <v>201508</v>
      </c>
      <c r="M126" s="27">
        <v>163610</v>
      </c>
      <c r="N126" s="27"/>
      <c r="O126" s="145">
        <v>101.1</v>
      </c>
      <c r="P126" s="145">
        <v>17</v>
      </c>
      <c r="Q126" s="146">
        <v>101.2</v>
      </c>
      <c r="R126" s="146">
        <v>112.1</v>
      </c>
      <c r="S126" s="91">
        <v>235.5</v>
      </c>
      <c r="T126" s="91">
        <v>192.3</v>
      </c>
      <c r="U126" s="147"/>
    </row>
    <row r="127" spans="2:21">
      <c r="B127" s="292"/>
      <c r="C127" s="19">
        <v>0.75</v>
      </c>
      <c r="D127" s="5">
        <v>512344</v>
      </c>
      <c r="E127" s="11">
        <v>568347</v>
      </c>
      <c r="F127" s="10">
        <v>1.6028</v>
      </c>
      <c r="G127" s="10">
        <v>1.1309</v>
      </c>
      <c r="H127" s="144"/>
      <c r="I127" s="9">
        <v>357651</v>
      </c>
      <c r="J127" s="9">
        <v>158463</v>
      </c>
      <c r="K127" s="9"/>
      <c r="L127" s="27">
        <v>201508</v>
      </c>
      <c r="M127" s="27">
        <v>163610</v>
      </c>
      <c r="N127" s="27"/>
      <c r="O127" s="145">
        <v>101.6</v>
      </c>
      <c r="P127" s="145">
        <v>17</v>
      </c>
      <c r="Q127" s="146">
        <v>101.6</v>
      </c>
      <c r="R127" s="146">
        <v>112.1</v>
      </c>
      <c r="S127" s="91">
        <v>235.1</v>
      </c>
      <c r="T127" s="91">
        <v>190.6</v>
      </c>
      <c r="U127" s="147"/>
    </row>
    <row r="128" spans="2:21">
      <c r="B128" s="292"/>
      <c r="C128" s="19">
        <v>0.79166666666666696</v>
      </c>
      <c r="D128" s="5">
        <v>512355</v>
      </c>
      <c r="E128" s="11">
        <v>568364</v>
      </c>
      <c r="F128" s="10">
        <v>1.6029</v>
      </c>
      <c r="G128" s="10">
        <v>1.1309</v>
      </c>
      <c r="H128" s="144"/>
      <c r="I128" s="9">
        <v>358014</v>
      </c>
      <c r="J128" s="9">
        <v>158815</v>
      </c>
      <c r="K128" s="9"/>
      <c r="L128" s="27">
        <v>201527</v>
      </c>
      <c r="M128" s="27">
        <v>163652</v>
      </c>
      <c r="N128" s="27"/>
      <c r="O128" s="145">
        <v>101</v>
      </c>
      <c r="P128" s="145">
        <v>17</v>
      </c>
      <c r="Q128" s="244">
        <v>101</v>
      </c>
      <c r="R128" s="146">
        <v>114.2</v>
      </c>
      <c r="S128" s="91">
        <v>229.3</v>
      </c>
      <c r="T128" s="91">
        <v>189.4</v>
      </c>
      <c r="U128" s="147"/>
    </row>
    <row r="129" spans="2:21">
      <c r="B129" s="292"/>
      <c r="C129" s="19">
        <v>0.83333333333333304</v>
      </c>
      <c r="D129" s="5">
        <v>512367</v>
      </c>
      <c r="E129" s="11">
        <v>568382</v>
      </c>
      <c r="F129" s="10">
        <v>1.6029</v>
      </c>
      <c r="G129" s="10">
        <v>1.1309</v>
      </c>
      <c r="H129" s="144"/>
      <c r="I129" s="9">
        <v>358410</v>
      </c>
      <c r="J129" s="9">
        <v>159198</v>
      </c>
      <c r="K129" s="9"/>
      <c r="L129" s="27">
        <v>201533</v>
      </c>
      <c r="M129" s="27">
        <v>163663</v>
      </c>
      <c r="N129" s="27"/>
      <c r="O129" s="145">
        <v>101.8</v>
      </c>
      <c r="P129" s="145">
        <v>17</v>
      </c>
      <c r="Q129" s="146">
        <v>108.1</v>
      </c>
      <c r="R129" s="146">
        <v>110.2</v>
      </c>
      <c r="S129" s="91">
        <v>199.6</v>
      </c>
      <c r="T129" s="91">
        <v>189.5</v>
      </c>
      <c r="U129" s="147"/>
    </row>
    <row r="130" spans="2:21">
      <c r="B130" s="292"/>
      <c r="C130" s="19">
        <v>0.875</v>
      </c>
      <c r="D130" s="5">
        <v>512377</v>
      </c>
      <c r="E130" s="11">
        <v>568395</v>
      </c>
      <c r="F130" s="10">
        <v>1.6029</v>
      </c>
      <c r="G130" s="144">
        <v>1.131</v>
      </c>
      <c r="H130" s="144"/>
      <c r="I130" s="9">
        <v>358713</v>
      </c>
      <c r="J130" s="9">
        <v>159485</v>
      </c>
      <c r="K130" s="9"/>
      <c r="L130" s="27">
        <v>200539</v>
      </c>
      <c r="M130" s="27">
        <v>163686</v>
      </c>
      <c r="N130" s="27"/>
      <c r="O130" s="145">
        <v>101.2</v>
      </c>
      <c r="P130" s="145">
        <v>17</v>
      </c>
      <c r="Q130" s="146">
        <v>101.2</v>
      </c>
      <c r="R130" s="146">
        <v>111.9</v>
      </c>
      <c r="S130" s="91">
        <v>231.6</v>
      </c>
      <c r="T130" s="91">
        <v>198.6</v>
      </c>
      <c r="U130" s="147"/>
    </row>
    <row r="131" spans="2:21">
      <c r="B131" s="292"/>
      <c r="C131" s="19">
        <v>0.91666666666666696</v>
      </c>
      <c r="D131" s="5">
        <v>512387</v>
      </c>
      <c r="E131" s="11">
        <v>568409</v>
      </c>
      <c r="F131" s="10">
        <v>1.6029</v>
      </c>
      <c r="G131" s="144">
        <v>1.131</v>
      </c>
      <c r="H131" s="144"/>
      <c r="I131" s="9">
        <v>359013</v>
      </c>
      <c r="J131" s="9">
        <v>159772</v>
      </c>
      <c r="K131" s="9"/>
      <c r="L131" s="27">
        <v>199545</v>
      </c>
      <c r="M131" s="27">
        <v>163709</v>
      </c>
      <c r="N131" s="27"/>
      <c r="O131" s="145">
        <v>101.2</v>
      </c>
      <c r="P131" s="145">
        <v>17</v>
      </c>
      <c r="Q131" s="146">
        <v>101.2</v>
      </c>
      <c r="R131" s="146">
        <v>111.1</v>
      </c>
      <c r="S131" s="91">
        <v>199.1</v>
      </c>
      <c r="T131" s="91">
        <v>194.1</v>
      </c>
      <c r="U131" s="147"/>
    </row>
    <row r="132" spans="2:21">
      <c r="B132" s="292"/>
      <c r="C132" s="19">
        <v>0.95833333333333304</v>
      </c>
      <c r="D132" s="5">
        <v>512397</v>
      </c>
      <c r="E132" s="11">
        <v>568423</v>
      </c>
      <c r="F132" s="10">
        <v>1.6029</v>
      </c>
      <c r="G132" s="144">
        <v>1.131</v>
      </c>
      <c r="H132" s="144"/>
      <c r="I132" s="9">
        <v>359319</v>
      </c>
      <c r="J132" s="9">
        <v>160059</v>
      </c>
      <c r="K132" s="9"/>
      <c r="L132" s="27">
        <v>201553</v>
      </c>
      <c r="M132" s="27">
        <v>163732</v>
      </c>
      <c r="N132" s="27"/>
      <c r="O132" s="145">
        <v>100.8</v>
      </c>
      <c r="P132" s="145">
        <v>17</v>
      </c>
      <c r="Q132" s="146">
        <v>100.8</v>
      </c>
      <c r="R132" s="146">
        <v>106.1</v>
      </c>
      <c r="S132" s="91">
        <v>197.8</v>
      </c>
      <c r="T132" s="91">
        <v>183.1</v>
      </c>
      <c r="U132" s="147"/>
    </row>
    <row r="133" spans="2:21">
      <c r="B133" s="292"/>
      <c r="C133" s="19">
        <v>1</v>
      </c>
      <c r="D133" s="5">
        <v>512406</v>
      </c>
      <c r="E133" s="11">
        <v>568439</v>
      </c>
      <c r="F133" s="10">
        <v>1.6029</v>
      </c>
      <c r="G133" s="10">
        <v>1.1311</v>
      </c>
      <c r="H133" s="144"/>
      <c r="I133" s="9">
        <v>359611</v>
      </c>
      <c r="J133" s="9">
        <v>160300</v>
      </c>
      <c r="K133" s="9"/>
      <c r="L133" s="27">
        <v>201560</v>
      </c>
      <c r="M133" s="27">
        <v>163753</v>
      </c>
      <c r="N133" s="27"/>
      <c r="O133" s="145">
        <v>101.2</v>
      </c>
      <c r="P133" s="145">
        <v>17</v>
      </c>
      <c r="Q133" s="146">
        <v>101.2</v>
      </c>
      <c r="R133" s="146">
        <v>111.1</v>
      </c>
      <c r="S133" s="91">
        <v>199.1</v>
      </c>
      <c r="T133" s="91">
        <v>194.1</v>
      </c>
      <c r="U133" s="147"/>
    </row>
    <row r="134" spans="2:21">
      <c r="B134" s="292"/>
      <c r="C134" s="19">
        <v>1.0416666666666701</v>
      </c>
      <c r="D134" s="5">
        <v>512415</v>
      </c>
      <c r="E134" s="11">
        <v>568455</v>
      </c>
      <c r="F134" s="10">
        <v>1.6029</v>
      </c>
      <c r="G134" s="10">
        <v>1.1311</v>
      </c>
      <c r="H134" s="144"/>
      <c r="I134" s="9">
        <v>359853</v>
      </c>
      <c r="J134" s="9">
        <v>160593</v>
      </c>
      <c r="K134" s="9"/>
      <c r="L134" s="27">
        <v>201567</v>
      </c>
      <c r="M134" s="27">
        <v>163774</v>
      </c>
      <c r="N134" s="27"/>
      <c r="O134" s="243">
        <v>101</v>
      </c>
      <c r="P134" s="145">
        <v>17</v>
      </c>
      <c r="Q134" s="244">
        <v>101</v>
      </c>
      <c r="R134" s="146">
        <v>113.5</v>
      </c>
      <c r="S134" s="91">
        <v>231.1</v>
      </c>
      <c r="T134" s="91">
        <v>200.2</v>
      </c>
      <c r="U134" s="147"/>
    </row>
    <row r="135" spans="2:21">
      <c r="B135" s="292"/>
      <c r="C135" s="19">
        <v>1.0833333333333299</v>
      </c>
      <c r="D135" s="5">
        <v>512425</v>
      </c>
      <c r="E135" s="11">
        <v>568471</v>
      </c>
      <c r="F135" s="10">
        <v>1.6029</v>
      </c>
      <c r="G135" s="10">
        <v>1.1311</v>
      </c>
      <c r="H135" s="144"/>
      <c r="I135" s="9">
        <v>360160</v>
      </c>
      <c r="J135" s="9">
        <v>160860</v>
      </c>
      <c r="K135" s="9"/>
      <c r="L135" s="27">
        <v>201574</v>
      </c>
      <c r="M135" s="27">
        <v>163795</v>
      </c>
      <c r="N135" s="27"/>
      <c r="O135" s="145">
        <v>101.1</v>
      </c>
      <c r="P135" s="145">
        <v>17</v>
      </c>
      <c r="Q135" s="146">
        <v>101.1</v>
      </c>
      <c r="R135" s="146">
        <v>109.4</v>
      </c>
      <c r="S135" s="91">
        <v>226.1</v>
      </c>
      <c r="T135" s="91">
        <v>197.8</v>
      </c>
      <c r="U135" s="147"/>
    </row>
    <row r="136" spans="2:21">
      <c r="B136" s="292"/>
      <c r="C136" s="19">
        <v>1.125</v>
      </c>
      <c r="D136" s="5">
        <v>512435</v>
      </c>
      <c r="E136" s="11">
        <v>568488</v>
      </c>
      <c r="F136" s="10">
        <v>1.6029</v>
      </c>
      <c r="G136" s="10">
        <v>1.1311</v>
      </c>
      <c r="H136" s="144"/>
      <c r="I136" s="9">
        <v>360447</v>
      </c>
      <c r="J136" s="9">
        <v>161129</v>
      </c>
      <c r="K136" s="9"/>
      <c r="L136" s="27">
        <v>201581</v>
      </c>
      <c r="M136" s="27">
        <v>163817</v>
      </c>
      <c r="N136" s="27"/>
      <c r="O136" s="145">
        <v>100.2</v>
      </c>
      <c r="P136" s="145">
        <v>17</v>
      </c>
      <c r="Q136" s="146">
        <v>100.2</v>
      </c>
      <c r="R136" s="146">
        <v>108.7</v>
      </c>
      <c r="S136" s="91">
        <v>198.4</v>
      </c>
      <c r="T136" s="91">
        <v>187.6</v>
      </c>
      <c r="U136" s="147"/>
    </row>
    <row r="137" spans="2:21">
      <c r="B137" s="292"/>
      <c r="C137" s="19">
        <v>1.1666666666666701</v>
      </c>
      <c r="D137" s="5">
        <v>512443</v>
      </c>
      <c r="E137" s="11">
        <v>568505</v>
      </c>
      <c r="F137" s="10">
        <v>1.6029</v>
      </c>
      <c r="G137" s="10">
        <v>1.1312</v>
      </c>
      <c r="H137" s="144"/>
      <c r="I137" s="9">
        <v>360694</v>
      </c>
      <c r="J137" s="9">
        <v>161365</v>
      </c>
      <c r="K137" s="9"/>
      <c r="L137" s="27">
        <v>201587</v>
      </c>
      <c r="M137" s="27">
        <v>163828</v>
      </c>
      <c r="N137" s="27"/>
      <c r="O137" s="145">
        <v>101.4</v>
      </c>
      <c r="P137" s="145">
        <v>17</v>
      </c>
      <c r="Q137" s="146">
        <v>101.4</v>
      </c>
      <c r="R137" s="146">
        <v>109.6</v>
      </c>
      <c r="S137" s="91">
        <v>226.1</v>
      </c>
      <c r="T137" s="91">
        <v>197.8</v>
      </c>
      <c r="U137" s="147"/>
    </row>
    <row r="138" spans="2:21">
      <c r="B138" s="292"/>
      <c r="C138" s="19">
        <v>1.2083333333333299</v>
      </c>
      <c r="D138" s="5">
        <v>512451</v>
      </c>
      <c r="E138" s="11">
        <v>568522</v>
      </c>
      <c r="F138" s="10">
        <v>1.6029</v>
      </c>
      <c r="G138" s="10">
        <v>1.1312</v>
      </c>
      <c r="H138" s="144"/>
      <c r="I138" s="9">
        <v>360941</v>
      </c>
      <c r="J138" s="9">
        <v>161600</v>
      </c>
      <c r="K138" s="9"/>
      <c r="L138" s="27">
        <v>201593</v>
      </c>
      <c r="M138" s="27">
        <v>163839</v>
      </c>
      <c r="N138" s="27"/>
      <c r="O138" s="145">
        <v>101.2</v>
      </c>
      <c r="P138" s="145">
        <v>17</v>
      </c>
      <c r="Q138" s="146">
        <v>101.2</v>
      </c>
      <c r="R138" s="146">
        <v>112.2</v>
      </c>
      <c r="S138" s="91">
        <v>233.1</v>
      </c>
      <c r="T138" s="91">
        <v>159.5</v>
      </c>
      <c r="U138" s="147"/>
    </row>
    <row r="139" spans="2:21">
      <c r="B139" s="292"/>
      <c r="C139" s="19">
        <v>1.25</v>
      </c>
      <c r="D139" s="5">
        <v>512460</v>
      </c>
      <c r="E139" s="11">
        <v>568539</v>
      </c>
      <c r="F139" s="10">
        <v>1.6029</v>
      </c>
      <c r="G139" s="10">
        <v>1.1312</v>
      </c>
      <c r="H139" s="144"/>
      <c r="I139" s="9">
        <v>361188</v>
      </c>
      <c r="J139" s="9">
        <v>161840</v>
      </c>
      <c r="K139" s="9"/>
      <c r="L139" s="27">
        <v>201599</v>
      </c>
      <c r="M139" s="27">
        <v>163850</v>
      </c>
      <c r="N139" s="27"/>
      <c r="O139" s="145">
        <v>101.1</v>
      </c>
      <c r="P139" s="145">
        <v>17</v>
      </c>
      <c r="Q139" s="146">
        <v>101.1</v>
      </c>
      <c r="R139" s="146">
        <v>111.5</v>
      </c>
      <c r="S139" s="91">
        <v>200.4</v>
      </c>
      <c r="T139" s="91">
        <v>190.4</v>
      </c>
      <c r="U139" s="147"/>
    </row>
    <row r="140" spans="2:21">
      <c r="B140" s="292"/>
      <c r="C140" s="19">
        <v>1.2916666666666701</v>
      </c>
      <c r="D140" s="5">
        <v>512469</v>
      </c>
      <c r="E140" s="11">
        <v>568559</v>
      </c>
      <c r="F140" s="10">
        <v>1.6029</v>
      </c>
      <c r="G140" s="10">
        <v>1.1313</v>
      </c>
      <c r="H140" s="144"/>
      <c r="I140" s="9">
        <v>361438</v>
      </c>
      <c r="J140" s="9">
        <v>162074</v>
      </c>
      <c r="K140" s="9"/>
      <c r="L140" s="27">
        <v>201606</v>
      </c>
      <c r="M140" s="27">
        <v>163864</v>
      </c>
      <c r="N140" s="27"/>
      <c r="O140" s="145">
        <v>101.2</v>
      </c>
      <c r="P140" s="145">
        <v>17</v>
      </c>
      <c r="Q140" s="146">
        <v>101.2</v>
      </c>
      <c r="R140" s="146">
        <v>111.5</v>
      </c>
      <c r="S140" s="91">
        <v>200.7</v>
      </c>
      <c r="T140" s="91">
        <v>182.9</v>
      </c>
      <c r="U140" s="147"/>
    </row>
    <row r="141" spans="2:21">
      <c r="B141" s="293"/>
      <c r="C141" s="6"/>
      <c r="D141" s="13" cm="1">
        <f t="array" ref="D141">IFERROR(LOOKUP(2,1/(D116:D140&gt;0),D116:D140-D116),0)</f>
        <v>244</v>
      </c>
      <c r="E141" s="13" cm="1">
        <f t="array" ref="E141">IFERROR(LOOKUP(2,1/(E116:E140&gt;0),E116:E140-E116),0)</f>
        <v>400</v>
      </c>
      <c r="F141" s="13" cm="1">
        <f t="array" ref="F141">IFERROR(LOOKUP(2,1/(F116:F140&gt;0),F116:F140-F116),0)</f>
        <v>6.9999999999992291E-4</v>
      </c>
      <c r="G141" s="13" cm="1">
        <f t="array" ref="G141">IFERROR(LOOKUP(2,1/(G116:G140&gt;0),G116:G140-G116),0)</f>
        <v>3.9999999999995595E-4</v>
      </c>
      <c r="H141" s="13">
        <f>F141+G141</f>
        <v>1.0999999999998789E-3</v>
      </c>
      <c r="I141" s="13" cm="1">
        <f t="array" ref="I141">IFERROR(LOOKUP(2,1/(I116:I140&gt;0),I116:I140-I116),0)</f>
        <v>7581</v>
      </c>
      <c r="J141" s="13" cm="1">
        <f t="array" ref="J141">IFERROR(LOOKUP(2,1/(J116:J140&gt;0),J116:J140-J116),0)</f>
        <v>7217</v>
      </c>
      <c r="K141" s="13">
        <f>I141+J141</f>
        <v>14798</v>
      </c>
      <c r="L141" s="13" cm="1">
        <f t="array" ref="L141">IFERROR(LOOKUP(2,1/(L116:L140&gt;0),L116:L140-L116),0)</f>
        <v>151</v>
      </c>
      <c r="M141" s="13" cm="1">
        <f t="array" ref="M141">IFERROR(LOOKUP(2,1/(M116:M140&gt;0),M116:M140-M116),0)</f>
        <v>445</v>
      </c>
      <c r="N141" s="13">
        <f>L141+M141</f>
        <v>596</v>
      </c>
      <c r="O141" s="148">
        <f t="shared" ref="O141:T141" si="4">IFERROR(AVERAGE(O116:O140),0)</f>
        <v>100.96799999999998</v>
      </c>
      <c r="P141" s="148">
        <f t="shared" si="4"/>
        <v>17</v>
      </c>
      <c r="Q141" s="148">
        <f t="shared" si="4"/>
        <v>101.22399999999998</v>
      </c>
      <c r="R141" s="148">
        <f t="shared" si="4"/>
        <v>111.19599999999998</v>
      </c>
      <c r="S141" s="148">
        <f t="shared" si="4"/>
        <v>219.93200000000002</v>
      </c>
      <c r="T141" s="148">
        <f t="shared" si="4"/>
        <v>192.11199999999997</v>
      </c>
      <c r="U141" s="148">
        <f>COUNT(U116:U140)</f>
        <v>0</v>
      </c>
    </row>
    <row r="142" spans="2:21">
      <c r="B142" s="291">
        <f>'DATA B1'!B142</f>
        <v>46028</v>
      </c>
      <c r="C142" s="19">
        <v>0.29166666666666669</v>
      </c>
      <c r="D142" s="5">
        <v>512469</v>
      </c>
      <c r="E142" s="11">
        <v>568559</v>
      </c>
      <c r="F142" s="10">
        <v>1.6029</v>
      </c>
      <c r="G142" s="10">
        <v>1.1313</v>
      </c>
      <c r="H142" s="144"/>
      <c r="I142" s="9">
        <v>361438</v>
      </c>
      <c r="J142" s="9">
        <v>162074</v>
      </c>
      <c r="K142" s="9"/>
      <c r="L142" s="27">
        <v>201606</v>
      </c>
      <c r="M142" s="27">
        <v>163864</v>
      </c>
      <c r="N142" s="27"/>
      <c r="O142" s="145">
        <v>101.2</v>
      </c>
      <c r="P142" s="145">
        <v>17</v>
      </c>
      <c r="Q142" s="146">
        <v>101.2</v>
      </c>
      <c r="R142" s="146">
        <v>111.5</v>
      </c>
      <c r="S142" s="91">
        <v>200.7</v>
      </c>
      <c r="T142" s="91">
        <v>182.9</v>
      </c>
      <c r="U142" s="147"/>
    </row>
    <row r="143" spans="2:21">
      <c r="B143" s="292"/>
      <c r="C143" s="19">
        <v>0.33333333333333298</v>
      </c>
      <c r="D143" s="5">
        <v>512480</v>
      </c>
      <c r="E143" s="11">
        <v>568580</v>
      </c>
      <c r="F143" s="144">
        <v>1.603</v>
      </c>
      <c r="G143" s="10">
        <v>1.1313</v>
      </c>
      <c r="H143" s="144"/>
      <c r="I143" s="9">
        <v>361816</v>
      </c>
      <c r="J143" s="9">
        <v>162421</v>
      </c>
      <c r="K143" s="9"/>
      <c r="L143" s="27">
        <v>201614</v>
      </c>
      <c r="M143" s="27">
        <v>163898</v>
      </c>
      <c r="N143" s="27"/>
      <c r="O143" s="145">
        <v>101.6</v>
      </c>
      <c r="P143" s="145">
        <v>17</v>
      </c>
      <c r="Q143" s="146">
        <v>101.6</v>
      </c>
      <c r="R143" s="146">
        <v>109.2</v>
      </c>
      <c r="S143" s="91">
        <v>217.3</v>
      </c>
      <c r="T143" s="91">
        <v>181.7</v>
      </c>
      <c r="U143" s="147"/>
    </row>
    <row r="144" spans="2:21">
      <c r="B144" s="292"/>
      <c r="C144" s="19">
        <v>0.375</v>
      </c>
      <c r="D144" s="5">
        <v>512487</v>
      </c>
      <c r="E144" s="11">
        <v>568597</v>
      </c>
      <c r="F144" s="144">
        <v>1.603</v>
      </c>
      <c r="G144" s="10">
        <v>1.1313</v>
      </c>
      <c r="H144" s="144"/>
      <c r="I144" s="9">
        <v>362032</v>
      </c>
      <c r="J144" s="9">
        <v>162630</v>
      </c>
      <c r="K144" s="9"/>
      <c r="L144" s="27">
        <v>201619</v>
      </c>
      <c r="M144" s="27">
        <v>163910</v>
      </c>
      <c r="N144" s="27"/>
      <c r="O144" s="145">
        <v>100.9</v>
      </c>
      <c r="P144" s="145">
        <v>17</v>
      </c>
      <c r="Q144" s="146">
        <v>100.9</v>
      </c>
      <c r="R144" s="146">
        <v>112.7</v>
      </c>
      <c r="S144" s="91">
        <v>224.6</v>
      </c>
      <c r="T144" s="91">
        <v>187.1</v>
      </c>
      <c r="U144" s="147"/>
    </row>
    <row r="145" spans="2:21">
      <c r="B145" s="292"/>
      <c r="C145" s="19">
        <v>0.41666666666666702</v>
      </c>
      <c r="D145" s="5">
        <v>512494</v>
      </c>
      <c r="E145" s="11">
        <v>568614</v>
      </c>
      <c r="F145" s="144">
        <v>1.603</v>
      </c>
      <c r="G145" s="10">
        <v>1.1313</v>
      </c>
      <c r="H145" s="144"/>
      <c r="I145" s="9">
        <v>362296</v>
      </c>
      <c r="J145" s="9">
        <v>162775</v>
      </c>
      <c r="K145" s="9"/>
      <c r="L145" s="27">
        <v>201624</v>
      </c>
      <c r="M145" s="27">
        <v>163922</v>
      </c>
      <c r="N145" s="27"/>
      <c r="O145" s="145">
        <v>100.8</v>
      </c>
      <c r="P145" s="145">
        <v>17</v>
      </c>
      <c r="Q145" s="146">
        <v>100.8</v>
      </c>
      <c r="R145" s="146">
        <v>110.1</v>
      </c>
      <c r="S145" s="91">
        <v>227.5</v>
      </c>
      <c r="T145" s="91">
        <v>186.9</v>
      </c>
      <c r="U145" s="147"/>
    </row>
    <row r="146" spans="2:21">
      <c r="B146" s="292"/>
      <c r="C146" s="19">
        <v>0.45833333333333298</v>
      </c>
      <c r="D146" s="5">
        <v>512502</v>
      </c>
      <c r="E146" s="11">
        <v>568631</v>
      </c>
      <c r="F146" s="10">
        <v>1.6031</v>
      </c>
      <c r="G146" s="10">
        <v>1.1313</v>
      </c>
      <c r="H146" s="144"/>
      <c r="I146" s="9">
        <v>362465</v>
      </c>
      <c r="J146" s="9">
        <v>163050</v>
      </c>
      <c r="K146" s="9"/>
      <c r="L146" s="27">
        <v>201630</v>
      </c>
      <c r="M146" s="27">
        <v>163936</v>
      </c>
      <c r="N146" s="27"/>
      <c r="O146" s="145">
        <v>100.9</v>
      </c>
      <c r="P146" s="145">
        <v>17</v>
      </c>
      <c r="Q146" s="146">
        <v>100.9</v>
      </c>
      <c r="R146" s="146">
        <v>110</v>
      </c>
      <c r="S146" s="91">
        <v>215.4</v>
      </c>
      <c r="T146" s="91">
        <v>197.5</v>
      </c>
      <c r="U146" s="147"/>
    </row>
    <row r="147" spans="2:21">
      <c r="B147" s="292"/>
      <c r="C147" s="19">
        <v>0.5</v>
      </c>
      <c r="D147" s="5">
        <v>512510</v>
      </c>
      <c r="E147" s="11">
        <v>568650</v>
      </c>
      <c r="F147" s="10">
        <v>1.6031</v>
      </c>
      <c r="G147" s="10">
        <v>1.1313</v>
      </c>
      <c r="H147" s="144"/>
      <c r="I147" s="9">
        <v>362746</v>
      </c>
      <c r="J147" s="9">
        <v>163227</v>
      </c>
      <c r="K147" s="9"/>
      <c r="L147" s="27">
        <v>201630</v>
      </c>
      <c r="M147" s="27">
        <v>163936</v>
      </c>
      <c r="N147" s="27"/>
      <c r="O147" s="145">
        <v>101.2</v>
      </c>
      <c r="P147" s="145">
        <v>17</v>
      </c>
      <c r="Q147" s="146">
        <v>101.2</v>
      </c>
      <c r="R147" s="146">
        <v>111.1</v>
      </c>
      <c r="S147" s="91">
        <v>229.7</v>
      </c>
      <c r="T147" s="91">
        <v>191.2</v>
      </c>
      <c r="U147" s="147"/>
    </row>
    <row r="148" spans="2:21">
      <c r="B148" s="292"/>
      <c r="C148" s="19">
        <v>0.54166666666666696</v>
      </c>
      <c r="D148" s="5">
        <v>512518</v>
      </c>
      <c r="E148" s="11">
        <v>568669</v>
      </c>
      <c r="F148" s="10">
        <v>1.6032</v>
      </c>
      <c r="G148" s="10">
        <v>1.1313</v>
      </c>
      <c r="H148" s="144"/>
      <c r="I148" s="9">
        <v>363004</v>
      </c>
      <c r="J148" s="9">
        <v>163432</v>
      </c>
      <c r="K148" s="9"/>
      <c r="L148" s="27">
        <v>201630</v>
      </c>
      <c r="M148" s="27">
        <v>163936</v>
      </c>
      <c r="N148" s="27"/>
      <c r="O148" s="145">
        <v>100.4</v>
      </c>
      <c r="P148" s="145">
        <v>17</v>
      </c>
      <c r="Q148" s="146">
        <v>100.4</v>
      </c>
      <c r="R148" s="146">
        <v>111.2</v>
      </c>
      <c r="S148" s="91">
        <v>223.5</v>
      </c>
      <c r="T148" s="91">
        <v>189.6</v>
      </c>
      <c r="U148" s="147"/>
    </row>
    <row r="149" spans="2:21">
      <c r="B149" s="292"/>
      <c r="C149" s="19">
        <v>0.58333333333333304</v>
      </c>
      <c r="D149" s="5">
        <v>512527</v>
      </c>
      <c r="E149" s="11">
        <v>568689</v>
      </c>
      <c r="F149" s="10">
        <v>1.6032</v>
      </c>
      <c r="G149" s="10">
        <v>1.1313</v>
      </c>
      <c r="H149" s="144"/>
      <c r="I149" s="9">
        <v>363274</v>
      </c>
      <c r="J149" s="9">
        <v>163753</v>
      </c>
      <c r="K149" s="9"/>
      <c r="L149" s="27">
        <v>201630</v>
      </c>
      <c r="M149" s="27">
        <v>163936</v>
      </c>
      <c r="N149" s="27"/>
      <c r="O149" s="145">
        <v>101.3</v>
      </c>
      <c r="P149" s="145">
        <v>17</v>
      </c>
      <c r="Q149" s="146">
        <v>101.3</v>
      </c>
      <c r="R149" s="146">
        <v>110.2</v>
      </c>
      <c r="S149" s="91">
        <v>226.9</v>
      </c>
      <c r="T149" s="91">
        <v>186.4</v>
      </c>
      <c r="U149" s="149"/>
    </row>
    <row r="150" spans="2:21">
      <c r="B150" s="292"/>
      <c r="C150" s="19">
        <v>0.625</v>
      </c>
      <c r="D150" s="5">
        <v>512536</v>
      </c>
      <c r="E150" s="11">
        <v>568709</v>
      </c>
      <c r="F150" s="10">
        <v>1.6032999999999999</v>
      </c>
      <c r="G150" s="10">
        <v>1.1313</v>
      </c>
      <c r="H150" s="144"/>
      <c r="I150" s="9">
        <v>363550</v>
      </c>
      <c r="J150" s="9">
        <v>164074</v>
      </c>
      <c r="K150" s="9"/>
      <c r="L150" s="27">
        <v>201649</v>
      </c>
      <c r="M150" s="27">
        <v>163959</v>
      </c>
      <c r="N150" s="27"/>
      <c r="O150" s="243">
        <v>100</v>
      </c>
      <c r="P150" s="145">
        <v>17</v>
      </c>
      <c r="Q150" s="246">
        <v>100</v>
      </c>
      <c r="R150" s="146">
        <v>109.4</v>
      </c>
      <c r="S150" s="91">
        <v>224.1</v>
      </c>
      <c r="T150" s="91">
        <v>185.6</v>
      </c>
      <c r="U150" s="147"/>
    </row>
    <row r="151" spans="2:21">
      <c r="B151" s="292"/>
      <c r="C151" s="19">
        <v>0.66666666666666696</v>
      </c>
      <c r="D151" s="5">
        <v>512544</v>
      </c>
      <c r="E151" s="11">
        <v>568728</v>
      </c>
      <c r="F151" s="10">
        <v>1.6032999999999999</v>
      </c>
      <c r="G151" s="10">
        <v>1.1313</v>
      </c>
      <c r="H151" s="144"/>
      <c r="I151" s="9">
        <v>363789</v>
      </c>
      <c r="J151" s="9">
        <v>164300</v>
      </c>
      <c r="K151" s="9"/>
      <c r="L151" s="27">
        <v>201656</v>
      </c>
      <c r="M151" s="27">
        <v>163987</v>
      </c>
      <c r="N151" s="27"/>
      <c r="O151" s="145">
        <v>100.4</v>
      </c>
      <c r="P151" s="145">
        <v>17</v>
      </c>
      <c r="Q151" s="146">
        <v>100.4</v>
      </c>
      <c r="R151" s="146">
        <v>111.2</v>
      </c>
      <c r="S151" s="91">
        <v>223.5</v>
      </c>
      <c r="T151" s="91">
        <v>189.6</v>
      </c>
      <c r="U151" s="147"/>
    </row>
    <row r="152" spans="2:21">
      <c r="B152" s="292"/>
      <c r="C152" s="19">
        <v>0.70833333333333304</v>
      </c>
      <c r="D152" s="5">
        <v>512552</v>
      </c>
      <c r="E152" s="11">
        <v>568747</v>
      </c>
      <c r="F152" s="10">
        <v>1.6032999999999999</v>
      </c>
      <c r="G152" s="10">
        <v>1.1313</v>
      </c>
      <c r="H152" s="144"/>
      <c r="I152" s="9">
        <v>363969</v>
      </c>
      <c r="J152" s="9">
        <v>164575</v>
      </c>
      <c r="K152" s="9"/>
      <c r="L152" s="27">
        <v>201661</v>
      </c>
      <c r="M152" s="27">
        <v>164008</v>
      </c>
      <c r="N152" s="27"/>
      <c r="O152" s="145">
        <v>101.3</v>
      </c>
      <c r="P152" s="145">
        <v>17</v>
      </c>
      <c r="Q152" s="146">
        <v>101.3</v>
      </c>
      <c r="R152" s="146">
        <v>110.2</v>
      </c>
      <c r="S152" s="91">
        <v>226.9</v>
      </c>
      <c r="T152" s="91">
        <v>186.4</v>
      </c>
      <c r="U152" s="147"/>
    </row>
    <row r="153" spans="2:21">
      <c r="B153" s="292"/>
      <c r="C153" s="19">
        <v>0.75</v>
      </c>
      <c r="D153" s="5">
        <v>512560</v>
      </c>
      <c r="E153" s="11">
        <v>568766</v>
      </c>
      <c r="F153" s="10">
        <v>1.6032999999999999</v>
      </c>
      <c r="G153" s="10">
        <v>1.1313</v>
      </c>
      <c r="H153" s="144"/>
      <c r="I153" s="9">
        <v>364104</v>
      </c>
      <c r="J153" s="9">
        <v>164900</v>
      </c>
      <c r="K153" s="9"/>
      <c r="L153" s="27">
        <v>201666</v>
      </c>
      <c r="M153" s="27">
        <v>164023</v>
      </c>
      <c r="N153" s="27"/>
      <c r="O153" s="145">
        <v>101.3</v>
      </c>
      <c r="P153" s="145">
        <v>17</v>
      </c>
      <c r="Q153" s="146">
        <v>101.3</v>
      </c>
      <c r="R153" s="146">
        <v>113.8</v>
      </c>
      <c r="S153" s="91">
        <v>232</v>
      </c>
      <c r="T153" s="91">
        <v>200</v>
      </c>
      <c r="U153" s="147"/>
    </row>
    <row r="154" spans="2:21">
      <c r="B154" s="292"/>
      <c r="C154" s="19">
        <v>0.79166666666666696</v>
      </c>
      <c r="D154" s="5">
        <v>512569</v>
      </c>
      <c r="E154" s="11">
        <v>568787</v>
      </c>
      <c r="F154" s="10">
        <v>1.6033999999999999</v>
      </c>
      <c r="G154" s="10">
        <v>1.1313</v>
      </c>
      <c r="H154" s="144"/>
      <c r="I154" s="9">
        <v>364509</v>
      </c>
      <c r="J154" s="9">
        <v>164992</v>
      </c>
      <c r="K154" s="9"/>
      <c r="L154" s="27">
        <v>201678</v>
      </c>
      <c r="M154" s="27">
        <v>164071</v>
      </c>
      <c r="N154" s="27"/>
      <c r="O154" s="243">
        <v>101</v>
      </c>
      <c r="P154" s="145">
        <v>17</v>
      </c>
      <c r="Q154" s="244">
        <v>101</v>
      </c>
      <c r="R154" s="146">
        <v>112.9</v>
      </c>
      <c r="S154" s="91">
        <v>222.3</v>
      </c>
      <c r="T154" s="91">
        <v>200.1</v>
      </c>
      <c r="U154" s="147"/>
    </row>
    <row r="155" spans="2:21">
      <c r="B155" s="292"/>
      <c r="C155" s="19">
        <v>0.83333333333333304</v>
      </c>
      <c r="D155" s="5">
        <v>512581</v>
      </c>
      <c r="E155" s="11">
        <v>568815</v>
      </c>
      <c r="F155" s="10">
        <v>1.6034999999999999</v>
      </c>
      <c r="G155" s="10">
        <v>1.1313</v>
      </c>
      <c r="H155" s="144"/>
      <c r="I155" s="9">
        <v>364858</v>
      </c>
      <c r="J155" s="9">
        <v>165325</v>
      </c>
      <c r="K155" s="9"/>
      <c r="L155" s="27">
        <v>201687</v>
      </c>
      <c r="M155" s="27">
        <v>164099</v>
      </c>
      <c r="N155" s="27"/>
      <c r="O155" s="145">
        <v>100.7</v>
      </c>
      <c r="P155" s="145">
        <v>17</v>
      </c>
      <c r="Q155" s="146">
        <v>100.7</v>
      </c>
      <c r="R155" s="146">
        <v>111.7</v>
      </c>
      <c r="S155" s="91">
        <v>201.8</v>
      </c>
      <c r="T155" s="91">
        <v>187.4</v>
      </c>
      <c r="U155" s="147"/>
    </row>
    <row r="156" spans="2:21">
      <c r="B156" s="292"/>
      <c r="C156" s="19">
        <v>0.875</v>
      </c>
      <c r="D156" s="5">
        <v>512589</v>
      </c>
      <c r="E156" s="11">
        <v>568829</v>
      </c>
      <c r="F156" s="10">
        <v>1.6034999999999999</v>
      </c>
      <c r="G156" s="10">
        <v>1.1314</v>
      </c>
      <c r="H156" s="144"/>
      <c r="I156" s="9">
        <v>365108</v>
      </c>
      <c r="J156" s="9">
        <v>165551</v>
      </c>
      <c r="K156" s="9"/>
      <c r="L156" s="27">
        <v>201691</v>
      </c>
      <c r="M156" s="27">
        <v>164107</v>
      </c>
      <c r="N156" s="27"/>
      <c r="O156" s="145">
        <v>101.1</v>
      </c>
      <c r="P156" s="145">
        <v>17</v>
      </c>
      <c r="Q156" s="146">
        <v>101.1</v>
      </c>
      <c r="R156" s="146">
        <v>109.4</v>
      </c>
      <c r="S156" s="91">
        <v>226.1</v>
      </c>
      <c r="T156" s="91">
        <v>197.8</v>
      </c>
      <c r="U156" s="147"/>
    </row>
    <row r="157" spans="2:21">
      <c r="B157" s="292"/>
      <c r="C157" s="19">
        <v>0.91666666666666696</v>
      </c>
      <c r="D157" s="5">
        <v>512598</v>
      </c>
      <c r="E157" s="11">
        <v>568843</v>
      </c>
      <c r="F157" s="10">
        <v>1.6034999999999999</v>
      </c>
      <c r="G157" s="10">
        <v>1.1314</v>
      </c>
      <c r="H157" s="144"/>
      <c r="I157" s="9">
        <v>365418</v>
      </c>
      <c r="J157" s="9">
        <v>165827</v>
      </c>
      <c r="K157" s="9"/>
      <c r="L157" s="27">
        <v>201695</v>
      </c>
      <c r="M157" s="27">
        <v>164115</v>
      </c>
      <c r="N157" s="27"/>
      <c r="O157" s="145">
        <v>100.2</v>
      </c>
      <c r="P157" s="145">
        <v>17</v>
      </c>
      <c r="Q157" s="146">
        <v>100.2</v>
      </c>
      <c r="R157" s="146">
        <v>108.7</v>
      </c>
      <c r="S157" s="91">
        <v>198.4</v>
      </c>
      <c r="T157" s="91">
        <v>187.6</v>
      </c>
      <c r="U157" s="147"/>
    </row>
    <row r="158" spans="2:21">
      <c r="B158" s="292"/>
      <c r="C158" s="19">
        <v>0.95833333333333304</v>
      </c>
      <c r="D158" s="5">
        <v>512607</v>
      </c>
      <c r="E158" s="11">
        <v>568858</v>
      </c>
      <c r="F158" s="10">
        <v>1.6034999999999999</v>
      </c>
      <c r="G158" s="10">
        <v>1.1314</v>
      </c>
      <c r="H158" s="144"/>
      <c r="I158" s="9">
        <v>365699</v>
      </c>
      <c r="J158" s="9">
        <v>166124</v>
      </c>
      <c r="K158" s="9"/>
      <c r="L158" s="27">
        <v>201701</v>
      </c>
      <c r="M158" s="27">
        <v>164123</v>
      </c>
      <c r="N158" s="27"/>
      <c r="O158" s="145">
        <v>100.7</v>
      </c>
      <c r="P158" s="145">
        <v>17</v>
      </c>
      <c r="Q158" s="146">
        <v>100.7</v>
      </c>
      <c r="R158" s="146">
        <v>109.1</v>
      </c>
      <c r="S158" s="91">
        <v>200.6</v>
      </c>
      <c r="T158" s="91">
        <v>198.7</v>
      </c>
      <c r="U158" s="147"/>
    </row>
    <row r="159" spans="2:21">
      <c r="B159" s="292"/>
      <c r="C159" s="19">
        <v>1</v>
      </c>
      <c r="D159" s="5">
        <v>512615</v>
      </c>
      <c r="E159" s="11">
        <v>568876</v>
      </c>
      <c r="F159" s="10">
        <v>1.6034999999999999</v>
      </c>
      <c r="G159" s="10">
        <v>1.1315</v>
      </c>
      <c r="H159" s="144"/>
      <c r="I159" s="9">
        <v>365910</v>
      </c>
      <c r="J159" s="9">
        <v>166401</v>
      </c>
      <c r="K159" s="9"/>
      <c r="L159" s="27">
        <v>201706</v>
      </c>
      <c r="M159" s="27">
        <v>164131</v>
      </c>
      <c r="N159" s="27"/>
      <c r="O159" s="145">
        <v>100.6</v>
      </c>
      <c r="P159" s="145">
        <v>17</v>
      </c>
      <c r="Q159" s="146">
        <v>100.6</v>
      </c>
      <c r="R159" s="146">
        <v>111.4</v>
      </c>
      <c r="S159" s="91">
        <v>200.6</v>
      </c>
      <c r="T159" s="91">
        <v>189.9</v>
      </c>
      <c r="U159" s="147"/>
    </row>
    <row r="160" spans="2:21">
      <c r="B160" s="292"/>
      <c r="C160" s="19">
        <v>1.0416666666666701</v>
      </c>
      <c r="D160" s="5">
        <v>512623</v>
      </c>
      <c r="E160" s="11">
        <v>568894</v>
      </c>
      <c r="F160" s="10">
        <v>1.6034999999999999</v>
      </c>
      <c r="G160" s="10">
        <v>1.1315</v>
      </c>
      <c r="H160" s="144"/>
      <c r="I160" s="9">
        <v>366121</v>
      </c>
      <c r="J160" s="9">
        <v>166675</v>
      </c>
      <c r="K160" s="9"/>
      <c r="L160" s="27">
        <v>201711</v>
      </c>
      <c r="M160" s="27">
        <v>164139</v>
      </c>
      <c r="N160" s="27"/>
      <c r="O160" s="145">
        <v>101.1</v>
      </c>
      <c r="P160" s="145">
        <v>17</v>
      </c>
      <c r="Q160" s="146">
        <v>101.1</v>
      </c>
      <c r="R160" s="146">
        <v>110.7</v>
      </c>
      <c r="S160" s="91">
        <v>233.5</v>
      </c>
      <c r="T160" s="91">
        <v>199.1</v>
      </c>
      <c r="U160" s="147"/>
    </row>
    <row r="161" spans="2:21">
      <c r="B161" s="292"/>
      <c r="C161" s="19">
        <v>1.0833333333333299</v>
      </c>
      <c r="D161" s="5">
        <v>512631</v>
      </c>
      <c r="E161" s="11">
        <v>568912</v>
      </c>
      <c r="F161" s="10">
        <v>1.6034999999999999</v>
      </c>
      <c r="G161" s="10">
        <v>1.1315</v>
      </c>
      <c r="H161" s="144"/>
      <c r="I161" s="9">
        <v>366334</v>
      </c>
      <c r="J161" s="9">
        <v>166949</v>
      </c>
      <c r="K161" s="9"/>
      <c r="L161" s="27">
        <v>201716</v>
      </c>
      <c r="M161" s="27">
        <v>164147</v>
      </c>
      <c r="N161" s="27"/>
      <c r="O161" s="145">
        <v>101.2</v>
      </c>
      <c r="P161" s="145">
        <v>17</v>
      </c>
      <c r="Q161" s="146">
        <v>101.2</v>
      </c>
      <c r="R161" s="146">
        <v>111.1</v>
      </c>
      <c r="S161" s="91">
        <v>229.7</v>
      </c>
      <c r="T161" s="91">
        <v>191.2</v>
      </c>
      <c r="U161" s="147"/>
    </row>
    <row r="162" spans="2:21">
      <c r="B162" s="292"/>
      <c r="C162" s="19">
        <v>1.125</v>
      </c>
      <c r="D162" s="5">
        <v>512640</v>
      </c>
      <c r="E162" s="11">
        <v>568930</v>
      </c>
      <c r="F162" s="10">
        <v>1.6034999999999999</v>
      </c>
      <c r="G162" s="10">
        <v>1.1315999999999999</v>
      </c>
      <c r="H162" s="144"/>
      <c r="I162" s="9">
        <v>366587</v>
      </c>
      <c r="J162" s="9">
        <v>167239</v>
      </c>
      <c r="K162" s="9"/>
      <c r="L162" s="27">
        <v>201721</v>
      </c>
      <c r="M162" s="27">
        <v>164155</v>
      </c>
      <c r="N162" s="27"/>
      <c r="O162" s="145">
        <v>100.4</v>
      </c>
      <c r="P162" s="145">
        <v>17</v>
      </c>
      <c r="Q162" s="146">
        <v>100.4</v>
      </c>
      <c r="R162" s="146">
        <v>111.2</v>
      </c>
      <c r="S162" s="91">
        <v>223.5</v>
      </c>
      <c r="T162" s="91">
        <v>189.6</v>
      </c>
      <c r="U162" s="147"/>
    </row>
    <row r="163" spans="2:21">
      <c r="B163" s="292"/>
      <c r="C163" s="19">
        <v>1.1666666666666701</v>
      </c>
      <c r="D163" s="5">
        <v>512648</v>
      </c>
      <c r="E163" s="11">
        <v>568946</v>
      </c>
      <c r="F163" s="10">
        <v>1.6034999999999999</v>
      </c>
      <c r="G163" s="10">
        <v>1.1315999999999999</v>
      </c>
      <c r="H163" s="144"/>
      <c r="I163" s="9">
        <v>366834</v>
      </c>
      <c r="J163" s="9">
        <v>167443</v>
      </c>
      <c r="K163" s="9"/>
      <c r="L163" s="27">
        <v>201727</v>
      </c>
      <c r="M163" s="27">
        <v>164186</v>
      </c>
      <c r="N163" s="27"/>
      <c r="O163" s="145">
        <v>101.2</v>
      </c>
      <c r="P163" s="145">
        <v>17</v>
      </c>
      <c r="Q163" s="146">
        <v>101.2</v>
      </c>
      <c r="R163" s="146">
        <v>112.2</v>
      </c>
      <c r="S163" s="91">
        <v>233.1</v>
      </c>
      <c r="T163" s="91">
        <v>159.5</v>
      </c>
      <c r="U163" s="147"/>
    </row>
    <row r="164" spans="2:21">
      <c r="B164" s="292"/>
      <c r="C164" s="19">
        <v>1.2083333333333299</v>
      </c>
      <c r="D164" s="5">
        <v>512656</v>
      </c>
      <c r="E164" s="11">
        <v>568962</v>
      </c>
      <c r="F164" s="10">
        <v>1.6034999999999999</v>
      </c>
      <c r="G164" s="10">
        <v>1.1315999999999999</v>
      </c>
      <c r="H164" s="144"/>
      <c r="I164" s="9">
        <v>367101</v>
      </c>
      <c r="J164" s="9">
        <v>167644</v>
      </c>
      <c r="K164" s="9"/>
      <c r="L164" s="27">
        <v>201733</v>
      </c>
      <c r="M164" s="27">
        <v>164217</v>
      </c>
      <c r="N164" s="27"/>
      <c r="O164" s="145">
        <v>101.1</v>
      </c>
      <c r="P164" s="145">
        <v>17</v>
      </c>
      <c r="Q164" s="146">
        <v>101.1</v>
      </c>
      <c r="R164" s="146">
        <v>111.5</v>
      </c>
      <c r="S164" s="91">
        <v>200.4</v>
      </c>
      <c r="T164" s="91">
        <v>190.4</v>
      </c>
      <c r="U164" s="147"/>
    </row>
    <row r="165" spans="2:21">
      <c r="B165" s="292"/>
      <c r="C165" s="19">
        <v>1.25</v>
      </c>
      <c r="D165" s="5">
        <v>512665</v>
      </c>
      <c r="E165" s="11">
        <v>568978</v>
      </c>
      <c r="F165" s="10">
        <v>1.6034999999999999</v>
      </c>
      <c r="G165" s="10">
        <v>1.1315999999999999</v>
      </c>
      <c r="H165" s="144"/>
      <c r="I165" s="9">
        <v>367418</v>
      </c>
      <c r="J165" s="9">
        <v>167851</v>
      </c>
      <c r="K165" s="9"/>
      <c r="L165" s="27">
        <v>201739</v>
      </c>
      <c r="M165" s="27">
        <v>164248</v>
      </c>
      <c r="N165" s="27"/>
      <c r="O165" s="145">
        <v>101.2</v>
      </c>
      <c r="P165" s="145">
        <v>17</v>
      </c>
      <c r="Q165" s="146">
        <v>101.2</v>
      </c>
      <c r="R165" s="146">
        <v>111.5</v>
      </c>
      <c r="S165" s="91">
        <v>200.7</v>
      </c>
      <c r="T165" s="91">
        <v>182.9</v>
      </c>
      <c r="U165" s="147"/>
    </row>
    <row r="166" spans="2:21">
      <c r="B166" s="292"/>
      <c r="C166" s="19">
        <v>1.2916666666666701</v>
      </c>
      <c r="D166" s="5">
        <v>512674</v>
      </c>
      <c r="E166" s="11">
        <v>568995</v>
      </c>
      <c r="F166" s="10">
        <v>1.6034999999999999</v>
      </c>
      <c r="G166" s="10">
        <v>1.1316999999999999</v>
      </c>
      <c r="H166" s="144"/>
      <c r="I166" s="9">
        <v>367735</v>
      </c>
      <c r="J166" s="9">
        <v>168055</v>
      </c>
      <c r="K166" s="9"/>
      <c r="L166" s="27">
        <v>201748</v>
      </c>
      <c r="M166" s="27">
        <v>164250</v>
      </c>
      <c r="N166" s="27"/>
      <c r="O166" s="145">
        <v>100.6</v>
      </c>
      <c r="P166" s="145">
        <v>17</v>
      </c>
      <c r="Q166" s="146">
        <v>100.6</v>
      </c>
      <c r="R166" s="146">
        <v>108.9</v>
      </c>
      <c r="S166" s="91">
        <v>198.3</v>
      </c>
      <c r="T166" s="91">
        <v>180.2</v>
      </c>
      <c r="U166" s="147"/>
    </row>
    <row r="167" spans="2:21">
      <c r="B167" s="293"/>
      <c r="C167" s="6"/>
      <c r="D167" s="13" cm="1">
        <f t="array" ref="D167">IFERROR(LOOKUP(2,1/(D142:D166&gt;0),D142:D166-D142),0)</f>
        <v>205</v>
      </c>
      <c r="E167" s="13" cm="1">
        <f t="array" ref="E167">IFERROR(LOOKUP(2,1/(E142:E166&gt;0),E142:E166-E142),0)</f>
        <v>436</v>
      </c>
      <c r="F167" s="13" cm="1">
        <f t="array" ref="F167">IFERROR(LOOKUP(2,1/(F142:F166&gt;0),F142:F166-F142),0)</f>
        <v>5.9999999999993392E-4</v>
      </c>
      <c r="G167" s="13" cm="1">
        <f t="array" ref="G167">IFERROR(LOOKUP(2,1/(G142:G166&gt;0),G142:G166-G142),0)</f>
        <v>3.9999999999995595E-4</v>
      </c>
      <c r="H167" s="13">
        <f>F167+G167</f>
        <v>9.9999999999988987E-4</v>
      </c>
      <c r="I167" s="13" cm="1">
        <f t="array" ref="I167">IFERROR(LOOKUP(2,1/(I142:I166&gt;0),I142:I166-I142),0)</f>
        <v>6297</v>
      </c>
      <c r="J167" s="13" cm="1">
        <f t="array" ref="J167">IFERROR(LOOKUP(2,1/(J142:J166&gt;0),J142:J166-J142),0)</f>
        <v>5981</v>
      </c>
      <c r="K167" s="13">
        <f>I167+J167</f>
        <v>12278</v>
      </c>
      <c r="L167" s="13" cm="1">
        <f t="array" ref="L167">IFERROR(LOOKUP(2,1/(L142:L166&gt;0),L142:L166-L142),0)</f>
        <v>142</v>
      </c>
      <c r="M167" s="13" cm="1">
        <f t="array" ref="M167">IFERROR(LOOKUP(2,1/(M142:M166&gt;0),M142:M166-M142),0)</f>
        <v>386</v>
      </c>
      <c r="N167" s="13">
        <f>L167+M167</f>
        <v>528</v>
      </c>
      <c r="O167" s="148">
        <f t="shared" ref="O167:T167" si="5">IFERROR(AVERAGE(O142:O166),0)</f>
        <v>100.89599999999997</v>
      </c>
      <c r="P167" s="148">
        <f t="shared" si="5"/>
        <v>17</v>
      </c>
      <c r="Q167" s="148">
        <f t="shared" si="5"/>
        <v>100.89599999999997</v>
      </c>
      <c r="R167" s="148">
        <f t="shared" si="5"/>
        <v>110.836</v>
      </c>
      <c r="S167" s="148">
        <f t="shared" si="5"/>
        <v>217.64399999999998</v>
      </c>
      <c r="T167" s="148">
        <f t="shared" si="5"/>
        <v>188.77199999999993</v>
      </c>
      <c r="U167" s="148">
        <f>COUNT(U142:U166)</f>
        <v>0</v>
      </c>
    </row>
    <row r="168" spans="2:21">
      <c r="B168" s="291">
        <f>'DATA B1'!B168</f>
        <v>46029</v>
      </c>
      <c r="C168" s="19">
        <v>0.29166666666666669</v>
      </c>
      <c r="D168" s="5">
        <v>512674</v>
      </c>
      <c r="E168" s="11">
        <v>568995</v>
      </c>
      <c r="F168" s="10">
        <v>1.6034999999999999</v>
      </c>
      <c r="G168" s="10">
        <v>1.1316999999999999</v>
      </c>
      <c r="H168" s="144"/>
      <c r="I168" s="9">
        <v>367735</v>
      </c>
      <c r="J168" s="9">
        <v>168055</v>
      </c>
      <c r="K168" s="9"/>
      <c r="L168" s="27">
        <v>201748</v>
      </c>
      <c r="M168" s="27">
        <v>164250</v>
      </c>
      <c r="N168" s="27"/>
      <c r="O168" s="145">
        <v>100.6</v>
      </c>
      <c r="P168" s="145">
        <v>17</v>
      </c>
      <c r="Q168" s="146">
        <v>100.6</v>
      </c>
      <c r="R168" s="146">
        <v>108.9</v>
      </c>
      <c r="S168" s="91">
        <v>198.3</v>
      </c>
      <c r="T168" s="91">
        <v>180.2</v>
      </c>
      <c r="U168" s="147"/>
    </row>
    <row r="169" spans="2:21">
      <c r="B169" s="292"/>
      <c r="C169" s="19">
        <v>0.33333333333333298</v>
      </c>
      <c r="D169" s="5">
        <v>512684</v>
      </c>
      <c r="E169" s="11">
        <v>569017</v>
      </c>
      <c r="F169" s="10">
        <v>1.6035999999999999</v>
      </c>
      <c r="G169" s="144">
        <v>1.1316999999999999</v>
      </c>
      <c r="H169" s="144"/>
      <c r="I169" s="9">
        <v>368069</v>
      </c>
      <c r="J169" s="9">
        <v>168368</v>
      </c>
      <c r="K169" s="9"/>
      <c r="L169" s="27">
        <v>201755</v>
      </c>
      <c r="M169" s="27">
        <v>164268</v>
      </c>
      <c r="N169" s="27"/>
      <c r="O169" s="243">
        <v>100</v>
      </c>
      <c r="P169" s="145">
        <v>17</v>
      </c>
      <c r="Q169" s="244">
        <v>100</v>
      </c>
      <c r="R169" s="146">
        <v>109.3</v>
      </c>
      <c r="S169" s="91">
        <v>223.5</v>
      </c>
      <c r="T169" s="91">
        <v>184.3</v>
      </c>
      <c r="U169" s="147"/>
    </row>
    <row r="170" spans="2:21">
      <c r="B170" s="292"/>
      <c r="C170" s="19">
        <v>0.375</v>
      </c>
      <c r="D170" s="5">
        <v>512692</v>
      </c>
      <c r="E170" s="11">
        <v>569034</v>
      </c>
      <c r="F170" s="10">
        <v>1.6035999999999999</v>
      </c>
      <c r="G170" s="144">
        <v>1.1316999999999999</v>
      </c>
      <c r="H170" s="144"/>
      <c r="I170" s="9">
        <v>368317</v>
      </c>
      <c r="J170" s="9">
        <v>168605</v>
      </c>
      <c r="K170" s="9"/>
      <c r="L170" s="27">
        <v>201759</v>
      </c>
      <c r="M170" s="27">
        <v>164273</v>
      </c>
      <c r="N170" s="27"/>
      <c r="O170" s="145">
        <v>100.4</v>
      </c>
      <c r="P170" s="145">
        <v>17</v>
      </c>
      <c r="Q170" s="146">
        <v>100.4</v>
      </c>
      <c r="R170" s="146">
        <v>111.2</v>
      </c>
      <c r="S170" s="91">
        <v>223.5</v>
      </c>
      <c r="T170" s="91">
        <v>189.6</v>
      </c>
      <c r="U170" s="147"/>
    </row>
    <row r="171" spans="2:21">
      <c r="B171" s="292"/>
      <c r="C171" s="19">
        <v>0.41666666666666702</v>
      </c>
      <c r="D171" s="5">
        <v>512700</v>
      </c>
      <c r="E171" s="11">
        <v>569051</v>
      </c>
      <c r="F171" s="10">
        <v>1.6035999999999999</v>
      </c>
      <c r="G171" s="144">
        <v>1.1316999999999999</v>
      </c>
      <c r="H171" s="144"/>
      <c r="I171" s="9">
        <v>368492</v>
      </c>
      <c r="J171" s="9">
        <v>168910</v>
      </c>
      <c r="K171" s="9"/>
      <c r="L171" s="27">
        <v>201764</v>
      </c>
      <c r="M171" s="27">
        <v>164278</v>
      </c>
      <c r="N171" s="27"/>
      <c r="O171" s="243">
        <v>100</v>
      </c>
      <c r="P171" s="145">
        <v>17</v>
      </c>
      <c r="Q171" s="244">
        <v>100</v>
      </c>
      <c r="R171" s="146">
        <v>112.4</v>
      </c>
      <c r="S171" s="91">
        <v>236.1</v>
      </c>
      <c r="T171" s="91">
        <v>191.5</v>
      </c>
      <c r="U171" s="147"/>
    </row>
    <row r="172" spans="2:21">
      <c r="B172" s="292"/>
      <c r="C172" s="19">
        <v>0.45833333333333298</v>
      </c>
      <c r="D172" s="5">
        <v>512708</v>
      </c>
      <c r="E172" s="11">
        <v>569069</v>
      </c>
      <c r="F172" s="10">
        <v>1.6036999999999999</v>
      </c>
      <c r="G172" s="144">
        <v>1.1316999999999999</v>
      </c>
      <c r="H172" s="144"/>
      <c r="I172" s="9">
        <v>368814</v>
      </c>
      <c r="J172" s="9">
        <v>169080</v>
      </c>
      <c r="K172" s="9"/>
      <c r="L172" s="27">
        <v>201769</v>
      </c>
      <c r="M172" s="27">
        <v>164285</v>
      </c>
      <c r="N172" s="27"/>
      <c r="O172" s="145">
        <v>100.6</v>
      </c>
      <c r="P172" s="145">
        <v>17</v>
      </c>
      <c r="Q172" s="146">
        <v>100.6</v>
      </c>
      <c r="R172" s="146">
        <v>110.6</v>
      </c>
      <c r="S172" s="91">
        <v>223.6</v>
      </c>
      <c r="T172" s="91">
        <v>200.6</v>
      </c>
      <c r="U172" s="147"/>
    </row>
    <row r="173" spans="2:21">
      <c r="B173" s="292"/>
      <c r="C173" s="19">
        <v>0.5</v>
      </c>
      <c r="D173" s="5">
        <v>512717</v>
      </c>
      <c r="E173" s="11">
        <v>569086</v>
      </c>
      <c r="F173" s="10">
        <v>1.6036999999999999</v>
      </c>
      <c r="G173" s="144">
        <v>1.1316999999999999</v>
      </c>
      <c r="H173" s="144"/>
      <c r="I173" s="9">
        <v>369092</v>
      </c>
      <c r="J173" s="9">
        <v>169334</v>
      </c>
      <c r="K173" s="9"/>
      <c r="L173" s="27">
        <v>201769</v>
      </c>
      <c r="M173" s="27">
        <v>164285</v>
      </c>
      <c r="N173" s="27"/>
      <c r="O173" s="145">
        <v>100.9</v>
      </c>
      <c r="P173" s="145">
        <v>17</v>
      </c>
      <c r="Q173" s="146">
        <v>100.9</v>
      </c>
      <c r="R173" s="146">
        <v>112.7</v>
      </c>
      <c r="S173" s="91">
        <v>224.6</v>
      </c>
      <c r="T173" s="91">
        <v>187.1</v>
      </c>
      <c r="U173" s="147"/>
    </row>
    <row r="174" spans="2:21">
      <c r="B174" s="292"/>
      <c r="C174" s="19">
        <v>0.54166666666666696</v>
      </c>
      <c r="D174" s="5">
        <v>512726</v>
      </c>
      <c r="E174" s="11">
        <v>569104</v>
      </c>
      <c r="F174" s="10">
        <v>1.6036999999999999</v>
      </c>
      <c r="G174" s="144">
        <v>1.1316999999999999</v>
      </c>
      <c r="H174" s="144"/>
      <c r="I174" s="9">
        <v>369369</v>
      </c>
      <c r="J174" s="9">
        <v>169595</v>
      </c>
      <c r="K174" s="9"/>
      <c r="L174" s="27">
        <v>201769</v>
      </c>
      <c r="M174" s="27">
        <v>164285</v>
      </c>
      <c r="N174" s="27"/>
      <c r="O174" s="145">
        <v>100.8</v>
      </c>
      <c r="P174" s="145">
        <v>17</v>
      </c>
      <c r="Q174" s="146">
        <v>100.8</v>
      </c>
      <c r="R174" s="146">
        <v>110.1</v>
      </c>
      <c r="S174" s="91">
        <v>227.5</v>
      </c>
      <c r="T174" s="91">
        <v>186.9</v>
      </c>
      <c r="U174" s="147"/>
    </row>
    <row r="175" spans="2:21">
      <c r="B175" s="292"/>
      <c r="C175" s="19">
        <v>0.58333333333333304</v>
      </c>
      <c r="D175" s="5">
        <v>512735</v>
      </c>
      <c r="E175" s="11">
        <v>569122</v>
      </c>
      <c r="F175" s="10">
        <v>1.6037999999999999</v>
      </c>
      <c r="G175" s="144">
        <v>1.1316999999999999</v>
      </c>
      <c r="H175" s="144"/>
      <c r="I175" s="9">
        <v>369632</v>
      </c>
      <c r="J175" s="9">
        <v>169851</v>
      </c>
      <c r="K175" s="9"/>
      <c r="L175" s="27">
        <v>201769</v>
      </c>
      <c r="M175" s="27">
        <v>164285</v>
      </c>
      <c r="N175" s="27"/>
      <c r="O175" s="145">
        <v>100.9</v>
      </c>
      <c r="P175" s="145">
        <v>17</v>
      </c>
      <c r="Q175" s="146">
        <v>100.9</v>
      </c>
      <c r="R175" s="146">
        <v>110</v>
      </c>
      <c r="S175" s="91">
        <v>215.4</v>
      </c>
      <c r="T175" s="91">
        <v>197.5</v>
      </c>
      <c r="U175" s="149"/>
    </row>
    <row r="176" spans="2:21">
      <c r="B176" s="292"/>
      <c r="C176" s="19">
        <v>0.625</v>
      </c>
      <c r="D176" s="5">
        <v>512744</v>
      </c>
      <c r="E176" s="11">
        <v>569140</v>
      </c>
      <c r="F176" s="10">
        <v>1.6037999999999999</v>
      </c>
      <c r="G176" s="144">
        <v>1.1316999999999999</v>
      </c>
      <c r="H176" s="144"/>
      <c r="I176" s="9">
        <v>369906</v>
      </c>
      <c r="J176" s="9">
        <v>170117</v>
      </c>
      <c r="K176" s="9"/>
      <c r="L176" s="27">
        <v>201782</v>
      </c>
      <c r="M176" s="27">
        <v>164354</v>
      </c>
      <c r="N176" s="27"/>
      <c r="O176" s="243">
        <v>100</v>
      </c>
      <c r="P176" s="145">
        <v>17</v>
      </c>
      <c r="Q176" s="244">
        <v>100</v>
      </c>
      <c r="R176" s="146">
        <v>110.9</v>
      </c>
      <c r="S176" s="91">
        <v>231.2</v>
      </c>
      <c r="T176" s="91">
        <v>182.9</v>
      </c>
      <c r="U176" s="147"/>
    </row>
    <row r="177" spans="2:21">
      <c r="B177" s="292"/>
      <c r="C177" s="19">
        <v>0.66666666666666696</v>
      </c>
      <c r="D177" s="5">
        <v>512752</v>
      </c>
      <c r="E177" s="11">
        <v>569157</v>
      </c>
      <c r="F177" s="10">
        <v>1.6037999999999999</v>
      </c>
      <c r="G177" s="144">
        <v>1.1316999999999999</v>
      </c>
      <c r="H177" s="144"/>
      <c r="I177" s="9">
        <v>370160</v>
      </c>
      <c r="J177" s="9">
        <v>170360</v>
      </c>
      <c r="K177" s="9"/>
      <c r="L177" s="27">
        <v>201790</v>
      </c>
      <c r="M177" s="27">
        <v>164371</v>
      </c>
      <c r="N177" s="27"/>
      <c r="O177" s="243">
        <v>101</v>
      </c>
      <c r="P177" s="145">
        <v>17</v>
      </c>
      <c r="Q177" s="244">
        <v>101</v>
      </c>
      <c r="R177" s="146">
        <v>113.5</v>
      </c>
      <c r="S177" s="91">
        <v>231.1</v>
      </c>
      <c r="T177" s="91">
        <v>200.2</v>
      </c>
      <c r="U177" s="147"/>
    </row>
    <row r="178" spans="2:21">
      <c r="B178" s="292"/>
      <c r="C178" s="19">
        <v>0.70833333333333304</v>
      </c>
      <c r="D178" s="5">
        <v>512760</v>
      </c>
      <c r="E178" s="11">
        <v>569174</v>
      </c>
      <c r="F178" s="10">
        <v>1.6037999999999999</v>
      </c>
      <c r="G178" s="144">
        <v>1.1316999999999999</v>
      </c>
      <c r="H178" s="144"/>
      <c r="I178" s="9">
        <v>370461</v>
      </c>
      <c r="J178" s="9">
        <v>170550</v>
      </c>
      <c r="K178" s="9"/>
      <c r="L178" s="27">
        <v>201798</v>
      </c>
      <c r="M178" s="27">
        <v>164388</v>
      </c>
      <c r="N178" s="27"/>
      <c r="O178" s="145">
        <v>101.1</v>
      </c>
      <c r="P178" s="145">
        <v>17</v>
      </c>
      <c r="Q178" s="146">
        <v>101.1</v>
      </c>
      <c r="R178" s="146">
        <v>109.4</v>
      </c>
      <c r="S178" s="91">
        <v>226.1</v>
      </c>
      <c r="T178" s="91">
        <v>197.8</v>
      </c>
      <c r="U178" s="147"/>
    </row>
    <row r="179" spans="2:21">
      <c r="B179" s="292"/>
      <c r="C179" s="19">
        <v>0.75</v>
      </c>
      <c r="D179" s="5">
        <v>512769</v>
      </c>
      <c r="E179" s="11">
        <v>569191</v>
      </c>
      <c r="F179" s="10">
        <v>1.6039000000000001</v>
      </c>
      <c r="G179" s="144">
        <v>1.1316999999999999</v>
      </c>
      <c r="H179" s="144"/>
      <c r="I179" s="9">
        <v>370719</v>
      </c>
      <c r="J179" s="9">
        <v>170805</v>
      </c>
      <c r="K179" s="9"/>
      <c r="L179" s="27">
        <v>201806</v>
      </c>
      <c r="M179" s="27">
        <v>164405</v>
      </c>
      <c r="N179" s="27"/>
      <c r="O179" s="145">
        <v>100.2</v>
      </c>
      <c r="P179" s="145">
        <v>17</v>
      </c>
      <c r="Q179" s="146">
        <v>100.2</v>
      </c>
      <c r="R179" s="146">
        <v>108.7</v>
      </c>
      <c r="S179" s="91">
        <v>198.4</v>
      </c>
      <c r="T179" s="91">
        <v>187.6</v>
      </c>
      <c r="U179" s="147"/>
    </row>
    <row r="180" spans="2:21">
      <c r="B180" s="292"/>
      <c r="C180" s="19">
        <v>0.79166666666666696</v>
      </c>
      <c r="D180" s="5">
        <v>512779</v>
      </c>
      <c r="E180" s="11">
        <v>569209</v>
      </c>
      <c r="F180" s="144">
        <v>1.6040000000000001</v>
      </c>
      <c r="G180" s="144">
        <v>1.1316999999999999</v>
      </c>
      <c r="H180" s="144"/>
      <c r="I180" s="9">
        <v>370960</v>
      </c>
      <c r="J180" s="9">
        <v>171122</v>
      </c>
      <c r="K180" s="9"/>
      <c r="L180" s="27">
        <v>201816</v>
      </c>
      <c r="M180" s="27">
        <v>164422</v>
      </c>
      <c r="N180" s="27"/>
      <c r="O180" s="145">
        <v>100.4</v>
      </c>
      <c r="P180" s="145">
        <v>17</v>
      </c>
      <c r="Q180" s="146">
        <v>100.4</v>
      </c>
      <c r="R180" s="146">
        <v>110.4</v>
      </c>
      <c r="S180" s="91">
        <v>219.8</v>
      </c>
      <c r="T180" s="91">
        <v>200.4</v>
      </c>
      <c r="U180" s="147"/>
    </row>
    <row r="181" spans="2:21">
      <c r="B181" s="292"/>
      <c r="C181" s="19">
        <v>0.83333333333333304</v>
      </c>
      <c r="D181" s="5">
        <v>512791</v>
      </c>
      <c r="E181" s="11">
        <v>569235</v>
      </c>
      <c r="F181" s="144">
        <v>1.6041000000000001</v>
      </c>
      <c r="G181" s="144">
        <v>1.1316999999999999</v>
      </c>
      <c r="H181" s="144"/>
      <c r="I181" s="9">
        <v>371330</v>
      </c>
      <c r="J181" s="9">
        <v>171473</v>
      </c>
      <c r="K181" s="9"/>
      <c r="L181" s="27">
        <v>201816</v>
      </c>
      <c r="M181" s="27">
        <v>164441</v>
      </c>
      <c r="N181" s="27"/>
      <c r="O181" s="145">
        <v>98.1</v>
      </c>
      <c r="P181" s="145">
        <v>17</v>
      </c>
      <c r="Q181" s="146">
        <v>98.1</v>
      </c>
      <c r="R181" s="146">
        <v>107.2</v>
      </c>
      <c r="S181" s="91">
        <v>215.8</v>
      </c>
      <c r="T181" s="91">
        <v>180.7</v>
      </c>
      <c r="U181" s="147"/>
    </row>
    <row r="182" spans="2:21">
      <c r="B182" s="292"/>
      <c r="C182" s="19">
        <v>0.875</v>
      </c>
      <c r="D182" s="5">
        <v>512799</v>
      </c>
      <c r="E182" s="11">
        <v>569251</v>
      </c>
      <c r="F182" s="144">
        <v>1.6041000000000001</v>
      </c>
      <c r="G182" s="144">
        <v>1.1317999999999999</v>
      </c>
      <c r="H182" s="144"/>
      <c r="I182" s="9">
        <v>371583</v>
      </c>
      <c r="J182" s="9">
        <v>171701</v>
      </c>
      <c r="K182" s="9"/>
      <c r="L182" s="27">
        <v>201816</v>
      </c>
      <c r="M182" s="27">
        <v>164447</v>
      </c>
      <c r="N182" s="27"/>
      <c r="O182" s="145">
        <v>101.1</v>
      </c>
      <c r="P182" s="145">
        <v>17</v>
      </c>
      <c r="Q182" s="146">
        <v>101.1</v>
      </c>
      <c r="R182" s="146">
        <v>111.5</v>
      </c>
      <c r="S182" s="91">
        <v>200.4</v>
      </c>
      <c r="T182" s="91">
        <v>190.4</v>
      </c>
      <c r="U182" s="147"/>
    </row>
    <row r="183" spans="2:21">
      <c r="B183" s="292"/>
      <c r="C183" s="19">
        <v>0.91666666666666696</v>
      </c>
      <c r="D183" s="5">
        <v>512807</v>
      </c>
      <c r="E183" s="11">
        <v>569267</v>
      </c>
      <c r="F183" s="144">
        <v>1.6041000000000001</v>
      </c>
      <c r="G183" s="144">
        <v>1.1317999999999999</v>
      </c>
      <c r="H183" s="144"/>
      <c r="I183" s="9">
        <v>371836</v>
      </c>
      <c r="J183" s="9">
        <v>171923</v>
      </c>
      <c r="K183" s="9"/>
      <c r="L183" s="27">
        <v>201816</v>
      </c>
      <c r="M183" s="27">
        <v>164453</v>
      </c>
      <c r="N183" s="27"/>
      <c r="O183" s="145">
        <v>101.2</v>
      </c>
      <c r="P183" s="145">
        <v>17</v>
      </c>
      <c r="Q183" s="146">
        <v>101.2</v>
      </c>
      <c r="R183" s="146">
        <v>111.5</v>
      </c>
      <c r="S183" s="91">
        <v>200.7</v>
      </c>
      <c r="T183" s="91">
        <v>182.9</v>
      </c>
      <c r="U183" s="147"/>
    </row>
    <row r="184" spans="2:21">
      <c r="B184" s="292"/>
      <c r="C184" s="19">
        <v>0.95833333333333304</v>
      </c>
      <c r="D184" s="5">
        <v>512816</v>
      </c>
      <c r="E184" s="11">
        <v>569284</v>
      </c>
      <c r="F184" s="144">
        <v>1.6041000000000001</v>
      </c>
      <c r="G184" s="144">
        <v>1.1317999999999999</v>
      </c>
      <c r="H184" s="144"/>
      <c r="I184" s="9">
        <v>372091</v>
      </c>
      <c r="J184" s="9">
        <v>172195</v>
      </c>
      <c r="K184" s="9"/>
      <c r="L184" s="27">
        <v>201838</v>
      </c>
      <c r="M184" s="27">
        <v>164459</v>
      </c>
      <c r="N184" s="27"/>
      <c r="O184" s="145">
        <v>100.2</v>
      </c>
      <c r="P184" s="145">
        <v>17</v>
      </c>
      <c r="Q184" s="146">
        <v>100.2</v>
      </c>
      <c r="R184" s="146">
        <v>109.3</v>
      </c>
      <c r="S184" s="91">
        <v>227.9</v>
      </c>
      <c r="T184" s="91">
        <v>185.9</v>
      </c>
      <c r="U184" s="147"/>
    </row>
    <row r="185" spans="2:21">
      <c r="B185" s="292"/>
      <c r="C185" s="19">
        <v>1</v>
      </c>
      <c r="D185" s="5">
        <v>512825</v>
      </c>
      <c r="E185" s="11">
        <v>569301</v>
      </c>
      <c r="F185" s="144">
        <v>1.6041000000000001</v>
      </c>
      <c r="G185" s="144">
        <v>1.1317999999999999</v>
      </c>
      <c r="H185" s="144"/>
      <c r="I185" s="9">
        <v>372344</v>
      </c>
      <c r="J185" s="9">
        <v>172465</v>
      </c>
      <c r="K185" s="9"/>
      <c r="L185" s="27">
        <v>201838</v>
      </c>
      <c r="M185" s="27">
        <v>164465</v>
      </c>
      <c r="N185" s="27"/>
      <c r="O185" s="145">
        <v>101.2</v>
      </c>
      <c r="P185" s="145">
        <v>17</v>
      </c>
      <c r="Q185" s="146">
        <v>101.2</v>
      </c>
      <c r="R185" s="146">
        <v>114.1</v>
      </c>
      <c r="S185" s="91">
        <v>199.6</v>
      </c>
      <c r="T185" s="91">
        <v>190.1</v>
      </c>
      <c r="U185" s="147"/>
    </row>
    <row r="186" spans="2:21">
      <c r="B186" s="292"/>
      <c r="C186" s="19">
        <v>1.0416666666666701</v>
      </c>
      <c r="D186" s="5">
        <v>512834</v>
      </c>
      <c r="E186" s="11">
        <v>569318</v>
      </c>
      <c r="F186" s="144">
        <v>1.6041000000000001</v>
      </c>
      <c r="G186" s="144">
        <v>1.1318999999999999</v>
      </c>
      <c r="H186" s="144"/>
      <c r="I186" s="9">
        <v>372601</v>
      </c>
      <c r="J186" s="9">
        <v>172739</v>
      </c>
      <c r="K186" s="9"/>
      <c r="L186" s="27">
        <v>201838</v>
      </c>
      <c r="M186" s="27">
        <v>164471</v>
      </c>
      <c r="N186" s="27"/>
      <c r="O186" s="145">
        <v>101.1</v>
      </c>
      <c r="P186" s="145">
        <v>17</v>
      </c>
      <c r="Q186" s="146">
        <v>101.2</v>
      </c>
      <c r="R186" s="146">
        <v>112.1</v>
      </c>
      <c r="S186" s="91">
        <v>235.5</v>
      </c>
      <c r="T186" s="91">
        <v>192.3</v>
      </c>
      <c r="U186" s="147"/>
    </row>
    <row r="187" spans="2:21">
      <c r="B187" s="292"/>
      <c r="C187" s="19">
        <v>1.0833333333333299</v>
      </c>
      <c r="D187" s="5">
        <v>512842</v>
      </c>
      <c r="E187" s="11">
        <v>569334</v>
      </c>
      <c r="F187" s="144">
        <v>1.6041000000000001</v>
      </c>
      <c r="G187" s="144">
        <v>1.1318999999999999</v>
      </c>
      <c r="H187" s="144"/>
      <c r="I187" s="9">
        <v>372850</v>
      </c>
      <c r="J187" s="9">
        <v>173041</v>
      </c>
      <c r="K187" s="9"/>
      <c r="L187" s="27">
        <v>201838</v>
      </c>
      <c r="M187" s="27">
        <v>164471</v>
      </c>
      <c r="N187" s="27"/>
      <c r="O187" s="145">
        <v>101.2</v>
      </c>
      <c r="P187" s="145">
        <v>17</v>
      </c>
      <c r="Q187" s="146">
        <v>101.2</v>
      </c>
      <c r="R187" s="146">
        <v>111.9</v>
      </c>
      <c r="S187" s="91">
        <v>285.89999999999998</v>
      </c>
      <c r="T187" s="91">
        <v>191.2</v>
      </c>
      <c r="U187" s="147"/>
    </row>
    <row r="188" spans="2:21">
      <c r="B188" s="292"/>
      <c r="C188" s="19">
        <v>1.125</v>
      </c>
      <c r="D188" s="5">
        <v>512852</v>
      </c>
      <c r="E188" s="11">
        <v>569352</v>
      </c>
      <c r="F188" s="144">
        <v>1.6041000000000001</v>
      </c>
      <c r="G188" s="144">
        <v>1.1319999999999999</v>
      </c>
      <c r="H188" s="144"/>
      <c r="I188" s="9">
        <v>373111</v>
      </c>
      <c r="J188" s="9">
        <v>173283</v>
      </c>
      <c r="K188" s="9"/>
      <c r="L188" s="27">
        <v>201838</v>
      </c>
      <c r="M188" s="27">
        <v>164471</v>
      </c>
      <c r="N188" s="27"/>
      <c r="O188" s="145">
        <v>100.2</v>
      </c>
      <c r="P188" s="145">
        <v>17</v>
      </c>
      <c r="Q188" s="146">
        <v>100.2</v>
      </c>
      <c r="R188" s="146">
        <v>108.7</v>
      </c>
      <c r="S188" s="91">
        <v>198.4</v>
      </c>
      <c r="T188" s="91">
        <v>187.6</v>
      </c>
      <c r="U188" s="147"/>
    </row>
    <row r="189" spans="2:21">
      <c r="B189" s="292"/>
      <c r="C189" s="19">
        <v>1.1666666666666701</v>
      </c>
      <c r="D189" s="5">
        <v>512858</v>
      </c>
      <c r="E189" s="11">
        <v>569372</v>
      </c>
      <c r="F189" s="144">
        <v>1.6041000000000001</v>
      </c>
      <c r="G189" s="144">
        <v>1.1319999999999999</v>
      </c>
      <c r="H189" s="144"/>
      <c r="I189" s="9">
        <v>373331</v>
      </c>
      <c r="J189" s="9">
        <v>173462</v>
      </c>
      <c r="K189" s="9"/>
      <c r="L189" s="27">
        <v>201838</v>
      </c>
      <c r="M189" s="27">
        <v>164471</v>
      </c>
      <c r="N189" s="27"/>
      <c r="O189" s="145">
        <v>101.2</v>
      </c>
      <c r="P189" s="145">
        <v>17</v>
      </c>
      <c r="Q189" s="146">
        <v>101.2</v>
      </c>
      <c r="R189" s="146">
        <v>111.9</v>
      </c>
      <c r="S189" s="91">
        <v>231.6</v>
      </c>
      <c r="T189" s="91">
        <v>198.6</v>
      </c>
      <c r="U189" s="147"/>
    </row>
    <row r="190" spans="2:21">
      <c r="B190" s="292"/>
      <c r="C190" s="19">
        <v>1.2083333333333299</v>
      </c>
      <c r="D190" s="5">
        <v>512864</v>
      </c>
      <c r="E190" s="11">
        <v>569393</v>
      </c>
      <c r="F190" s="144">
        <v>1.6041000000000001</v>
      </c>
      <c r="G190" s="144">
        <v>1.1319999999999999</v>
      </c>
      <c r="H190" s="144"/>
      <c r="I190" s="9">
        <v>373555</v>
      </c>
      <c r="J190" s="9">
        <v>173645</v>
      </c>
      <c r="K190" s="9"/>
      <c r="L190" s="27">
        <v>201838</v>
      </c>
      <c r="M190" s="27">
        <v>164471</v>
      </c>
      <c r="N190" s="27"/>
      <c r="O190" s="145">
        <v>101.2</v>
      </c>
      <c r="P190" s="145">
        <v>17</v>
      </c>
      <c r="Q190" s="146">
        <v>101.2</v>
      </c>
      <c r="R190" s="146">
        <v>111.1</v>
      </c>
      <c r="S190" s="91">
        <v>199.1</v>
      </c>
      <c r="T190" s="91">
        <v>194.1</v>
      </c>
      <c r="U190" s="147"/>
    </row>
    <row r="191" spans="2:21">
      <c r="B191" s="292"/>
      <c r="C191" s="19">
        <v>1.25</v>
      </c>
      <c r="D191" s="5">
        <v>512870</v>
      </c>
      <c r="E191" s="11">
        <v>569414</v>
      </c>
      <c r="F191" s="144">
        <v>1.6041000000000001</v>
      </c>
      <c r="G191" s="10">
        <v>1.1321000000000001</v>
      </c>
      <c r="H191" s="144"/>
      <c r="I191" s="9">
        <v>373772</v>
      </c>
      <c r="J191" s="9">
        <v>173821</v>
      </c>
      <c r="K191" s="9"/>
      <c r="L191" s="27">
        <v>201838</v>
      </c>
      <c r="M191" s="27">
        <v>164471</v>
      </c>
      <c r="N191" s="27"/>
      <c r="O191" s="145">
        <v>100.8</v>
      </c>
      <c r="P191" s="145">
        <v>17</v>
      </c>
      <c r="Q191" s="146">
        <v>100.8</v>
      </c>
      <c r="R191" s="146">
        <v>106.1</v>
      </c>
      <c r="S191" s="91">
        <v>197.8</v>
      </c>
      <c r="T191" s="91">
        <v>183.1</v>
      </c>
      <c r="U191" s="147"/>
    </row>
    <row r="192" spans="2:21">
      <c r="B192" s="292"/>
      <c r="C192" s="19">
        <v>1.2916666666666701</v>
      </c>
      <c r="D192" s="5">
        <v>512877</v>
      </c>
      <c r="E192" s="11">
        <v>569435</v>
      </c>
      <c r="F192" s="144">
        <v>1.6041000000000001</v>
      </c>
      <c r="G192" s="10">
        <v>1.1321000000000001</v>
      </c>
      <c r="H192" s="144"/>
      <c r="I192" s="9">
        <v>374000</v>
      </c>
      <c r="J192" s="9">
        <v>174009</v>
      </c>
      <c r="K192" s="9"/>
      <c r="L192" s="27">
        <v>201883</v>
      </c>
      <c r="M192" s="27">
        <v>164566</v>
      </c>
      <c r="N192" s="27"/>
      <c r="O192" s="145">
        <v>97.7</v>
      </c>
      <c r="P192" s="145">
        <v>17</v>
      </c>
      <c r="Q192" s="146">
        <v>97.7</v>
      </c>
      <c r="R192" s="146">
        <v>107.5</v>
      </c>
      <c r="S192" s="91">
        <v>210.3</v>
      </c>
      <c r="T192" s="91">
        <v>199.2</v>
      </c>
      <c r="U192" s="147"/>
    </row>
    <row r="193" spans="2:21">
      <c r="B193" s="293"/>
      <c r="C193" s="6"/>
      <c r="D193" s="13" cm="1">
        <f t="array" ref="D193">IFERROR(LOOKUP(2,1/(D168:D192&gt;0),D168:D192-D168),0)</f>
        <v>203</v>
      </c>
      <c r="E193" s="13" cm="1">
        <f t="array" ref="E193">IFERROR(LOOKUP(2,1/(E168:E192&gt;0),E168:E192-E168),0)</f>
        <v>440</v>
      </c>
      <c r="F193" s="13" cm="1">
        <f t="array" ref="F193">IFERROR(LOOKUP(2,1/(F168:F192&gt;0),F168:F192-F168),0)</f>
        <v>6.0000000000015596E-4</v>
      </c>
      <c r="G193" s="13" cm="1">
        <f t="array" ref="G193">IFERROR(LOOKUP(2,1/(G168:G192&gt;0),G168:G192-G168),0)</f>
        <v>4.0000000000017799E-4</v>
      </c>
      <c r="H193" s="13">
        <f>F193+G193</f>
        <v>1.000000000000334E-3</v>
      </c>
      <c r="I193" s="13" cm="1">
        <f t="array" ref="I193">IFERROR(LOOKUP(2,1/(I168:I192&gt;0),I168:I192-I168),0)</f>
        <v>6265</v>
      </c>
      <c r="J193" s="13" cm="1">
        <f t="array" ref="J193">IFERROR(LOOKUP(2,1/(J168:J192&gt;0),J168:J192-J168),0)</f>
        <v>5954</v>
      </c>
      <c r="K193" s="13">
        <f>I193+J193</f>
        <v>12219</v>
      </c>
      <c r="L193" s="13" cm="1">
        <f t="array" ref="L193">IFERROR(LOOKUP(2,1/(L168:L192&gt;0),L168:L192-L168),0)</f>
        <v>135</v>
      </c>
      <c r="M193" s="13" cm="1">
        <f t="array" ref="M193">IFERROR(LOOKUP(2,1/(M168:M192&gt;0),M168:M192-M168),0)</f>
        <v>316</v>
      </c>
      <c r="N193" s="13">
        <f>L193+M193</f>
        <v>451</v>
      </c>
      <c r="O193" s="148">
        <f t="shared" ref="O193:T193" si="6">IFERROR(AVERAGE(O168:O192),0)</f>
        <v>100.48399999999998</v>
      </c>
      <c r="P193" s="148">
        <f t="shared" si="6"/>
        <v>17</v>
      </c>
      <c r="Q193" s="148">
        <f t="shared" si="6"/>
        <v>100.488</v>
      </c>
      <c r="R193" s="148">
        <f t="shared" si="6"/>
        <v>110.44</v>
      </c>
      <c r="S193" s="148">
        <f t="shared" si="6"/>
        <v>219.28400000000002</v>
      </c>
      <c r="T193" s="148">
        <f t="shared" si="6"/>
        <v>190.50800000000004</v>
      </c>
      <c r="U193" s="148">
        <f>COUNT(U168:U192)</f>
        <v>0</v>
      </c>
    </row>
    <row r="194" spans="2:21">
      <c r="B194" s="291">
        <f>'DATA B1'!B194</f>
        <v>46030</v>
      </c>
      <c r="C194" s="19">
        <v>0.29166666666666669</v>
      </c>
      <c r="D194" s="5">
        <v>512877</v>
      </c>
      <c r="E194" s="11">
        <v>569435</v>
      </c>
      <c r="F194" s="144">
        <v>1.6041000000000001</v>
      </c>
      <c r="G194" s="10">
        <v>1.1321000000000001</v>
      </c>
      <c r="H194" s="144"/>
      <c r="I194" s="9">
        <v>374000</v>
      </c>
      <c r="J194" s="9">
        <v>174009</v>
      </c>
      <c r="K194" s="9"/>
      <c r="L194" s="27">
        <v>201883</v>
      </c>
      <c r="M194" s="27">
        <v>164566</v>
      </c>
      <c r="N194" s="27"/>
      <c r="O194" s="145">
        <v>97.7</v>
      </c>
      <c r="P194" s="145">
        <v>17</v>
      </c>
      <c r="Q194" s="146">
        <v>97.7</v>
      </c>
      <c r="R194" s="146">
        <v>107.5</v>
      </c>
      <c r="S194" s="91">
        <v>210.3</v>
      </c>
      <c r="T194" s="91">
        <v>199.2</v>
      </c>
      <c r="U194" s="147"/>
    </row>
    <row r="195" spans="2:21">
      <c r="B195" s="292"/>
      <c r="C195" s="19">
        <v>0.33333333333333298</v>
      </c>
      <c r="D195" s="5">
        <v>512885</v>
      </c>
      <c r="E195" s="11">
        <v>569459</v>
      </c>
      <c r="F195" s="10">
        <v>1.6042000000000001</v>
      </c>
      <c r="G195" s="10">
        <v>1.1321000000000001</v>
      </c>
      <c r="H195" s="144"/>
      <c r="I195" s="9">
        <v>374230</v>
      </c>
      <c r="J195" s="9">
        <v>174224</v>
      </c>
      <c r="K195" s="9"/>
      <c r="L195" s="27">
        <v>201893</v>
      </c>
      <c r="M195" s="27">
        <v>164599</v>
      </c>
      <c r="N195" s="27"/>
      <c r="O195" s="145">
        <v>99.4</v>
      </c>
      <c r="P195" s="145">
        <v>17</v>
      </c>
      <c r="Q195" s="146">
        <v>99.4</v>
      </c>
      <c r="R195" s="146">
        <v>107.5</v>
      </c>
      <c r="S195" s="91">
        <v>213.6</v>
      </c>
      <c r="T195" s="91">
        <v>176</v>
      </c>
      <c r="U195" s="147"/>
    </row>
    <row r="196" spans="2:21">
      <c r="B196" s="292"/>
      <c r="C196" s="19">
        <v>0.375</v>
      </c>
      <c r="D196" s="5">
        <v>512891</v>
      </c>
      <c r="E196" s="11">
        <v>569480</v>
      </c>
      <c r="F196" s="10">
        <v>1.6042000000000001</v>
      </c>
      <c r="G196" s="10">
        <v>1.1321000000000001</v>
      </c>
      <c r="H196" s="144"/>
      <c r="I196" s="9">
        <v>374429</v>
      </c>
      <c r="J196" s="9">
        <v>174415</v>
      </c>
      <c r="K196" s="9"/>
      <c r="L196" s="27">
        <v>201897</v>
      </c>
      <c r="M196" s="27">
        <v>164603</v>
      </c>
      <c r="N196" s="27"/>
      <c r="O196" s="145">
        <v>100.2</v>
      </c>
      <c r="P196" s="145">
        <v>17</v>
      </c>
      <c r="Q196" s="146">
        <v>100.2</v>
      </c>
      <c r="R196" s="146">
        <v>108.2</v>
      </c>
      <c r="S196" s="91">
        <v>219.8</v>
      </c>
      <c r="T196" s="91">
        <v>197.4</v>
      </c>
      <c r="U196" s="147"/>
    </row>
    <row r="197" spans="2:21">
      <c r="B197" s="292"/>
      <c r="C197" s="19">
        <v>0.41666666666666702</v>
      </c>
      <c r="D197" s="5">
        <v>512897</v>
      </c>
      <c r="E197" s="11">
        <v>569501</v>
      </c>
      <c r="F197" s="10">
        <v>1.6042000000000001</v>
      </c>
      <c r="G197" s="10">
        <v>1.1321000000000001</v>
      </c>
      <c r="H197" s="144"/>
      <c r="I197" s="9">
        <v>374662</v>
      </c>
      <c r="J197" s="9">
        <v>174542</v>
      </c>
      <c r="K197" s="9"/>
      <c r="L197" s="27">
        <v>201901</v>
      </c>
      <c r="M197" s="27">
        <v>164607</v>
      </c>
      <c r="N197" s="27"/>
      <c r="O197" s="145">
        <v>100.6</v>
      </c>
      <c r="P197" s="145">
        <v>17</v>
      </c>
      <c r="Q197" s="146">
        <v>100.6</v>
      </c>
      <c r="R197" s="146">
        <v>110.4</v>
      </c>
      <c r="S197" s="91">
        <v>234.9</v>
      </c>
      <c r="T197" s="91">
        <v>192.6</v>
      </c>
      <c r="U197" s="147"/>
    </row>
    <row r="198" spans="2:21">
      <c r="B198" s="292"/>
      <c r="C198" s="19">
        <v>0.45833333333333298</v>
      </c>
      <c r="D198" s="5">
        <v>512904</v>
      </c>
      <c r="E198" s="11">
        <v>569524</v>
      </c>
      <c r="F198" s="10">
        <v>1.6043000000000001</v>
      </c>
      <c r="G198" s="10">
        <v>1.1321000000000001</v>
      </c>
      <c r="H198" s="144"/>
      <c r="I198" s="9">
        <v>374829</v>
      </c>
      <c r="J198" s="9">
        <v>174798</v>
      </c>
      <c r="K198" s="9"/>
      <c r="L198" s="27">
        <v>201905</v>
      </c>
      <c r="M198" s="27">
        <v>164613</v>
      </c>
      <c r="N198" s="27"/>
      <c r="O198" s="145">
        <v>99.1</v>
      </c>
      <c r="P198" s="145">
        <v>17</v>
      </c>
      <c r="Q198" s="146">
        <v>99.1</v>
      </c>
      <c r="R198" s="146">
        <v>109.2</v>
      </c>
      <c r="S198" s="91">
        <v>213.9</v>
      </c>
      <c r="T198" s="91">
        <v>199.6</v>
      </c>
      <c r="U198" s="147"/>
    </row>
    <row r="199" spans="2:21" ht="14.25" customHeight="1">
      <c r="B199" s="292"/>
      <c r="C199" s="19">
        <v>0.5</v>
      </c>
      <c r="D199" s="5">
        <v>512913</v>
      </c>
      <c r="E199" s="11">
        <v>569546</v>
      </c>
      <c r="F199" s="10">
        <v>1.6044</v>
      </c>
      <c r="G199" s="10">
        <v>1.1321000000000001</v>
      </c>
      <c r="H199" s="144"/>
      <c r="I199" s="9">
        <v>375114</v>
      </c>
      <c r="J199" s="9">
        <v>175065</v>
      </c>
      <c r="K199" s="9"/>
      <c r="L199" s="27">
        <v>201905</v>
      </c>
      <c r="M199" s="27">
        <v>164613</v>
      </c>
      <c r="N199" s="27"/>
      <c r="O199" s="145">
        <v>98.9</v>
      </c>
      <c r="P199" s="145">
        <v>17</v>
      </c>
      <c r="Q199" s="146">
        <v>98.9</v>
      </c>
      <c r="R199" s="146">
        <v>110.1</v>
      </c>
      <c r="S199" s="91">
        <v>227.5</v>
      </c>
      <c r="T199" s="91">
        <v>186.9</v>
      </c>
      <c r="U199" s="147"/>
    </row>
    <row r="200" spans="2:21" ht="14.25" customHeight="1">
      <c r="B200" s="292"/>
      <c r="C200" s="19">
        <v>0.54166666666666696</v>
      </c>
      <c r="D200" s="5">
        <v>512922</v>
      </c>
      <c r="E200" s="11">
        <v>569569</v>
      </c>
      <c r="F200" s="10">
        <v>1.6044</v>
      </c>
      <c r="G200" s="10">
        <v>1.1321000000000001</v>
      </c>
      <c r="H200" s="144"/>
      <c r="I200" s="9">
        <v>375398</v>
      </c>
      <c r="J200" s="9">
        <v>175332</v>
      </c>
      <c r="K200" s="9"/>
      <c r="L200" s="27">
        <v>201905</v>
      </c>
      <c r="M200" s="27">
        <v>164613</v>
      </c>
      <c r="N200" s="27"/>
      <c r="O200" s="145">
        <v>97.5</v>
      </c>
      <c r="P200" s="145">
        <v>17</v>
      </c>
      <c r="Q200" s="146">
        <v>97.5</v>
      </c>
      <c r="R200" s="244">
        <v>110</v>
      </c>
      <c r="S200" s="91">
        <v>215.4</v>
      </c>
      <c r="T200" s="91">
        <v>197.5</v>
      </c>
      <c r="U200" s="147"/>
    </row>
    <row r="201" spans="2:21" ht="14.25" customHeight="1">
      <c r="B201" s="292"/>
      <c r="C201" s="19">
        <v>0.58333333333333304</v>
      </c>
      <c r="D201" s="5">
        <v>512931</v>
      </c>
      <c r="E201" s="11">
        <v>569592</v>
      </c>
      <c r="F201" s="10">
        <v>1.6045</v>
      </c>
      <c r="G201" s="10">
        <v>1.1321000000000001</v>
      </c>
      <c r="H201" s="144"/>
      <c r="I201" s="9">
        <v>375689</v>
      </c>
      <c r="J201" s="9">
        <v>175603</v>
      </c>
      <c r="K201" s="9"/>
      <c r="L201" s="27">
        <v>201905</v>
      </c>
      <c r="M201" s="27">
        <v>164613</v>
      </c>
      <c r="N201" s="27"/>
      <c r="O201" s="145">
        <v>99.3</v>
      </c>
      <c r="P201" s="145">
        <v>17</v>
      </c>
      <c r="Q201" s="146">
        <v>99.3</v>
      </c>
      <c r="R201" s="146">
        <v>111.1</v>
      </c>
      <c r="S201" s="91">
        <v>229.7</v>
      </c>
      <c r="T201" s="91">
        <v>191.2</v>
      </c>
      <c r="U201" s="149"/>
    </row>
    <row r="202" spans="2:21" ht="14.25" customHeight="1">
      <c r="B202" s="292"/>
      <c r="C202" s="19">
        <v>0.625</v>
      </c>
      <c r="D202" s="5">
        <v>512940</v>
      </c>
      <c r="E202" s="11">
        <v>569615</v>
      </c>
      <c r="F202" s="10">
        <v>1.6045</v>
      </c>
      <c r="G202" s="10">
        <v>1.1321000000000001</v>
      </c>
      <c r="H202" s="144"/>
      <c r="I202" s="9">
        <v>375979</v>
      </c>
      <c r="J202" s="9">
        <v>175888</v>
      </c>
      <c r="K202" s="9"/>
      <c r="L202" s="27">
        <v>201925</v>
      </c>
      <c r="M202" s="27">
        <v>164650</v>
      </c>
      <c r="N202" s="27"/>
      <c r="O202" s="145">
        <v>98.7</v>
      </c>
      <c r="P202" s="145">
        <v>17</v>
      </c>
      <c r="Q202" s="146">
        <v>98.7</v>
      </c>
      <c r="R202" s="146">
        <v>106.5</v>
      </c>
      <c r="S202" s="91">
        <v>225.3</v>
      </c>
      <c r="T202" s="91">
        <v>198.7</v>
      </c>
      <c r="U202" s="147"/>
    </row>
    <row r="203" spans="2:21" ht="14.25" customHeight="1">
      <c r="B203" s="292"/>
      <c r="C203" s="19">
        <v>0.66666666666666696</v>
      </c>
      <c r="D203" s="5">
        <v>512949</v>
      </c>
      <c r="E203" s="11">
        <v>569640</v>
      </c>
      <c r="F203" s="10">
        <v>1.6045</v>
      </c>
      <c r="G203" s="10">
        <v>1.1321000000000001</v>
      </c>
      <c r="H203" s="144"/>
      <c r="I203" s="9">
        <v>376265</v>
      </c>
      <c r="J203" s="9">
        <v>176168</v>
      </c>
      <c r="K203" s="9"/>
      <c r="L203" s="27">
        <v>201931</v>
      </c>
      <c r="M203" s="27">
        <v>164670</v>
      </c>
      <c r="N203" s="27"/>
      <c r="O203" s="145">
        <v>97.7</v>
      </c>
      <c r="P203" s="145">
        <v>17</v>
      </c>
      <c r="Q203" s="146">
        <v>97.7</v>
      </c>
      <c r="R203" s="146">
        <v>107.5</v>
      </c>
      <c r="S203" s="91">
        <v>210.3</v>
      </c>
      <c r="T203" s="91">
        <v>199.2</v>
      </c>
      <c r="U203" s="147"/>
    </row>
    <row r="204" spans="2:21" ht="14.25" customHeight="1">
      <c r="B204" s="292"/>
      <c r="C204" s="19">
        <v>0.70833333333333304</v>
      </c>
      <c r="D204" s="5">
        <v>512958</v>
      </c>
      <c r="E204" s="11">
        <v>569665</v>
      </c>
      <c r="F204" s="10">
        <v>1.6045</v>
      </c>
      <c r="G204" s="10">
        <v>1.1321000000000001</v>
      </c>
      <c r="H204" s="144"/>
      <c r="I204" s="9">
        <v>376594</v>
      </c>
      <c r="J204" s="9">
        <v>176378</v>
      </c>
      <c r="K204" s="9"/>
      <c r="L204" s="27">
        <v>201937</v>
      </c>
      <c r="M204" s="27">
        <v>164690</v>
      </c>
      <c r="N204" s="27"/>
      <c r="O204" s="145">
        <v>99.4</v>
      </c>
      <c r="P204" s="145">
        <v>17</v>
      </c>
      <c r="Q204" s="146">
        <v>99.4</v>
      </c>
      <c r="R204" s="146">
        <v>107.5</v>
      </c>
      <c r="S204" s="91">
        <v>213.6</v>
      </c>
      <c r="T204" s="247">
        <v>176</v>
      </c>
      <c r="U204" s="147"/>
    </row>
    <row r="205" spans="2:21" ht="14.25" customHeight="1">
      <c r="B205" s="292"/>
      <c r="C205" s="19">
        <v>0.75</v>
      </c>
      <c r="D205" s="5">
        <v>512968</v>
      </c>
      <c r="E205" s="11">
        <v>569690</v>
      </c>
      <c r="F205" s="10">
        <v>1.6045</v>
      </c>
      <c r="G205" s="10">
        <v>1.1321000000000001</v>
      </c>
      <c r="H205" s="144"/>
      <c r="I205" s="9">
        <v>376862</v>
      </c>
      <c r="J205" s="9">
        <v>176705</v>
      </c>
      <c r="K205" s="9"/>
      <c r="L205" s="27">
        <v>201943</v>
      </c>
      <c r="M205" s="27">
        <v>164710</v>
      </c>
      <c r="N205" s="27"/>
      <c r="O205" s="145">
        <v>97.7</v>
      </c>
      <c r="P205" s="145">
        <v>17</v>
      </c>
      <c r="Q205" s="146">
        <v>97.7</v>
      </c>
      <c r="R205" s="146">
        <v>107.5</v>
      </c>
      <c r="S205" s="91">
        <v>210.3</v>
      </c>
      <c r="T205" s="91">
        <v>199.2</v>
      </c>
      <c r="U205" s="147"/>
    </row>
    <row r="206" spans="2:21" ht="14.25" customHeight="1">
      <c r="B206" s="292"/>
      <c r="C206" s="19">
        <v>0.79166666666666696</v>
      </c>
      <c r="D206" s="5">
        <v>512978</v>
      </c>
      <c r="E206" s="11">
        <v>569717</v>
      </c>
      <c r="F206" s="10">
        <v>1.6046</v>
      </c>
      <c r="G206" s="144">
        <v>1.1321000000000001</v>
      </c>
      <c r="H206" s="144"/>
      <c r="I206" s="9">
        <v>377158</v>
      </c>
      <c r="J206" s="9">
        <v>177009</v>
      </c>
      <c r="K206" s="9"/>
      <c r="L206" s="27">
        <v>201949</v>
      </c>
      <c r="M206" s="27">
        <v>164732</v>
      </c>
      <c r="N206" s="27"/>
      <c r="O206" s="145">
        <v>95.7</v>
      </c>
      <c r="P206" s="145">
        <v>17</v>
      </c>
      <c r="Q206" s="146">
        <v>95.7</v>
      </c>
      <c r="R206" s="146">
        <v>107.6</v>
      </c>
      <c r="S206" s="91">
        <v>221.7</v>
      </c>
      <c r="T206" s="247">
        <v>199</v>
      </c>
      <c r="U206" s="147"/>
    </row>
    <row r="207" spans="2:21" ht="14.25" customHeight="1">
      <c r="B207" s="292"/>
      <c r="C207" s="19">
        <v>0.83333333333333304</v>
      </c>
      <c r="D207" s="5">
        <v>512988</v>
      </c>
      <c r="E207" s="11">
        <v>569742</v>
      </c>
      <c r="F207" s="10">
        <v>1.6046</v>
      </c>
      <c r="G207" s="144">
        <v>1.1321000000000001</v>
      </c>
      <c r="H207" s="144"/>
      <c r="I207" s="9">
        <v>377474</v>
      </c>
      <c r="J207" s="9">
        <v>177307</v>
      </c>
      <c r="K207" s="9"/>
      <c r="L207" s="27">
        <v>201957</v>
      </c>
      <c r="M207" s="27">
        <v>164755</v>
      </c>
      <c r="N207" s="27"/>
      <c r="O207" s="145">
        <v>96.8</v>
      </c>
      <c r="P207" s="145">
        <v>17</v>
      </c>
      <c r="Q207" s="146">
        <v>96.8</v>
      </c>
      <c r="R207" s="146">
        <v>107.8</v>
      </c>
      <c r="S207" s="91">
        <v>214.8</v>
      </c>
      <c r="T207" s="91">
        <v>179.6</v>
      </c>
      <c r="U207" s="147"/>
    </row>
    <row r="208" spans="2:21" ht="15.75" customHeight="1">
      <c r="B208" s="292"/>
      <c r="C208" s="19">
        <v>0.875</v>
      </c>
      <c r="D208" s="5">
        <v>512995</v>
      </c>
      <c r="E208" s="11">
        <v>569764</v>
      </c>
      <c r="F208" s="10">
        <v>1.6047</v>
      </c>
      <c r="G208" s="144">
        <v>1.1322000000000001</v>
      </c>
      <c r="H208" s="144"/>
      <c r="I208" s="9">
        <v>377659</v>
      </c>
      <c r="J208" s="9">
        <v>177484</v>
      </c>
      <c r="K208" s="9"/>
      <c r="L208" s="27">
        <v>201962</v>
      </c>
      <c r="M208" s="27">
        <v>164763</v>
      </c>
      <c r="N208" s="27"/>
      <c r="O208" s="145">
        <v>99.3</v>
      </c>
      <c r="P208" s="145">
        <v>17</v>
      </c>
      <c r="Q208" s="146">
        <v>99.3</v>
      </c>
      <c r="R208" s="146">
        <v>111.1</v>
      </c>
      <c r="S208" s="91">
        <v>229.7</v>
      </c>
      <c r="T208" s="91">
        <v>191.2</v>
      </c>
      <c r="U208" s="147"/>
    </row>
    <row r="209" spans="2:21">
      <c r="B209" s="292"/>
      <c r="C209" s="19">
        <v>0.91666666666666696</v>
      </c>
      <c r="D209" s="5">
        <v>513002</v>
      </c>
      <c r="E209" s="11">
        <v>569786</v>
      </c>
      <c r="F209" s="10">
        <v>1.6047</v>
      </c>
      <c r="G209" s="144">
        <v>1.1322000000000001</v>
      </c>
      <c r="H209" s="144"/>
      <c r="I209" s="9">
        <v>377834</v>
      </c>
      <c r="J209" s="9">
        <v>177666</v>
      </c>
      <c r="K209" s="9"/>
      <c r="L209" s="27">
        <v>201967</v>
      </c>
      <c r="M209" s="27">
        <v>164771</v>
      </c>
      <c r="N209" s="27"/>
      <c r="O209" s="145">
        <v>98.7</v>
      </c>
      <c r="P209" s="145">
        <v>17</v>
      </c>
      <c r="Q209" s="146">
        <v>98.7</v>
      </c>
      <c r="R209" s="146">
        <v>106.5</v>
      </c>
      <c r="S209" s="91">
        <v>225.3</v>
      </c>
      <c r="T209" s="91">
        <v>198.7</v>
      </c>
      <c r="U209" s="147"/>
    </row>
    <row r="210" spans="2:21">
      <c r="B210" s="292"/>
      <c r="C210" s="19">
        <v>0.95833333333333304</v>
      </c>
      <c r="D210" s="5">
        <v>513009</v>
      </c>
      <c r="E210" s="11">
        <v>569808</v>
      </c>
      <c r="F210" s="10">
        <v>1.6047</v>
      </c>
      <c r="G210" s="144">
        <v>1.1322000000000001</v>
      </c>
      <c r="H210" s="144"/>
      <c r="I210" s="9">
        <v>378031</v>
      </c>
      <c r="J210" s="9">
        <v>177838</v>
      </c>
      <c r="K210" s="9"/>
      <c r="L210" s="27">
        <v>201972</v>
      </c>
      <c r="M210" s="27">
        <v>164781</v>
      </c>
      <c r="N210" s="27"/>
      <c r="O210" s="145">
        <v>98.3</v>
      </c>
      <c r="P210" s="145">
        <v>17</v>
      </c>
      <c r="Q210" s="146">
        <v>98.3</v>
      </c>
      <c r="R210" s="146">
        <v>104.8</v>
      </c>
      <c r="S210" s="91">
        <v>220.5</v>
      </c>
      <c r="T210" s="91">
        <v>180.6</v>
      </c>
      <c r="U210" s="147"/>
    </row>
    <row r="211" spans="2:21">
      <c r="B211" s="292"/>
      <c r="C211" s="19">
        <v>1</v>
      </c>
      <c r="D211" s="5">
        <v>513016</v>
      </c>
      <c r="E211" s="11">
        <v>569830</v>
      </c>
      <c r="F211" s="10">
        <v>1.6047</v>
      </c>
      <c r="G211" s="144">
        <v>1.1323000000000001</v>
      </c>
      <c r="H211" s="144"/>
      <c r="I211" s="9">
        <v>378227</v>
      </c>
      <c r="J211" s="9">
        <v>178008</v>
      </c>
      <c r="K211" s="9"/>
      <c r="L211" s="27">
        <v>201977</v>
      </c>
      <c r="M211" s="27">
        <v>164791</v>
      </c>
      <c r="N211" s="27"/>
      <c r="O211" s="145">
        <v>101.1</v>
      </c>
      <c r="P211" s="145">
        <v>17</v>
      </c>
      <c r="Q211" s="146">
        <v>101.1</v>
      </c>
      <c r="R211" s="146">
        <v>110.7</v>
      </c>
      <c r="S211" s="91">
        <v>233.5</v>
      </c>
      <c r="T211" s="91">
        <v>199.1</v>
      </c>
      <c r="U211" s="147"/>
    </row>
    <row r="212" spans="2:21">
      <c r="B212" s="292"/>
      <c r="C212" s="19">
        <v>1.0416666666666701</v>
      </c>
      <c r="D212" s="5">
        <v>513023</v>
      </c>
      <c r="E212" s="11">
        <v>569852</v>
      </c>
      <c r="F212" s="10">
        <v>1.6047</v>
      </c>
      <c r="G212" s="144">
        <v>1.1323000000000001</v>
      </c>
      <c r="H212" s="144"/>
      <c r="I212" s="9">
        <v>378425</v>
      </c>
      <c r="J212" s="9">
        <v>178182</v>
      </c>
      <c r="K212" s="9"/>
      <c r="L212" s="27">
        <v>201977</v>
      </c>
      <c r="M212" s="27">
        <v>164791</v>
      </c>
      <c r="N212" s="27"/>
      <c r="O212" s="145">
        <v>101.2</v>
      </c>
      <c r="P212" s="145">
        <v>17</v>
      </c>
      <c r="Q212" s="146">
        <v>101.2</v>
      </c>
      <c r="R212" s="146">
        <v>111.1</v>
      </c>
      <c r="S212" s="91">
        <v>229.7</v>
      </c>
      <c r="T212" s="91">
        <v>191.2</v>
      </c>
      <c r="U212" s="147"/>
    </row>
    <row r="213" spans="2:21">
      <c r="B213" s="292"/>
      <c r="C213" s="19">
        <v>1.0833333333333299</v>
      </c>
      <c r="D213" s="5">
        <v>513029</v>
      </c>
      <c r="E213" s="11">
        <v>569873</v>
      </c>
      <c r="F213" s="10">
        <v>1.6047</v>
      </c>
      <c r="G213" s="144">
        <v>1.1324000000000001</v>
      </c>
      <c r="H213" s="144"/>
      <c r="I213" s="9">
        <v>378617</v>
      </c>
      <c r="J213" s="9">
        <v>178349</v>
      </c>
      <c r="K213" s="9"/>
      <c r="L213" s="27">
        <v>201977</v>
      </c>
      <c r="M213" s="27">
        <v>164791</v>
      </c>
      <c r="N213" s="27"/>
      <c r="O213" s="145">
        <v>100.4</v>
      </c>
      <c r="P213" s="145">
        <v>17</v>
      </c>
      <c r="Q213" s="146">
        <v>100.4</v>
      </c>
      <c r="R213" s="146">
        <v>111.2</v>
      </c>
      <c r="S213" s="91">
        <v>223.5</v>
      </c>
      <c r="T213" s="91">
        <v>189.6</v>
      </c>
      <c r="U213" s="147"/>
    </row>
    <row r="214" spans="2:21">
      <c r="B214" s="292"/>
      <c r="C214" s="19">
        <v>1.125</v>
      </c>
      <c r="D214" s="5">
        <v>513037</v>
      </c>
      <c r="E214" s="11">
        <v>569896</v>
      </c>
      <c r="F214" s="10">
        <v>1.6047</v>
      </c>
      <c r="G214" s="144">
        <v>1.1324000000000001</v>
      </c>
      <c r="H214" s="144"/>
      <c r="I214" s="9">
        <v>378819</v>
      </c>
      <c r="J214" s="9">
        <v>178526</v>
      </c>
      <c r="K214" s="9"/>
      <c r="L214" s="27">
        <v>201979</v>
      </c>
      <c r="M214" s="27">
        <v>164793</v>
      </c>
      <c r="N214" s="27"/>
      <c r="O214" s="145">
        <v>100</v>
      </c>
      <c r="P214" s="145">
        <v>17</v>
      </c>
      <c r="Q214" s="146">
        <v>100</v>
      </c>
      <c r="R214" s="146">
        <v>112.4</v>
      </c>
      <c r="S214" s="91">
        <v>236.1</v>
      </c>
      <c r="T214" s="91">
        <v>191.5</v>
      </c>
      <c r="U214" s="147"/>
    </row>
    <row r="215" spans="2:21">
      <c r="B215" s="292"/>
      <c r="C215" s="19">
        <v>1.1666666666666701</v>
      </c>
      <c r="D215" s="5">
        <v>513045</v>
      </c>
      <c r="E215" s="11">
        <v>569915</v>
      </c>
      <c r="F215" s="10">
        <v>1.6047</v>
      </c>
      <c r="G215" s="144">
        <v>1.1324000000000001</v>
      </c>
      <c r="H215" s="144"/>
      <c r="I215" s="9">
        <v>379126</v>
      </c>
      <c r="J215" s="9">
        <v>178833</v>
      </c>
      <c r="K215" s="9"/>
      <c r="L215" s="27">
        <v>201981</v>
      </c>
      <c r="M215" s="27">
        <v>164795</v>
      </c>
      <c r="N215" s="27"/>
      <c r="O215" s="145">
        <v>100.2</v>
      </c>
      <c r="P215" s="145">
        <v>17</v>
      </c>
      <c r="Q215" s="146">
        <v>100.2</v>
      </c>
      <c r="R215" s="146">
        <v>108.2</v>
      </c>
      <c r="S215" s="91">
        <v>219.8</v>
      </c>
      <c r="T215" s="91">
        <v>197.4</v>
      </c>
      <c r="U215" s="147"/>
    </row>
    <row r="216" spans="2:21">
      <c r="B216" s="292"/>
      <c r="C216" s="19">
        <v>1.2083333333333299</v>
      </c>
      <c r="D216" s="5">
        <v>513053</v>
      </c>
      <c r="E216" s="11">
        <v>569934</v>
      </c>
      <c r="F216" s="10">
        <v>1.6047</v>
      </c>
      <c r="G216" s="10">
        <v>1.1325000000000001</v>
      </c>
      <c r="H216" s="144"/>
      <c r="I216" s="9">
        <v>379437</v>
      </c>
      <c r="J216" s="9">
        <v>179144</v>
      </c>
      <c r="K216" s="9"/>
      <c r="L216" s="27">
        <v>201983</v>
      </c>
      <c r="M216" s="27">
        <v>164797</v>
      </c>
      <c r="N216" s="27"/>
      <c r="O216" s="145">
        <v>100.6</v>
      </c>
      <c r="P216" s="145">
        <v>17</v>
      </c>
      <c r="Q216" s="146">
        <v>100.6</v>
      </c>
      <c r="R216" s="146">
        <v>110.4</v>
      </c>
      <c r="S216" s="91">
        <v>234.9</v>
      </c>
      <c r="T216" s="91">
        <v>192.6</v>
      </c>
      <c r="U216" s="147"/>
    </row>
    <row r="217" spans="2:21">
      <c r="B217" s="292"/>
      <c r="C217" s="19">
        <v>1.25</v>
      </c>
      <c r="D217" s="5">
        <v>513061</v>
      </c>
      <c r="E217" s="11">
        <v>569953</v>
      </c>
      <c r="F217" s="10">
        <v>1.6047</v>
      </c>
      <c r="G217" s="10">
        <v>1.1325000000000001</v>
      </c>
      <c r="H217" s="144"/>
      <c r="I217" s="9">
        <v>379741</v>
      </c>
      <c r="J217" s="9">
        <v>179448</v>
      </c>
      <c r="K217" s="9"/>
      <c r="L217" s="27">
        <v>201985</v>
      </c>
      <c r="M217" s="27">
        <v>164799</v>
      </c>
      <c r="N217" s="27"/>
      <c r="O217" s="145">
        <v>101.3</v>
      </c>
      <c r="P217" s="145">
        <v>17</v>
      </c>
      <c r="Q217" s="146">
        <v>101.3</v>
      </c>
      <c r="R217" s="146">
        <v>112.1</v>
      </c>
      <c r="S217" s="91">
        <v>232.1</v>
      </c>
      <c r="T217" s="91">
        <v>192.3</v>
      </c>
      <c r="U217" s="147"/>
    </row>
    <row r="218" spans="2:21">
      <c r="B218" s="292"/>
      <c r="C218" s="19">
        <v>1.2916666666666701</v>
      </c>
      <c r="D218" s="5">
        <v>513072</v>
      </c>
      <c r="E218" s="11">
        <v>569973</v>
      </c>
      <c r="F218" s="10">
        <v>1.6047</v>
      </c>
      <c r="G218" s="10">
        <v>1.1325000000000001</v>
      </c>
      <c r="H218" s="144"/>
      <c r="I218" s="9">
        <v>380057</v>
      </c>
      <c r="J218" s="9">
        <v>179763</v>
      </c>
      <c r="K218" s="9"/>
      <c r="L218" s="27">
        <v>202014</v>
      </c>
      <c r="M218" s="27">
        <v>164867</v>
      </c>
      <c r="N218" s="27"/>
      <c r="O218" s="145">
        <v>98.1</v>
      </c>
      <c r="P218" s="145">
        <v>17</v>
      </c>
      <c r="Q218" s="146">
        <v>98.1</v>
      </c>
      <c r="R218" s="146">
        <v>106</v>
      </c>
      <c r="S218" s="91">
        <v>215.9</v>
      </c>
      <c r="T218" s="91">
        <v>198.5</v>
      </c>
      <c r="U218" s="147"/>
    </row>
    <row r="219" spans="2:21">
      <c r="B219" s="293"/>
      <c r="C219" s="6"/>
      <c r="D219" s="13" cm="1">
        <f t="array" ref="D219">IFERROR(LOOKUP(2,1/(D194:D218&gt;0),D194:D218-D194),0)</f>
        <v>195</v>
      </c>
      <c r="E219" s="13" cm="1">
        <f t="array" ref="E219">IFERROR(LOOKUP(2,1/(E194:E218&gt;0),E194:E218-E194),0)</f>
        <v>538</v>
      </c>
      <c r="F219" s="13" cm="1">
        <f t="array" ref="F219">IFERROR(LOOKUP(2,1/(F194:F218&gt;0),F194:F218-F194),0)</f>
        <v>5.9999999999993392E-4</v>
      </c>
      <c r="G219" s="13" cm="1">
        <f t="array" ref="G219">IFERROR(LOOKUP(2,1/(G194:G218&gt;0),G194:G218-G194),0)</f>
        <v>3.9999999999995595E-4</v>
      </c>
      <c r="H219" s="13">
        <f>F219+G219</f>
        <v>9.9999999999988987E-4</v>
      </c>
      <c r="I219" s="13" cm="1">
        <f t="array" ref="I219">IFERROR(LOOKUP(2,1/(I194:I218&gt;0),I194:I218-I194),0)</f>
        <v>6057</v>
      </c>
      <c r="J219" s="13" cm="1">
        <f t="array" ref="J219">IFERROR(LOOKUP(2,1/(J194:J218&gt;0),J194:J218-J194),0)</f>
        <v>5754</v>
      </c>
      <c r="K219" s="13">
        <f>I219+J219</f>
        <v>11811</v>
      </c>
      <c r="L219" s="13" cm="1">
        <f t="array" ref="L219">IFERROR(LOOKUP(2,1/(L194:L218&gt;0),L194:L218-L194),0)</f>
        <v>131</v>
      </c>
      <c r="M219" s="13" cm="1">
        <f t="array" ref="M219">IFERROR(LOOKUP(2,1/(M194:M218&gt;0),M194:M218-M194),0)</f>
        <v>301</v>
      </c>
      <c r="N219" s="13">
        <f>L219+M219</f>
        <v>432</v>
      </c>
      <c r="O219" s="148">
        <f t="shared" ref="O219:T219" si="7">IFERROR(AVERAGE(O194:O218),0)</f>
        <v>99.115999999999985</v>
      </c>
      <c r="P219" s="148">
        <f t="shared" si="7"/>
        <v>17</v>
      </c>
      <c r="Q219" s="148">
        <f t="shared" si="7"/>
        <v>99.115999999999985</v>
      </c>
      <c r="R219" s="148">
        <f t="shared" si="7"/>
        <v>108.91599999999998</v>
      </c>
      <c r="S219" s="148">
        <f t="shared" si="7"/>
        <v>222.48400000000001</v>
      </c>
      <c r="T219" s="148">
        <f t="shared" si="7"/>
        <v>192.59199999999998</v>
      </c>
      <c r="U219" s="148">
        <f>COUNT(U194:U218)</f>
        <v>0</v>
      </c>
    </row>
    <row r="220" spans="2:21">
      <c r="B220" s="291">
        <f>'DATA B1'!B220</f>
        <v>46031</v>
      </c>
      <c r="C220" s="19">
        <v>0.29166666666666669</v>
      </c>
      <c r="D220" s="5">
        <v>513072</v>
      </c>
      <c r="E220" s="11">
        <v>569973</v>
      </c>
      <c r="F220" s="10">
        <v>1.6047</v>
      </c>
      <c r="G220" s="10">
        <v>1.1325000000000001</v>
      </c>
      <c r="H220" s="144"/>
      <c r="I220" s="9">
        <v>380057</v>
      </c>
      <c r="J220" s="9">
        <v>179763</v>
      </c>
      <c r="K220" s="9"/>
      <c r="L220" s="27">
        <v>202014</v>
      </c>
      <c r="M220" s="27">
        <v>164867</v>
      </c>
      <c r="N220" s="27"/>
      <c r="O220" s="145">
        <v>98.1</v>
      </c>
      <c r="P220" s="145">
        <v>17</v>
      </c>
      <c r="Q220" s="146">
        <v>98.1</v>
      </c>
      <c r="R220" s="146">
        <v>106</v>
      </c>
      <c r="S220" s="91">
        <v>215.9</v>
      </c>
      <c r="T220" s="91">
        <v>198.5</v>
      </c>
      <c r="U220" s="147"/>
    </row>
    <row r="221" spans="2:21">
      <c r="B221" s="292"/>
      <c r="C221" s="19">
        <v>0.33333333333333298</v>
      </c>
      <c r="D221" s="5">
        <v>513080</v>
      </c>
      <c r="E221" s="11">
        <v>569999</v>
      </c>
      <c r="F221" s="10">
        <v>1.6048</v>
      </c>
      <c r="G221" s="144">
        <v>1.1325000000000001</v>
      </c>
      <c r="H221" s="144"/>
      <c r="I221" s="9">
        <v>380305</v>
      </c>
      <c r="J221" s="9">
        <v>179998</v>
      </c>
      <c r="K221" s="9"/>
      <c r="L221" s="27">
        <v>202018</v>
      </c>
      <c r="M221" s="27">
        <v>164870</v>
      </c>
      <c r="N221" s="27"/>
      <c r="O221" s="145">
        <v>96.7</v>
      </c>
      <c r="P221" s="145">
        <v>17</v>
      </c>
      <c r="Q221" s="146">
        <v>96.7</v>
      </c>
      <c r="R221" s="146">
        <v>105.6</v>
      </c>
      <c r="S221" s="91">
        <v>199.1</v>
      </c>
      <c r="T221" s="91">
        <v>179.5</v>
      </c>
      <c r="U221" s="147"/>
    </row>
    <row r="222" spans="2:21">
      <c r="B222" s="292"/>
      <c r="C222" s="19">
        <v>0.375</v>
      </c>
      <c r="D222" s="5">
        <v>513088</v>
      </c>
      <c r="E222" s="11">
        <v>570019</v>
      </c>
      <c r="F222" s="10">
        <v>1.6048</v>
      </c>
      <c r="G222" s="144">
        <v>1.1325000000000001</v>
      </c>
      <c r="H222" s="144"/>
      <c r="I222" s="9">
        <v>380575</v>
      </c>
      <c r="J222" s="9">
        <v>180258</v>
      </c>
      <c r="K222" s="9"/>
      <c r="L222" s="27">
        <v>202023</v>
      </c>
      <c r="M222" s="27">
        <v>164875</v>
      </c>
      <c r="N222" s="27"/>
      <c r="O222" s="145">
        <v>98.1</v>
      </c>
      <c r="P222" s="145">
        <v>17</v>
      </c>
      <c r="Q222" s="146">
        <v>98.1</v>
      </c>
      <c r="R222" s="146">
        <v>107.2</v>
      </c>
      <c r="S222" s="91">
        <v>215.8</v>
      </c>
      <c r="T222" s="91">
        <v>180.7</v>
      </c>
      <c r="U222" s="147"/>
    </row>
    <row r="223" spans="2:21">
      <c r="B223" s="292"/>
      <c r="C223" s="19">
        <v>0.41666666666666702</v>
      </c>
      <c r="D223" s="5">
        <v>513096</v>
      </c>
      <c r="E223" s="11">
        <v>570039</v>
      </c>
      <c r="F223" s="10">
        <v>1.6048</v>
      </c>
      <c r="G223" s="144">
        <v>1.1325000000000001</v>
      </c>
      <c r="H223" s="144"/>
      <c r="I223" s="9">
        <v>380847</v>
      </c>
      <c r="J223" s="9">
        <v>180518</v>
      </c>
      <c r="K223" s="9"/>
      <c r="L223" s="27">
        <v>202028</v>
      </c>
      <c r="M223" s="27">
        <v>164880</v>
      </c>
      <c r="N223" s="27"/>
      <c r="O223" s="145">
        <v>97.7</v>
      </c>
      <c r="P223" s="145">
        <v>17</v>
      </c>
      <c r="Q223" s="146">
        <v>97.7</v>
      </c>
      <c r="R223" s="146">
        <v>107.5</v>
      </c>
      <c r="S223" s="91">
        <v>210.3</v>
      </c>
      <c r="T223" s="91">
        <v>199.2</v>
      </c>
      <c r="U223" s="147"/>
    </row>
    <row r="224" spans="2:21">
      <c r="B224" s="292"/>
      <c r="C224" s="19">
        <v>0.45833333333333298</v>
      </c>
      <c r="D224" s="5">
        <v>513106</v>
      </c>
      <c r="E224" s="11">
        <v>570061</v>
      </c>
      <c r="F224" s="10">
        <v>1.6049</v>
      </c>
      <c r="G224" s="144">
        <v>1.1325000000000001</v>
      </c>
      <c r="H224" s="144"/>
      <c r="I224" s="9">
        <v>381128</v>
      </c>
      <c r="J224" s="9">
        <v>180778</v>
      </c>
      <c r="K224" s="9"/>
      <c r="L224" s="27">
        <v>202033</v>
      </c>
      <c r="M224" s="27">
        <v>164887</v>
      </c>
      <c r="N224" s="27"/>
      <c r="O224" s="145">
        <v>95.4</v>
      </c>
      <c r="P224" s="145">
        <v>17</v>
      </c>
      <c r="Q224" s="146">
        <v>95.4</v>
      </c>
      <c r="R224" s="146">
        <v>106.3</v>
      </c>
      <c r="S224" s="91">
        <v>197.4</v>
      </c>
      <c r="T224" s="91">
        <v>182.4</v>
      </c>
      <c r="U224" s="147"/>
    </row>
    <row r="225" spans="2:21">
      <c r="B225" s="292"/>
      <c r="C225" s="19">
        <v>0.5</v>
      </c>
      <c r="D225" s="5">
        <v>513114</v>
      </c>
      <c r="E225" s="11">
        <v>570080</v>
      </c>
      <c r="F225" s="10">
        <v>1.6049</v>
      </c>
      <c r="G225" s="144">
        <v>1.1325000000000001</v>
      </c>
      <c r="H225" s="144"/>
      <c r="I225" s="9">
        <v>381373</v>
      </c>
      <c r="J225" s="9">
        <v>181011</v>
      </c>
      <c r="K225" s="9"/>
      <c r="L225" s="27">
        <v>202038</v>
      </c>
      <c r="M225" s="27">
        <v>164907</v>
      </c>
      <c r="N225" s="27"/>
      <c r="O225" s="145">
        <v>98.7</v>
      </c>
      <c r="P225" s="145">
        <v>17</v>
      </c>
      <c r="Q225" s="146">
        <v>98.7</v>
      </c>
      <c r="R225" s="146">
        <v>106.5</v>
      </c>
      <c r="S225" s="91">
        <v>225.3</v>
      </c>
      <c r="T225" s="91">
        <v>198.7</v>
      </c>
      <c r="U225" s="147"/>
    </row>
    <row r="226" spans="2:21">
      <c r="B226" s="292"/>
      <c r="C226" s="19">
        <v>0.54166666666666696</v>
      </c>
      <c r="D226" s="5">
        <v>513122</v>
      </c>
      <c r="E226" s="11">
        <v>570099</v>
      </c>
      <c r="F226" s="10">
        <v>1.6049</v>
      </c>
      <c r="G226" s="144">
        <v>1.1325000000000001</v>
      </c>
      <c r="H226" s="144"/>
      <c r="I226" s="9">
        <v>381615</v>
      </c>
      <c r="J226" s="9">
        <v>181244</v>
      </c>
      <c r="K226" s="9"/>
      <c r="L226" s="27">
        <v>202043</v>
      </c>
      <c r="M226" s="27">
        <v>164927</v>
      </c>
      <c r="N226" s="27"/>
      <c r="O226" s="145">
        <v>97.7</v>
      </c>
      <c r="P226" s="145">
        <v>17</v>
      </c>
      <c r="Q226" s="146">
        <v>97.7</v>
      </c>
      <c r="R226" s="146">
        <v>107.5</v>
      </c>
      <c r="S226" s="91">
        <v>210.3</v>
      </c>
      <c r="T226" s="91">
        <v>199.2</v>
      </c>
      <c r="U226" s="147"/>
    </row>
    <row r="227" spans="2:21">
      <c r="B227" s="292"/>
      <c r="C227" s="19">
        <v>0.58333333333333304</v>
      </c>
      <c r="D227" s="5">
        <v>513130</v>
      </c>
      <c r="E227" s="11">
        <v>570118</v>
      </c>
      <c r="F227" s="144">
        <v>1.605</v>
      </c>
      <c r="G227" s="144">
        <v>1.1325000000000001</v>
      </c>
      <c r="H227" s="144"/>
      <c r="I227" s="9">
        <v>381863</v>
      </c>
      <c r="J227" s="9">
        <v>181477</v>
      </c>
      <c r="K227" s="9"/>
      <c r="L227" s="27">
        <v>202048</v>
      </c>
      <c r="M227" s="27">
        <v>164947</v>
      </c>
      <c r="N227" s="27"/>
      <c r="O227" s="145">
        <v>99.4</v>
      </c>
      <c r="P227" s="145">
        <v>17</v>
      </c>
      <c r="Q227" s="146">
        <v>99.4</v>
      </c>
      <c r="R227" s="146">
        <v>107.5</v>
      </c>
      <c r="S227" s="91">
        <v>213.6</v>
      </c>
      <c r="T227" s="247">
        <v>176</v>
      </c>
      <c r="U227" s="149"/>
    </row>
    <row r="228" spans="2:21">
      <c r="B228" s="292"/>
      <c r="C228" s="19">
        <v>0.625</v>
      </c>
      <c r="D228" s="5">
        <v>513138</v>
      </c>
      <c r="E228" s="11">
        <v>570139</v>
      </c>
      <c r="F228" s="144">
        <v>1.605</v>
      </c>
      <c r="G228" s="144">
        <v>1.1325000000000001</v>
      </c>
      <c r="H228" s="144"/>
      <c r="I228" s="9">
        <v>382111</v>
      </c>
      <c r="J228" s="9">
        <v>181712</v>
      </c>
      <c r="K228" s="9"/>
      <c r="L228" s="27">
        <v>202056</v>
      </c>
      <c r="M228" s="27">
        <v>164948</v>
      </c>
      <c r="N228" s="27"/>
      <c r="O228" s="145">
        <v>94.4</v>
      </c>
      <c r="P228" s="145">
        <v>17</v>
      </c>
      <c r="Q228" s="146">
        <v>94.4</v>
      </c>
      <c r="R228" s="146">
        <v>103.8</v>
      </c>
      <c r="S228" s="91">
        <v>197.2</v>
      </c>
      <c r="T228" s="91">
        <v>181.8</v>
      </c>
      <c r="U228" s="147"/>
    </row>
    <row r="229" spans="2:21">
      <c r="B229" s="292"/>
      <c r="C229" s="19">
        <v>0.66666666666666696</v>
      </c>
      <c r="D229" s="5">
        <v>513146</v>
      </c>
      <c r="E229" s="11">
        <v>570161</v>
      </c>
      <c r="F229" s="144">
        <v>1.605</v>
      </c>
      <c r="G229" s="144">
        <v>1.1325000000000001</v>
      </c>
      <c r="H229" s="144"/>
      <c r="I229" s="9">
        <v>382359</v>
      </c>
      <c r="J229" s="9">
        <v>181957</v>
      </c>
      <c r="K229" s="9"/>
      <c r="L229" s="27">
        <v>200260</v>
      </c>
      <c r="M229" s="27">
        <v>164953</v>
      </c>
      <c r="N229" s="27"/>
      <c r="O229" s="145">
        <v>98.1</v>
      </c>
      <c r="P229" s="145">
        <v>17</v>
      </c>
      <c r="Q229" s="146">
        <v>98.1</v>
      </c>
      <c r="R229" s="146">
        <v>106</v>
      </c>
      <c r="S229" s="91">
        <v>215.9</v>
      </c>
      <c r="T229" s="91">
        <v>198.5</v>
      </c>
      <c r="U229" s="147"/>
    </row>
    <row r="230" spans="2:21">
      <c r="B230" s="292"/>
      <c r="C230" s="19">
        <v>0.70833333333333304</v>
      </c>
      <c r="D230" s="5">
        <v>513155</v>
      </c>
      <c r="E230" s="11">
        <v>570183</v>
      </c>
      <c r="F230" s="10">
        <v>1.6051</v>
      </c>
      <c r="G230" s="144">
        <v>1.1325000000000001</v>
      </c>
      <c r="H230" s="144"/>
      <c r="I230" s="9">
        <v>382657</v>
      </c>
      <c r="J230" s="9">
        <v>182232</v>
      </c>
      <c r="K230" s="9"/>
      <c r="L230" s="27">
        <v>198464</v>
      </c>
      <c r="M230" s="27">
        <v>164958</v>
      </c>
      <c r="N230" s="27"/>
      <c r="O230" s="145">
        <v>99.1</v>
      </c>
      <c r="P230" s="145">
        <v>17</v>
      </c>
      <c r="Q230" s="146">
        <v>99.1</v>
      </c>
      <c r="R230" s="146">
        <v>109.2</v>
      </c>
      <c r="S230" s="91">
        <v>213.9</v>
      </c>
      <c r="T230" s="91">
        <v>199.6</v>
      </c>
      <c r="U230" s="147"/>
    </row>
    <row r="231" spans="2:21">
      <c r="B231" s="292"/>
      <c r="C231" s="19">
        <v>0.75</v>
      </c>
      <c r="D231" s="5">
        <v>513164</v>
      </c>
      <c r="E231" s="11">
        <v>570205</v>
      </c>
      <c r="F231" s="10">
        <v>1.6051</v>
      </c>
      <c r="G231" s="144">
        <v>1.1325000000000001</v>
      </c>
      <c r="H231" s="144"/>
      <c r="I231" s="9">
        <v>382945</v>
      </c>
      <c r="J231" s="9">
        <v>182507</v>
      </c>
      <c r="K231" s="9"/>
      <c r="L231" s="27">
        <v>196668</v>
      </c>
      <c r="M231" s="27">
        <v>164963</v>
      </c>
      <c r="N231" s="27"/>
      <c r="O231" s="145">
        <v>98.9</v>
      </c>
      <c r="P231" s="145">
        <v>17</v>
      </c>
      <c r="Q231" s="146">
        <v>98.9</v>
      </c>
      <c r="R231" s="146">
        <v>110.1</v>
      </c>
      <c r="S231" s="91">
        <v>227.5</v>
      </c>
      <c r="T231" s="91">
        <v>186.9</v>
      </c>
      <c r="U231" s="147"/>
    </row>
    <row r="232" spans="2:21">
      <c r="B232" s="292"/>
      <c r="C232" s="19">
        <v>0.79166666666666696</v>
      </c>
      <c r="D232" s="5">
        <v>513173</v>
      </c>
      <c r="E232" s="11">
        <v>570228</v>
      </c>
      <c r="F232" s="10">
        <v>1.6051</v>
      </c>
      <c r="G232" s="144">
        <v>1.1325000000000001</v>
      </c>
      <c r="H232" s="144"/>
      <c r="I232" s="9">
        <v>383226</v>
      </c>
      <c r="J232" s="9">
        <v>182772</v>
      </c>
      <c r="K232" s="9"/>
      <c r="L232" s="27">
        <v>202075</v>
      </c>
      <c r="M232" s="27">
        <v>164970</v>
      </c>
      <c r="N232" s="27"/>
      <c r="O232" s="145">
        <v>96.4</v>
      </c>
      <c r="P232" s="145">
        <v>17</v>
      </c>
      <c r="Q232" s="146">
        <v>96.4</v>
      </c>
      <c r="R232" s="146">
        <v>104.9</v>
      </c>
      <c r="S232" s="91">
        <v>198.2</v>
      </c>
      <c r="T232" s="91">
        <v>176.5</v>
      </c>
      <c r="U232" s="147"/>
    </row>
    <row r="233" spans="2:21">
      <c r="B233" s="292"/>
      <c r="C233" s="19">
        <v>0.83333333333333304</v>
      </c>
      <c r="D233" s="5">
        <v>513181</v>
      </c>
      <c r="E233" s="11">
        <v>570248</v>
      </c>
      <c r="F233" s="10">
        <v>1.6052</v>
      </c>
      <c r="G233" s="144">
        <v>1.1325000000000001</v>
      </c>
      <c r="H233" s="144"/>
      <c r="I233" s="9">
        <v>383479</v>
      </c>
      <c r="J233" s="9">
        <v>183012</v>
      </c>
      <c r="K233" s="9"/>
      <c r="L233" s="27">
        <v>202080</v>
      </c>
      <c r="M233" s="27">
        <v>164974</v>
      </c>
      <c r="N233" s="27"/>
      <c r="O233" s="145">
        <v>96.7</v>
      </c>
      <c r="P233" s="145">
        <v>17</v>
      </c>
      <c r="Q233" s="146">
        <v>96.7</v>
      </c>
      <c r="R233" s="146">
        <v>106.8</v>
      </c>
      <c r="S233" s="91">
        <v>227.4</v>
      </c>
      <c r="T233" s="91">
        <v>200.9</v>
      </c>
      <c r="U233" s="147"/>
    </row>
    <row r="234" spans="2:21">
      <c r="B234" s="292"/>
      <c r="C234" s="19">
        <v>0.875</v>
      </c>
      <c r="D234" s="5">
        <v>513190</v>
      </c>
      <c r="E234" s="11">
        <v>570266</v>
      </c>
      <c r="F234" s="10">
        <v>1.6052</v>
      </c>
      <c r="G234" s="144">
        <v>1.1326000000000001</v>
      </c>
      <c r="H234" s="144"/>
      <c r="I234" s="9">
        <v>383744</v>
      </c>
      <c r="J234" s="9">
        <v>183265</v>
      </c>
      <c r="K234" s="9"/>
      <c r="L234" s="27">
        <v>202085</v>
      </c>
      <c r="M234" s="27">
        <v>164978</v>
      </c>
      <c r="N234" s="27"/>
      <c r="O234" s="243">
        <v>101</v>
      </c>
      <c r="P234" s="145">
        <v>17</v>
      </c>
      <c r="Q234" s="244">
        <v>101</v>
      </c>
      <c r="R234" s="146">
        <v>113.5</v>
      </c>
      <c r="S234" s="91">
        <v>231.1</v>
      </c>
      <c r="T234" s="91">
        <v>200.2</v>
      </c>
      <c r="U234" s="147"/>
    </row>
    <row r="235" spans="2:21">
      <c r="B235" s="292"/>
      <c r="C235" s="19">
        <v>0.91666666666666696</v>
      </c>
      <c r="D235" s="5">
        <v>513199</v>
      </c>
      <c r="E235" s="11">
        <v>570284</v>
      </c>
      <c r="F235" s="10">
        <v>1.6052999999999999</v>
      </c>
      <c r="G235" s="144">
        <v>1.1326000000000001</v>
      </c>
      <c r="H235" s="144"/>
      <c r="I235" s="9">
        <v>384009</v>
      </c>
      <c r="J235" s="9">
        <v>183518</v>
      </c>
      <c r="K235" s="9"/>
      <c r="L235" s="27">
        <v>202090</v>
      </c>
      <c r="M235" s="27">
        <v>164982</v>
      </c>
      <c r="N235" s="27"/>
      <c r="O235" s="145">
        <v>101.1</v>
      </c>
      <c r="P235" s="145">
        <v>17</v>
      </c>
      <c r="Q235" s="146">
        <v>101.1</v>
      </c>
      <c r="R235" s="146">
        <v>109.4</v>
      </c>
      <c r="S235" s="91">
        <v>226.1</v>
      </c>
      <c r="T235" s="91">
        <v>197.8</v>
      </c>
      <c r="U235" s="147"/>
    </row>
    <row r="236" spans="2:21">
      <c r="B236" s="292"/>
      <c r="C236" s="19">
        <v>0.95833333333333304</v>
      </c>
      <c r="D236" s="5">
        <v>513208</v>
      </c>
      <c r="E236" s="11">
        <v>570303</v>
      </c>
      <c r="F236" s="10">
        <v>1.6052999999999999</v>
      </c>
      <c r="G236" s="144">
        <v>1.1326000000000001</v>
      </c>
      <c r="H236" s="144"/>
      <c r="I236" s="9">
        <v>384276</v>
      </c>
      <c r="J236" s="9">
        <v>183771</v>
      </c>
      <c r="K236" s="9"/>
      <c r="L236" s="27">
        <v>202095</v>
      </c>
      <c r="M236" s="27">
        <v>164994</v>
      </c>
      <c r="N236" s="27"/>
      <c r="O236" s="145">
        <v>95.9</v>
      </c>
      <c r="P236" s="145">
        <v>17</v>
      </c>
      <c r="Q236" s="146">
        <v>95.9</v>
      </c>
      <c r="R236" s="146">
        <v>106.4</v>
      </c>
      <c r="S236" s="91">
        <v>234.3</v>
      </c>
      <c r="T236" s="91">
        <v>199.6</v>
      </c>
      <c r="U236" s="147"/>
    </row>
    <row r="237" spans="2:21">
      <c r="B237" s="292"/>
      <c r="C237" s="19">
        <v>1</v>
      </c>
      <c r="D237" s="5">
        <v>513216</v>
      </c>
      <c r="E237" s="11">
        <v>570322</v>
      </c>
      <c r="F237" s="10">
        <v>1.6052999999999999</v>
      </c>
      <c r="G237" s="144">
        <v>1.1327</v>
      </c>
      <c r="H237" s="144"/>
      <c r="I237" s="9">
        <v>384541</v>
      </c>
      <c r="J237" s="9">
        <v>184022</v>
      </c>
      <c r="K237" s="9"/>
      <c r="L237" s="27">
        <v>202100</v>
      </c>
      <c r="M237" s="27">
        <v>165006</v>
      </c>
      <c r="N237" s="27"/>
      <c r="O237" s="145">
        <v>101.3</v>
      </c>
      <c r="P237" s="145">
        <v>17</v>
      </c>
      <c r="Q237" s="146">
        <v>101.3</v>
      </c>
      <c r="R237" s="146">
        <v>113.8</v>
      </c>
      <c r="S237" s="91">
        <v>232</v>
      </c>
      <c r="T237" s="91">
        <v>200</v>
      </c>
      <c r="U237" s="147"/>
    </row>
    <row r="238" spans="2:21">
      <c r="B238" s="292"/>
      <c r="C238" s="19">
        <v>1.0416666666666701</v>
      </c>
      <c r="D238" s="5">
        <v>513226</v>
      </c>
      <c r="E238" s="11">
        <v>570341</v>
      </c>
      <c r="F238" s="10">
        <v>1.6052999999999999</v>
      </c>
      <c r="G238" s="144">
        <v>1.1327</v>
      </c>
      <c r="H238" s="144"/>
      <c r="I238" s="9">
        <v>384810</v>
      </c>
      <c r="J238" s="9">
        <v>184277</v>
      </c>
      <c r="K238" s="9"/>
      <c r="L238" s="27">
        <v>202100</v>
      </c>
      <c r="M238" s="27">
        <v>165006</v>
      </c>
      <c r="N238" s="27"/>
      <c r="O238" s="145">
        <v>101.2</v>
      </c>
      <c r="P238" s="145">
        <v>17</v>
      </c>
      <c r="Q238" s="146">
        <v>101.2</v>
      </c>
      <c r="R238" s="146">
        <v>111.9</v>
      </c>
      <c r="S238" s="91">
        <v>231.6</v>
      </c>
      <c r="T238" s="91">
        <v>198.6</v>
      </c>
      <c r="U238" s="147"/>
    </row>
    <row r="239" spans="2:21">
      <c r="B239" s="292"/>
      <c r="C239" s="19">
        <v>1.0833333333333299</v>
      </c>
      <c r="D239" s="5">
        <v>513234</v>
      </c>
      <c r="E239" s="11">
        <v>570359</v>
      </c>
      <c r="F239" s="10">
        <v>1.6052999999999999</v>
      </c>
      <c r="G239" s="144">
        <v>1.1327</v>
      </c>
      <c r="H239" s="144"/>
      <c r="I239" s="9">
        <v>385072</v>
      </c>
      <c r="J239" s="9">
        <v>184525</v>
      </c>
      <c r="K239" s="9"/>
      <c r="L239" s="27">
        <v>202100</v>
      </c>
      <c r="M239" s="27">
        <v>165006</v>
      </c>
      <c r="N239" s="27"/>
      <c r="O239" s="145">
        <v>101.2</v>
      </c>
      <c r="P239" s="145">
        <v>17</v>
      </c>
      <c r="Q239" s="146">
        <v>101.2</v>
      </c>
      <c r="R239" s="146">
        <v>111.1</v>
      </c>
      <c r="S239" s="91">
        <v>199.1</v>
      </c>
      <c r="T239" s="91">
        <v>194.1</v>
      </c>
      <c r="U239" s="147"/>
    </row>
    <row r="240" spans="2:21">
      <c r="B240" s="292"/>
      <c r="C240" s="19">
        <v>1.125</v>
      </c>
      <c r="D240" s="5">
        <v>513244</v>
      </c>
      <c r="E240" s="11">
        <v>570379</v>
      </c>
      <c r="F240" s="10">
        <v>1.6052999999999999</v>
      </c>
      <c r="G240" s="144">
        <v>1.1328</v>
      </c>
      <c r="H240" s="144"/>
      <c r="I240" s="9">
        <v>385344</v>
      </c>
      <c r="J240" s="9">
        <v>184783</v>
      </c>
      <c r="K240" s="9"/>
      <c r="L240" s="27">
        <v>202103</v>
      </c>
      <c r="M240" s="27">
        <v>165009</v>
      </c>
      <c r="N240" s="27"/>
      <c r="O240" s="145">
        <v>101.2</v>
      </c>
      <c r="P240" s="145">
        <v>17</v>
      </c>
      <c r="Q240" s="146">
        <v>101.2</v>
      </c>
      <c r="R240" s="146">
        <v>111.9</v>
      </c>
      <c r="S240" s="91">
        <v>231.6</v>
      </c>
      <c r="T240" s="91">
        <v>198.6</v>
      </c>
      <c r="U240" s="147"/>
    </row>
    <row r="241" spans="2:21">
      <c r="B241" s="292"/>
      <c r="C241" s="19">
        <v>1.1666666666666701</v>
      </c>
      <c r="D241" s="5">
        <v>513252</v>
      </c>
      <c r="E241" s="11">
        <v>570401</v>
      </c>
      <c r="F241" s="10">
        <v>1.6052999999999999</v>
      </c>
      <c r="G241" s="144">
        <v>1.1328</v>
      </c>
      <c r="H241" s="144"/>
      <c r="I241" s="9">
        <v>385583</v>
      </c>
      <c r="J241" s="9">
        <v>185010</v>
      </c>
      <c r="K241" s="9"/>
      <c r="L241" s="27">
        <v>202106</v>
      </c>
      <c r="M241" s="27">
        <v>165012</v>
      </c>
      <c r="N241" s="27"/>
      <c r="O241" s="145">
        <v>101.1</v>
      </c>
      <c r="P241" s="145">
        <v>17</v>
      </c>
      <c r="Q241" s="146">
        <v>101.2</v>
      </c>
      <c r="R241" s="146">
        <v>112.1</v>
      </c>
      <c r="S241" s="91">
        <v>235.5</v>
      </c>
      <c r="T241" s="91">
        <v>192.3</v>
      </c>
      <c r="U241" s="147"/>
    </row>
    <row r="242" spans="2:21">
      <c r="B242" s="292"/>
      <c r="C242" s="19">
        <v>1.2083333333333299</v>
      </c>
      <c r="D242" s="5">
        <v>513259</v>
      </c>
      <c r="E242" s="11">
        <v>570423</v>
      </c>
      <c r="F242" s="10">
        <v>1.6052999999999999</v>
      </c>
      <c r="G242" s="144">
        <v>1.1328</v>
      </c>
      <c r="H242" s="144"/>
      <c r="I242" s="9">
        <v>385824</v>
      </c>
      <c r="J242" s="9">
        <v>185241</v>
      </c>
      <c r="K242" s="9"/>
      <c r="L242" s="27">
        <v>202110</v>
      </c>
      <c r="M242" s="27">
        <v>165019</v>
      </c>
      <c r="N242" s="27"/>
      <c r="O242" s="145">
        <v>101.2</v>
      </c>
      <c r="P242" s="145">
        <v>17</v>
      </c>
      <c r="Q242" s="146">
        <v>101.2</v>
      </c>
      <c r="R242" s="146">
        <v>111.9</v>
      </c>
      <c r="S242" s="91">
        <v>285.89999999999998</v>
      </c>
      <c r="T242" s="91">
        <v>191.2</v>
      </c>
      <c r="U242" s="147"/>
    </row>
    <row r="243" spans="2:21">
      <c r="B243" s="292"/>
      <c r="C243" s="19">
        <v>1.25</v>
      </c>
      <c r="D243" s="5">
        <v>513267</v>
      </c>
      <c r="E243" s="11">
        <v>570445</v>
      </c>
      <c r="F243" s="10">
        <v>1.6052999999999999</v>
      </c>
      <c r="G243" s="144">
        <v>1.1329</v>
      </c>
      <c r="H243" s="144"/>
      <c r="I243" s="9">
        <v>386059</v>
      </c>
      <c r="J243" s="9">
        <v>185465</v>
      </c>
      <c r="K243" s="9"/>
      <c r="L243" s="27">
        <v>202114</v>
      </c>
      <c r="M243" s="27">
        <v>165026</v>
      </c>
      <c r="N243" s="27"/>
      <c r="O243" s="145">
        <v>106.7</v>
      </c>
      <c r="P243" s="145">
        <v>17</v>
      </c>
      <c r="Q243" s="146">
        <v>106.7</v>
      </c>
      <c r="R243" s="146">
        <v>111.2</v>
      </c>
      <c r="S243" s="91">
        <v>230.1</v>
      </c>
      <c r="T243" s="91">
        <v>189.6</v>
      </c>
      <c r="U243" s="147"/>
    </row>
    <row r="244" spans="2:21">
      <c r="B244" s="292"/>
      <c r="C244" s="19">
        <v>1.2916666666666701</v>
      </c>
      <c r="D244" s="5">
        <v>513278</v>
      </c>
      <c r="E244" s="11">
        <v>570470</v>
      </c>
      <c r="F244" s="10">
        <v>1.6052999999999999</v>
      </c>
      <c r="G244" s="144">
        <v>1.1329</v>
      </c>
      <c r="H244" s="144"/>
      <c r="I244" s="9">
        <v>386307</v>
      </c>
      <c r="J244" s="9">
        <v>185702</v>
      </c>
      <c r="K244" s="9"/>
      <c r="L244" s="27">
        <v>202139</v>
      </c>
      <c r="M244" s="27">
        <v>165070</v>
      </c>
      <c r="N244" s="27"/>
      <c r="O244" s="145">
        <v>98</v>
      </c>
      <c r="P244" s="145">
        <v>17</v>
      </c>
      <c r="Q244" s="146">
        <v>98</v>
      </c>
      <c r="R244" s="146">
        <v>106.1</v>
      </c>
      <c r="S244" s="91">
        <v>212.8</v>
      </c>
      <c r="T244" s="91">
        <v>198.6</v>
      </c>
      <c r="U244" s="147"/>
    </row>
    <row r="245" spans="2:21">
      <c r="B245" s="293"/>
      <c r="C245" s="6"/>
      <c r="D245" s="13" cm="1">
        <f t="array" ref="D245">IFERROR(LOOKUP(2,1/(D220:D244&gt;0),D220:D244-D220),0)</f>
        <v>206</v>
      </c>
      <c r="E245" s="13" cm="1">
        <f t="array" ref="E245">IFERROR(LOOKUP(2,1/(E220:E244&gt;0),E220:E244-E220),0)</f>
        <v>497</v>
      </c>
      <c r="F245" s="13" cm="1">
        <f t="array" ref="F245">IFERROR(LOOKUP(2,1/(F220:F244&gt;0),F220:F244-F220),0)</f>
        <v>5.9999999999993392E-4</v>
      </c>
      <c r="G245" s="13" cm="1">
        <f t="array" ref="G245">IFERROR(LOOKUP(2,1/(G220:G244&gt;0),G220:G244-G220),0)</f>
        <v>3.9999999999995595E-4</v>
      </c>
      <c r="H245" s="13">
        <f>F245+G245</f>
        <v>9.9999999999988987E-4</v>
      </c>
      <c r="I245" s="13" cm="1">
        <f t="array" ref="I245">IFERROR(LOOKUP(2,1/(I220:I244&gt;0),I220:I244-I220),0)</f>
        <v>6250</v>
      </c>
      <c r="J245" s="13" cm="1">
        <f t="array" ref="J245">IFERROR(LOOKUP(2,1/(J220:J244&gt;0),J220:J244-J220),0)</f>
        <v>5939</v>
      </c>
      <c r="K245" s="13">
        <f>I245+J245</f>
        <v>12189</v>
      </c>
      <c r="L245" s="13" cm="1">
        <f t="array" ref="L245">IFERROR(LOOKUP(2,1/(L220:L244&gt;0),L220:L244-L220),0)</f>
        <v>125</v>
      </c>
      <c r="M245" s="13" cm="1">
        <f t="array" ref="M245">IFERROR(LOOKUP(2,1/(M220:M244&gt;0),M220:M244-M220),0)</f>
        <v>203</v>
      </c>
      <c r="N245" s="13">
        <f>L245+M245</f>
        <v>328</v>
      </c>
      <c r="O245" s="148">
        <f t="shared" ref="O245:T245" si="8">IFERROR(AVERAGE(O220:O244),0)</f>
        <v>99.011999999999986</v>
      </c>
      <c r="P245" s="148">
        <f t="shared" si="8"/>
        <v>17</v>
      </c>
      <c r="Q245" s="148">
        <f t="shared" si="8"/>
        <v>99.015999999999991</v>
      </c>
      <c r="R245" s="148">
        <f t="shared" si="8"/>
        <v>108.568</v>
      </c>
      <c r="S245" s="148">
        <f t="shared" si="8"/>
        <v>220.71600000000001</v>
      </c>
      <c r="T245" s="148">
        <f t="shared" si="8"/>
        <v>192.76</v>
      </c>
      <c r="U245" s="148">
        <f>COUNT(U220:U244)</f>
        <v>0</v>
      </c>
    </row>
    <row r="246" spans="2:21">
      <c r="B246" s="291">
        <f>'DATA B1'!B246</f>
        <v>46032</v>
      </c>
      <c r="C246" s="19">
        <v>0.29166666666666669</v>
      </c>
      <c r="D246" s="5">
        <v>513278</v>
      </c>
      <c r="E246" s="11">
        <v>570470</v>
      </c>
      <c r="F246" s="10">
        <v>1.6052999999999999</v>
      </c>
      <c r="G246" s="144">
        <v>1.1329</v>
      </c>
      <c r="H246" s="144"/>
      <c r="I246" s="9">
        <v>386307</v>
      </c>
      <c r="J246" s="9">
        <v>185702</v>
      </c>
      <c r="K246" s="9"/>
      <c r="L246" s="27">
        <v>202139</v>
      </c>
      <c r="M246" s="27">
        <v>165070</v>
      </c>
      <c r="N246" s="27"/>
      <c r="O246" s="145">
        <v>98</v>
      </c>
      <c r="P246" s="145">
        <v>17</v>
      </c>
      <c r="Q246" s="146">
        <v>98</v>
      </c>
      <c r="R246" s="146">
        <v>106.1</v>
      </c>
      <c r="S246" s="91">
        <v>212.8</v>
      </c>
      <c r="T246" s="91">
        <v>198.6</v>
      </c>
      <c r="U246" s="147"/>
    </row>
    <row r="247" spans="2:21">
      <c r="B247" s="292"/>
      <c r="C247" s="19">
        <v>0.33333333333333298</v>
      </c>
      <c r="D247" s="5">
        <v>513280</v>
      </c>
      <c r="E247" s="11">
        <v>570501</v>
      </c>
      <c r="F247" s="10">
        <v>1.6053999999999999</v>
      </c>
      <c r="G247" s="144">
        <v>1.1329</v>
      </c>
      <c r="H247" s="144"/>
      <c r="I247" s="9">
        <v>386543</v>
      </c>
      <c r="J247" s="9">
        <v>185927</v>
      </c>
      <c r="K247" s="9"/>
      <c r="L247" s="27">
        <v>202145</v>
      </c>
      <c r="M247" s="27">
        <v>165076</v>
      </c>
      <c r="N247" s="27"/>
      <c r="O247" s="145">
        <v>98.8</v>
      </c>
      <c r="P247" s="145">
        <v>17</v>
      </c>
      <c r="Q247" s="146">
        <v>98.8</v>
      </c>
      <c r="R247" s="146">
        <v>106.4</v>
      </c>
      <c r="S247" s="91">
        <v>198.6</v>
      </c>
      <c r="T247" s="91">
        <v>175.1</v>
      </c>
      <c r="U247" s="147"/>
    </row>
    <row r="248" spans="2:21">
      <c r="B248" s="292"/>
      <c r="C248" s="19">
        <v>0.375</v>
      </c>
      <c r="D248" s="5">
        <v>513286</v>
      </c>
      <c r="E248" s="11">
        <v>570522</v>
      </c>
      <c r="F248" s="10">
        <v>1.6053999999999999</v>
      </c>
      <c r="G248" s="144">
        <v>1.1329</v>
      </c>
      <c r="H248" s="144"/>
      <c r="I248" s="9">
        <v>386730</v>
      </c>
      <c r="J248" s="9">
        <v>186100</v>
      </c>
      <c r="K248" s="9"/>
      <c r="L248" s="27">
        <v>202150</v>
      </c>
      <c r="M248" s="27">
        <v>165090</v>
      </c>
      <c r="N248" s="27"/>
      <c r="O248" s="145">
        <v>98.1</v>
      </c>
      <c r="P248" s="145">
        <v>17</v>
      </c>
      <c r="Q248" s="146">
        <v>98.1</v>
      </c>
      <c r="R248" s="146">
        <v>106</v>
      </c>
      <c r="S248" s="91">
        <v>215.9</v>
      </c>
      <c r="T248" s="91">
        <v>198.5</v>
      </c>
      <c r="U248" s="147"/>
    </row>
    <row r="249" spans="2:21">
      <c r="B249" s="292"/>
      <c r="C249" s="19">
        <v>0.41666666666666702</v>
      </c>
      <c r="D249" s="5">
        <v>513293</v>
      </c>
      <c r="E249" s="11">
        <v>570543</v>
      </c>
      <c r="F249" s="10">
        <v>1.6053999999999999</v>
      </c>
      <c r="G249" s="144">
        <v>1.1329</v>
      </c>
      <c r="H249" s="144"/>
      <c r="I249" s="9">
        <v>386917</v>
      </c>
      <c r="J249" s="9">
        <v>186280</v>
      </c>
      <c r="K249" s="9"/>
      <c r="L249" s="27">
        <v>202155</v>
      </c>
      <c r="M249" s="27">
        <v>165104</v>
      </c>
      <c r="N249" s="27"/>
      <c r="O249" s="145">
        <v>96.7</v>
      </c>
      <c r="P249" s="145">
        <v>17</v>
      </c>
      <c r="Q249" s="146">
        <v>96.7</v>
      </c>
      <c r="R249" s="146">
        <v>105.6</v>
      </c>
      <c r="S249" s="91">
        <v>199.1</v>
      </c>
      <c r="T249" s="91">
        <v>179.5</v>
      </c>
      <c r="U249" s="147"/>
    </row>
    <row r="250" spans="2:21">
      <c r="B250" s="292"/>
      <c r="C250" s="19">
        <v>0.45833333333333298</v>
      </c>
      <c r="D250" s="5">
        <v>513300</v>
      </c>
      <c r="E250" s="11">
        <v>570566</v>
      </c>
      <c r="F250" s="10">
        <v>1.6054999999999999</v>
      </c>
      <c r="G250" s="144">
        <v>1.1329</v>
      </c>
      <c r="H250" s="144"/>
      <c r="I250" s="9">
        <v>387104</v>
      </c>
      <c r="J250" s="9">
        <v>186462</v>
      </c>
      <c r="K250" s="9"/>
      <c r="L250" s="27">
        <v>202161</v>
      </c>
      <c r="M250" s="27">
        <v>165118</v>
      </c>
      <c r="N250" s="27"/>
      <c r="O250" s="145">
        <v>98.6</v>
      </c>
      <c r="P250" s="145">
        <v>17</v>
      </c>
      <c r="Q250" s="146">
        <v>98.6</v>
      </c>
      <c r="R250" s="146">
        <v>106.6</v>
      </c>
      <c r="S250" s="91">
        <v>198.1</v>
      </c>
      <c r="T250" s="91">
        <v>177.9</v>
      </c>
      <c r="U250" s="147"/>
    </row>
    <row r="251" spans="2:21">
      <c r="B251" s="292"/>
      <c r="C251" s="19">
        <v>0.5</v>
      </c>
      <c r="D251" s="5">
        <v>513308</v>
      </c>
      <c r="E251" s="11">
        <v>570587</v>
      </c>
      <c r="F251" s="10">
        <v>1.6054999999999999</v>
      </c>
      <c r="G251" s="144">
        <v>1.1329</v>
      </c>
      <c r="H251" s="144"/>
      <c r="I251" s="9">
        <v>387371</v>
      </c>
      <c r="J251" s="9">
        <v>186716</v>
      </c>
      <c r="K251" s="9"/>
      <c r="L251" s="27">
        <v>202165</v>
      </c>
      <c r="M251" s="27">
        <v>165127</v>
      </c>
      <c r="N251" s="27"/>
      <c r="O251" s="145">
        <v>98.1</v>
      </c>
      <c r="P251" s="145">
        <v>17</v>
      </c>
      <c r="Q251" s="146">
        <v>98.1</v>
      </c>
      <c r="R251" s="146">
        <v>106</v>
      </c>
      <c r="S251" s="91">
        <v>215.9</v>
      </c>
      <c r="T251" s="91">
        <v>198.5</v>
      </c>
      <c r="U251" s="147"/>
    </row>
    <row r="252" spans="2:21">
      <c r="B252" s="292"/>
      <c r="C252" s="19">
        <v>0.54166666666666696</v>
      </c>
      <c r="D252" s="5">
        <v>513316</v>
      </c>
      <c r="E252" s="11">
        <v>570608</v>
      </c>
      <c r="F252" s="10">
        <v>1.6054999999999999</v>
      </c>
      <c r="G252" s="144">
        <v>1.1329</v>
      </c>
      <c r="H252" s="144"/>
      <c r="I252" s="9">
        <v>387637</v>
      </c>
      <c r="J252" s="9">
        <v>186970</v>
      </c>
      <c r="K252" s="9"/>
      <c r="L252" s="27">
        <v>202169</v>
      </c>
      <c r="M252" s="27">
        <v>165136</v>
      </c>
      <c r="N252" s="27"/>
      <c r="O252" s="145">
        <v>96.7</v>
      </c>
      <c r="P252" s="145">
        <v>17</v>
      </c>
      <c r="Q252" s="146">
        <v>96.7</v>
      </c>
      <c r="R252" s="146">
        <v>105.6</v>
      </c>
      <c r="S252" s="91">
        <v>199.1</v>
      </c>
      <c r="T252" s="91">
        <v>179.5</v>
      </c>
      <c r="U252" s="147"/>
    </row>
    <row r="253" spans="2:21">
      <c r="B253" s="292"/>
      <c r="C253" s="19">
        <v>0.58333333333333304</v>
      </c>
      <c r="D253" s="5">
        <v>513324</v>
      </c>
      <c r="E253" s="11">
        <v>570629</v>
      </c>
      <c r="F253" s="10">
        <v>1.6055999999999999</v>
      </c>
      <c r="G253" s="144">
        <v>1.1329</v>
      </c>
      <c r="H253" s="144"/>
      <c r="I253" s="9">
        <v>387905</v>
      </c>
      <c r="J253" s="9">
        <v>187224</v>
      </c>
      <c r="K253" s="9"/>
      <c r="L253" s="27">
        <v>202173</v>
      </c>
      <c r="M253" s="27">
        <v>165145</v>
      </c>
      <c r="N253" s="27"/>
      <c r="O253" s="145">
        <v>98.1</v>
      </c>
      <c r="P253" s="145">
        <v>17</v>
      </c>
      <c r="Q253" s="146">
        <v>98.1</v>
      </c>
      <c r="R253" s="146">
        <v>107.2</v>
      </c>
      <c r="S253" s="91">
        <v>215.8</v>
      </c>
      <c r="T253" s="91">
        <v>180.7</v>
      </c>
      <c r="U253" s="149"/>
    </row>
    <row r="254" spans="2:21">
      <c r="B254" s="292"/>
      <c r="C254" s="19">
        <v>0.625</v>
      </c>
      <c r="D254" s="5">
        <v>513332</v>
      </c>
      <c r="E254" s="11">
        <v>570650</v>
      </c>
      <c r="F254" s="10">
        <v>1.6055999999999999</v>
      </c>
      <c r="G254" s="144">
        <v>1.1329</v>
      </c>
      <c r="H254" s="144"/>
      <c r="I254" s="9">
        <v>388174</v>
      </c>
      <c r="J254" s="9">
        <v>187478</v>
      </c>
      <c r="K254" s="9"/>
      <c r="L254" s="27">
        <v>202177</v>
      </c>
      <c r="M254" s="27">
        <v>165154</v>
      </c>
      <c r="N254" s="27"/>
      <c r="O254" s="145">
        <v>97.7</v>
      </c>
      <c r="P254" s="145">
        <v>17</v>
      </c>
      <c r="Q254" s="146">
        <v>97.7</v>
      </c>
      <c r="R254" s="146">
        <v>107.5</v>
      </c>
      <c r="S254" s="91">
        <v>210.3</v>
      </c>
      <c r="T254" s="91">
        <v>199.2</v>
      </c>
      <c r="U254" s="147"/>
    </row>
    <row r="255" spans="2:21">
      <c r="B255" s="292"/>
      <c r="C255" s="19">
        <v>0.66666666666666696</v>
      </c>
      <c r="D255" s="5">
        <v>513340</v>
      </c>
      <c r="E255" s="11">
        <v>570671</v>
      </c>
      <c r="F255" s="10">
        <v>1.6055999999999999</v>
      </c>
      <c r="G255" s="144">
        <v>1.1329</v>
      </c>
      <c r="H255" s="144"/>
      <c r="I255" s="9">
        <v>388441</v>
      </c>
      <c r="J255" s="9">
        <v>187736</v>
      </c>
      <c r="K255" s="9"/>
      <c r="L255" s="27">
        <v>202185</v>
      </c>
      <c r="M255" s="27">
        <v>165166</v>
      </c>
      <c r="N255" s="27"/>
      <c r="O255" s="145">
        <v>93.8</v>
      </c>
      <c r="P255" s="145">
        <v>17</v>
      </c>
      <c r="Q255" s="146">
        <v>93.8</v>
      </c>
      <c r="R255" s="146">
        <v>107.5</v>
      </c>
      <c r="S255" s="91">
        <v>200.1</v>
      </c>
      <c r="T255" s="91">
        <v>184.5</v>
      </c>
      <c r="U255" s="147"/>
    </row>
    <row r="256" spans="2:21">
      <c r="B256" s="292"/>
      <c r="C256" s="19">
        <v>0.70833333333333304</v>
      </c>
      <c r="D256" s="5">
        <v>513349</v>
      </c>
      <c r="E256" s="11">
        <v>570698</v>
      </c>
      <c r="F256" s="10">
        <v>1.6056999999999999</v>
      </c>
      <c r="G256" s="144">
        <v>1.1329</v>
      </c>
      <c r="H256" s="144"/>
      <c r="I256" s="9">
        <v>388710</v>
      </c>
      <c r="J256" s="9">
        <v>188010</v>
      </c>
      <c r="K256" s="9"/>
      <c r="L256" s="27">
        <v>202189</v>
      </c>
      <c r="M256" s="27">
        <v>165169</v>
      </c>
      <c r="N256" s="27"/>
      <c r="O256" s="145">
        <v>96.7</v>
      </c>
      <c r="P256" s="145">
        <v>17</v>
      </c>
      <c r="Q256" s="146">
        <v>96.7</v>
      </c>
      <c r="R256" s="146">
        <v>105.6</v>
      </c>
      <c r="S256" s="91">
        <v>199.1</v>
      </c>
      <c r="T256" s="91">
        <v>179.5</v>
      </c>
      <c r="U256" s="147"/>
    </row>
    <row r="257" spans="2:21">
      <c r="B257" s="292"/>
      <c r="C257" s="19">
        <v>0.75</v>
      </c>
      <c r="D257" s="5">
        <v>513358</v>
      </c>
      <c r="E257" s="11">
        <v>570725</v>
      </c>
      <c r="F257" s="10">
        <v>1.6056999999999999</v>
      </c>
      <c r="G257" s="144">
        <v>1.1329</v>
      </c>
      <c r="H257" s="144"/>
      <c r="I257" s="9">
        <v>389000</v>
      </c>
      <c r="J257" s="9">
        <v>188260</v>
      </c>
      <c r="K257" s="9"/>
      <c r="L257" s="27">
        <v>202193</v>
      </c>
      <c r="M257" s="27">
        <v>165172</v>
      </c>
      <c r="N257" s="27"/>
      <c r="O257" s="145">
        <v>98.1</v>
      </c>
      <c r="P257" s="145">
        <v>17</v>
      </c>
      <c r="Q257" s="146">
        <v>98.1</v>
      </c>
      <c r="R257" s="146">
        <v>107.2</v>
      </c>
      <c r="S257" s="91">
        <v>215.8</v>
      </c>
      <c r="T257" s="91">
        <v>180.7</v>
      </c>
      <c r="U257" s="147"/>
    </row>
    <row r="258" spans="2:21">
      <c r="B258" s="292"/>
      <c r="C258" s="19">
        <v>0.79166666666666696</v>
      </c>
      <c r="D258" s="5">
        <v>513368</v>
      </c>
      <c r="E258" s="11">
        <v>570752</v>
      </c>
      <c r="F258" s="10">
        <v>1.6057999999999999</v>
      </c>
      <c r="G258" s="144">
        <v>1.1329</v>
      </c>
      <c r="H258" s="144"/>
      <c r="I258" s="9">
        <v>389308</v>
      </c>
      <c r="J258" s="9">
        <v>188559</v>
      </c>
      <c r="K258" s="9"/>
      <c r="L258" s="27">
        <v>202199</v>
      </c>
      <c r="M258" s="27">
        <v>165185</v>
      </c>
      <c r="N258" s="27"/>
      <c r="O258" s="145">
        <v>95.5</v>
      </c>
      <c r="P258" s="145">
        <v>17</v>
      </c>
      <c r="Q258" s="146">
        <v>95.5</v>
      </c>
      <c r="R258" s="146">
        <v>108.2</v>
      </c>
      <c r="S258" s="91">
        <v>200.3</v>
      </c>
      <c r="T258" s="91">
        <v>182.6</v>
      </c>
      <c r="U258" s="147"/>
    </row>
    <row r="259" spans="2:21">
      <c r="B259" s="292"/>
      <c r="C259" s="19">
        <v>0.83333333333333304</v>
      </c>
      <c r="D259" s="5">
        <v>513377</v>
      </c>
      <c r="E259" s="11">
        <v>570781</v>
      </c>
      <c r="F259" s="10">
        <v>1.6057999999999999</v>
      </c>
      <c r="G259" s="144">
        <v>1.1329</v>
      </c>
      <c r="H259" s="144"/>
      <c r="I259" s="9">
        <v>389620</v>
      </c>
      <c r="J259" s="9">
        <v>188865</v>
      </c>
      <c r="K259" s="9"/>
      <c r="L259" s="27">
        <v>202204</v>
      </c>
      <c r="M259" s="27">
        <v>165192</v>
      </c>
      <c r="N259" s="27"/>
      <c r="O259" s="145">
        <v>95.4</v>
      </c>
      <c r="P259" s="145">
        <v>17</v>
      </c>
      <c r="Q259" s="146">
        <v>95.4</v>
      </c>
      <c r="R259" s="146">
        <v>106.3</v>
      </c>
      <c r="S259" s="91">
        <v>233.1</v>
      </c>
      <c r="T259" s="91">
        <v>187.7</v>
      </c>
      <c r="U259" s="147"/>
    </row>
    <row r="260" spans="2:21">
      <c r="B260" s="292"/>
      <c r="C260" s="19">
        <v>0.875</v>
      </c>
      <c r="D260" s="5">
        <v>513385</v>
      </c>
      <c r="E260" s="11">
        <v>570801</v>
      </c>
      <c r="F260" s="10">
        <v>1.6059000000000001</v>
      </c>
      <c r="G260" s="144">
        <v>1.133</v>
      </c>
      <c r="H260" s="144"/>
      <c r="I260" s="9">
        <v>389883</v>
      </c>
      <c r="J260" s="9">
        <v>189110</v>
      </c>
      <c r="K260" s="9"/>
      <c r="L260" s="27">
        <v>202208</v>
      </c>
      <c r="M260" s="27">
        <v>165197</v>
      </c>
      <c r="N260" s="27"/>
      <c r="O260" s="145">
        <v>95.7</v>
      </c>
      <c r="P260" s="145">
        <v>17</v>
      </c>
      <c r="Q260" s="146">
        <v>95.7</v>
      </c>
      <c r="R260" s="146">
        <v>107.6</v>
      </c>
      <c r="S260" s="91">
        <v>221.7</v>
      </c>
      <c r="T260" s="247">
        <v>199</v>
      </c>
      <c r="U260" s="147"/>
    </row>
    <row r="261" spans="2:21">
      <c r="B261" s="292"/>
      <c r="C261" s="19">
        <v>0.91666666666666696</v>
      </c>
      <c r="D261" s="5">
        <v>513393</v>
      </c>
      <c r="E261" s="11">
        <v>570822</v>
      </c>
      <c r="F261" s="10">
        <v>1.6059000000000001</v>
      </c>
      <c r="G261" s="144">
        <v>1.133</v>
      </c>
      <c r="H261" s="144"/>
      <c r="I261" s="9">
        <v>390141</v>
      </c>
      <c r="J261" s="9">
        <v>189355</v>
      </c>
      <c r="K261" s="9"/>
      <c r="L261" s="27">
        <v>202212</v>
      </c>
      <c r="M261" s="27">
        <v>165202</v>
      </c>
      <c r="N261" s="27"/>
      <c r="O261" s="145">
        <v>96.8</v>
      </c>
      <c r="P261" s="145">
        <v>17</v>
      </c>
      <c r="Q261" s="146">
        <v>96.8</v>
      </c>
      <c r="R261" s="146">
        <v>107.8</v>
      </c>
      <c r="S261" s="91">
        <v>214.8</v>
      </c>
      <c r="T261" s="91">
        <v>179.6</v>
      </c>
      <c r="U261" s="147"/>
    </row>
    <row r="262" spans="2:21">
      <c r="B262" s="292"/>
      <c r="C262" s="19">
        <v>0.95833333333333304</v>
      </c>
      <c r="D262" s="5">
        <v>513401</v>
      </c>
      <c r="E262" s="11">
        <v>570843</v>
      </c>
      <c r="F262" s="10">
        <v>1.6059000000000001</v>
      </c>
      <c r="G262" s="144">
        <v>1.133</v>
      </c>
      <c r="H262" s="144"/>
      <c r="I262" s="9">
        <v>390411</v>
      </c>
      <c r="J262" s="9">
        <v>189600</v>
      </c>
      <c r="K262" s="9"/>
      <c r="L262" s="27">
        <v>202218</v>
      </c>
      <c r="M262" s="27">
        <v>165207</v>
      </c>
      <c r="N262" s="27"/>
      <c r="O262" s="145">
        <v>95.4</v>
      </c>
      <c r="P262" s="145">
        <v>17</v>
      </c>
      <c r="Q262" s="146">
        <v>95.4</v>
      </c>
      <c r="R262" s="146">
        <v>108.1</v>
      </c>
      <c r="S262" s="91">
        <v>220.7</v>
      </c>
      <c r="T262" s="91">
        <v>182.7</v>
      </c>
      <c r="U262" s="147"/>
    </row>
    <row r="263" spans="2:21">
      <c r="B263" s="292"/>
      <c r="C263" s="19">
        <v>1</v>
      </c>
      <c r="D263" s="5">
        <v>513408</v>
      </c>
      <c r="E263" s="11">
        <v>570863</v>
      </c>
      <c r="F263" s="10">
        <v>1.6059000000000001</v>
      </c>
      <c r="G263" s="144">
        <v>1.1331</v>
      </c>
      <c r="H263" s="144"/>
      <c r="I263" s="9">
        <v>390669</v>
      </c>
      <c r="J263" s="9">
        <v>189841</v>
      </c>
      <c r="K263" s="9"/>
      <c r="L263" s="27">
        <v>202224</v>
      </c>
      <c r="M263" s="27">
        <v>165212</v>
      </c>
      <c r="N263" s="27"/>
      <c r="O263" s="145">
        <v>98.9</v>
      </c>
      <c r="P263" s="145">
        <v>17</v>
      </c>
      <c r="Q263" s="146">
        <v>98.9</v>
      </c>
      <c r="R263" s="146">
        <v>110.1</v>
      </c>
      <c r="S263" s="91">
        <v>227.5</v>
      </c>
      <c r="T263" s="91">
        <v>186.9</v>
      </c>
      <c r="U263" s="147"/>
    </row>
    <row r="264" spans="2:21">
      <c r="B264" s="292"/>
      <c r="C264" s="19">
        <v>1.0416666666666701</v>
      </c>
      <c r="D264" s="5">
        <v>513415</v>
      </c>
      <c r="E264" s="11">
        <v>570883</v>
      </c>
      <c r="F264" s="10">
        <v>1.6059000000000001</v>
      </c>
      <c r="G264" s="144">
        <v>1.1331</v>
      </c>
      <c r="H264" s="144"/>
      <c r="I264" s="9">
        <v>390926</v>
      </c>
      <c r="J264" s="9">
        <v>190082</v>
      </c>
      <c r="K264" s="9"/>
      <c r="L264" s="27">
        <v>202230</v>
      </c>
      <c r="M264" s="27">
        <v>165217</v>
      </c>
      <c r="N264" s="27"/>
      <c r="O264" s="145">
        <v>96.4</v>
      </c>
      <c r="P264" s="145">
        <v>17</v>
      </c>
      <c r="Q264" s="146">
        <v>96.4</v>
      </c>
      <c r="R264" s="146">
        <v>104.9</v>
      </c>
      <c r="S264" s="91">
        <v>217.1</v>
      </c>
      <c r="T264" s="91">
        <v>176.5</v>
      </c>
      <c r="U264" s="147"/>
    </row>
    <row r="265" spans="2:21">
      <c r="B265" s="292"/>
      <c r="C265" s="19">
        <v>1.0833333333333299</v>
      </c>
      <c r="D265" s="5">
        <v>513422</v>
      </c>
      <c r="E265" s="11">
        <v>570903</v>
      </c>
      <c r="F265" s="10">
        <v>1.6059000000000001</v>
      </c>
      <c r="G265" s="144">
        <v>1.1332</v>
      </c>
      <c r="H265" s="144"/>
      <c r="I265" s="9">
        <v>391171</v>
      </c>
      <c r="J265" s="9">
        <v>190328</v>
      </c>
      <c r="K265" s="9"/>
      <c r="L265" s="27">
        <v>202236</v>
      </c>
      <c r="M265" s="27">
        <v>165222</v>
      </c>
      <c r="N265" s="27"/>
      <c r="O265" s="145">
        <v>97.7</v>
      </c>
      <c r="P265" s="145">
        <v>17</v>
      </c>
      <c r="Q265" s="146">
        <v>97.7</v>
      </c>
      <c r="R265" s="146">
        <v>107.5</v>
      </c>
      <c r="S265" s="91">
        <v>210.3</v>
      </c>
      <c r="T265" s="91">
        <v>199.2</v>
      </c>
      <c r="U265" s="147"/>
    </row>
    <row r="266" spans="2:21">
      <c r="B266" s="292"/>
      <c r="C266" s="19">
        <v>1.125</v>
      </c>
      <c r="D266" s="5">
        <v>513430</v>
      </c>
      <c r="E266" s="11">
        <v>570925</v>
      </c>
      <c r="F266" s="10">
        <v>1.6059000000000001</v>
      </c>
      <c r="G266" s="144">
        <v>1.1332</v>
      </c>
      <c r="H266" s="144"/>
      <c r="I266" s="9">
        <v>391457</v>
      </c>
      <c r="J266" s="9">
        <v>190569</v>
      </c>
      <c r="K266" s="9"/>
      <c r="L266" s="27">
        <v>202242</v>
      </c>
      <c r="M266" s="27">
        <v>165227</v>
      </c>
      <c r="N266" s="27"/>
      <c r="O266" s="145">
        <v>95.4</v>
      </c>
      <c r="P266" s="145">
        <v>17</v>
      </c>
      <c r="Q266" s="146">
        <v>95.4</v>
      </c>
      <c r="R266" s="146">
        <v>106.3</v>
      </c>
      <c r="S266" s="91">
        <v>218.4</v>
      </c>
      <c r="T266" s="91">
        <v>182.4</v>
      </c>
      <c r="U266" s="147"/>
    </row>
    <row r="267" spans="2:21">
      <c r="B267" s="292"/>
      <c r="C267" s="19">
        <v>1.1666666666666701</v>
      </c>
      <c r="D267" s="5">
        <v>513439</v>
      </c>
      <c r="E267" s="11">
        <v>570946</v>
      </c>
      <c r="F267" s="10">
        <v>1.6059000000000001</v>
      </c>
      <c r="G267" s="144">
        <v>1.1333</v>
      </c>
      <c r="H267" s="144"/>
      <c r="I267" s="9">
        <v>391724</v>
      </c>
      <c r="J267" s="9">
        <v>190811</v>
      </c>
      <c r="K267" s="9"/>
      <c r="L267" s="27">
        <v>202246</v>
      </c>
      <c r="M267" s="27">
        <v>165241</v>
      </c>
      <c r="N267" s="27"/>
      <c r="O267" s="145">
        <v>95.7</v>
      </c>
      <c r="P267" s="145">
        <v>17</v>
      </c>
      <c r="Q267" s="146">
        <v>95.7</v>
      </c>
      <c r="R267" s="146">
        <v>107.6</v>
      </c>
      <c r="S267" s="91">
        <v>221.7</v>
      </c>
      <c r="T267" s="247">
        <v>199</v>
      </c>
      <c r="U267" s="147"/>
    </row>
    <row r="268" spans="2:21">
      <c r="B268" s="292"/>
      <c r="C268" s="19">
        <v>1.2083333333333299</v>
      </c>
      <c r="D268" s="5">
        <v>513449</v>
      </c>
      <c r="E268" s="11">
        <v>570968</v>
      </c>
      <c r="F268" s="10">
        <v>1.6059000000000001</v>
      </c>
      <c r="G268" s="144">
        <v>1.1333</v>
      </c>
      <c r="H268" s="144"/>
      <c r="I268" s="9">
        <v>391998</v>
      </c>
      <c r="J268" s="9">
        <v>191073</v>
      </c>
      <c r="K268" s="9"/>
      <c r="L268" s="27">
        <v>202250</v>
      </c>
      <c r="M268" s="27">
        <v>165255</v>
      </c>
      <c r="N268" s="27"/>
      <c r="O268" s="145">
        <v>95.7</v>
      </c>
      <c r="P268" s="145">
        <v>17</v>
      </c>
      <c r="Q268" s="146">
        <v>95.7</v>
      </c>
      <c r="R268" s="146">
        <v>107.6</v>
      </c>
      <c r="S268" s="91">
        <v>221.7</v>
      </c>
      <c r="T268" s="247">
        <v>199</v>
      </c>
      <c r="U268" s="147"/>
    </row>
    <row r="269" spans="2:21">
      <c r="B269" s="292"/>
      <c r="C269" s="19">
        <v>1.25</v>
      </c>
      <c r="D269" s="5">
        <v>513459</v>
      </c>
      <c r="E269" s="11">
        <v>570990</v>
      </c>
      <c r="F269" s="10">
        <v>1.6059000000000001</v>
      </c>
      <c r="G269" s="144">
        <v>1.1334</v>
      </c>
      <c r="H269" s="144"/>
      <c r="I269" s="9">
        <v>392258</v>
      </c>
      <c r="J269" s="9">
        <v>191341</v>
      </c>
      <c r="K269" s="9"/>
      <c r="L269" s="27">
        <v>202254</v>
      </c>
      <c r="M269" s="27">
        <v>165269</v>
      </c>
      <c r="N269" s="27"/>
      <c r="O269" s="145">
        <v>96.8</v>
      </c>
      <c r="P269" s="145">
        <v>17</v>
      </c>
      <c r="Q269" s="146">
        <v>96.8</v>
      </c>
      <c r="R269" s="146">
        <v>107.8</v>
      </c>
      <c r="S269" s="91">
        <v>214.8</v>
      </c>
      <c r="T269" s="91">
        <v>179.6</v>
      </c>
      <c r="U269" s="147"/>
    </row>
    <row r="270" spans="2:21">
      <c r="B270" s="292"/>
      <c r="C270" s="19">
        <v>1.2916666666666701</v>
      </c>
      <c r="D270" s="5">
        <v>513469</v>
      </c>
      <c r="E270" s="11">
        <v>571012</v>
      </c>
      <c r="F270" s="10">
        <v>1.6059000000000001</v>
      </c>
      <c r="G270" s="144">
        <v>1.1334</v>
      </c>
      <c r="H270" s="144"/>
      <c r="I270" s="9">
        <v>392525</v>
      </c>
      <c r="J270" s="9">
        <v>191617</v>
      </c>
      <c r="K270" s="9"/>
      <c r="L270" s="27">
        <v>202260</v>
      </c>
      <c r="M270" s="27">
        <v>165284</v>
      </c>
      <c r="N270" s="27"/>
      <c r="O270" s="145">
        <v>95.8</v>
      </c>
      <c r="P270" s="145">
        <v>17</v>
      </c>
      <c r="Q270" s="146">
        <v>95.8</v>
      </c>
      <c r="R270" s="146">
        <v>107.5</v>
      </c>
      <c r="S270" s="91">
        <v>219.1</v>
      </c>
      <c r="T270" s="91">
        <v>180.6</v>
      </c>
      <c r="U270" s="147"/>
    </row>
    <row r="271" spans="2:21">
      <c r="B271" s="293"/>
      <c r="C271" s="6"/>
      <c r="D271" s="13" cm="1">
        <f t="array" ref="D271">IFERROR(LOOKUP(2,1/(D246:D270&gt;0),D246:D270-D246),0)</f>
        <v>191</v>
      </c>
      <c r="E271" s="13" cm="1">
        <f t="array" ref="E271">IFERROR(LOOKUP(2,1/(E246:E270&gt;0),E246:E270-E246),0)</f>
        <v>542</v>
      </c>
      <c r="F271" s="13" cm="1">
        <f t="array" ref="F271">IFERROR(LOOKUP(2,1/(F246:F270&gt;0),F246:F270-F246),0)</f>
        <v>6.0000000000015596E-4</v>
      </c>
      <c r="G271" s="13" cm="1">
        <f t="array" ref="G271">IFERROR(LOOKUP(2,1/(G246:G270&gt;0),G246:G270-G246),0)</f>
        <v>4.9999999999994493E-4</v>
      </c>
      <c r="H271" s="13">
        <f>F271+G271</f>
        <v>1.1000000000001009E-3</v>
      </c>
      <c r="I271" s="13" cm="1">
        <f t="array" ref="I271">IFERROR(LOOKUP(2,1/(I246:I270&gt;0),I246:I270-I246),0)</f>
        <v>6218</v>
      </c>
      <c r="J271" s="13" cm="1">
        <f t="array" ref="J271">IFERROR(LOOKUP(2,1/(J246:J270&gt;0),J246:J270-J246),0)</f>
        <v>5915</v>
      </c>
      <c r="K271" s="13">
        <f>I271+J271</f>
        <v>12133</v>
      </c>
      <c r="L271" s="13" cm="1">
        <f t="array" ref="L271">IFERROR(LOOKUP(2,1/(L246:L270&gt;0),L246:L270-L246),0)</f>
        <v>121</v>
      </c>
      <c r="M271" s="13" cm="1">
        <f t="array" ref="M271">IFERROR(LOOKUP(2,1/(M246:M270&gt;0),M246:M270-M246),0)</f>
        <v>214</v>
      </c>
      <c r="N271" s="13">
        <f>L271+M271</f>
        <v>335</v>
      </c>
      <c r="O271" s="148">
        <f t="shared" ref="O271:T271" si="9">IFERROR(AVERAGE(O246:O270),0)</f>
        <v>96.824000000000012</v>
      </c>
      <c r="P271" s="148">
        <f t="shared" si="9"/>
        <v>17</v>
      </c>
      <c r="Q271" s="148">
        <f t="shared" si="9"/>
        <v>96.824000000000012</v>
      </c>
      <c r="R271" s="148">
        <f t="shared" si="9"/>
        <v>106.98399999999999</v>
      </c>
      <c r="S271" s="148">
        <f t="shared" si="9"/>
        <v>212.87199999999996</v>
      </c>
      <c r="T271" s="148">
        <f t="shared" si="9"/>
        <v>186.68</v>
      </c>
      <c r="U271" s="148">
        <f>COUNT(U246:U270)</f>
        <v>0</v>
      </c>
    </row>
    <row r="272" spans="2:21">
      <c r="B272" s="291">
        <f>'DATA B1'!B272</f>
        <v>46033</v>
      </c>
      <c r="C272" s="19">
        <v>0.29166666666666669</v>
      </c>
      <c r="D272" s="5">
        <v>513469</v>
      </c>
      <c r="E272" s="11">
        <v>571012</v>
      </c>
      <c r="F272" s="10">
        <v>1.6059000000000001</v>
      </c>
      <c r="G272" s="144">
        <v>1.1334</v>
      </c>
      <c r="H272" s="144"/>
      <c r="I272" s="9">
        <v>392525</v>
      </c>
      <c r="J272" s="9">
        <v>191617</v>
      </c>
      <c r="K272" s="9"/>
      <c r="L272" s="27">
        <v>202260</v>
      </c>
      <c r="M272" s="27">
        <v>165284</v>
      </c>
      <c r="N272" s="27"/>
      <c r="O272" s="145">
        <v>95.8</v>
      </c>
      <c r="P272" s="145">
        <v>17</v>
      </c>
      <c r="Q272" s="146">
        <v>95.8</v>
      </c>
      <c r="R272" s="146">
        <v>107.5</v>
      </c>
      <c r="S272" s="91">
        <v>219.1</v>
      </c>
      <c r="T272" s="91">
        <v>180.6</v>
      </c>
      <c r="U272" s="147"/>
    </row>
    <row r="273" spans="2:21">
      <c r="B273" s="292"/>
      <c r="C273" s="19">
        <v>0.33333333333333298</v>
      </c>
      <c r="D273" s="5">
        <v>513480</v>
      </c>
      <c r="E273" s="11">
        <v>571039</v>
      </c>
      <c r="F273" s="144">
        <v>1.6060000000000001</v>
      </c>
      <c r="G273" s="144">
        <v>1.1334</v>
      </c>
      <c r="H273" s="144"/>
      <c r="I273" s="9">
        <v>392852</v>
      </c>
      <c r="J273" s="9">
        <v>191930</v>
      </c>
      <c r="K273" s="9"/>
      <c r="L273" s="27">
        <v>202266</v>
      </c>
      <c r="M273" s="27">
        <v>165290</v>
      </c>
      <c r="N273" s="27"/>
      <c r="O273" s="145">
        <v>94.5</v>
      </c>
      <c r="P273" s="145">
        <v>17</v>
      </c>
      <c r="Q273" s="146">
        <v>94.5</v>
      </c>
      <c r="R273" s="146">
        <v>104.7</v>
      </c>
      <c r="S273" s="91">
        <v>200.5</v>
      </c>
      <c r="T273" s="91">
        <v>182.3</v>
      </c>
      <c r="U273" s="147"/>
    </row>
    <row r="274" spans="2:21">
      <c r="B274" s="292"/>
      <c r="C274" s="19">
        <v>0.375</v>
      </c>
      <c r="D274" s="5">
        <v>513488</v>
      </c>
      <c r="E274" s="11">
        <v>571059</v>
      </c>
      <c r="F274" s="144">
        <v>1.6060000000000001</v>
      </c>
      <c r="G274" s="144">
        <v>1.1334</v>
      </c>
      <c r="H274" s="144"/>
      <c r="I274" s="9">
        <v>393084</v>
      </c>
      <c r="J274" s="9">
        <v>192148</v>
      </c>
      <c r="K274" s="9"/>
      <c r="L274" s="27">
        <v>202271</v>
      </c>
      <c r="M274" s="27">
        <v>165293</v>
      </c>
      <c r="N274" s="27"/>
      <c r="O274" s="145">
        <v>97.7</v>
      </c>
      <c r="P274" s="145">
        <v>17</v>
      </c>
      <c r="Q274" s="146">
        <v>97.7</v>
      </c>
      <c r="R274" s="146">
        <v>107.5</v>
      </c>
      <c r="S274" s="91">
        <v>210.3</v>
      </c>
      <c r="T274" s="91">
        <v>199.2</v>
      </c>
      <c r="U274" s="147"/>
    </row>
    <row r="275" spans="2:21">
      <c r="B275" s="292"/>
      <c r="C275" s="19">
        <v>0.41666666666666702</v>
      </c>
      <c r="D275" s="5">
        <v>513496</v>
      </c>
      <c r="E275" s="11">
        <v>571079</v>
      </c>
      <c r="F275" s="144">
        <v>1.6060000000000001</v>
      </c>
      <c r="G275" s="144">
        <v>1.1334</v>
      </c>
      <c r="H275" s="144"/>
      <c r="I275" s="9">
        <v>393316</v>
      </c>
      <c r="J275" s="9">
        <v>192368</v>
      </c>
      <c r="K275" s="9"/>
      <c r="L275" s="27">
        <v>202276</v>
      </c>
      <c r="M275" s="27">
        <v>165296</v>
      </c>
      <c r="N275" s="27"/>
      <c r="O275" s="145">
        <v>95.7</v>
      </c>
      <c r="P275" s="145">
        <v>17</v>
      </c>
      <c r="Q275" s="146">
        <v>95.7</v>
      </c>
      <c r="R275" s="146">
        <v>107.6</v>
      </c>
      <c r="S275" s="91">
        <v>221.7</v>
      </c>
      <c r="T275" s="247">
        <v>199</v>
      </c>
      <c r="U275" s="147"/>
    </row>
    <row r="276" spans="2:21">
      <c r="B276" s="292"/>
      <c r="C276" s="19">
        <v>0.45833333333333298</v>
      </c>
      <c r="D276" s="5">
        <v>513504</v>
      </c>
      <c r="E276" s="11">
        <v>571099</v>
      </c>
      <c r="F276" s="144">
        <v>1.6061000000000001</v>
      </c>
      <c r="G276" s="144">
        <v>1.1334</v>
      </c>
      <c r="H276" s="248"/>
      <c r="I276" s="9">
        <v>393549</v>
      </c>
      <c r="J276" s="9">
        <v>192588</v>
      </c>
      <c r="K276" s="9"/>
      <c r="L276" s="27">
        <v>202281</v>
      </c>
      <c r="M276" s="27">
        <v>165316</v>
      </c>
      <c r="N276" s="27"/>
      <c r="O276" s="145">
        <v>93.7</v>
      </c>
      <c r="P276" s="145">
        <v>17</v>
      </c>
      <c r="Q276" s="146">
        <v>93.7</v>
      </c>
      <c r="R276" s="146">
        <v>104.1</v>
      </c>
      <c r="S276" s="91">
        <v>197.9</v>
      </c>
      <c r="T276" s="91">
        <v>179.1</v>
      </c>
      <c r="U276" s="147"/>
    </row>
    <row r="277" spans="2:21">
      <c r="B277" s="292"/>
      <c r="C277" s="19">
        <v>0.5</v>
      </c>
      <c r="D277" s="5">
        <v>513513</v>
      </c>
      <c r="E277" s="11">
        <v>571125</v>
      </c>
      <c r="F277" s="144">
        <v>1.6061000000000001</v>
      </c>
      <c r="G277" s="144">
        <v>1.1334</v>
      </c>
      <c r="H277" s="144"/>
      <c r="I277" s="9">
        <v>393845</v>
      </c>
      <c r="J277" s="9">
        <v>192890</v>
      </c>
      <c r="K277" s="9"/>
      <c r="L277" s="27">
        <v>202287</v>
      </c>
      <c r="M277" s="27">
        <v>165336</v>
      </c>
      <c r="N277" s="27"/>
      <c r="O277" s="145">
        <v>98.1</v>
      </c>
      <c r="P277" s="145">
        <v>17</v>
      </c>
      <c r="Q277" s="146">
        <v>98.1</v>
      </c>
      <c r="R277" s="146">
        <v>106</v>
      </c>
      <c r="S277" s="91">
        <v>215.9</v>
      </c>
      <c r="T277" s="91">
        <v>198.5</v>
      </c>
      <c r="U277" s="147"/>
    </row>
    <row r="278" spans="2:21">
      <c r="B278" s="292"/>
      <c r="C278" s="19">
        <v>0.54166666666666696</v>
      </c>
      <c r="D278" s="5">
        <v>513522</v>
      </c>
      <c r="E278" s="11">
        <v>571151</v>
      </c>
      <c r="F278" s="144">
        <v>1.6061000000000001</v>
      </c>
      <c r="G278" s="144">
        <v>1.1334</v>
      </c>
      <c r="H278" s="144"/>
      <c r="I278" s="9">
        <v>394181</v>
      </c>
      <c r="J278" s="9">
        <v>193150</v>
      </c>
      <c r="K278" s="9"/>
      <c r="L278" s="27">
        <v>202293</v>
      </c>
      <c r="M278" s="27">
        <v>165356</v>
      </c>
      <c r="N278" s="27"/>
      <c r="O278" s="145">
        <v>96.7</v>
      </c>
      <c r="P278" s="145">
        <v>17</v>
      </c>
      <c r="Q278" s="146">
        <v>96.7</v>
      </c>
      <c r="R278" s="146">
        <v>105.6</v>
      </c>
      <c r="S278" s="91">
        <v>199.1</v>
      </c>
      <c r="T278" s="91">
        <v>179.5</v>
      </c>
      <c r="U278" s="147"/>
    </row>
    <row r="279" spans="2:21">
      <c r="B279" s="292"/>
      <c r="C279" s="19">
        <v>0.58333333333333304</v>
      </c>
      <c r="D279" s="5">
        <v>513532</v>
      </c>
      <c r="E279" s="11">
        <v>571177</v>
      </c>
      <c r="F279" s="10">
        <v>1.6062000000000001</v>
      </c>
      <c r="G279" s="144">
        <v>1.1334</v>
      </c>
      <c r="H279" s="144"/>
      <c r="I279" s="9">
        <v>394484</v>
      </c>
      <c r="J279" s="9">
        <v>193490</v>
      </c>
      <c r="K279" s="9"/>
      <c r="L279" s="27">
        <v>202299</v>
      </c>
      <c r="M279" s="27">
        <v>165376</v>
      </c>
      <c r="N279" s="27"/>
      <c r="O279" s="145">
        <v>98.1</v>
      </c>
      <c r="P279" s="145">
        <v>17</v>
      </c>
      <c r="Q279" s="146">
        <v>98.1</v>
      </c>
      <c r="R279" s="146">
        <v>107.2</v>
      </c>
      <c r="S279" s="91">
        <v>215.8</v>
      </c>
      <c r="T279" s="91">
        <v>180.7</v>
      </c>
      <c r="U279" s="149"/>
    </row>
    <row r="280" spans="2:21">
      <c r="B280" s="292"/>
      <c r="C280" s="19">
        <v>0.625</v>
      </c>
      <c r="D280" s="5">
        <v>513542</v>
      </c>
      <c r="E280" s="11">
        <v>571203</v>
      </c>
      <c r="F280" s="10">
        <v>1.6062000000000001</v>
      </c>
      <c r="G280" s="144">
        <v>1.1334</v>
      </c>
      <c r="H280" s="144"/>
      <c r="I280" s="9">
        <v>394817</v>
      </c>
      <c r="J280" s="9">
        <v>193798</v>
      </c>
      <c r="K280" s="9"/>
      <c r="L280" s="27">
        <v>202305</v>
      </c>
      <c r="M280" s="27">
        <v>165399</v>
      </c>
      <c r="N280" s="27"/>
      <c r="O280" s="145">
        <v>99.3</v>
      </c>
      <c r="P280" s="145">
        <v>17</v>
      </c>
      <c r="Q280" s="146">
        <v>99.3</v>
      </c>
      <c r="R280" s="146">
        <v>109.1</v>
      </c>
      <c r="S280" s="91">
        <v>197.5</v>
      </c>
      <c r="T280" s="91">
        <v>183.1</v>
      </c>
      <c r="U280" s="147"/>
    </row>
    <row r="281" spans="2:21">
      <c r="B281" s="292"/>
      <c r="C281" s="19">
        <v>0.66666666666666696</v>
      </c>
      <c r="D281" s="5">
        <v>513550</v>
      </c>
      <c r="E281" s="11">
        <v>571225</v>
      </c>
      <c r="F281" s="10">
        <v>1.6062000000000001</v>
      </c>
      <c r="G281" s="144">
        <v>1.1334</v>
      </c>
      <c r="H281" s="144"/>
      <c r="I281" s="9">
        <v>395058</v>
      </c>
      <c r="J281" s="9">
        <v>194049</v>
      </c>
      <c r="K281" s="9"/>
      <c r="L281" s="27">
        <v>202309</v>
      </c>
      <c r="M281" s="27">
        <v>165404</v>
      </c>
      <c r="N281" s="27"/>
      <c r="O281" s="145">
        <v>95.7</v>
      </c>
      <c r="P281" s="145">
        <v>17</v>
      </c>
      <c r="Q281" s="146">
        <v>95.7</v>
      </c>
      <c r="R281" s="146">
        <v>107.6</v>
      </c>
      <c r="S281" s="91">
        <v>221.7</v>
      </c>
      <c r="T281" s="247">
        <v>199</v>
      </c>
      <c r="U281" s="147"/>
    </row>
    <row r="282" spans="2:21">
      <c r="B282" s="292"/>
      <c r="C282" s="19">
        <v>0.70833333333333304</v>
      </c>
      <c r="D282" s="5">
        <v>513558</v>
      </c>
      <c r="E282" s="11">
        <v>571247</v>
      </c>
      <c r="F282" s="10">
        <v>1.6063000000000001</v>
      </c>
      <c r="G282" s="144">
        <v>1.1334</v>
      </c>
      <c r="H282" s="144"/>
      <c r="I282" s="9">
        <v>395300</v>
      </c>
      <c r="J282" s="9">
        <v>194300</v>
      </c>
      <c r="K282" s="9"/>
      <c r="L282" s="27">
        <v>202313</v>
      </c>
      <c r="M282" s="27">
        <v>165409</v>
      </c>
      <c r="N282" s="27"/>
      <c r="O282" s="145">
        <v>96.8</v>
      </c>
      <c r="P282" s="145">
        <v>17</v>
      </c>
      <c r="Q282" s="146">
        <v>96.8</v>
      </c>
      <c r="R282" s="146">
        <v>107.8</v>
      </c>
      <c r="S282" s="91">
        <v>214.8</v>
      </c>
      <c r="T282" s="91">
        <v>179.6</v>
      </c>
      <c r="U282" s="147"/>
    </row>
    <row r="283" spans="2:21">
      <c r="B283" s="292"/>
      <c r="C283" s="19">
        <v>0.75</v>
      </c>
      <c r="D283" s="5">
        <v>513566</v>
      </c>
      <c r="E283" s="11">
        <v>571269</v>
      </c>
      <c r="F283" s="10">
        <v>1.6063000000000001</v>
      </c>
      <c r="G283" s="144">
        <v>1.1334</v>
      </c>
      <c r="H283" s="144"/>
      <c r="I283" s="9">
        <v>395570</v>
      </c>
      <c r="J283" s="9">
        <v>194521</v>
      </c>
      <c r="K283" s="9"/>
      <c r="L283" s="27">
        <v>202317</v>
      </c>
      <c r="M283" s="27">
        <v>165414</v>
      </c>
      <c r="N283" s="27"/>
      <c r="O283" s="145">
        <v>95.8</v>
      </c>
      <c r="P283" s="145">
        <v>17</v>
      </c>
      <c r="Q283" s="146">
        <v>95.8</v>
      </c>
      <c r="R283" s="146">
        <v>107.5</v>
      </c>
      <c r="S283" s="91">
        <v>219.1</v>
      </c>
      <c r="T283" s="91">
        <v>180.6</v>
      </c>
      <c r="U283" s="147"/>
    </row>
    <row r="284" spans="2:21">
      <c r="B284" s="292"/>
      <c r="C284" s="19">
        <v>0.79166666666666696</v>
      </c>
      <c r="D284" s="5">
        <v>513575</v>
      </c>
      <c r="E284" s="11">
        <v>571291</v>
      </c>
      <c r="F284" s="10">
        <v>1.6064000000000001</v>
      </c>
      <c r="G284" s="144">
        <v>1.1334</v>
      </c>
      <c r="H284" s="144"/>
      <c r="I284" s="9">
        <v>395877</v>
      </c>
      <c r="J284" s="9">
        <v>194804</v>
      </c>
      <c r="K284" s="9"/>
      <c r="L284" s="27">
        <v>202324</v>
      </c>
      <c r="M284" s="27">
        <v>165421</v>
      </c>
      <c r="N284" s="27"/>
      <c r="O284" s="145">
        <v>99.3</v>
      </c>
      <c r="P284" s="145">
        <v>17</v>
      </c>
      <c r="Q284" s="146">
        <v>99.3</v>
      </c>
      <c r="R284" s="146">
        <v>108.7</v>
      </c>
      <c r="S284" s="91">
        <v>201.3</v>
      </c>
      <c r="T284" s="91">
        <v>181.4</v>
      </c>
      <c r="U284" s="147"/>
    </row>
    <row r="285" spans="2:21">
      <c r="B285" s="292"/>
      <c r="C285" s="19">
        <v>0.83333333333333304</v>
      </c>
      <c r="D285" s="5">
        <v>513585</v>
      </c>
      <c r="E285" s="11">
        <v>571323</v>
      </c>
      <c r="F285" s="10">
        <v>1.6064000000000001</v>
      </c>
      <c r="G285" s="144">
        <v>1.1334</v>
      </c>
      <c r="H285" s="144"/>
      <c r="I285" s="9">
        <v>396171</v>
      </c>
      <c r="J285" s="9">
        <v>195083</v>
      </c>
      <c r="K285" s="9"/>
      <c r="L285" s="27">
        <v>202329</v>
      </c>
      <c r="M285" s="27">
        <v>165425</v>
      </c>
      <c r="N285" s="27"/>
      <c r="O285" s="145">
        <v>99.1</v>
      </c>
      <c r="P285" s="145">
        <v>17</v>
      </c>
      <c r="Q285" s="146">
        <v>99.1</v>
      </c>
      <c r="R285" s="146">
        <v>107.2</v>
      </c>
      <c r="S285" s="91">
        <v>213.6</v>
      </c>
      <c r="T285" s="91">
        <v>197.9</v>
      </c>
      <c r="U285" s="147"/>
    </row>
    <row r="286" spans="2:21">
      <c r="B286" s="292"/>
      <c r="C286" s="19">
        <v>0.875</v>
      </c>
      <c r="D286" s="5">
        <v>513591</v>
      </c>
      <c r="E286" s="11">
        <v>571344</v>
      </c>
      <c r="F286" s="10">
        <v>1.6064000000000001</v>
      </c>
      <c r="G286" s="144">
        <v>1.1334</v>
      </c>
      <c r="H286" s="144"/>
      <c r="I286" s="9">
        <v>396360</v>
      </c>
      <c r="J286" s="9">
        <v>195250</v>
      </c>
      <c r="K286" s="9"/>
      <c r="L286" s="27">
        <v>202329</v>
      </c>
      <c r="M286" s="27">
        <v>165425</v>
      </c>
      <c r="N286" s="27"/>
      <c r="O286" s="145">
        <v>98.1</v>
      </c>
      <c r="P286" s="145">
        <v>17</v>
      </c>
      <c r="Q286" s="146">
        <v>98.1</v>
      </c>
      <c r="R286" s="146">
        <v>107.2</v>
      </c>
      <c r="S286" s="91">
        <v>215.8</v>
      </c>
      <c r="T286" s="91">
        <v>180.7</v>
      </c>
      <c r="U286" s="147"/>
    </row>
    <row r="287" spans="2:21">
      <c r="B287" s="292"/>
      <c r="C287" s="19">
        <v>0.91666666666666696</v>
      </c>
      <c r="D287" s="5">
        <v>513597</v>
      </c>
      <c r="E287" s="11">
        <v>571366</v>
      </c>
      <c r="F287" s="10">
        <v>1.6065</v>
      </c>
      <c r="G287" s="144">
        <v>1.1334</v>
      </c>
      <c r="H287" s="144"/>
      <c r="I287" s="9">
        <v>396559</v>
      </c>
      <c r="J287" s="9">
        <v>195424</v>
      </c>
      <c r="K287" s="9"/>
      <c r="L287" s="27">
        <v>202329</v>
      </c>
      <c r="M287" s="27">
        <v>165425</v>
      </c>
      <c r="N287" s="27"/>
      <c r="O287" s="145">
        <v>95.5</v>
      </c>
      <c r="P287" s="145">
        <v>17</v>
      </c>
      <c r="Q287" s="146">
        <v>95.5</v>
      </c>
      <c r="R287" s="146">
        <v>108.2</v>
      </c>
      <c r="S287" s="91">
        <v>200.3</v>
      </c>
      <c r="T287" s="91">
        <v>182.6</v>
      </c>
      <c r="U287" s="147"/>
    </row>
    <row r="288" spans="2:21">
      <c r="B288" s="292"/>
      <c r="C288" s="19">
        <v>0.95833333333333304</v>
      </c>
      <c r="D288" s="5">
        <v>513603</v>
      </c>
      <c r="E288" s="11">
        <v>571388</v>
      </c>
      <c r="F288" s="10">
        <v>1.6065</v>
      </c>
      <c r="G288" s="144">
        <v>1.1334</v>
      </c>
      <c r="H288" s="144"/>
      <c r="I288" s="9">
        <v>396740</v>
      </c>
      <c r="J288" s="9">
        <v>195618</v>
      </c>
      <c r="K288" s="9"/>
      <c r="L288" s="27">
        <v>202343</v>
      </c>
      <c r="M288" s="27">
        <v>165429</v>
      </c>
      <c r="N288" s="27"/>
      <c r="O288" s="145">
        <v>95.9</v>
      </c>
      <c r="P288" s="145">
        <v>17</v>
      </c>
      <c r="Q288" s="146">
        <v>95.9</v>
      </c>
      <c r="R288" s="146">
        <v>106.5</v>
      </c>
      <c r="S288" s="91">
        <v>225.1</v>
      </c>
      <c r="T288" s="91">
        <v>174.3</v>
      </c>
      <c r="U288" s="147"/>
    </row>
    <row r="289" spans="2:21">
      <c r="B289" s="292"/>
      <c r="C289" s="19">
        <v>1</v>
      </c>
      <c r="D289" s="5">
        <v>513609</v>
      </c>
      <c r="E289" s="11">
        <v>571411</v>
      </c>
      <c r="F289" s="10">
        <v>1.6065</v>
      </c>
      <c r="G289" s="144">
        <v>1.1334</v>
      </c>
      <c r="H289" s="144"/>
      <c r="I289" s="9">
        <v>396930</v>
      </c>
      <c r="J289" s="9">
        <v>195818</v>
      </c>
      <c r="K289" s="9"/>
      <c r="L289" s="27">
        <v>202348</v>
      </c>
      <c r="M289" s="27">
        <v>165434</v>
      </c>
      <c r="N289" s="27"/>
      <c r="O289" s="145">
        <v>96.7</v>
      </c>
      <c r="P289" s="145">
        <v>17</v>
      </c>
      <c r="Q289" s="146">
        <v>96.7</v>
      </c>
      <c r="R289" s="146">
        <v>105.6</v>
      </c>
      <c r="S289" s="91">
        <v>199.1</v>
      </c>
      <c r="T289" s="91">
        <v>179.5</v>
      </c>
      <c r="U289" s="147"/>
    </row>
    <row r="290" spans="2:21">
      <c r="B290" s="292"/>
      <c r="C290" s="19">
        <v>1.0416666666666701</v>
      </c>
      <c r="D290" s="5">
        <v>513615</v>
      </c>
      <c r="E290" s="11">
        <v>571434</v>
      </c>
      <c r="F290" s="10">
        <v>1.6065</v>
      </c>
      <c r="G290" s="144">
        <v>1.1334</v>
      </c>
      <c r="H290" s="144"/>
      <c r="I290" s="9">
        <v>397160</v>
      </c>
      <c r="J290" s="9">
        <v>195968</v>
      </c>
      <c r="K290" s="9"/>
      <c r="L290" s="27">
        <v>202353</v>
      </c>
      <c r="M290" s="27">
        <v>165439</v>
      </c>
      <c r="N290" s="27"/>
      <c r="O290" s="145">
        <v>98.6</v>
      </c>
      <c r="P290" s="145">
        <v>17</v>
      </c>
      <c r="Q290" s="146">
        <v>98.6</v>
      </c>
      <c r="R290" s="146">
        <v>106.6</v>
      </c>
      <c r="S290" s="91">
        <v>198.1</v>
      </c>
      <c r="T290" s="91">
        <v>177.9</v>
      </c>
      <c r="U290" s="147"/>
    </row>
    <row r="291" spans="2:21">
      <c r="B291" s="292"/>
      <c r="C291" s="19">
        <v>1.0833333333333299</v>
      </c>
      <c r="D291" s="5">
        <v>513622</v>
      </c>
      <c r="E291" s="11">
        <v>571457</v>
      </c>
      <c r="F291" s="10">
        <v>1.6065</v>
      </c>
      <c r="G291" s="144">
        <v>1.1335</v>
      </c>
      <c r="H291" s="144"/>
      <c r="I291" s="9">
        <v>397351</v>
      </c>
      <c r="J291" s="9">
        <v>196180</v>
      </c>
      <c r="K291" s="9"/>
      <c r="L291" s="27">
        <v>202358</v>
      </c>
      <c r="M291" s="27">
        <v>165444</v>
      </c>
      <c r="N291" s="27"/>
      <c r="O291" s="145">
        <v>98.1</v>
      </c>
      <c r="P291" s="145">
        <v>17</v>
      </c>
      <c r="Q291" s="146">
        <v>98.1</v>
      </c>
      <c r="R291" s="146">
        <v>106</v>
      </c>
      <c r="S291" s="91">
        <v>215.9</v>
      </c>
      <c r="T291" s="91">
        <v>198.5</v>
      </c>
      <c r="U291" s="147"/>
    </row>
    <row r="292" spans="2:21">
      <c r="B292" s="292"/>
      <c r="C292" s="19">
        <v>1.125</v>
      </c>
      <c r="D292" s="5">
        <v>513630</v>
      </c>
      <c r="E292" s="11">
        <v>571482</v>
      </c>
      <c r="F292" s="10">
        <v>1.6065</v>
      </c>
      <c r="G292" s="144">
        <v>1.1335999999999999</v>
      </c>
      <c r="H292" s="144"/>
      <c r="I292" s="9">
        <v>397573</v>
      </c>
      <c r="J292" s="9">
        <v>196418</v>
      </c>
      <c r="K292" s="9"/>
      <c r="L292" s="27">
        <v>202365</v>
      </c>
      <c r="M292" s="27">
        <v>165449</v>
      </c>
      <c r="N292" s="27"/>
      <c r="O292" s="145">
        <v>98.9</v>
      </c>
      <c r="P292" s="145">
        <v>17</v>
      </c>
      <c r="Q292" s="146">
        <v>98.9</v>
      </c>
      <c r="R292" s="146">
        <v>106.6</v>
      </c>
      <c r="S292" s="91">
        <v>223.6</v>
      </c>
      <c r="T292" s="91">
        <v>199.7</v>
      </c>
      <c r="U292" s="147"/>
    </row>
    <row r="293" spans="2:21">
      <c r="B293" s="292"/>
      <c r="C293" s="19">
        <v>1.1666666666666701</v>
      </c>
      <c r="D293" s="5">
        <v>513637</v>
      </c>
      <c r="E293" s="11">
        <v>571499</v>
      </c>
      <c r="F293" s="10">
        <v>1.6065</v>
      </c>
      <c r="G293" s="144">
        <v>1.1335999999999999</v>
      </c>
      <c r="H293" s="144"/>
      <c r="I293" s="9">
        <v>397786</v>
      </c>
      <c r="J293" s="9">
        <v>196611</v>
      </c>
      <c r="K293" s="9"/>
      <c r="L293" s="27">
        <v>202365</v>
      </c>
      <c r="M293" s="27">
        <v>165449</v>
      </c>
      <c r="N293" s="27"/>
      <c r="O293" s="145">
        <v>96.7</v>
      </c>
      <c r="P293" s="145">
        <v>17</v>
      </c>
      <c r="Q293" s="146">
        <v>96.7</v>
      </c>
      <c r="R293" s="146">
        <v>106.8</v>
      </c>
      <c r="S293" s="91">
        <v>227.4</v>
      </c>
      <c r="T293" s="91">
        <v>200.9</v>
      </c>
      <c r="U293" s="147"/>
    </row>
    <row r="294" spans="2:21">
      <c r="B294" s="292"/>
      <c r="C294" s="19">
        <v>1.2083333333333299</v>
      </c>
      <c r="D294" s="5">
        <v>513645</v>
      </c>
      <c r="E294" s="11">
        <v>571517</v>
      </c>
      <c r="F294" s="10">
        <v>1.6065</v>
      </c>
      <c r="G294" s="144">
        <v>1.1335999999999999</v>
      </c>
      <c r="H294" s="144"/>
      <c r="I294" s="9">
        <v>398026</v>
      </c>
      <c r="J294" s="9">
        <v>196842</v>
      </c>
      <c r="K294" s="9"/>
      <c r="L294" s="27">
        <v>202365</v>
      </c>
      <c r="M294" s="27">
        <v>165449</v>
      </c>
      <c r="N294" s="27"/>
      <c r="O294" s="243">
        <v>96.9</v>
      </c>
      <c r="P294" s="145">
        <v>17</v>
      </c>
      <c r="Q294" s="244">
        <v>96.9</v>
      </c>
      <c r="R294" s="146">
        <v>107.3</v>
      </c>
      <c r="S294" s="91">
        <v>231.1</v>
      </c>
      <c r="T294" s="91">
        <v>200.2</v>
      </c>
      <c r="U294" s="147"/>
    </row>
    <row r="295" spans="2:21">
      <c r="B295" s="292"/>
      <c r="C295" s="19">
        <v>1.25</v>
      </c>
      <c r="D295" s="5">
        <v>513653</v>
      </c>
      <c r="E295" s="11">
        <v>571535</v>
      </c>
      <c r="F295" s="10">
        <v>1.6065</v>
      </c>
      <c r="G295" s="144">
        <v>1.1336999999999999</v>
      </c>
      <c r="H295" s="144"/>
      <c r="I295" s="9">
        <v>398262</v>
      </c>
      <c r="J295" s="9">
        <v>197063</v>
      </c>
      <c r="K295" s="9"/>
      <c r="L295" s="27">
        <v>202365</v>
      </c>
      <c r="M295" s="27">
        <v>165449</v>
      </c>
      <c r="N295" s="27"/>
      <c r="O295" s="145">
        <v>98.4</v>
      </c>
      <c r="P295" s="145">
        <v>17</v>
      </c>
      <c r="Q295" s="146">
        <v>98.4</v>
      </c>
      <c r="R295" s="146">
        <v>109.4</v>
      </c>
      <c r="S295" s="91">
        <v>226.1</v>
      </c>
      <c r="T295" s="91">
        <v>197.8</v>
      </c>
      <c r="U295" s="147"/>
    </row>
    <row r="296" spans="2:21">
      <c r="B296" s="292"/>
      <c r="C296" s="19">
        <v>1.2916666666666701</v>
      </c>
      <c r="D296" s="5">
        <v>513661</v>
      </c>
      <c r="E296" s="11">
        <v>571553</v>
      </c>
      <c r="F296" s="10">
        <v>1.6065</v>
      </c>
      <c r="G296" s="144">
        <v>1.1336999999999999</v>
      </c>
      <c r="H296" s="144"/>
      <c r="I296" s="9">
        <v>398509</v>
      </c>
      <c r="J296" s="9">
        <v>197297</v>
      </c>
      <c r="K296" s="9"/>
      <c r="L296" s="27">
        <v>202388</v>
      </c>
      <c r="M296" s="27">
        <v>165494</v>
      </c>
      <c r="N296" s="27"/>
      <c r="O296" s="145">
        <v>97.2</v>
      </c>
      <c r="P296" s="145">
        <v>17</v>
      </c>
      <c r="Q296" s="146">
        <v>97.2</v>
      </c>
      <c r="R296" s="146">
        <v>109.6</v>
      </c>
      <c r="S296" s="91">
        <v>223.4</v>
      </c>
      <c r="T296" s="91">
        <v>189.9</v>
      </c>
      <c r="U296" s="147"/>
    </row>
    <row r="297" spans="2:21">
      <c r="B297" s="293"/>
      <c r="C297" s="6"/>
      <c r="D297" s="13" cm="1">
        <f t="array" ref="D297">IFERROR(LOOKUP(2,1/(D272:D296&gt;0),D272:D296-D272),0)</f>
        <v>192</v>
      </c>
      <c r="E297" s="13" cm="1">
        <f t="array" ref="E297">IFERROR(LOOKUP(2,1/(E272:E296&gt;0),E272:E296-E272),0)</f>
        <v>541</v>
      </c>
      <c r="F297" s="13" cm="1">
        <f t="array" ref="F297">IFERROR(LOOKUP(2,1/(F272:F296&gt;0),F272:F296-F272),0)</f>
        <v>5.9999999999993392E-4</v>
      </c>
      <c r="G297" s="13" cm="1">
        <f t="array" ref="G297">IFERROR(LOOKUP(2,1/(G272:G296&gt;0),G272:G296-G272),0)</f>
        <v>2.9999999999996696E-4</v>
      </c>
      <c r="H297" s="13">
        <f>F297+G297</f>
        <v>8.9999999999990088E-4</v>
      </c>
      <c r="I297" s="13" cm="1">
        <f t="array" ref="I297">IFERROR(LOOKUP(2,1/(I272:I296&gt;0),I272:I296-I272),0)</f>
        <v>5984</v>
      </c>
      <c r="J297" s="13" cm="1">
        <f t="array" ref="J297">IFERROR(LOOKUP(2,1/(J272:J296&gt;0),J272:J296-J272),0)</f>
        <v>5680</v>
      </c>
      <c r="K297" s="13">
        <f>I297+J297</f>
        <v>11664</v>
      </c>
      <c r="L297" s="13" cm="1">
        <f t="array" ref="L297">IFERROR(LOOKUP(2,1/(L272:L296&gt;0),L272:L296-L272),0)</f>
        <v>128</v>
      </c>
      <c r="M297" s="13" cm="1">
        <f t="array" ref="M297">IFERROR(LOOKUP(2,1/(M272:M296&gt;0),M272:M296-M272),0)</f>
        <v>210</v>
      </c>
      <c r="N297" s="13">
        <f>L297+M297</f>
        <v>338</v>
      </c>
      <c r="O297" s="148">
        <f t="shared" ref="O297:T297" si="10">IFERROR(AVERAGE(O272:O296),0)</f>
        <v>97.091999999999985</v>
      </c>
      <c r="P297" s="148">
        <f t="shared" si="10"/>
        <v>17</v>
      </c>
      <c r="Q297" s="148">
        <f t="shared" si="10"/>
        <v>97.091999999999985</v>
      </c>
      <c r="R297" s="148">
        <f t="shared" si="10"/>
        <v>107.116</v>
      </c>
      <c r="S297" s="148">
        <f t="shared" si="10"/>
        <v>213.36800000000002</v>
      </c>
      <c r="T297" s="148">
        <f t="shared" si="10"/>
        <v>188.09999999999997</v>
      </c>
      <c r="U297" s="148">
        <f>COUNT(U272:U296)</f>
        <v>0</v>
      </c>
    </row>
    <row r="298" spans="2:21">
      <c r="B298" s="291">
        <f>'DATA B1'!B298</f>
        <v>46034</v>
      </c>
      <c r="C298" s="19">
        <v>0.29166666666666669</v>
      </c>
      <c r="D298" s="5">
        <v>513661</v>
      </c>
      <c r="E298" s="11">
        <v>571553</v>
      </c>
      <c r="F298" s="10">
        <v>1.6065</v>
      </c>
      <c r="G298" s="144">
        <v>1.1336999999999999</v>
      </c>
      <c r="H298" s="144"/>
      <c r="I298" s="9">
        <v>398509</v>
      </c>
      <c r="J298" s="9">
        <v>197297</v>
      </c>
      <c r="K298" s="9"/>
      <c r="L298" s="27">
        <v>202388</v>
      </c>
      <c r="M298" s="27">
        <v>165494</v>
      </c>
      <c r="N298" s="27"/>
      <c r="O298" s="145">
        <v>97.2</v>
      </c>
      <c r="P298" s="145">
        <v>17</v>
      </c>
      <c r="Q298" s="146">
        <v>97.2</v>
      </c>
      <c r="R298" s="146">
        <v>109.6</v>
      </c>
      <c r="S298" s="91">
        <v>223.4</v>
      </c>
      <c r="T298" s="91">
        <v>189.9</v>
      </c>
      <c r="U298" s="147"/>
    </row>
    <row r="299" spans="2:21">
      <c r="B299" s="292"/>
      <c r="C299" s="19">
        <v>0.33333333333333298</v>
      </c>
      <c r="D299" s="5">
        <v>513673</v>
      </c>
      <c r="E299" s="11">
        <v>571582</v>
      </c>
      <c r="F299" s="10">
        <v>1.6065</v>
      </c>
      <c r="G299" s="144">
        <v>1.1336999999999999</v>
      </c>
      <c r="H299" s="144"/>
      <c r="I299" s="9">
        <v>398890</v>
      </c>
      <c r="J299" s="9">
        <v>197661</v>
      </c>
      <c r="K299" s="9"/>
      <c r="L299" s="27">
        <v>202395</v>
      </c>
      <c r="M299" s="27">
        <v>165498</v>
      </c>
      <c r="N299" s="27"/>
      <c r="O299" s="145">
        <v>99.4</v>
      </c>
      <c r="P299" s="145">
        <v>17</v>
      </c>
      <c r="Q299" s="146">
        <v>99.4</v>
      </c>
      <c r="R299" s="146">
        <v>107.7</v>
      </c>
      <c r="S299" s="91">
        <v>197.9</v>
      </c>
      <c r="T299" s="91">
        <v>180.3</v>
      </c>
      <c r="U299" s="147"/>
    </row>
    <row r="300" spans="2:21">
      <c r="B300" s="292"/>
      <c r="C300" s="19">
        <v>0.375</v>
      </c>
      <c r="D300" s="5">
        <v>513680</v>
      </c>
      <c r="E300" s="11">
        <v>571598</v>
      </c>
      <c r="F300" s="10">
        <v>1.6066</v>
      </c>
      <c r="G300" s="144">
        <v>1.1336999999999999</v>
      </c>
      <c r="H300" s="144"/>
      <c r="I300" s="9">
        <v>399127</v>
      </c>
      <c r="J300" s="9">
        <v>197860</v>
      </c>
      <c r="K300" s="9"/>
      <c r="L300" s="27">
        <v>202399</v>
      </c>
      <c r="M300" s="27">
        <v>165502</v>
      </c>
      <c r="N300" s="27"/>
      <c r="O300" s="145">
        <v>95.4</v>
      </c>
      <c r="P300" s="145">
        <v>17</v>
      </c>
      <c r="Q300" s="146">
        <v>95.4</v>
      </c>
      <c r="R300" s="146">
        <v>108.1</v>
      </c>
      <c r="S300" s="91">
        <v>220.7</v>
      </c>
      <c r="T300" s="91">
        <v>182.7</v>
      </c>
      <c r="U300" s="147"/>
    </row>
    <row r="301" spans="2:21">
      <c r="B301" s="292"/>
      <c r="C301" s="19">
        <v>0.41666666666666702</v>
      </c>
      <c r="D301" s="5">
        <v>513687</v>
      </c>
      <c r="E301" s="11">
        <v>571614</v>
      </c>
      <c r="F301" s="10">
        <v>1.6066</v>
      </c>
      <c r="G301" s="144">
        <v>1.1336999999999999</v>
      </c>
      <c r="H301" s="144"/>
      <c r="I301" s="9">
        <v>399350</v>
      </c>
      <c r="J301" s="9">
        <v>198100</v>
      </c>
      <c r="K301" s="9"/>
      <c r="L301" s="27">
        <v>202403</v>
      </c>
      <c r="M301" s="27">
        <v>165506</v>
      </c>
      <c r="N301" s="27"/>
      <c r="O301" s="145">
        <v>98.9</v>
      </c>
      <c r="P301" s="145">
        <v>17</v>
      </c>
      <c r="Q301" s="146">
        <v>98.9</v>
      </c>
      <c r="R301" s="146">
        <v>110.1</v>
      </c>
      <c r="S301" s="91">
        <v>227.5</v>
      </c>
      <c r="T301" s="91">
        <v>186.9</v>
      </c>
      <c r="U301" s="147"/>
    </row>
    <row r="302" spans="2:21">
      <c r="B302" s="292"/>
      <c r="C302" s="19">
        <v>0.45833333333333298</v>
      </c>
      <c r="D302" s="5">
        <v>513695</v>
      </c>
      <c r="E302" s="11">
        <v>571632</v>
      </c>
      <c r="F302" s="10">
        <v>1.6066</v>
      </c>
      <c r="G302" s="144">
        <v>1.1336999999999999</v>
      </c>
      <c r="H302" s="144"/>
      <c r="I302" s="9">
        <v>399601</v>
      </c>
      <c r="J302" s="9">
        <v>198333</v>
      </c>
      <c r="K302" s="9"/>
      <c r="L302" s="27">
        <v>202408</v>
      </c>
      <c r="M302" s="27">
        <v>165510</v>
      </c>
      <c r="N302" s="27"/>
      <c r="O302" s="145">
        <v>97.8</v>
      </c>
      <c r="P302" s="145">
        <v>17</v>
      </c>
      <c r="Q302" s="146">
        <v>97.8</v>
      </c>
      <c r="R302" s="146">
        <v>108.5</v>
      </c>
      <c r="S302" s="91">
        <v>197.8</v>
      </c>
      <c r="T302" s="91">
        <v>182.1</v>
      </c>
      <c r="U302" s="147"/>
    </row>
    <row r="303" spans="2:21">
      <c r="B303" s="292"/>
      <c r="C303" s="19">
        <v>0.5</v>
      </c>
      <c r="D303" s="5">
        <v>513705</v>
      </c>
      <c r="E303" s="11">
        <v>571659</v>
      </c>
      <c r="F303" s="10">
        <v>1.6067</v>
      </c>
      <c r="G303" s="144">
        <v>1.1336999999999999</v>
      </c>
      <c r="H303" s="144"/>
      <c r="I303" s="9">
        <v>399910</v>
      </c>
      <c r="J303" s="9">
        <v>198642</v>
      </c>
      <c r="K303" s="9"/>
      <c r="L303" s="27">
        <v>202415</v>
      </c>
      <c r="M303" s="27">
        <v>165533</v>
      </c>
      <c r="N303" s="27"/>
      <c r="O303" s="145">
        <v>99.3</v>
      </c>
      <c r="P303" s="145">
        <v>17</v>
      </c>
      <c r="Q303" s="146">
        <v>99.3</v>
      </c>
      <c r="R303" s="146">
        <v>109.1</v>
      </c>
      <c r="S303" s="91">
        <v>197.5</v>
      </c>
      <c r="T303" s="91">
        <v>183.1</v>
      </c>
      <c r="U303" s="147"/>
    </row>
    <row r="304" spans="2:21">
      <c r="B304" s="292"/>
      <c r="C304" s="19">
        <v>0.54166666666666696</v>
      </c>
      <c r="D304" s="5">
        <v>513715</v>
      </c>
      <c r="E304" s="11">
        <v>571686</v>
      </c>
      <c r="F304" s="10">
        <v>1.6067</v>
      </c>
      <c r="G304" s="144">
        <v>1.1336999999999999</v>
      </c>
      <c r="H304" s="144"/>
      <c r="I304" s="9">
        <v>400233</v>
      </c>
      <c r="J304" s="9">
        <v>198931</v>
      </c>
      <c r="K304" s="9"/>
      <c r="L304" s="27">
        <v>202422</v>
      </c>
      <c r="M304" s="27">
        <v>165556</v>
      </c>
      <c r="N304" s="27"/>
      <c r="O304" s="145">
        <v>95.7</v>
      </c>
      <c r="P304" s="145">
        <v>17</v>
      </c>
      <c r="Q304" s="146">
        <v>95.7</v>
      </c>
      <c r="R304" s="146">
        <v>107.6</v>
      </c>
      <c r="S304" s="91">
        <v>221.7</v>
      </c>
      <c r="T304" s="247">
        <v>199</v>
      </c>
      <c r="U304" s="147"/>
    </row>
    <row r="305" spans="2:21">
      <c r="B305" s="292"/>
      <c r="C305" s="19">
        <v>0.58333333333333304</v>
      </c>
      <c r="D305" s="5">
        <v>513726</v>
      </c>
      <c r="E305" s="11">
        <v>571713</v>
      </c>
      <c r="F305" s="10">
        <v>1.6067</v>
      </c>
      <c r="G305" s="144">
        <v>1.1336999999999999</v>
      </c>
      <c r="H305" s="144"/>
      <c r="I305" s="9">
        <v>400570</v>
      </c>
      <c r="J305" s="9">
        <v>199255</v>
      </c>
      <c r="K305" s="9"/>
      <c r="L305" s="27">
        <v>202429</v>
      </c>
      <c r="M305" s="27">
        <v>165579</v>
      </c>
      <c r="N305" s="27"/>
      <c r="O305" s="145">
        <v>96.8</v>
      </c>
      <c r="P305" s="145">
        <v>17</v>
      </c>
      <c r="Q305" s="146">
        <v>96.8</v>
      </c>
      <c r="R305" s="146">
        <v>107.8</v>
      </c>
      <c r="S305" s="91">
        <v>214.8</v>
      </c>
      <c r="T305" s="91">
        <v>179.6</v>
      </c>
      <c r="U305" s="149"/>
    </row>
    <row r="306" spans="2:21">
      <c r="B306" s="292"/>
      <c r="C306" s="19">
        <v>0.625</v>
      </c>
      <c r="D306" s="5">
        <v>513737</v>
      </c>
      <c r="E306" s="11">
        <v>571736</v>
      </c>
      <c r="F306" s="10">
        <v>1.6068</v>
      </c>
      <c r="G306" s="144">
        <v>1.1336999999999999</v>
      </c>
      <c r="H306" s="144"/>
      <c r="I306" s="9">
        <v>400908</v>
      </c>
      <c r="J306" s="9">
        <v>199572</v>
      </c>
      <c r="K306" s="9"/>
      <c r="L306" s="27">
        <v>202436</v>
      </c>
      <c r="M306" s="27">
        <v>165602</v>
      </c>
      <c r="N306" s="27"/>
      <c r="O306" s="145">
        <v>99.6</v>
      </c>
      <c r="P306" s="145">
        <v>17</v>
      </c>
      <c r="Q306" s="146">
        <v>99.6</v>
      </c>
      <c r="R306" s="146">
        <v>108.4</v>
      </c>
      <c r="S306" s="91">
        <v>197.2</v>
      </c>
      <c r="T306" s="91">
        <v>183.7</v>
      </c>
      <c r="U306" s="147"/>
    </row>
    <row r="307" spans="2:21">
      <c r="B307" s="292"/>
      <c r="C307" s="19">
        <v>0.66666666666666696</v>
      </c>
      <c r="D307" s="5">
        <v>513747</v>
      </c>
      <c r="E307" s="11">
        <v>571760</v>
      </c>
      <c r="F307" s="10">
        <v>1.6068</v>
      </c>
      <c r="G307" s="144">
        <v>1.1336999999999999</v>
      </c>
      <c r="H307" s="144"/>
      <c r="I307" s="9">
        <v>401205</v>
      </c>
      <c r="J307" s="9">
        <v>199883</v>
      </c>
      <c r="K307" s="9"/>
      <c r="L307" s="27">
        <v>202441</v>
      </c>
      <c r="M307" s="27">
        <v>165610</v>
      </c>
      <c r="N307" s="27"/>
      <c r="O307" s="145">
        <v>95.8</v>
      </c>
      <c r="P307" s="145">
        <v>17</v>
      </c>
      <c r="Q307" s="146">
        <v>95.8</v>
      </c>
      <c r="R307" s="146">
        <v>107.5</v>
      </c>
      <c r="S307" s="91">
        <v>219.1</v>
      </c>
      <c r="T307" s="91">
        <v>180.6</v>
      </c>
      <c r="U307" s="147"/>
    </row>
    <row r="308" spans="2:21">
      <c r="B308" s="292"/>
      <c r="C308" s="19">
        <v>0.70833333333333304</v>
      </c>
      <c r="D308" s="5">
        <v>513758</v>
      </c>
      <c r="E308" s="11">
        <v>571784</v>
      </c>
      <c r="F308" s="10">
        <v>1.6068</v>
      </c>
      <c r="G308" s="144">
        <v>1.1336999999999999</v>
      </c>
      <c r="H308" s="144"/>
      <c r="I308" s="9">
        <v>401562</v>
      </c>
      <c r="J308" s="9">
        <v>200180</v>
      </c>
      <c r="K308" s="9"/>
      <c r="L308" s="27">
        <v>202446</v>
      </c>
      <c r="M308" s="27">
        <v>165618</v>
      </c>
      <c r="N308" s="27"/>
      <c r="O308" s="145">
        <v>101.2</v>
      </c>
      <c r="P308" s="145">
        <v>17</v>
      </c>
      <c r="Q308" s="146">
        <v>101.2</v>
      </c>
      <c r="R308" s="146">
        <v>111.9</v>
      </c>
      <c r="S308" s="91">
        <v>285.89999999999998</v>
      </c>
      <c r="T308" s="91">
        <v>191.2</v>
      </c>
      <c r="U308" s="147"/>
    </row>
    <row r="309" spans="2:21">
      <c r="B309" s="292"/>
      <c r="C309" s="19">
        <v>0.75</v>
      </c>
      <c r="D309" s="5">
        <v>513769</v>
      </c>
      <c r="E309" s="11">
        <v>571808</v>
      </c>
      <c r="F309" s="10">
        <v>1.6069</v>
      </c>
      <c r="G309" s="144">
        <v>1.1336999999999999</v>
      </c>
      <c r="H309" s="144"/>
      <c r="I309" s="9">
        <v>401889</v>
      </c>
      <c r="J309" s="9">
        <v>200505</v>
      </c>
      <c r="K309" s="9"/>
      <c r="L309" s="27">
        <v>202451</v>
      </c>
      <c r="M309" s="27">
        <v>165626</v>
      </c>
      <c r="N309" s="27"/>
      <c r="O309" s="145">
        <v>106.7</v>
      </c>
      <c r="P309" s="145">
        <v>17</v>
      </c>
      <c r="Q309" s="146">
        <v>106.7</v>
      </c>
      <c r="R309" s="146">
        <v>111.2</v>
      </c>
      <c r="S309" s="91">
        <v>230.1</v>
      </c>
      <c r="T309" s="91">
        <v>189.6</v>
      </c>
      <c r="U309" s="147"/>
    </row>
    <row r="310" spans="2:21">
      <c r="B310" s="292"/>
      <c r="C310" s="19">
        <v>0.79166666666666696</v>
      </c>
      <c r="D310" s="5">
        <v>513780</v>
      </c>
      <c r="E310" s="11">
        <v>571834</v>
      </c>
      <c r="F310" s="10">
        <v>1.6069</v>
      </c>
      <c r="G310" s="144">
        <v>1.1336999999999999</v>
      </c>
      <c r="H310" s="144"/>
      <c r="I310" s="9">
        <v>402217</v>
      </c>
      <c r="J310" s="9">
        <v>200818</v>
      </c>
      <c r="K310" s="9"/>
      <c r="L310" s="27">
        <v>202456</v>
      </c>
      <c r="M310" s="27">
        <v>165636</v>
      </c>
      <c r="N310" s="27"/>
      <c r="O310" s="145">
        <v>100.1</v>
      </c>
      <c r="P310" s="145">
        <v>17</v>
      </c>
      <c r="Q310" s="146">
        <v>100.1</v>
      </c>
      <c r="R310" s="146">
        <v>109.3</v>
      </c>
      <c r="S310" s="91">
        <v>200.7</v>
      </c>
      <c r="T310" s="91">
        <v>186.7</v>
      </c>
      <c r="U310" s="147"/>
    </row>
    <row r="311" spans="2:21">
      <c r="B311" s="292"/>
      <c r="C311" s="19">
        <v>0.83333333333333304</v>
      </c>
      <c r="D311" s="5">
        <v>513788</v>
      </c>
      <c r="E311" s="11">
        <v>571860</v>
      </c>
      <c r="F311" s="10">
        <v>1.6071</v>
      </c>
      <c r="G311" s="144">
        <v>1.1336999999999999</v>
      </c>
      <c r="H311" s="144"/>
      <c r="I311" s="9">
        <v>402507</v>
      </c>
      <c r="J311" s="9">
        <v>201101</v>
      </c>
      <c r="K311" s="9"/>
      <c r="L311" s="27">
        <v>202461</v>
      </c>
      <c r="M311" s="27">
        <v>165642</v>
      </c>
      <c r="N311" s="27"/>
      <c r="O311" s="145">
        <v>99.7</v>
      </c>
      <c r="P311" s="145">
        <v>17</v>
      </c>
      <c r="Q311" s="146">
        <v>99.7</v>
      </c>
      <c r="R311" s="146">
        <v>107.9</v>
      </c>
      <c r="S311" s="91">
        <v>226.6</v>
      </c>
      <c r="T311" s="91">
        <v>199.3</v>
      </c>
      <c r="U311" s="147"/>
    </row>
    <row r="312" spans="2:21">
      <c r="B312" s="292"/>
      <c r="C312" s="19">
        <v>0.875</v>
      </c>
      <c r="D312" s="5">
        <v>513795</v>
      </c>
      <c r="E312" s="11">
        <v>571879</v>
      </c>
      <c r="F312" s="10">
        <v>1.6071</v>
      </c>
      <c r="G312" s="144">
        <v>1.1336999999999999</v>
      </c>
      <c r="H312" s="144"/>
      <c r="I312" s="9">
        <v>402741</v>
      </c>
      <c r="J312" s="9">
        <v>201314</v>
      </c>
      <c r="K312" s="9"/>
      <c r="L312" s="27">
        <v>202461</v>
      </c>
      <c r="M312" s="27">
        <v>165642</v>
      </c>
      <c r="N312" s="27"/>
      <c r="O312" s="145">
        <v>98.1</v>
      </c>
      <c r="P312" s="145">
        <v>17</v>
      </c>
      <c r="Q312" s="146">
        <v>98.1</v>
      </c>
      <c r="R312" s="146">
        <v>107.2</v>
      </c>
      <c r="S312" s="91">
        <v>215.8</v>
      </c>
      <c r="T312" s="91">
        <v>180.7</v>
      </c>
      <c r="U312" s="147"/>
    </row>
    <row r="313" spans="2:21">
      <c r="B313" s="292"/>
      <c r="C313" s="19">
        <v>0.91666666666666696</v>
      </c>
      <c r="D313" s="5">
        <v>513803</v>
      </c>
      <c r="E313" s="11">
        <v>571899</v>
      </c>
      <c r="F313" s="10">
        <v>1.6071</v>
      </c>
      <c r="G313" s="10">
        <v>1.1337999999999999</v>
      </c>
      <c r="H313" s="144"/>
      <c r="I313" s="9">
        <v>403003</v>
      </c>
      <c r="J313" s="9">
        <v>201563</v>
      </c>
      <c r="K313" s="9"/>
      <c r="L313" s="27">
        <v>202461</v>
      </c>
      <c r="M313" s="27">
        <v>165642</v>
      </c>
      <c r="N313" s="27"/>
      <c r="O313" s="145">
        <v>99.3</v>
      </c>
      <c r="P313" s="145">
        <v>17</v>
      </c>
      <c r="Q313" s="146">
        <v>99.3</v>
      </c>
      <c r="R313" s="146">
        <v>109.1</v>
      </c>
      <c r="S313" s="91">
        <v>221.4</v>
      </c>
      <c r="T313" s="91">
        <v>183.1</v>
      </c>
      <c r="U313" s="147"/>
    </row>
    <row r="314" spans="2:21">
      <c r="B314" s="292"/>
      <c r="C314" s="19">
        <v>0.95833333333333304</v>
      </c>
      <c r="D314" s="5">
        <v>513811</v>
      </c>
      <c r="E314" s="11">
        <v>571919</v>
      </c>
      <c r="F314" s="10">
        <v>1.6071</v>
      </c>
      <c r="G314" s="10">
        <v>1.1337999999999999</v>
      </c>
      <c r="H314" s="144"/>
      <c r="I314" s="9">
        <v>403274</v>
      </c>
      <c r="J314" s="9">
        <v>201814</v>
      </c>
      <c r="K314" s="9"/>
      <c r="L314" s="27">
        <v>202474</v>
      </c>
      <c r="M314" s="27">
        <v>165653</v>
      </c>
      <c r="N314" s="27"/>
      <c r="O314" s="145">
        <v>97.8</v>
      </c>
      <c r="P314" s="145">
        <v>17</v>
      </c>
      <c r="Q314" s="146">
        <v>97.8</v>
      </c>
      <c r="R314" s="146">
        <v>109.6</v>
      </c>
      <c r="S314" s="91">
        <v>233</v>
      </c>
      <c r="T314" s="91">
        <v>189.3</v>
      </c>
      <c r="U314" s="147"/>
    </row>
    <row r="315" spans="2:21">
      <c r="B315" s="292"/>
      <c r="C315" s="19">
        <v>1</v>
      </c>
      <c r="D315" s="5">
        <v>513820</v>
      </c>
      <c r="E315" s="11">
        <v>571940</v>
      </c>
      <c r="F315" s="10">
        <v>1.6071</v>
      </c>
      <c r="G315" s="10">
        <v>1.1337999999999999</v>
      </c>
      <c r="H315" s="144"/>
      <c r="I315" s="9">
        <v>403555</v>
      </c>
      <c r="J315" s="9">
        <v>202090</v>
      </c>
      <c r="K315" s="9"/>
      <c r="L315" s="27">
        <v>202480</v>
      </c>
      <c r="M315" s="27">
        <v>165661</v>
      </c>
      <c r="N315" s="27"/>
      <c r="O315" s="145">
        <v>95.7</v>
      </c>
      <c r="P315" s="145">
        <v>17</v>
      </c>
      <c r="Q315" s="146">
        <v>95.7</v>
      </c>
      <c r="R315" s="146">
        <v>107.6</v>
      </c>
      <c r="S315" s="91">
        <v>221.7</v>
      </c>
      <c r="T315" s="247">
        <v>199</v>
      </c>
      <c r="U315" s="147"/>
    </row>
    <row r="316" spans="2:21">
      <c r="B316" s="292"/>
      <c r="C316" s="19">
        <v>1.0416666666666701</v>
      </c>
      <c r="D316" s="5">
        <v>513829</v>
      </c>
      <c r="E316" s="11">
        <v>571961</v>
      </c>
      <c r="F316" s="10">
        <v>1.6071</v>
      </c>
      <c r="G316" s="10">
        <v>1.1337999999999999</v>
      </c>
      <c r="H316" s="144"/>
      <c r="I316" s="9">
        <v>403898</v>
      </c>
      <c r="J316" s="9">
        <v>202297</v>
      </c>
      <c r="K316" s="9"/>
      <c r="L316" s="27">
        <v>202486</v>
      </c>
      <c r="M316" s="27">
        <v>165669</v>
      </c>
      <c r="N316" s="27"/>
      <c r="O316" s="145">
        <v>96.8</v>
      </c>
      <c r="P316" s="145">
        <v>17</v>
      </c>
      <c r="Q316" s="146">
        <v>96.8</v>
      </c>
      <c r="R316" s="146">
        <v>107.8</v>
      </c>
      <c r="S316" s="91">
        <v>214.8</v>
      </c>
      <c r="T316" s="91">
        <v>179.6</v>
      </c>
      <c r="U316" s="147"/>
    </row>
    <row r="317" spans="2:21">
      <c r="B317" s="292"/>
      <c r="C317" s="19">
        <v>1.0833333333333299</v>
      </c>
      <c r="D317" s="5">
        <v>513839</v>
      </c>
      <c r="E317" s="11">
        <v>571982</v>
      </c>
      <c r="F317" s="10">
        <v>1.6071</v>
      </c>
      <c r="G317" s="10">
        <v>1.1338999999999999</v>
      </c>
      <c r="H317" s="144"/>
      <c r="I317" s="9">
        <v>403994</v>
      </c>
      <c r="J317" s="9">
        <v>202772</v>
      </c>
      <c r="K317" s="9"/>
      <c r="L317" s="27">
        <v>202492</v>
      </c>
      <c r="M317" s="27">
        <v>165677</v>
      </c>
      <c r="N317" s="27"/>
      <c r="O317" s="145">
        <v>95.8</v>
      </c>
      <c r="P317" s="145">
        <v>17</v>
      </c>
      <c r="Q317" s="146">
        <v>95.8</v>
      </c>
      <c r="R317" s="146">
        <v>107.5</v>
      </c>
      <c r="S317" s="91">
        <v>219.1</v>
      </c>
      <c r="T317" s="91">
        <v>180.6</v>
      </c>
      <c r="U317" s="147"/>
    </row>
    <row r="318" spans="2:21">
      <c r="B318" s="292"/>
      <c r="C318" s="19">
        <v>1.125</v>
      </c>
      <c r="D318" s="5">
        <v>513849</v>
      </c>
      <c r="E318" s="11">
        <v>572004</v>
      </c>
      <c r="F318" s="10">
        <v>1.6071</v>
      </c>
      <c r="G318" s="144">
        <v>1.1339999999999999</v>
      </c>
      <c r="H318" s="144"/>
      <c r="I318" s="9">
        <v>404434</v>
      </c>
      <c r="J318" s="9">
        <v>202920</v>
      </c>
      <c r="K318" s="9"/>
      <c r="L318" s="27">
        <v>202498</v>
      </c>
      <c r="M318" s="27">
        <v>165685</v>
      </c>
      <c r="N318" s="27"/>
      <c r="O318" s="145">
        <v>96.7</v>
      </c>
      <c r="P318" s="145">
        <v>17</v>
      </c>
      <c r="Q318" s="146">
        <v>96.7</v>
      </c>
      <c r="R318" s="146">
        <v>108.3</v>
      </c>
      <c r="S318" s="91">
        <v>218.2</v>
      </c>
      <c r="T318" s="91">
        <v>199.2</v>
      </c>
      <c r="U318" s="147"/>
    </row>
    <row r="319" spans="2:21">
      <c r="B319" s="292"/>
      <c r="C319" s="19">
        <v>1.1666666666666701</v>
      </c>
      <c r="D319" s="5">
        <v>513858</v>
      </c>
      <c r="E319" s="11">
        <v>572023</v>
      </c>
      <c r="F319" s="10">
        <v>1.6071</v>
      </c>
      <c r="G319" s="144">
        <v>1.1339999999999999</v>
      </c>
      <c r="H319" s="144"/>
      <c r="I319" s="9">
        <v>404699</v>
      </c>
      <c r="J319" s="9">
        <v>203180</v>
      </c>
      <c r="K319" s="9"/>
      <c r="L319" s="27">
        <v>202498</v>
      </c>
      <c r="M319" s="27">
        <v>165685</v>
      </c>
      <c r="N319" s="27"/>
      <c r="O319" s="145">
        <v>95.5</v>
      </c>
      <c r="P319" s="145">
        <v>17</v>
      </c>
      <c r="Q319" s="146">
        <v>95.5</v>
      </c>
      <c r="R319" s="146">
        <v>108.2</v>
      </c>
      <c r="S319" s="91">
        <v>200.3</v>
      </c>
      <c r="T319" s="91">
        <v>182.6</v>
      </c>
      <c r="U319" s="147"/>
    </row>
    <row r="320" spans="2:21">
      <c r="B320" s="292"/>
      <c r="C320" s="19">
        <v>1.2083333333333299</v>
      </c>
      <c r="D320" s="5">
        <v>513867</v>
      </c>
      <c r="E320" s="11">
        <v>572042</v>
      </c>
      <c r="F320" s="10">
        <v>1.6071</v>
      </c>
      <c r="G320" s="144">
        <v>1.1341000000000001</v>
      </c>
      <c r="H320" s="144"/>
      <c r="I320" s="9">
        <v>404973</v>
      </c>
      <c r="J320" s="9">
        <v>203435</v>
      </c>
      <c r="K320" s="9"/>
      <c r="L320" s="27">
        <v>202498</v>
      </c>
      <c r="M320" s="27">
        <v>165685</v>
      </c>
      <c r="N320" s="27"/>
      <c r="O320" s="145">
        <v>95.4</v>
      </c>
      <c r="P320" s="145">
        <v>17</v>
      </c>
      <c r="Q320" s="146">
        <v>95.4</v>
      </c>
      <c r="R320" s="146">
        <v>106.3</v>
      </c>
      <c r="S320" s="91">
        <v>233.1</v>
      </c>
      <c r="T320" s="91">
        <v>187.7</v>
      </c>
      <c r="U320" s="147"/>
    </row>
    <row r="321" spans="2:21">
      <c r="B321" s="292"/>
      <c r="C321" s="19">
        <v>1.25</v>
      </c>
      <c r="D321" s="5">
        <v>513876</v>
      </c>
      <c r="E321" s="11">
        <v>572061</v>
      </c>
      <c r="F321" s="10">
        <v>1.6071</v>
      </c>
      <c r="G321" s="144">
        <v>1.1341000000000001</v>
      </c>
      <c r="H321" s="144"/>
      <c r="I321" s="9">
        <v>405251</v>
      </c>
      <c r="J321" s="9">
        <v>203697</v>
      </c>
      <c r="K321" s="9"/>
      <c r="L321" s="27">
        <v>202498</v>
      </c>
      <c r="M321" s="27">
        <v>165685</v>
      </c>
      <c r="N321" s="27"/>
      <c r="O321" s="145">
        <v>95.7</v>
      </c>
      <c r="P321" s="145">
        <v>17</v>
      </c>
      <c r="Q321" s="146">
        <v>95.7</v>
      </c>
      <c r="R321" s="146">
        <v>107.6</v>
      </c>
      <c r="S321" s="91">
        <v>221.7</v>
      </c>
      <c r="T321" s="247">
        <v>199</v>
      </c>
      <c r="U321" s="147"/>
    </row>
    <row r="322" spans="2:21">
      <c r="B322" s="292"/>
      <c r="C322" s="19">
        <v>1.2916666666666701</v>
      </c>
      <c r="D322" s="5">
        <v>513885</v>
      </c>
      <c r="E322" s="11">
        <v>572080</v>
      </c>
      <c r="F322" s="10">
        <v>1.6071</v>
      </c>
      <c r="G322" s="10">
        <v>1.1342000000000001</v>
      </c>
      <c r="H322" s="144"/>
      <c r="I322" s="9">
        <v>405532</v>
      </c>
      <c r="J322" s="9">
        <v>203955</v>
      </c>
      <c r="K322" s="9"/>
      <c r="L322" s="27">
        <v>202523</v>
      </c>
      <c r="M322" s="27">
        <v>165737</v>
      </c>
      <c r="N322" s="27"/>
      <c r="O322" s="145">
        <v>99.5</v>
      </c>
      <c r="P322" s="145">
        <v>17</v>
      </c>
      <c r="Q322" s="146">
        <v>99.5</v>
      </c>
      <c r="R322" s="146">
        <v>108.6</v>
      </c>
      <c r="S322" s="91">
        <v>228.1</v>
      </c>
      <c r="T322" s="91">
        <v>188.7</v>
      </c>
      <c r="U322" s="147"/>
    </row>
    <row r="323" spans="2:21">
      <c r="B323" s="293"/>
      <c r="C323" s="6"/>
      <c r="D323" s="13" cm="1">
        <f t="array" ref="D323">IFERROR(LOOKUP(2,1/(D298:D322&gt;0),D298:D322-D298),0)</f>
        <v>224</v>
      </c>
      <c r="E323" s="13" cm="1">
        <f t="array" ref="E323">IFERROR(LOOKUP(2,1/(E298:E322&gt;0),E298:E322-E298),0)</f>
        <v>527</v>
      </c>
      <c r="F323" s="13" cm="1">
        <f t="array" ref="F323">IFERROR(LOOKUP(2,1/(F298:F322&gt;0),F298:F322-F298),0)</f>
        <v>5.9999999999993392E-4</v>
      </c>
      <c r="G323" s="13" cm="1">
        <f t="array" ref="G323">IFERROR(LOOKUP(2,1/(G298:G322&gt;0),G298:G322-G298),0)</f>
        <v>5.0000000000016698E-4</v>
      </c>
      <c r="H323" s="13">
        <f>F323+G323</f>
        <v>1.1000000000001009E-3</v>
      </c>
      <c r="I323" s="13" cm="1">
        <f t="array" ref="I323">IFERROR(LOOKUP(2,1/(I298:I322&gt;0),I298:I322-I298),0)</f>
        <v>7023</v>
      </c>
      <c r="J323" s="13" cm="1">
        <f t="array" ref="J323">IFERROR(LOOKUP(2,1/(J298:J322&gt;0),J298:J322-J298),0)</f>
        <v>6658</v>
      </c>
      <c r="K323" s="13">
        <f>I323+J323</f>
        <v>13681</v>
      </c>
      <c r="L323" s="13" cm="1">
        <f t="array" ref="L323">IFERROR(LOOKUP(2,1/(L298:L322&gt;0),L298:L322-L298),0)</f>
        <v>135</v>
      </c>
      <c r="M323" s="13" cm="1">
        <f t="array" ref="M323">IFERROR(LOOKUP(2,1/(M298:M322&gt;0),M298:M322-M298),0)</f>
        <v>243</v>
      </c>
      <c r="N323" s="13">
        <f>L323+M323</f>
        <v>378</v>
      </c>
      <c r="O323" s="148">
        <f t="shared" ref="O323:T323" si="11">IFERROR(AVERAGE(O298:O322),0)</f>
        <v>97.995999999999981</v>
      </c>
      <c r="P323" s="148">
        <f t="shared" si="11"/>
        <v>17</v>
      </c>
      <c r="Q323" s="148">
        <f t="shared" si="11"/>
        <v>97.995999999999981</v>
      </c>
      <c r="R323" s="148">
        <f t="shared" si="11"/>
        <v>108.5</v>
      </c>
      <c r="S323" s="148">
        <f t="shared" si="11"/>
        <v>219.524</v>
      </c>
      <c r="T323" s="148">
        <f t="shared" si="11"/>
        <v>187.36799999999997</v>
      </c>
      <c r="U323" s="148">
        <f>COUNT(U298:U322)</f>
        <v>0</v>
      </c>
    </row>
    <row r="324" spans="2:21">
      <c r="B324" s="291">
        <f>'DATA B1'!B324</f>
        <v>46035</v>
      </c>
      <c r="C324" s="19">
        <v>0.29166666666666669</v>
      </c>
      <c r="D324" s="5">
        <v>513885</v>
      </c>
      <c r="E324" s="11">
        <v>572080</v>
      </c>
      <c r="F324" s="10">
        <v>1.6071</v>
      </c>
      <c r="G324" s="10">
        <v>1.1342000000000001</v>
      </c>
      <c r="H324" s="144"/>
      <c r="I324" s="9">
        <v>405532</v>
      </c>
      <c r="J324" s="9">
        <v>203955</v>
      </c>
      <c r="K324" s="9"/>
      <c r="L324" s="27">
        <v>202523</v>
      </c>
      <c r="M324" s="27">
        <v>165737</v>
      </c>
      <c r="N324" s="27"/>
      <c r="O324" s="145">
        <v>99.5</v>
      </c>
      <c r="P324" s="145">
        <v>17</v>
      </c>
      <c r="Q324" s="146">
        <v>99.5</v>
      </c>
      <c r="R324" s="146">
        <v>108.6</v>
      </c>
      <c r="S324" s="91">
        <v>228.1</v>
      </c>
      <c r="T324" s="91">
        <v>188.7</v>
      </c>
      <c r="U324" s="147"/>
    </row>
    <row r="325" spans="2:21">
      <c r="B325" s="292"/>
      <c r="C325" s="19">
        <v>0.33333333333333298</v>
      </c>
      <c r="D325" s="5">
        <v>513898</v>
      </c>
      <c r="E325" s="11">
        <v>572109</v>
      </c>
      <c r="F325" s="10">
        <v>1.6072</v>
      </c>
      <c r="G325" s="10">
        <v>1.1342000000000001</v>
      </c>
      <c r="H325" s="144"/>
      <c r="I325" s="9">
        <v>405941</v>
      </c>
      <c r="J325" s="9">
        <v>204352</v>
      </c>
      <c r="K325" s="9"/>
      <c r="L325" s="27">
        <v>202530</v>
      </c>
      <c r="M325" s="27">
        <v>165744</v>
      </c>
      <c r="N325" s="27"/>
      <c r="O325" s="145">
        <v>100.3</v>
      </c>
      <c r="P325" s="145">
        <v>17</v>
      </c>
      <c r="Q325" s="146">
        <v>100.3</v>
      </c>
      <c r="R325" s="146">
        <v>112.9</v>
      </c>
      <c r="S325" s="91">
        <v>221.8</v>
      </c>
      <c r="T325" s="91">
        <v>183.9</v>
      </c>
      <c r="U325" s="147"/>
    </row>
    <row r="326" spans="2:21" ht="15.75">
      <c r="B326" s="292"/>
      <c r="C326" s="59">
        <v>0.375</v>
      </c>
      <c r="D326" s="5">
        <v>513906</v>
      </c>
      <c r="E326" s="11">
        <v>572128</v>
      </c>
      <c r="F326" s="10">
        <v>1.6073</v>
      </c>
      <c r="G326" s="10">
        <v>1.1342000000000001</v>
      </c>
      <c r="H326" s="144"/>
      <c r="I326" s="9">
        <v>406187</v>
      </c>
      <c r="J326" s="9">
        <v>204597</v>
      </c>
      <c r="K326" s="9"/>
      <c r="L326" s="27">
        <v>202534</v>
      </c>
      <c r="M326" s="27">
        <v>165749</v>
      </c>
      <c r="N326" s="27"/>
      <c r="O326" s="243">
        <v>96.9</v>
      </c>
      <c r="P326" s="145">
        <v>17</v>
      </c>
      <c r="Q326" s="244">
        <v>96.9</v>
      </c>
      <c r="R326" s="146">
        <v>107.3</v>
      </c>
      <c r="S326" s="91">
        <v>231.1</v>
      </c>
      <c r="T326" s="91">
        <v>200.2</v>
      </c>
      <c r="U326" s="147"/>
    </row>
    <row r="327" spans="2:21">
      <c r="B327" s="292"/>
      <c r="C327" s="19">
        <v>0.41666666666666702</v>
      </c>
      <c r="D327" s="5">
        <v>513914</v>
      </c>
      <c r="E327" s="11">
        <v>572147</v>
      </c>
      <c r="F327" s="10">
        <v>1.6073</v>
      </c>
      <c r="G327" s="10">
        <v>1.1342000000000001</v>
      </c>
      <c r="H327" s="144"/>
      <c r="I327" s="9">
        <v>406433</v>
      </c>
      <c r="J327" s="9">
        <v>204834</v>
      </c>
      <c r="K327" s="9"/>
      <c r="L327" s="27">
        <v>202538</v>
      </c>
      <c r="M327" s="27">
        <v>165754</v>
      </c>
      <c r="N327" s="27"/>
      <c r="O327" s="145">
        <v>98.4</v>
      </c>
      <c r="P327" s="145">
        <v>17</v>
      </c>
      <c r="Q327" s="146">
        <v>98.4</v>
      </c>
      <c r="R327" s="146">
        <v>109.4</v>
      </c>
      <c r="S327" s="91">
        <v>226.1</v>
      </c>
      <c r="T327" s="91">
        <v>197.8</v>
      </c>
      <c r="U327" s="147"/>
    </row>
    <row r="328" spans="2:21">
      <c r="B328" s="292"/>
      <c r="C328" s="19">
        <v>0.45833333333333298</v>
      </c>
      <c r="D328" s="5">
        <v>513923</v>
      </c>
      <c r="E328" s="11">
        <v>572167</v>
      </c>
      <c r="F328" s="10">
        <v>1.6073999999999999</v>
      </c>
      <c r="G328" s="10">
        <v>1.1342000000000001</v>
      </c>
      <c r="H328" s="144"/>
      <c r="I328" s="9">
        <v>406710</v>
      </c>
      <c r="J328" s="9">
        <v>205072</v>
      </c>
      <c r="K328" s="9"/>
      <c r="L328" s="27">
        <v>202544</v>
      </c>
      <c r="M328" s="27">
        <v>165759</v>
      </c>
      <c r="N328" s="27"/>
      <c r="O328" s="145">
        <v>98.7</v>
      </c>
      <c r="P328" s="145">
        <v>17</v>
      </c>
      <c r="Q328" s="146">
        <v>98.7</v>
      </c>
      <c r="R328" s="146">
        <v>110.4</v>
      </c>
      <c r="S328" s="91">
        <v>222.8</v>
      </c>
      <c r="T328" s="91">
        <v>185.4</v>
      </c>
      <c r="U328" s="147"/>
    </row>
    <row r="329" spans="2:21">
      <c r="B329" s="292"/>
      <c r="C329" s="19">
        <v>0.5</v>
      </c>
      <c r="D329" s="5">
        <v>513932</v>
      </c>
      <c r="E329" s="11">
        <v>572188</v>
      </c>
      <c r="F329" s="10">
        <v>1.6073999999999999</v>
      </c>
      <c r="G329" s="10">
        <v>1.1342000000000001</v>
      </c>
      <c r="H329" s="144"/>
      <c r="I329" s="9">
        <v>407039</v>
      </c>
      <c r="J329" s="9">
        <v>205310</v>
      </c>
      <c r="K329" s="9"/>
      <c r="L329" s="27">
        <v>202550</v>
      </c>
      <c r="M329" s="27">
        <v>165764</v>
      </c>
      <c r="N329" s="27"/>
      <c r="O329" s="145">
        <v>98.6</v>
      </c>
      <c r="P329" s="145">
        <v>17</v>
      </c>
      <c r="Q329" s="146">
        <v>98.6</v>
      </c>
      <c r="R329" s="146">
        <v>106.6</v>
      </c>
      <c r="S329" s="91">
        <v>198.1</v>
      </c>
      <c r="T329" s="91">
        <v>177.9</v>
      </c>
      <c r="U329" s="147"/>
    </row>
    <row r="330" spans="2:21">
      <c r="B330" s="292"/>
      <c r="C330" s="19">
        <v>0.54166666666666696</v>
      </c>
      <c r="D330" s="5">
        <v>513941</v>
      </c>
      <c r="E330" s="11">
        <v>572209</v>
      </c>
      <c r="F330" s="10">
        <v>1.6073999999999999</v>
      </c>
      <c r="G330" s="10">
        <v>1.1342000000000001</v>
      </c>
      <c r="H330" s="144"/>
      <c r="I330" s="9">
        <v>407368</v>
      </c>
      <c r="J330" s="9">
        <v>205551</v>
      </c>
      <c r="K330" s="9"/>
      <c r="L330" s="27">
        <v>202550</v>
      </c>
      <c r="M330" s="27">
        <v>165764</v>
      </c>
      <c r="N330" s="27"/>
      <c r="O330" s="145">
        <v>98.1</v>
      </c>
      <c r="P330" s="145">
        <v>17</v>
      </c>
      <c r="Q330" s="146">
        <v>98.1</v>
      </c>
      <c r="R330" s="146">
        <v>106</v>
      </c>
      <c r="S330" s="91">
        <v>215.9</v>
      </c>
      <c r="T330" s="91">
        <v>198.5</v>
      </c>
      <c r="U330" s="147"/>
    </row>
    <row r="331" spans="2:21">
      <c r="B331" s="292"/>
      <c r="C331" s="19">
        <v>0.58333333333333304</v>
      </c>
      <c r="D331" s="5">
        <v>513950</v>
      </c>
      <c r="E331" s="11">
        <v>572230</v>
      </c>
      <c r="F331" s="10">
        <v>1.6074999999999999</v>
      </c>
      <c r="G331" s="10">
        <v>1.1342000000000001</v>
      </c>
      <c r="H331" s="144"/>
      <c r="I331" s="9">
        <v>407697</v>
      </c>
      <c r="J331" s="9">
        <v>205805</v>
      </c>
      <c r="K331" s="9"/>
      <c r="L331" s="27">
        <v>202550</v>
      </c>
      <c r="M331" s="27">
        <v>165764</v>
      </c>
      <c r="N331" s="27"/>
      <c r="O331" s="145">
        <v>96.7</v>
      </c>
      <c r="P331" s="145">
        <v>17</v>
      </c>
      <c r="Q331" s="146">
        <v>96.7</v>
      </c>
      <c r="R331" s="146">
        <v>105.6</v>
      </c>
      <c r="S331" s="91">
        <v>199.1</v>
      </c>
      <c r="T331" s="91">
        <v>179.5</v>
      </c>
      <c r="U331" s="149"/>
    </row>
    <row r="332" spans="2:21">
      <c r="B332" s="292"/>
      <c r="C332" s="19">
        <v>0.625</v>
      </c>
      <c r="D332" s="5">
        <v>513962</v>
      </c>
      <c r="E332" s="11">
        <v>572252</v>
      </c>
      <c r="F332" s="10">
        <v>1.6074999999999999</v>
      </c>
      <c r="G332" s="144">
        <v>1.1342000000000001</v>
      </c>
      <c r="H332" s="144"/>
      <c r="I332" s="9">
        <v>408028</v>
      </c>
      <c r="J332" s="9">
        <v>206329</v>
      </c>
      <c r="K332" s="9"/>
      <c r="L332" s="27">
        <v>202565</v>
      </c>
      <c r="M332" s="27">
        <v>165798</v>
      </c>
      <c r="N332" s="27"/>
      <c r="O332" s="145">
        <v>97</v>
      </c>
      <c r="P332" s="145">
        <v>17</v>
      </c>
      <c r="Q332" s="146">
        <v>97</v>
      </c>
      <c r="R332" s="146">
        <v>106.1</v>
      </c>
      <c r="S332" s="91">
        <v>218.4</v>
      </c>
      <c r="T332" s="91">
        <v>197.1</v>
      </c>
      <c r="U332" s="147"/>
    </row>
    <row r="333" spans="2:21">
      <c r="B333" s="292"/>
      <c r="C333" s="19">
        <v>0.66666666666666696</v>
      </c>
      <c r="D333" s="5">
        <v>513972</v>
      </c>
      <c r="E333" s="11">
        <v>572274</v>
      </c>
      <c r="F333" s="10">
        <v>1.6075999999999999</v>
      </c>
      <c r="G333" s="144">
        <v>1.1342000000000001</v>
      </c>
      <c r="H333" s="144"/>
      <c r="I333" s="9">
        <v>408353</v>
      </c>
      <c r="J333" s="9">
        <v>206638</v>
      </c>
      <c r="K333" s="9"/>
      <c r="L333" s="27">
        <v>202580</v>
      </c>
      <c r="M333" s="27">
        <v>165832</v>
      </c>
      <c r="N333" s="27"/>
      <c r="O333" s="145">
        <v>95.4</v>
      </c>
      <c r="P333" s="145">
        <v>17</v>
      </c>
      <c r="Q333" s="146">
        <v>95.4</v>
      </c>
      <c r="R333" s="146">
        <v>106.3</v>
      </c>
      <c r="S333" s="91">
        <v>233.1</v>
      </c>
      <c r="T333" s="91">
        <v>187.7</v>
      </c>
      <c r="U333" s="147"/>
    </row>
    <row r="334" spans="2:21">
      <c r="B334" s="292"/>
      <c r="C334" s="19">
        <v>0.70833333333333304</v>
      </c>
      <c r="D334" s="5">
        <v>513982</v>
      </c>
      <c r="E334" s="11">
        <v>572296</v>
      </c>
      <c r="F334" s="10">
        <v>1.6075999999999999</v>
      </c>
      <c r="G334" s="144">
        <v>1.1342000000000001</v>
      </c>
      <c r="H334" s="144"/>
      <c r="I334" s="9">
        <v>408682</v>
      </c>
      <c r="J334" s="9">
        <v>206951</v>
      </c>
      <c r="K334" s="9"/>
      <c r="L334" s="27">
        <v>202580</v>
      </c>
      <c r="M334" s="27">
        <v>165832</v>
      </c>
      <c r="N334" s="27"/>
      <c r="O334" s="145">
        <v>95.7</v>
      </c>
      <c r="P334" s="145">
        <v>17</v>
      </c>
      <c r="Q334" s="146">
        <v>95.7</v>
      </c>
      <c r="R334" s="146">
        <v>107.6</v>
      </c>
      <c r="S334" s="91">
        <v>221.7</v>
      </c>
      <c r="T334" s="247">
        <v>199</v>
      </c>
      <c r="U334" s="147"/>
    </row>
    <row r="335" spans="2:21">
      <c r="B335" s="292"/>
      <c r="C335" s="19">
        <v>0.75</v>
      </c>
      <c r="D335" s="5">
        <v>513992</v>
      </c>
      <c r="E335" s="11">
        <v>572318</v>
      </c>
      <c r="F335" s="10">
        <v>1.6076999999999999</v>
      </c>
      <c r="G335" s="144">
        <v>1.1342000000000001</v>
      </c>
      <c r="H335" s="144"/>
      <c r="I335" s="9">
        <v>409004</v>
      </c>
      <c r="J335" s="9">
        <v>207257</v>
      </c>
      <c r="K335" s="9"/>
      <c r="L335" s="27">
        <v>202580</v>
      </c>
      <c r="M335" s="27">
        <v>165832</v>
      </c>
      <c r="N335" s="27"/>
      <c r="O335" s="145">
        <v>96.8</v>
      </c>
      <c r="P335" s="145">
        <v>17</v>
      </c>
      <c r="Q335" s="146">
        <v>96.8</v>
      </c>
      <c r="R335" s="146">
        <v>107.8</v>
      </c>
      <c r="S335" s="91">
        <v>214.8</v>
      </c>
      <c r="T335" s="91">
        <v>179.6</v>
      </c>
      <c r="U335" s="147"/>
    </row>
    <row r="336" spans="2:21">
      <c r="B336" s="292"/>
      <c r="C336" s="19">
        <v>0.79166666666666696</v>
      </c>
      <c r="D336" s="5">
        <v>514005</v>
      </c>
      <c r="E336" s="11">
        <v>572342</v>
      </c>
      <c r="F336" s="10">
        <v>1.6076999999999999</v>
      </c>
      <c r="G336" s="144">
        <v>1.1342000000000001</v>
      </c>
      <c r="H336" s="144"/>
      <c r="I336" s="9">
        <v>409336</v>
      </c>
      <c r="J336" s="9">
        <v>207573</v>
      </c>
      <c r="K336" s="9"/>
      <c r="L336" s="27">
        <v>202591</v>
      </c>
      <c r="M336" s="27">
        <v>165888</v>
      </c>
      <c r="N336" s="27"/>
      <c r="O336" s="145">
        <v>93.2</v>
      </c>
      <c r="P336" s="145">
        <v>17</v>
      </c>
      <c r="Q336" s="146">
        <v>93.2</v>
      </c>
      <c r="R336" s="146">
        <v>102.6</v>
      </c>
      <c r="S336" s="91">
        <v>228.2</v>
      </c>
      <c r="T336" s="91">
        <v>197.5</v>
      </c>
      <c r="U336" s="147"/>
    </row>
    <row r="337" spans="2:21">
      <c r="B337" s="292"/>
      <c r="C337" s="19">
        <v>0.83333333333333304</v>
      </c>
      <c r="D337" s="5">
        <v>514017</v>
      </c>
      <c r="E337" s="11">
        <v>572352</v>
      </c>
      <c r="F337" s="10">
        <v>1.6076999999999999</v>
      </c>
      <c r="G337" s="144">
        <v>1.1342000000000001</v>
      </c>
      <c r="H337" s="144"/>
      <c r="I337" s="9">
        <v>409728</v>
      </c>
      <c r="J337" s="9">
        <v>207950</v>
      </c>
      <c r="K337" s="9"/>
      <c r="L337" s="27">
        <v>202597</v>
      </c>
      <c r="M337" s="27">
        <v>165899</v>
      </c>
      <c r="N337" s="27"/>
      <c r="O337" s="145">
        <v>89.9</v>
      </c>
      <c r="P337" s="145">
        <v>17</v>
      </c>
      <c r="Q337" s="146">
        <v>89.9</v>
      </c>
      <c r="R337" s="146">
        <v>99.5</v>
      </c>
      <c r="S337" s="91">
        <v>225.3</v>
      </c>
      <c r="T337" s="91">
        <v>196.9</v>
      </c>
      <c r="U337" s="147"/>
    </row>
    <row r="338" spans="2:21">
      <c r="B338" s="292"/>
      <c r="C338" s="19">
        <v>0.875</v>
      </c>
      <c r="D338" s="5">
        <v>514026</v>
      </c>
      <c r="E338" s="11">
        <v>572374</v>
      </c>
      <c r="F338" s="10">
        <v>1.6076999999999999</v>
      </c>
      <c r="G338" s="144">
        <v>1.1342000000000001</v>
      </c>
      <c r="H338" s="144"/>
      <c r="I338" s="9">
        <v>410012</v>
      </c>
      <c r="J338" s="9">
        <v>208210</v>
      </c>
      <c r="K338" s="9"/>
      <c r="L338" s="27">
        <v>202597</v>
      </c>
      <c r="M338" s="27">
        <v>165899</v>
      </c>
      <c r="N338" s="27"/>
      <c r="O338" s="145">
        <v>95.7</v>
      </c>
      <c r="P338" s="145">
        <v>17</v>
      </c>
      <c r="Q338" s="146">
        <v>95.7</v>
      </c>
      <c r="R338" s="146">
        <v>107.6</v>
      </c>
      <c r="S338" s="91">
        <v>221.7</v>
      </c>
      <c r="T338" s="247">
        <v>199</v>
      </c>
      <c r="U338" s="147"/>
    </row>
    <row r="339" spans="2:21">
      <c r="B339" s="292"/>
      <c r="C339" s="19">
        <v>0.91666666666666696</v>
      </c>
      <c r="D339" s="5">
        <v>514036</v>
      </c>
      <c r="E339" s="11">
        <v>572396</v>
      </c>
      <c r="F339" s="10">
        <v>1.6076999999999999</v>
      </c>
      <c r="G339" s="144">
        <v>1.1343000000000001</v>
      </c>
      <c r="H339" s="144"/>
      <c r="I339" s="9">
        <v>410323</v>
      </c>
      <c r="J339" s="9">
        <v>208503</v>
      </c>
      <c r="K339" s="9"/>
      <c r="L339" s="27">
        <v>202597</v>
      </c>
      <c r="M339" s="27">
        <v>165899</v>
      </c>
      <c r="N339" s="27"/>
      <c r="O339" s="145">
        <v>96.8</v>
      </c>
      <c r="P339" s="145">
        <v>17</v>
      </c>
      <c r="Q339" s="146">
        <v>96.8</v>
      </c>
      <c r="R339" s="146">
        <v>107.8</v>
      </c>
      <c r="S339" s="91">
        <v>214.8</v>
      </c>
      <c r="T339" s="91">
        <v>179.6</v>
      </c>
      <c r="U339" s="147"/>
    </row>
    <row r="340" spans="2:21">
      <c r="B340" s="292"/>
      <c r="C340" s="19">
        <v>0.95833333333333304</v>
      </c>
      <c r="D340" s="5">
        <v>514046</v>
      </c>
      <c r="E340" s="11">
        <v>572418</v>
      </c>
      <c r="F340" s="10">
        <v>1.6077999999999999</v>
      </c>
      <c r="G340" s="144">
        <v>1.1343000000000001</v>
      </c>
      <c r="H340" s="144"/>
      <c r="I340" s="9">
        <v>410641</v>
      </c>
      <c r="J340" s="9">
        <v>208802</v>
      </c>
      <c r="K340" s="9"/>
      <c r="L340" s="27">
        <v>202617</v>
      </c>
      <c r="M340" s="27">
        <v>165974</v>
      </c>
      <c r="N340" s="27"/>
      <c r="O340" s="145">
        <v>87.9</v>
      </c>
      <c r="P340" s="145">
        <v>17</v>
      </c>
      <c r="Q340" s="146">
        <v>87.9</v>
      </c>
      <c r="R340" s="146">
        <v>96.1</v>
      </c>
      <c r="S340" s="91">
        <v>231.2</v>
      </c>
      <c r="T340" s="91">
        <v>186.5</v>
      </c>
      <c r="U340" s="147"/>
    </row>
    <row r="341" spans="2:21">
      <c r="B341" s="292"/>
      <c r="C341" s="19">
        <v>1</v>
      </c>
      <c r="D341" s="5">
        <v>514057</v>
      </c>
      <c r="E341" s="11">
        <v>572432</v>
      </c>
      <c r="F341" s="10">
        <v>1.6077999999999999</v>
      </c>
      <c r="G341" s="144">
        <v>1.1343000000000001</v>
      </c>
      <c r="H341" s="144"/>
      <c r="I341" s="9">
        <v>411008</v>
      </c>
      <c r="J341" s="9">
        <v>209124</v>
      </c>
      <c r="K341" s="9"/>
      <c r="L341" s="27">
        <v>202623</v>
      </c>
      <c r="M341" s="27">
        <v>165985</v>
      </c>
      <c r="N341" s="27"/>
      <c r="O341" s="145">
        <v>95.7</v>
      </c>
      <c r="P341" s="145">
        <v>17</v>
      </c>
      <c r="Q341" s="146">
        <v>95.7</v>
      </c>
      <c r="R341" s="146">
        <v>107.6</v>
      </c>
      <c r="S341" s="91">
        <v>221.7</v>
      </c>
      <c r="T341" s="247">
        <v>199</v>
      </c>
      <c r="U341" s="147"/>
    </row>
    <row r="342" spans="2:21">
      <c r="B342" s="292"/>
      <c r="C342" s="19">
        <v>1.0416666666666701</v>
      </c>
      <c r="D342" s="5">
        <v>514068</v>
      </c>
      <c r="E342" s="11">
        <v>572446</v>
      </c>
      <c r="F342" s="10">
        <v>1.6077999999999999</v>
      </c>
      <c r="G342" s="144">
        <v>1.1343000000000001</v>
      </c>
      <c r="H342" s="144"/>
      <c r="I342" s="9">
        <v>411430</v>
      </c>
      <c r="J342" s="9">
        <v>209402</v>
      </c>
      <c r="K342" s="9"/>
      <c r="L342" s="27">
        <v>202629</v>
      </c>
      <c r="M342" s="27">
        <v>165996</v>
      </c>
      <c r="N342" s="27"/>
      <c r="O342" s="145">
        <v>96.8</v>
      </c>
      <c r="P342" s="145">
        <v>17</v>
      </c>
      <c r="Q342" s="146">
        <v>96.8</v>
      </c>
      <c r="R342" s="146">
        <v>107.8</v>
      </c>
      <c r="S342" s="91">
        <v>214.8</v>
      </c>
      <c r="T342" s="91">
        <v>179.6</v>
      </c>
      <c r="U342" s="147"/>
    </row>
    <row r="343" spans="2:21">
      <c r="B343" s="292"/>
      <c r="C343" s="19">
        <v>1.0833333333333299</v>
      </c>
      <c r="D343" s="5">
        <v>514080</v>
      </c>
      <c r="E343" s="11">
        <v>572460</v>
      </c>
      <c r="F343" s="10">
        <v>1.6077999999999999</v>
      </c>
      <c r="G343" s="144">
        <v>1.1344000000000001</v>
      </c>
      <c r="H343" s="144"/>
      <c r="I343" s="9">
        <v>411749</v>
      </c>
      <c r="J343" s="9">
        <v>209816</v>
      </c>
      <c r="K343" s="9"/>
      <c r="L343" s="27">
        <v>202635</v>
      </c>
      <c r="M343" s="27">
        <v>166007</v>
      </c>
      <c r="N343" s="27"/>
      <c r="O343" s="145">
        <v>95.8</v>
      </c>
      <c r="P343" s="145">
        <v>17</v>
      </c>
      <c r="Q343" s="146">
        <v>95.8</v>
      </c>
      <c r="R343" s="146">
        <v>107.5</v>
      </c>
      <c r="S343" s="91">
        <v>219.1</v>
      </c>
      <c r="T343" s="91">
        <v>180.6</v>
      </c>
      <c r="U343" s="147"/>
    </row>
    <row r="344" spans="2:21">
      <c r="B344" s="292"/>
      <c r="C344" s="19">
        <v>1.125</v>
      </c>
      <c r="D344" s="5">
        <v>514092</v>
      </c>
      <c r="E344" s="11">
        <v>572474</v>
      </c>
      <c r="F344" s="10">
        <v>1.6077999999999999</v>
      </c>
      <c r="G344" s="10">
        <v>1.1345000000000001</v>
      </c>
      <c r="H344" s="144"/>
      <c r="I344" s="9">
        <v>412110</v>
      </c>
      <c r="J344" s="9">
        <v>210212</v>
      </c>
      <c r="K344" s="9"/>
      <c r="L344" s="27">
        <v>202641</v>
      </c>
      <c r="M344" s="27">
        <v>166021</v>
      </c>
      <c r="N344" s="27"/>
      <c r="O344" s="145">
        <v>90.7</v>
      </c>
      <c r="P344" s="145">
        <v>17</v>
      </c>
      <c r="Q344" s="146">
        <v>90.7</v>
      </c>
      <c r="R344" s="146">
        <v>100</v>
      </c>
      <c r="S344" s="91">
        <v>234.6</v>
      </c>
      <c r="T344" s="91">
        <v>199.8</v>
      </c>
      <c r="U344" s="147"/>
    </row>
    <row r="345" spans="2:21">
      <c r="B345" s="292"/>
      <c r="C345" s="19">
        <v>1.1666666666666701</v>
      </c>
      <c r="D345" s="5">
        <v>514102</v>
      </c>
      <c r="E345" s="11">
        <v>572486</v>
      </c>
      <c r="F345" s="10">
        <v>1.6077999999999999</v>
      </c>
      <c r="G345" s="10">
        <v>1.1345000000000001</v>
      </c>
      <c r="H345" s="144"/>
      <c r="I345" s="9">
        <v>412421</v>
      </c>
      <c r="J345" s="9">
        <v>210500</v>
      </c>
      <c r="K345" s="9"/>
      <c r="L345" s="27">
        <v>202641</v>
      </c>
      <c r="M345" s="27">
        <v>166021</v>
      </c>
      <c r="N345" s="27"/>
      <c r="O345" s="145">
        <v>94.5</v>
      </c>
      <c r="P345" s="145">
        <v>17</v>
      </c>
      <c r="Q345" s="146">
        <v>94.5</v>
      </c>
      <c r="R345" s="146">
        <v>104.7</v>
      </c>
      <c r="S345" s="91">
        <v>200.5</v>
      </c>
      <c r="T345" s="91">
        <v>182.3</v>
      </c>
      <c r="U345" s="147"/>
    </row>
    <row r="346" spans="2:21">
      <c r="B346" s="292"/>
      <c r="C346" s="19">
        <v>1.2083333333333299</v>
      </c>
      <c r="D346" s="5">
        <v>514113</v>
      </c>
      <c r="E346" s="11">
        <v>572498</v>
      </c>
      <c r="F346" s="10">
        <v>1.6077999999999999</v>
      </c>
      <c r="G346" s="10">
        <v>1.1346000000000001</v>
      </c>
      <c r="H346" s="144"/>
      <c r="I346" s="9">
        <v>412750</v>
      </c>
      <c r="J346" s="9">
        <v>210818</v>
      </c>
      <c r="K346" s="9"/>
      <c r="L346" s="27">
        <v>202641</v>
      </c>
      <c r="M346" s="27">
        <v>166021</v>
      </c>
      <c r="N346" s="27"/>
      <c r="O346" s="145">
        <v>97.7</v>
      </c>
      <c r="P346" s="145">
        <v>17</v>
      </c>
      <c r="Q346" s="146">
        <v>97.7</v>
      </c>
      <c r="R346" s="146">
        <v>107.5</v>
      </c>
      <c r="S346" s="91">
        <v>210.3</v>
      </c>
      <c r="T346" s="91">
        <v>199.2</v>
      </c>
      <c r="U346" s="147"/>
    </row>
    <row r="347" spans="2:21">
      <c r="B347" s="292"/>
      <c r="C347" s="19">
        <v>1.25</v>
      </c>
      <c r="D347" s="5">
        <v>514124</v>
      </c>
      <c r="E347" s="11">
        <v>572511</v>
      </c>
      <c r="F347" s="10">
        <v>1.6077999999999999</v>
      </c>
      <c r="G347" s="10">
        <v>1.1346000000000001</v>
      </c>
      <c r="H347" s="144"/>
      <c r="I347" s="9">
        <v>413095</v>
      </c>
      <c r="J347" s="9">
        <v>211163</v>
      </c>
      <c r="K347" s="9"/>
      <c r="L347" s="27">
        <v>202641</v>
      </c>
      <c r="M347" s="27">
        <v>166021</v>
      </c>
      <c r="N347" s="27"/>
      <c r="O347" s="145">
        <v>95.7</v>
      </c>
      <c r="P347" s="145">
        <v>17</v>
      </c>
      <c r="Q347" s="146">
        <v>95.7</v>
      </c>
      <c r="R347" s="146">
        <v>107.6</v>
      </c>
      <c r="S347" s="91">
        <v>221.7</v>
      </c>
      <c r="T347" s="247">
        <v>199</v>
      </c>
      <c r="U347" s="147"/>
    </row>
    <row r="348" spans="2:21">
      <c r="B348" s="292"/>
      <c r="C348" s="19">
        <v>1.2916666666666701</v>
      </c>
      <c r="D348" s="5">
        <v>514135</v>
      </c>
      <c r="E348" s="11">
        <v>572524</v>
      </c>
      <c r="F348" s="10">
        <v>1.6077999999999999</v>
      </c>
      <c r="G348" s="10">
        <v>1.1347</v>
      </c>
      <c r="H348" s="144"/>
      <c r="I348" s="9">
        <v>413445</v>
      </c>
      <c r="J348" s="9">
        <v>211470</v>
      </c>
      <c r="K348" s="9"/>
      <c r="L348" s="27">
        <v>202666</v>
      </c>
      <c r="M348" s="27">
        <v>166091</v>
      </c>
      <c r="N348" s="27"/>
      <c r="O348" s="145">
        <v>91.9</v>
      </c>
      <c r="P348" s="145">
        <v>17</v>
      </c>
      <c r="Q348" s="146">
        <v>91.9</v>
      </c>
      <c r="R348" s="146">
        <v>100.2</v>
      </c>
      <c r="S348" s="91">
        <v>223.5</v>
      </c>
      <c r="T348" s="91">
        <v>184.7</v>
      </c>
      <c r="U348" s="147"/>
    </row>
    <row r="349" spans="2:21">
      <c r="B349" s="293"/>
      <c r="C349" s="6"/>
      <c r="D349" s="13" cm="1">
        <f t="array" ref="D349">IFERROR(LOOKUP(2,1/(D324:D348&gt;0),D324:D348-D324),0)</f>
        <v>250</v>
      </c>
      <c r="E349" s="13" cm="1">
        <f t="array" ref="E349">IFERROR(LOOKUP(2,1/(E324:E348&gt;0),E324:E348-E324),0)</f>
        <v>444</v>
      </c>
      <c r="F349" s="13" cm="1">
        <f t="array" ref="F349">IFERROR(LOOKUP(2,1/(F324:F348&gt;0),F324:F348-F324),0)</f>
        <v>6.9999999999992291E-4</v>
      </c>
      <c r="G349" s="13" cm="1">
        <f t="array" ref="G349">IFERROR(LOOKUP(2,1/(G324:G348&gt;0),G324:G348-G324),0)</f>
        <v>4.9999999999994493E-4</v>
      </c>
      <c r="H349" s="13">
        <f>F349+G349</f>
        <v>1.1999999999998678E-3</v>
      </c>
      <c r="I349" s="13" cm="1">
        <f t="array" ref="I349">IFERROR(LOOKUP(2,1/(I324:I348&gt;0),I324:I348-I324),0)</f>
        <v>7913</v>
      </c>
      <c r="J349" s="13" cm="1">
        <f t="array" ref="J349">IFERROR(LOOKUP(2,1/(J324:J348&gt;0),J324:J348-J324),0)</f>
        <v>7515</v>
      </c>
      <c r="K349" s="13">
        <f>I349+J349</f>
        <v>15428</v>
      </c>
      <c r="L349" s="13" cm="1">
        <f t="array" ref="L349">IFERROR(LOOKUP(2,1/(L324:L348&gt;0),L324:L348-L324),0)</f>
        <v>143</v>
      </c>
      <c r="M349" s="13" cm="1">
        <f t="array" ref="M349">IFERROR(LOOKUP(2,1/(M324:M348&gt;0),M324:M348-M324),0)</f>
        <v>354</v>
      </c>
      <c r="N349" s="13">
        <f>L349+M349</f>
        <v>497</v>
      </c>
      <c r="O349" s="148">
        <f t="shared" ref="O349:T349" si="12">IFERROR(AVERAGE(O324:O348),0)</f>
        <v>95.77600000000001</v>
      </c>
      <c r="P349" s="148">
        <f t="shared" si="12"/>
        <v>17</v>
      </c>
      <c r="Q349" s="148">
        <f t="shared" si="12"/>
        <v>95.77600000000001</v>
      </c>
      <c r="R349" s="148">
        <f t="shared" si="12"/>
        <v>106.04399999999995</v>
      </c>
      <c r="S349" s="148">
        <f t="shared" si="12"/>
        <v>219.93600000000004</v>
      </c>
      <c r="T349" s="148">
        <f t="shared" si="12"/>
        <v>190.35999999999996</v>
      </c>
      <c r="U349" s="148">
        <f>COUNT(U324:U348)</f>
        <v>0</v>
      </c>
    </row>
    <row r="350" spans="2:21">
      <c r="B350" s="291">
        <f>'DATA B1'!B350</f>
        <v>46036</v>
      </c>
      <c r="C350" s="19">
        <v>0.29166666666666669</v>
      </c>
      <c r="D350" s="5">
        <v>514135</v>
      </c>
      <c r="E350" s="11">
        <v>572524</v>
      </c>
      <c r="F350" s="10">
        <v>1.6077999999999999</v>
      </c>
      <c r="G350" s="10">
        <v>1.1347</v>
      </c>
      <c r="H350" s="144"/>
      <c r="I350" s="9">
        <v>413445</v>
      </c>
      <c r="J350" s="9">
        <v>211470</v>
      </c>
      <c r="K350" s="9"/>
      <c r="L350" s="27">
        <v>202666</v>
      </c>
      <c r="M350" s="27">
        <v>166091</v>
      </c>
      <c r="N350" s="27"/>
      <c r="O350" s="145">
        <v>91.9</v>
      </c>
      <c r="P350" s="145">
        <v>17</v>
      </c>
      <c r="Q350" s="146">
        <v>91.9</v>
      </c>
      <c r="R350" s="146">
        <v>100.2</v>
      </c>
      <c r="S350" s="91">
        <v>223.5</v>
      </c>
      <c r="T350" s="91">
        <v>184.7</v>
      </c>
      <c r="U350" s="147"/>
    </row>
    <row r="351" spans="2:21">
      <c r="B351" s="292"/>
      <c r="C351" s="19">
        <v>0.33333333333333298</v>
      </c>
      <c r="D351" s="5">
        <v>514151</v>
      </c>
      <c r="E351" s="11">
        <v>572543</v>
      </c>
      <c r="F351" s="10">
        <v>1.6077999999999999</v>
      </c>
      <c r="G351" s="10">
        <v>1.1347</v>
      </c>
      <c r="H351" s="144"/>
      <c r="I351" s="9">
        <v>413933</v>
      </c>
      <c r="J351" s="9">
        <v>211943</v>
      </c>
      <c r="K351" s="9"/>
      <c r="L351" s="27">
        <v>202674</v>
      </c>
      <c r="M351" s="27">
        <v>166101</v>
      </c>
      <c r="N351" s="27"/>
      <c r="O351" s="145">
        <v>88.9</v>
      </c>
      <c r="P351" s="145">
        <v>17</v>
      </c>
      <c r="Q351" s="146">
        <v>88.9</v>
      </c>
      <c r="R351" s="146">
        <v>101.1</v>
      </c>
      <c r="S351" s="91">
        <v>234.6</v>
      </c>
      <c r="T351" s="91">
        <v>189.7</v>
      </c>
      <c r="U351" s="147"/>
    </row>
    <row r="352" spans="2:21">
      <c r="B352" s="292"/>
      <c r="C352" s="19">
        <v>0.375</v>
      </c>
      <c r="D352" s="5">
        <v>514160</v>
      </c>
      <c r="E352" s="11">
        <v>572554</v>
      </c>
      <c r="F352" s="10">
        <v>1.6079000000000001</v>
      </c>
      <c r="G352" s="10">
        <v>1.1347</v>
      </c>
      <c r="H352" s="144"/>
      <c r="I352" s="9">
        <v>414246</v>
      </c>
      <c r="J352" s="9">
        <v>212242</v>
      </c>
      <c r="K352" s="9"/>
      <c r="L352" s="27">
        <v>202678</v>
      </c>
      <c r="M352" s="27">
        <v>166109</v>
      </c>
      <c r="N352" s="27"/>
      <c r="O352" s="145">
        <v>89.7</v>
      </c>
      <c r="P352" s="145">
        <v>17</v>
      </c>
      <c r="Q352" s="146">
        <v>89.7</v>
      </c>
      <c r="R352" s="146">
        <v>101.6</v>
      </c>
      <c r="S352" s="91">
        <v>221.7</v>
      </c>
      <c r="T352" s="247">
        <v>199</v>
      </c>
      <c r="U352" s="147"/>
    </row>
    <row r="353" spans="2:21">
      <c r="B353" s="292"/>
      <c r="C353" s="19">
        <v>0.41666666666666702</v>
      </c>
      <c r="D353" s="5">
        <v>514169</v>
      </c>
      <c r="E353" s="11">
        <v>572565</v>
      </c>
      <c r="F353" s="10">
        <v>1.6079000000000001</v>
      </c>
      <c r="G353" s="10">
        <v>1.1347</v>
      </c>
      <c r="H353" s="144"/>
      <c r="I353" s="9">
        <v>414569</v>
      </c>
      <c r="J353" s="9">
        <v>212543</v>
      </c>
      <c r="K353" s="9"/>
      <c r="L353" s="27">
        <v>202682</v>
      </c>
      <c r="M353" s="27">
        <v>166117</v>
      </c>
      <c r="N353" s="27"/>
      <c r="O353" s="145">
        <v>88.7</v>
      </c>
      <c r="P353" s="145">
        <v>17</v>
      </c>
      <c r="Q353" s="146">
        <v>88.7</v>
      </c>
      <c r="R353" s="146">
        <v>100.1</v>
      </c>
      <c r="S353" s="91">
        <v>222.9</v>
      </c>
      <c r="T353" s="91">
        <v>189.1</v>
      </c>
      <c r="U353" s="147"/>
    </row>
    <row r="354" spans="2:21">
      <c r="B354" s="292"/>
      <c r="C354" s="19">
        <v>0.45833333333333298</v>
      </c>
      <c r="D354" s="5">
        <v>514178</v>
      </c>
      <c r="E354" s="11">
        <v>572577</v>
      </c>
      <c r="F354" s="144">
        <v>1.6080000000000001</v>
      </c>
      <c r="G354" s="10">
        <v>1.1347</v>
      </c>
      <c r="H354" s="144"/>
      <c r="I354" s="9">
        <v>414902</v>
      </c>
      <c r="J354" s="9">
        <v>212840</v>
      </c>
      <c r="K354" s="9"/>
      <c r="L354" s="27">
        <v>202688</v>
      </c>
      <c r="M354" s="27">
        <v>166127</v>
      </c>
      <c r="N354" s="27"/>
      <c r="O354" s="145">
        <v>87.4</v>
      </c>
      <c r="P354" s="145">
        <v>17</v>
      </c>
      <c r="Q354" s="146">
        <v>87.4</v>
      </c>
      <c r="R354" s="146">
        <v>98.4</v>
      </c>
      <c r="S354" s="91">
        <v>229.5</v>
      </c>
      <c r="T354" s="91">
        <v>184.2</v>
      </c>
      <c r="U354" s="147"/>
    </row>
    <row r="355" spans="2:21">
      <c r="B355" s="292"/>
      <c r="C355" s="19">
        <v>0.5</v>
      </c>
      <c r="D355" s="5">
        <v>514186</v>
      </c>
      <c r="E355" s="11">
        <v>572589</v>
      </c>
      <c r="F355" s="144">
        <v>1.6080000000000001</v>
      </c>
      <c r="G355" s="10">
        <v>1.1347</v>
      </c>
      <c r="H355" s="144"/>
      <c r="I355" s="9">
        <v>415233</v>
      </c>
      <c r="J355" s="9">
        <v>213135</v>
      </c>
      <c r="K355" s="9"/>
      <c r="L355" s="27">
        <v>202694</v>
      </c>
      <c r="M355" s="27">
        <v>166137</v>
      </c>
      <c r="N355" s="27"/>
      <c r="O355" s="145">
        <v>93.8</v>
      </c>
      <c r="P355" s="145">
        <v>17</v>
      </c>
      <c r="Q355" s="146">
        <v>93.8</v>
      </c>
      <c r="R355" s="146">
        <v>107.5</v>
      </c>
      <c r="S355" s="91">
        <v>200.1</v>
      </c>
      <c r="T355" s="91">
        <v>184.5</v>
      </c>
      <c r="U355" s="147"/>
    </row>
    <row r="356" spans="2:21">
      <c r="B356" s="292"/>
      <c r="C356" s="19">
        <v>0.54166666666666696</v>
      </c>
      <c r="D356" s="5">
        <v>514196</v>
      </c>
      <c r="E356" s="11">
        <v>572601</v>
      </c>
      <c r="F356" s="144">
        <v>1.6081000000000001</v>
      </c>
      <c r="G356" s="10">
        <v>1.1347</v>
      </c>
      <c r="H356" s="144"/>
      <c r="I356" s="9">
        <v>415568</v>
      </c>
      <c r="J356" s="9">
        <v>213434</v>
      </c>
      <c r="K356" s="9"/>
      <c r="L356" s="27">
        <v>202694</v>
      </c>
      <c r="M356" s="27">
        <v>166137</v>
      </c>
      <c r="N356" s="27"/>
      <c r="O356" s="145">
        <v>96.7</v>
      </c>
      <c r="P356" s="145">
        <v>17</v>
      </c>
      <c r="Q356" s="146">
        <v>96.7</v>
      </c>
      <c r="R356" s="146">
        <v>105.6</v>
      </c>
      <c r="S356" s="91">
        <v>199.1</v>
      </c>
      <c r="T356" s="91">
        <v>179.5</v>
      </c>
      <c r="U356" s="147"/>
    </row>
    <row r="357" spans="2:21">
      <c r="B357" s="292"/>
      <c r="C357" s="19">
        <v>0.58333333333333304</v>
      </c>
      <c r="D357" s="5">
        <v>514205</v>
      </c>
      <c r="E357" s="11">
        <v>572613</v>
      </c>
      <c r="F357" s="144">
        <v>1.6081000000000001</v>
      </c>
      <c r="G357" s="10">
        <v>1.1347</v>
      </c>
      <c r="H357" s="144"/>
      <c r="I357" s="9">
        <v>415896</v>
      </c>
      <c r="J357" s="9">
        <v>213726</v>
      </c>
      <c r="K357" s="9"/>
      <c r="L357" s="27">
        <v>202694</v>
      </c>
      <c r="M357" s="27">
        <v>166137</v>
      </c>
      <c r="N357" s="27"/>
      <c r="O357" s="145">
        <v>98.1</v>
      </c>
      <c r="P357" s="145">
        <v>17</v>
      </c>
      <c r="Q357" s="146">
        <v>98.1</v>
      </c>
      <c r="R357" s="146">
        <v>107.2</v>
      </c>
      <c r="S357" s="91">
        <v>215.8</v>
      </c>
      <c r="T357" s="91">
        <v>180.7</v>
      </c>
      <c r="U357" s="149"/>
    </row>
    <row r="358" spans="2:21">
      <c r="B358" s="292"/>
      <c r="C358" s="19">
        <v>0.625</v>
      </c>
      <c r="D358" s="5">
        <v>514215</v>
      </c>
      <c r="E358" s="11">
        <v>572625</v>
      </c>
      <c r="F358" s="144">
        <v>1.6082000000000001</v>
      </c>
      <c r="G358" s="10">
        <v>1.1347</v>
      </c>
      <c r="H358" s="144"/>
      <c r="I358" s="9">
        <v>416234</v>
      </c>
      <c r="J358" s="9">
        <v>214028</v>
      </c>
      <c r="K358" s="9"/>
      <c r="L358" s="27">
        <v>202696</v>
      </c>
      <c r="M358" s="27">
        <v>166139</v>
      </c>
      <c r="N358" s="27"/>
      <c r="O358" s="145">
        <v>95.5</v>
      </c>
      <c r="P358" s="145">
        <v>17</v>
      </c>
      <c r="Q358" s="146">
        <v>95.5</v>
      </c>
      <c r="R358" s="146">
        <v>108.2</v>
      </c>
      <c r="S358" s="91">
        <v>200.3</v>
      </c>
      <c r="T358" s="91">
        <v>182.6</v>
      </c>
      <c r="U358" s="147"/>
    </row>
    <row r="359" spans="2:21">
      <c r="B359" s="292"/>
      <c r="C359" s="19">
        <v>0.66666666666666696</v>
      </c>
      <c r="D359" s="5">
        <v>514227</v>
      </c>
      <c r="E359" s="11">
        <v>572636</v>
      </c>
      <c r="F359" s="144">
        <v>1.6082000000000001</v>
      </c>
      <c r="G359" s="10">
        <v>1.1347</v>
      </c>
      <c r="H359" s="144"/>
      <c r="I359" s="9">
        <v>416574</v>
      </c>
      <c r="J359" s="9">
        <v>214369</v>
      </c>
      <c r="K359" s="9"/>
      <c r="L359" s="27">
        <v>202698</v>
      </c>
      <c r="M359" s="27">
        <v>166141</v>
      </c>
      <c r="N359" s="27"/>
      <c r="O359" s="145">
        <v>96.7</v>
      </c>
      <c r="P359" s="145">
        <v>17</v>
      </c>
      <c r="Q359" s="146">
        <v>96.7</v>
      </c>
      <c r="R359" s="146">
        <v>105.6</v>
      </c>
      <c r="S359" s="91">
        <v>199.1</v>
      </c>
      <c r="T359" s="91">
        <v>179.5</v>
      </c>
      <c r="U359" s="147"/>
    </row>
    <row r="360" spans="2:21">
      <c r="B360" s="292"/>
      <c r="C360" s="19">
        <v>0.70833333333333304</v>
      </c>
      <c r="D360" s="5">
        <v>514240</v>
      </c>
      <c r="E360" s="11">
        <v>572647</v>
      </c>
      <c r="F360" s="144">
        <v>1.6083000000000001</v>
      </c>
      <c r="G360" s="10">
        <v>1.1347</v>
      </c>
      <c r="H360" s="144"/>
      <c r="I360" s="9">
        <v>416918</v>
      </c>
      <c r="J360" s="9">
        <v>214714</v>
      </c>
      <c r="K360" s="9"/>
      <c r="L360" s="27">
        <v>202705</v>
      </c>
      <c r="M360" s="27">
        <v>166146</v>
      </c>
      <c r="N360" s="27"/>
      <c r="O360" s="145">
        <v>98.1</v>
      </c>
      <c r="P360" s="145">
        <v>17</v>
      </c>
      <c r="Q360" s="146">
        <v>98.1</v>
      </c>
      <c r="R360" s="146">
        <v>107.2</v>
      </c>
      <c r="S360" s="91">
        <v>215.8</v>
      </c>
      <c r="T360" s="91">
        <v>180.7</v>
      </c>
      <c r="U360" s="147"/>
    </row>
    <row r="361" spans="2:21">
      <c r="B361" s="292"/>
      <c r="C361" s="19">
        <v>0.75</v>
      </c>
      <c r="D361" s="5">
        <v>514252</v>
      </c>
      <c r="E361" s="11">
        <v>572658</v>
      </c>
      <c r="F361" s="144">
        <v>1.6083000000000001</v>
      </c>
      <c r="G361" s="10">
        <v>1.1347</v>
      </c>
      <c r="H361" s="144"/>
      <c r="I361" s="9">
        <v>417255</v>
      </c>
      <c r="J361" s="9">
        <v>215052</v>
      </c>
      <c r="K361" s="9"/>
      <c r="L361" s="27">
        <v>202712</v>
      </c>
      <c r="M361" s="27">
        <v>166151</v>
      </c>
      <c r="N361" s="27"/>
      <c r="O361" s="145">
        <v>95.5</v>
      </c>
      <c r="P361" s="145">
        <v>17</v>
      </c>
      <c r="Q361" s="146">
        <v>95.5</v>
      </c>
      <c r="R361" s="146">
        <v>108.2</v>
      </c>
      <c r="S361" s="91">
        <v>200.3</v>
      </c>
      <c r="T361" s="91">
        <v>182.6</v>
      </c>
      <c r="U361" s="147"/>
    </row>
    <row r="362" spans="2:21">
      <c r="B362" s="292"/>
      <c r="C362" s="19">
        <v>0.79166666666666696</v>
      </c>
      <c r="D362" s="5">
        <v>514265</v>
      </c>
      <c r="E362" s="11">
        <v>572669</v>
      </c>
      <c r="F362" s="10">
        <v>1.6084000000000001</v>
      </c>
      <c r="G362" s="10">
        <v>1.1347</v>
      </c>
      <c r="H362" s="144"/>
      <c r="I362" s="9">
        <v>417602</v>
      </c>
      <c r="J362" s="9">
        <v>215402</v>
      </c>
      <c r="K362" s="9"/>
      <c r="L362" s="27">
        <v>202736</v>
      </c>
      <c r="M362" s="27">
        <v>166265</v>
      </c>
      <c r="N362" s="27"/>
      <c r="O362" s="145">
        <v>89.7</v>
      </c>
      <c r="P362" s="145">
        <v>17</v>
      </c>
      <c r="Q362" s="146">
        <v>89.7</v>
      </c>
      <c r="R362" s="146">
        <v>101.8</v>
      </c>
      <c r="S362" s="91">
        <v>235.2</v>
      </c>
      <c r="T362" s="91">
        <v>199.9</v>
      </c>
      <c r="U362" s="147"/>
    </row>
    <row r="363" spans="2:21">
      <c r="B363" s="292"/>
      <c r="C363" s="19">
        <v>0.83333333333333304</v>
      </c>
      <c r="D363" s="5">
        <v>514277</v>
      </c>
      <c r="E363" s="11">
        <v>572683</v>
      </c>
      <c r="F363" s="10">
        <v>1.6084000000000001</v>
      </c>
      <c r="G363" s="144">
        <v>1.1347</v>
      </c>
      <c r="H363" s="144"/>
      <c r="I363" s="9">
        <v>418004</v>
      </c>
      <c r="J363" s="9">
        <v>215785</v>
      </c>
      <c r="K363" s="9"/>
      <c r="L363" s="27">
        <v>202742</v>
      </c>
      <c r="M363" s="27">
        <v>166276</v>
      </c>
      <c r="N363" s="27"/>
      <c r="O363" s="145">
        <v>87.4</v>
      </c>
      <c r="P363" s="145">
        <v>17</v>
      </c>
      <c r="Q363" s="146">
        <v>87.4</v>
      </c>
      <c r="R363" s="146">
        <v>96.1</v>
      </c>
      <c r="S363" s="91">
        <v>221.1</v>
      </c>
      <c r="T363" s="91">
        <v>197.5</v>
      </c>
      <c r="U363" s="147"/>
    </row>
    <row r="364" spans="2:21">
      <c r="B364" s="292"/>
      <c r="C364" s="19">
        <v>0.875</v>
      </c>
      <c r="D364" s="5">
        <v>514287</v>
      </c>
      <c r="E364" s="11">
        <v>572692</v>
      </c>
      <c r="F364" s="10">
        <v>1.6084000000000001</v>
      </c>
      <c r="G364" s="144">
        <v>1.1347</v>
      </c>
      <c r="H364" s="144"/>
      <c r="I364" s="9">
        <v>418324</v>
      </c>
      <c r="J364" s="9">
        <v>216070</v>
      </c>
      <c r="K364" s="9"/>
      <c r="L364" s="27">
        <v>202742</v>
      </c>
      <c r="M364" s="27">
        <v>166276</v>
      </c>
      <c r="N364" s="27"/>
      <c r="O364" s="145">
        <v>95.7</v>
      </c>
      <c r="P364" s="145">
        <v>17</v>
      </c>
      <c r="Q364" s="146">
        <v>95.7</v>
      </c>
      <c r="R364" s="146">
        <v>107.6</v>
      </c>
      <c r="S364" s="91">
        <v>221.7</v>
      </c>
      <c r="T364" s="247">
        <v>199</v>
      </c>
      <c r="U364" s="147"/>
    </row>
    <row r="365" spans="2:21">
      <c r="B365" s="292"/>
      <c r="C365" s="19">
        <v>0.91666666666666696</v>
      </c>
      <c r="D365" s="5">
        <v>514297</v>
      </c>
      <c r="E365" s="11">
        <v>572701</v>
      </c>
      <c r="F365" s="10">
        <v>1.6084000000000001</v>
      </c>
      <c r="G365" s="10">
        <v>1.1348</v>
      </c>
      <c r="H365" s="144"/>
      <c r="I365" s="9">
        <v>418641</v>
      </c>
      <c r="J365" s="9">
        <v>216367</v>
      </c>
      <c r="K365" s="9"/>
      <c r="L365" s="27">
        <v>202742</v>
      </c>
      <c r="M365" s="27">
        <v>166276</v>
      </c>
      <c r="N365" s="27"/>
      <c r="O365" s="145">
        <v>96.8</v>
      </c>
      <c r="P365" s="145">
        <v>17</v>
      </c>
      <c r="Q365" s="146">
        <v>96.8</v>
      </c>
      <c r="R365" s="146">
        <v>107.8</v>
      </c>
      <c r="S365" s="91">
        <v>214.8</v>
      </c>
      <c r="T365" s="91">
        <v>185.3</v>
      </c>
      <c r="U365" s="147"/>
    </row>
    <row r="366" spans="2:21">
      <c r="B366" s="292"/>
      <c r="C366" s="19">
        <v>0.95833333333333304</v>
      </c>
      <c r="D366" s="5">
        <v>514307</v>
      </c>
      <c r="E366" s="11">
        <v>572711</v>
      </c>
      <c r="F366" s="10">
        <v>1.6085</v>
      </c>
      <c r="G366" s="10">
        <v>1.1348</v>
      </c>
      <c r="H366" s="144"/>
      <c r="I366" s="9">
        <v>418944</v>
      </c>
      <c r="J366" s="9">
        <v>216672</v>
      </c>
      <c r="K366" s="9"/>
      <c r="L366" s="27">
        <v>202759</v>
      </c>
      <c r="M366" s="27">
        <v>166316</v>
      </c>
      <c r="N366" s="27"/>
      <c r="O366" s="145">
        <v>91.4</v>
      </c>
      <c r="P366" s="145">
        <v>17</v>
      </c>
      <c r="Q366" s="146">
        <v>91.4</v>
      </c>
      <c r="R366" s="146">
        <v>101.6</v>
      </c>
      <c r="S366" s="91">
        <v>232.5</v>
      </c>
      <c r="T366" s="91">
        <v>189.3</v>
      </c>
      <c r="U366" s="147"/>
    </row>
    <row r="367" spans="2:21">
      <c r="B367" s="292"/>
      <c r="C367" s="19">
        <v>1</v>
      </c>
      <c r="D367" s="5">
        <v>514319</v>
      </c>
      <c r="E367" s="11">
        <v>572723</v>
      </c>
      <c r="F367" s="10">
        <v>1.6085</v>
      </c>
      <c r="G367" s="10">
        <v>1.1348</v>
      </c>
      <c r="H367" s="144"/>
      <c r="I367" s="9">
        <v>419322</v>
      </c>
      <c r="J367" s="9">
        <v>217033</v>
      </c>
      <c r="K367" s="9"/>
      <c r="L367" s="27">
        <v>202766</v>
      </c>
      <c r="M367" s="27">
        <v>166335</v>
      </c>
      <c r="N367" s="27"/>
      <c r="O367" s="145">
        <v>93.2</v>
      </c>
      <c r="P367" s="145">
        <v>17</v>
      </c>
      <c r="Q367" s="146">
        <v>93.2</v>
      </c>
      <c r="R367" s="146">
        <v>102.6</v>
      </c>
      <c r="S367" s="91">
        <v>228.2</v>
      </c>
      <c r="T367" s="91">
        <v>197.5</v>
      </c>
      <c r="U367" s="147"/>
    </row>
    <row r="368" spans="2:21">
      <c r="B368" s="292"/>
      <c r="C368" s="19">
        <v>1.0416666666666701</v>
      </c>
      <c r="D368" s="5">
        <v>514331</v>
      </c>
      <c r="E368" s="11">
        <v>572735</v>
      </c>
      <c r="F368" s="10">
        <v>1.6085</v>
      </c>
      <c r="G368" s="10">
        <v>1.1348</v>
      </c>
      <c r="H368" s="144"/>
      <c r="I368" s="9">
        <v>419786</v>
      </c>
      <c r="J368" s="9">
        <v>217304</v>
      </c>
      <c r="K368" s="9"/>
      <c r="L368" s="27">
        <v>202773</v>
      </c>
      <c r="M368" s="27">
        <v>166354</v>
      </c>
      <c r="N368" s="27"/>
      <c r="O368" s="145">
        <v>89.9</v>
      </c>
      <c r="P368" s="145">
        <v>17</v>
      </c>
      <c r="Q368" s="146">
        <v>89.9</v>
      </c>
      <c r="R368" s="146">
        <v>99.5</v>
      </c>
      <c r="S368" s="91">
        <v>225.3</v>
      </c>
      <c r="T368" s="91">
        <v>196.9</v>
      </c>
      <c r="U368" s="147"/>
    </row>
    <row r="369" spans="2:21">
      <c r="B369" s="292"/>
      <c r="C369" s="19">
        <v>1.0833333333333299</v>
      </c>
      <c r="D369" s="5">
        <v>514343</v>
      </c>
      <c r="E369" s="11">
        <v>572747</v>
      </c>
      <c r="F369" s="10">
        <v>1.6085</v>
      </c>
      <c r="G369" s="10">
        <v>1.1349</v>
      </c>
      <c r="H369" s="144"/>
      <c r="I369" s="9">
        <v>419979</v>
      </c>
      <c r="J369" s="9">
        <v>217852</v>
      </c>
      <c r="K369" s="9"/>
      <c r="L369" s="27">
        <v>202780</v>
      </c>
      <c r="M369" s="27">
        <v>166373</v>
      </c>
      <c r="N369" s="27"/>
      <c r="O369" s="145">
        <v>95.7</v>
      </c>
      <c r="P369" s="145">
        <v>17</v>
      </c>
      <c r="Q369" s="146">
        <v>95.7</v>
      </c>
      <c r="R369" s="146">
        <v>107.6</v>
      </c>
      <c r="S369" s="91">
        <v>221.7</v>
      </c>
      <c r="T369" s="247">
        <v>199</v>
      </c>
      <c r="U369" s="147"/>
    </row>
    <row r="370" spans="2:21">
      <c r="B370" s="292"/>
      <c r="C370" s="19">
        <v>1.125</v>
      </c>
      <c r="D370" s="5">
        <v>514355</v>
      </c>
      <c r="E370" s="11">
        <v>572760</v>
      </c>
      <c r="F370" s="10">
        <v>1.6085</v>
      </c>
      <c r="G370" s="144">
        <v>1.135</v>
      </c>
      <c r="H370" s="144"/>
      <c r="I370" s="9">
        <v>420458</v>
      </c>
      <c r="J370" s="9">
        <v>218118</v>
      </c>
      <c r="K370" s="9"/>
      <c r="L370" s="27">
        <v>202787</v>
      </c>
      <c r="M370" s="27">
        <v>166394</v>
      </c>
      <c r="N370" s="27"/>
      <c r="O370" s="145">
        <v>90.5</v>
      </c>
      <c r="P370" s="145">
        <v>17</v>
      </c>
      <c r="Q370" s="146">
        <v>90.5</v>
      </c>
      <c r="R370" s="146">
        <v>100.9</v>
      </c>
      <c r="S370" s="91">
        <v>233.7</v>
      </c>
      <c r="T370" s="91">
        <v>199</v>
      </c>
      <c r="U370" s="147"/>
    </row>
    <row r="371" spans="2:21">
      <c r="B371" s="292"/>
      <c r="C371" s="19">
        <v>1.1666666666666701</v>
      </c>
      <c r="D371" s="5">
        <v>514364</v>
      </c>
      <c r="E371" s="11">
        <v>572770</v>
      </c>
      <c r="F371" s="10">
        <v>1.6085</v>
      </c>
      <c r="G371" s="10">
        <v>1.1351</v>
      </c>
      <c r="H371" s="144"/>
      <c r="I371" s="9">
        <v>420746</v>
      </c>
      <c r="J371" s="9">
        <v>218384</v>
      </c>
      <c r="K371" s="9"/>
      <c r="L371" s="27">
        <v>202787</v>
      </c>
      <c r="M371" s="27">
        <v>166394</v>
      </c>
      <c r="N371" s="27"/>
      <c r="O371" s="145">
        <v>96.8</v>
      </c>
      <c r="P371" s="145">
        <v>17</v>
      </c>
      <c r="Q371" s="146">
        <v>96.8</v>
      </c>
      <c r="R371" s="146">
        <v>107.8</v>
      </c>
      <c r="S371" s="91">
        <v>214.8</v>
      </c>
      <c r="T371" s="91">
        <v>186.9</v>
      </c>
      <c r="U371" s="147"/>
    </row>
    <row r="372" spans="2:21">
      <c r="B372" s="292"/>
      <c r="C372" s="19">
        <v>1.2083333333333299</v>
      </c>
      <c r="D372" s="5">
        <v>514374</v>
      </c>
      <c r="E372" s="11">
        <v>572780</v>
      </c>
      <c r="F372" s="10">
        <v>1.6085</v>
      </c>
      <c r="G372" s="10">
        <v>1.1351</v>
      </c>
      <c r="H372" s="144"/>
      <c r="I372" s="9">
        <v>421061</v>
      </c>
      <c r="J372" s="9">
        <v>218682</v>
      </c>
      <c r="K372" s="9"/>
      <c r="L372" s="27">
        <v>202787</v>
      </c>
      <c r="M372" s="27">
        <v>166394</v>
      </c>
      <c r="N372" s="27"/>
      <c r="O372" s="145">
        <v>95.8</v>
      </c>
      <c r="P372" s="145">
        <v>17</v>
      </c>
      <c r="Q372" s="146">
        <v>95.8</v>
      </c>
      <c r="R372" s="146">
        <v>107.5</v>
      </c>
      <c r="S372" s="91">
        <v>219.1</v>
      </c>
      <c r="T372" s="91">
        <v>180.6</v>
      </c>
      <c r="U372" s="147"/>
    </row>
    <row r="373" spans="2:21">
      <c r="B373" s="292"/>
      <c r="C373" s="19">
        <v>1.25</v>
      </c>
      <c r="D373" s="5">
        <v>514384</v>
      </c>
      <c r="E373" s="11">
        <v>572790</v>
      </c>
      <c r="F373" s="10">
        <v>1.6085</v>
      </c>
      <c r="G373" s="10">
        <v>1.1352</v>
      </c>
      <c r="H373" s="144"/>
      <c r="I373" s="9">
        <v>421386</v>
      </c>
      <c r="J373" s="9">
        <v>218967</v>
      </c>
      <c r="K373" s="9"/>
      <c r="L373" s="27">
        <v>202787</v>
      </c>
      <c r="M373" s="27">
        <v>166394</v>
      </c>
      <c r="N373" s="27"/>
      <c r="O373" s="145">
        <v>96.7</v>
      </c>
      <c r="P373" s="145">
        <v>17</v>
      </c>
      <c r="Q373" s="146">
        <v>96.7</v>
      </c>
      <c r="R373" s="146">
        <v>108.3</v>
      </c>
      <c r="S373" s="91">
        <v>218.2</v>
      </c>
      <c r="T373" s="91">
        <v>199.2</v>
      </c>
      <c r="U373" s="147"/>
    </row>
    <row r="374" spans="2:21">
      <c r="B374" s="292"/>
      <c r="C374" s="19">
        <v>1.2916666666666701</v>
      </c>
      <c r="D374" s="5">
        <v>514394</v>
      </c>
      <c r="E374" s="11">
        <v>572801</v>
      </c>
      <c r="F374" s="10">
        <v>1.6085</v>
      </c>
      <c r="G374" s="10">
        <v>1.1352</v>
      </c>
      <c r="H374" s="144"/>
      <c r="I374" s="9">
        <v>421686</v>
      </c>
      <c r="J374" s="9">
        <v>219273</v>
      </c>
      <c r="K374" s="9"/>
      <c r="L374" s="27">
        <v>202811</v>
      </c>
      <c r="M374" s="27">
        <v>166456</v>
      </c>
      <c r="N374" s="27"/>
      <c r="O374" s="145">
        <v>96.1</v>
      </c>
      <c r="P374" s="145">
        <v>17</v>
      </c>
      <c r="Q374" s="146">
        <v>96.1</v>
      </c>
      <c r="R374" s="146">
        <v>105.4</v>
      </c>
      <c r="S374" s="91">
        <v>224.6</v>
      </c>
      <c r="T374" s="91">
        <v>182.5</v>
      </c>
      <c r="U374" s="147"/>
    </row>
    <row r="375" spans="2:21">
      <c r="B375" s="293"/>
      <c r="C375" s="6"/>
      <c r="D375" s="13" cm="1">
        <f t="array" ref="D375">IFERROR(LOOKUP(2,1/(D350:D374&gt;0),D350:D374-D350),0)</f>
        <v>259</v>
      </c>
      <c r="E375" s="13" cm="1">
        <f t="array" ref="E375">IFERROR(LOOKUP(2,1/(E350:E374&gt;0),E350:E374-E350),0)</f>
        <v>277</v>
      </c>
      <c r="F375" s="13" cm="1">
        <f t="array" ref="F375">IFERROR(LOOKUP(2,1/(F350:F374&gt;0),F350:F374-F350),0)</f>
        <v>7.0000000000014495E-4</v>
      </c>
      <c r="G375" s="13" cm="1">
        <f t="array" ref="G375">IFERROR(LOOKUP(2,1/(G350:G374&gt;0),G350:G374-G350),0)</f>
        <v>4.9999999999994493E-4</v>
      </c>
      <c r="H375" s="13">
        <f>F375+G375</f>
        <v>1.2000000000000899E-3</v>
      </c>
      <c r="I375" s="13" cm="1">
        <f t="array" ref="I375">IFERROR(LOOKUP(2,1/(I350:I374&gt;0),I350:I374-I350),0)</f>
        <v>8241</v>
      </c>
      <c r="J375" s="13" cm="1">
        <f t="array" ref="J375">IFERROR(LOOKUP(2,1/(J350:J374&gt;0),J350:J374-J350),0)</f>
        <v>7803</v>
      </c>
      <c r="K375" s="13">
        <f>I375+J375</f>
        <v>16044</v>
      </c>
      <c r="L375" s="13" cm="1">
        <f t="array" ref="L375">IFERROR(LOOKUP(2,1/(L350:L374&gt;0),L350:L374-L350),0)</f>
        <v>145</v>
      </c>
      <c r="M375" s="13" cm="1">
        <f t="array" ref="M375">IFERROR(LOOKUP(2,1/(M350:M374&gt;0),M350:M374-M350),0)</f>
        <v>365</v>
      </c>
      <c r="N375" s="13">
        <f>L375+M375</f>
        <v>510</v>
      </c>
      <c r="O375" s="148">
        <f t="shared" ref="O375:T375" si="13">IFERROR(AVERAGE(O350:O374),0)</f>
        <v>93.468000000000018</v>
      </c>
      <c r="P375" s="148">
        <f t="shared" si="13"/>
        <v>17</v>
      </c>
      <c r="Q375" s="148">
        <f t="shared" si="13"/>
        <v>93.468000000000018</v>
      </c>
      <c r="R375" s="148">
        <f t="shared" si="13"/>
        <v>104.21600000000001</v>
      </c>
      <c r="S375" s="148">
        <f t="shared" si="13"/>
        <v>218.94399999999999</v>
      </c>
      <c r="T375" s="148">
        <f t="shared" si="13"/>
        <v>189.17600000000002</v>
      </c>
      <c r="U375" s="148">
        <f>COUNT(U350:U374)</f>
        <v>0</v>
      </c>
    </row>
    <row r="376" spans="2:21">
      <c r="B376" s="291">
        <f>'DATA B1'!B376</f>
        <v>46037</v>
      </c>
      <c r="C376" s="19">
        <v>0.29166666666666669</v>
      </c>
      <c r="D376" s="5">
        <v>514394</v>
      </c>
      <c r="E376" s="11">
        <v>572801</v>
      </c>
      <c r="F376" s="10">
        <v>1.6085</v>
      </c>
      <c r="G376" s="10">
        <v>1.1352</v>
      </c>
      <c r="H376" s="144"/>
      <c r="I376" s="9">
        <v>421686</v>
      </c>
      <c r="J376" s="9">
        <v>219273</v>
      </c>
      <c r="K376" s="9"/>
      <c r="L376" s="27">
        <v>202811</v>
      </c>
      <c r="M376" s="27">
        <v>166456</v>
      </c>
      <c r="N376" s="27"/>
      <c r="O376" s="145">
        <v>96.1</v>
      </c>
      <c r="P376" s="145">
        <v>17</v>
      </c>
      <c r="Q376" s="146">
        <v>96.1</v>
      </c>
      <c r="R376" s="146">
        <v>105.4</v>
      </c>
      <c r="S376" s="91">
        <v>224.6</v>
      </c>
      <c r="T376" s="91">
        <v>182.5</v>
      </c>
      <c r="U376" s="147"/>
    </row>
    <row r="377" spans="2:21">
      <c r="B377" s="292"/>
      <c r="C377" s="19">
        <v>0.33333333333333298</v>
      </c>
      <c r="D377" s="5">
        <v>514408</v>
      </c>
      <c r="E377" s="11">
        <v>572815</v>
      </c>
      <c r="F377" s="10">
        <v>1.6086</v>
      </c>
      <c r="G377" s="10">
        <v>1.1352</v>
      </c>
      <c r="H377" s="144"/>
      <c r="I377" s="9">
        <v>422034</v>
      </c>
      <c r="J377" s="9">
        <v>219611</v>
      </c>
      <c r="K377" s="9"/>
      <c r="L377" s="27">
        <v>202818</v>
      </c>
      <c r="M377" s="27">
        <v>166461</v>
      </c>
      <c r="N377" s="27"/>
      <c r="O377" s="145">
        <v>100.9</v>
      </c>
      <c r="P377" s="145">
        <v>17</v>
      </c>
      <c r="Q377" s="146">
        <v>100.9</v>
      </c>
      <c r="R377" s="146">
        <v>110</v>
      </c>
      <c r="S377" s="91">
        <v>216.2</v>
      </c>
      <c r="T377" s="91">
        <v>197.7</v>
      </c>
      <c r="U377" s="147"/>
    </row>
    <row r="378" spans="2:21">
      <c r="B378" s="292"/>
      <c r="C378" s="19">
        <v>0.375</v>
      </c>
      <c r="D378" s="5">
        <v>514417</v>
      </c>
      <c r="E378" s="11">
        <v>572826</v>
      </c>
      <c r="F378" s="10">
        <v>1.6086</v>
      </c>
      <c r="G378" s="10">
        <v>1.1352</v>
      </c>
      <c r="H378" s="144"/>
      <c r="I378" s="9">
        <v>422360</v>
      </c>
      <c r="J378" s="9">
        <v>219920</v>
      </c>
      <c r="K378" s="9"/>
      <c r="L378" s="27">
        <v>202825</v>
      </c>
      <c r="M378" s="27">
        <v>166466</v>
      </c>
      <c r="N378" s="27"/>
      <c r="O378" s="145">
        <v>99.1</v>
      </c>
      <c r="P378" s="145">
        <v>17</v>
      </c>
      <c r="Q378" s="146">
        <v>99.1</v>
      </c>
      <c r="R378" s="146">
        <v>107.2</v>
      </c>
      <c r="S378" s="91">
        <v>213.6</v>
      </c>
      <c r="T378" s="91">
        <v>197.9</v>
      </c>
      <c r="U378" s="147"/>
    </row>
    <row r="379" spans="2:21">
      <c r="B379" s="292"/>
      <c r="C379" s="19">
        <v>0.41666666666666702</v>
      </c>
      <c r="D379" s="5">
        <v>514426</v>
      </c>
      <c r="E379" s="11">
        <v>572837</v>
      </c>
      <c r="F379" s="10">
        <v>1.6087</v>
      </c>
      <c r="G379" s="10">
        <v>1.1352</v>
      </c>
      <c r="H379" s="144"/>
      <c r="I379" s="9">
        <v>422681</v>
      </c>
      <c r="J379" s="9">
        <v>220223</v>
      </c>
      <c r="K379" s="9"/>
      <c r="L379" s="27">
        <v>202832</v>
      </c>
      <c r="M379" s="27">
        <v>166471</v>
      </c>
      <c r="N379" s="27"/>
      <c r="O379" s="145">
        <v>98.1</v>
      </c>
      <c r="P379" s="145">
        <v>17</v>
      </c>
      <c r="Q379" s="146">
        <v>98.1</v>
      </c>
      <c r="R379" s="146">
        <v>107.2</v>
      </c>
      <c r="S379" s="91">
        <v>215.8</v>
      </c>
      <c r="T379" s="91">
        <v>180.7</v>
      </c>
      <c r="U379" s="147"/>
    </row>
    <row r="380" spans="2:21">
      <c r="B380" s="292"/>
      <c r="C380" s="19">
        <v>0.45833333333333298</v>
      </c>
      <c r="D380" s="5">
        <v>514436</v>
      </c>
      <c r="E380" s="11">
        <v>572850</v>
      </c>
      <c r="F380" s="10">
        <v>1.6087</v>
      </c>
      <c r="G380" s="10">
        <v>1.1352</v>
      </c>
      <c r="H380" s="144"/>
      <c r="I380" s="9">
        <v>423014</v>
      </c>
      <c r="J380" s="9">
        <v>220538</v>
      </c>
      <c r="K380" s="9"/>
      <c r="L380" s="27">
        <v>202835</v>
      </c>
      <c r="M380" s="27">
        <v>166487</v>
      </c>
      <c r="N380" s="27"/>
      <c r="O380" s="145">
        <v>101.1</v>
      </c>
      <c r="P380" s="145">
        <v>17</v>
      </c>
      <c r="Q380" s="146">
        <v>101.1</v>
      </c>
      <c r="R380" s="146">
        <v>108.6</v>
      </c>
      <c r="S380" s="247">
        <v>226</v>
      </c>
      <c r="T380" s="91">
        <v>197.7</v>
      </c>
      <c r="U380" s="147"/>
    </row>
    <row r="381" spans="2:21">
      <c r="B381" s="292"/>
      <c r="C381" s="19">
        <v>0.5</v>
      </c>
      <c r="D381" s="5">
        <v>514446</v>
      </c>
      <c r="E381" s="11">
        <v>572862</v>
      </c>
      <c r="F381" s="10">
        <v>1.6088</v>
      </c>
      <c r="G381" s="10">
        <v>1.1352</v>
      </c>
      <c r="H381" s="144"/>
      <c r="I381" s="9">
        <v>423387</v>
      </c>
      <c r="J381" s="9">
        <v>220901</v>
      </c>
      <c r="K381" s="9"/>
      <c r="L381" s="27">
        <v>202841</v>
      </c>
      <c r="M381" s="27">
        <v>166501</v>
      </c>
      <c r="N381" s="27"/>
      <c r="O381" s="145">
        <v>95.7</v>
      </c>
      <c r="P381" s="145">
        <v>17</v>
      </c>
      <c r="Q381" s="146">
        <v>95.7</v>
      </c>
      <c r="R381" s="146">
        <v>107.6</v>
      </c>
      <c r="S381" s="91">
        <v>221.7</v>
      </c>
      <c r="T381" s="247">
        <v>199</v>
      </c>
      <c r="U381" s="147"/>
    </row>
    <row r="382" spans="2:21">
      <c r="B382" s="292"/>
      <c r="C382" s="19">
        <v>0.54166666666666696</v>
      </c>
      <c r="D382" s="5">
        <v>514456</v>
      </c>
      <c r="E382" s="11">
        <v>572875</v>
      </c>
      <c r="F382" s="10">
        <v>1.6088</v>
      </c>
      <c r="G382" s="10">
        <v>1.1352</v>
      </c>
      <c r="H382" s="144"/>
      <c r="I382" s="9">
        <v>423760</v>
      </c>
      <c r="J382" s="9">
        <v>221267</v>
      </c>
      <c r="K382" s="9"/>
      <c r="L382" s="27">
        <v>202847</v>
      </c>
      <c r="M382" s="27">
        <v>166515</v>
      </c>
      <c r="N382" s="27"/>
      <c r="O382" s="145">
        <v>96.8</v>
      </c>
      <c r="P382" s="145">
        <v>17</v>
      </c>
      <c r="Q382" s="146">
        <v>96.8</v>
      </c>
      <c r="R382" s="146">
        <v>107.8</v>
      </c>
      <c r="S382" s="91">
        <v>214.8</v>
      </c>
      <c r="T382" s="91">
        <v>185.3</v>
      </c>
      <c r="U382" s="147"/>
    </row>
    <row r="383" spans="2:21">
      <c r="B383" s="292"/>
      <c r="C383" s="19">
        <v>0.58333333333333304</v>
      </c>
      <c r="D383" s="5">
        <v>514466</v>
      </c>
      <c r="E383" s="11">
        <v>572888</v>
      </c>
      <c r="F383" s="10">
        <v>1.6089</v>
      </c>
      <c r="G383" s="10">
        <v>1.1352</v>
      </c>
      <c r="H383" s="144"/>
      <c r="I383" s="9">
        <v>424143</v>
      </c>
      <c r="J383" s="9">
        <v>221627</v>
      </c>
      <c r="K383" s="9"/>
      <c r="L383" s="27">
        <v>202853</v>
      </c>
      <c r="M383" s="27">
        <v>166529</v>
      </c>
      <c r="N383" s="27"/>
      <c r="O383" s="145">
        <v>91.4</v>
      </c>
      <c r="P383" s="145">
        <v>17</v>
      </c>
      <c r="Q383" s="146">
        <v>91.4</v>
      </c>
      <c r="R383" s="146">
        <v>101.6</v>
      </c>
      <c r="S383" s="91">
        <v>232.5</v>
      </c>
      <c r="T383" s="91">
        <v>189.3</v>
      </c>
      <c r="U383" s="149"/>
    </row>
    <row r="384" spans="2:21">
      <c r="B384" s="292"/>
      <c r="C384" s="19">
        <v>0.625</v>
      </c>
      <c r="D384" s="5">
        <v>514477</v>
      </c>
      <c r="E384" s="11">
        <v>572901</v>
      </c>
      <c r="F384" s="10">
        <v>1.6089</v>
      </c>
      <c r="G384" s="10">
        <v>1.1352</v>
      </c>
      <c r="H384" s="144"/>
      <c r="I384" s="9">
        <v>424549</v>
      </c>
      <c r="J384" s="9">
        <v>221993</v>
      </c>
      <c r="K384" s="9"/>
      <c r="L384" s="27">
        <v>202859</v>
      </c>
      <c r="M384" s="27">
        <v>166543</v>
      </c>
      <c r="N384" s="27"/>
      <c r="O384" s="145">
        <v>91.4</v>
      </c>
      <c r="P384" s="145">
        <v>17</v>
      </c>
      <c r="Q384" s="146">
        <v>91.4</v>
      </c>
      <c r="R384" s="146">
        <v>103.5</v>
      </c>
      <c r="S384" s="91">
        <v>234.9</v>
      </c>
      <c r="T384" s="91">
        <v>189.6</v>
      </c>
      <c r="U384" s="147"/>
    </row>
    <row r="385" spans="2:21">
      <c r="B385" s="292"/>
      <c r="C385" s="19">
        <v>0.66666666666666696</v>
      </c>
      <c r="D385" s="5">
        <v>514490</v>
      </c>
      <c r="E385" s="11">
        <v>572913</v>
      </c>
      <c r="F385" s="144">
        <v>1.609</v>
      </c>
      <c r="G385" s="10">
        <v>1.1352</v>
      </c>
      <c r="H385" s="144"/>
      <c r="I385" s="9">
        <v>424922</v>
      </c>
      <c r="J385" s="9">
        <v>222369</v>
      </c>
      <c r="K385" s="9"/>
      <c r="L385" s="27">
        <v>202863</v>
      </c>
      <c r="M385" s="27">
        <v>166556</v>
      </c>
      <c r="N385" s="27"/>
      <c r="O385" s="145">
        <v>91.4</v>
      </c>
      <c r="P385" s="145">
        <v>17</v>
      </c>
      <c r="Q385" s="146">
        <v>91.4</v>
      </c>
      <c r="R385" s="146">
        <v>101.6</v>
      </c>
      <c r="S385" s="91">
        <v>232.5</v>
      </c>
      <c r="T385" s="91">
        <v>189.3</v>
      </c>
      <c r="U385" s="147"/>
    </row>
    <row r="386" spans="2:21">
      <c r="B386" s="292"/>
      <c r="C386" s="19">
        <v>0.70833333333333304</v>
      </c>
      <c r="D386" s="5">
        <v>514503</v>
      </c>
      <c r="E386" s="11">
        <v>572925</v>
      </c>
      <c r="F386" s="144">
        <v>1.609</v>
      </c>
      <c r="G386" s="10">
        <v>1.1352</v>
      </c>
      <c r="H386" s="144"/>
      <c r="I386" s="9">
        <v>425315</v>
      </c>
      <c r="J386" s="9">
        <v>222735</v>
      </c>
      <c r="K386" s="9"/>
      <c r="L386" s="27">
        <v>202867</v>
      </c>
      <c r="M386" s="27">
        <v>166569</v>
      </c>
      <c r="N386" s="27"/>
      <c r="O386" s="145">
        <v>93.2</v>
      </c>
      <c r="P386" s="145">
        <v>17</v>
      </c>
      <c r="Q386" s="146">
        <v>93.2</v>
      </c>
      <c r="R386" s="146">
        <v>102.6</v>
      </c>
      <c r="S386" s="91">
        <v>228.2</v>
      </c>
      <c r="T386" s="91">
        <v>197.5</v>
      </c>
      <c r="U386" s="147"/>
    </row>
    <row r="387" spans="2:21">
      <c r="B387" s="292"/>
      <c r="C387" s="19">
        <v>0.75</v>
      </c>
      <c r="D387" s="5">
        <v>514517</v>
      </c>
      <c r="E387" s="11">
        <v>572937</v>
      </c>
      <c r="F387" s="10">
        <v>1.6091</v>
      </c>
      <c r="G387" s="10">
        <v>1.1352</v>
      </c>
      <c r="H387" s="144"/>
      <c r="I387" s="9">
        <v>425715</v>
      </c>
      <c r="J387" s="9">
        <v>223106</v>
      </c>
      <c r="K387" s="9"/>
      <c r="L387" s="27">
        <v>202871</v>
      </c>
      <c r="M387" s="27">
        <v>166582</v>
      </c>
      <c r="N387" s="27"/>
      <c r="O387" s="145">
        <v>91.9</v>
      </c>
      <c r="P387" s="145">
        <v>17</v>
      </c>
      <c r="Q387" s="146">
        <v>91.9</v>
      </c>
      <c r="R387" s="146">
        <v>100.2</v>
      </c>
      <c r="S387" s="91">
        <v>223.5</v>
      </c>
      <c r="T387" s="91">
        <v>184.7</v>
      </c>
      <c r="U387" s="147"/>
    </row>
    <row r="388" spans="2:21">
      <c r="B388" s="292"/>
      <c r="C388" s="19">
        <v>0.79166666666666696</v>
      </c>
      <c r="D388" s="5">
        <v>514531</v>
      </c>
      <c r="E388" s="11">
        <v>572949</v>
      </c>
      <c r="F388" s="10">
        <v>1.6091</v>
      </c>
      <c r="G388" s="10">
        <v>1.1352</v>
      </c>
      <c r="H388" s="144"/>
      <c r="I388" s="9">
        <v>426122</v>
      </c>
      <c r="J388" s="9">
        <v>223478</v>
      </c>
      <c r="K388" s="9"/>
      <c r="L388" s="27">
        <v>202877</v>
      </c>
      <c r="M388" s="27">
        <v>166598</v>
      </c>
      <c r="N388" s="27"/>
      <c r="O388" s="145">
        <v>91.4</v>
      </c>
      <c r="P388" s="145">
        <v>17</v>
      </c>
      <c r="Q388" s="146">
        <v>91.4</v>
      </c>
      <c r="R388" s="146">
        <v>103.7</v>
      </c>
      <c r="S388" s="91">
        <v>221.1</v>
      </c>
      <c r="T388" s="91">
        <v>184.1</v>
      </c>
      <c r="U388" s="147"/>
    </row>
    <row r="389" spans="2:21">
      <c r="B389" s="292"/>
      <c r="C389" s="19">
        <v>0.83333333333333304</v>
      </c>
      <c r="D389" s="5">
        <v>514547</v>
      </c>
      <c r="E389" s="11">
        <v>572963</v>
      </c>
      <c r="F389" s="10">
        <v>1.6092</v>
      </c>
      <c r="G389" s="144">
        <v>1.1352</v>
      </c>
      <c r="H389" s="144"/>
      <c r="I389" s="9">
        <v>426605</v>
      </c>
      <c r="J389" s="9">
        <v>223937</v>
      </c>
      <c r="K389" s="9"/>
      <c r="L389" s="27">
        <v>202884</v>
      </c>
      <c r="M389" s="27">
        <v>166611</v>
      </c>
      <c r="N389" s="27"/>
      <c r="O389" s="145">
        <v>90.2</v>
      </c>
      <c r="P389" s="145">
        <v>17</v>
      </c>
      <c r="Q389" s="146">
        <v>90.2</v>
      </c>
      <c r="R389" s="146">
        <v>103.2</v>
      </c>
      <c r="S389" s="91">
        <v>199.1</v>
      </c>
      <c r="T389" s="91">
        <v>185.7</v>
      </c>
      <c r="U389" s="147"/>
    </row>
    <row r="390" spans="2:21">
      <c r="B390" s="292"/>
      <c r="C390" s="19">
        <v>0.875</v>
      </c>
      <c r="D390" s="5">
        <v>514557</v>
      </c>
      <c r="E390" s="11">
        <v>572973</v>
      </c>
      <c r="F390" s="10">
        <v>1.6092</v>
      </c>
      <c r="G390" s="144">
        <v>1.1353</v>
      </c>
      <c r="H390" s="144"/>
      <c r="I390" s="9">
        <v>426917</v>
      </c>
      <c r="J390" s="9">
        <v>224250</v>
      </c>
      <c r="K390" s="9"/>
      <c r="L390" s="27">
        <v>202890</v>
      </c>
      <c r="M390" s="27">
        <v>166633</v>
      </c>
      <c r="N390" s="27"/>
      <c r="O390" s="145">
        <v>89.7</v>
      </c>
      <c r="P390" s="145">
        <v>17</v>
      </c>
      <c r="Q390" s="146">
        <v>89.7</v>
      </c>
      <c r="R390" s="146">
        <v>101.8</v>
      </c>
      <c r="S390" s="91">
        <v>235.2</v>
      </c>
      <c r="T390" s="91">
        <v>199.9</v>
      </c>
      <c r="U390" s="147"/>
    </row>
    <row r="391" spans="2:21">
      <c r="B391" s="292"/>
      <c r="C391" s="19">
        <v>0.91666666666666696</v>
      </c>
      <c r="D391" s="5">
        <v>514567</v>
      </c>
      <c r="E391" s="11">
        <v>572983</v>
      </c>
      <c r="F391" s="10">
        <v>1.6092</v>
      </c>
      <c r="G391" s="144">
        <v>1.1353</v>
      </c>
      <c r="H391" s="144"/>
      <c r="I391" s="9">
        <v>427269</v>
      </c>
      <c r="J391" s="9">
        <v>224520</v>
      </c>
      <c r="K391" s="9"/>
      <c r="L391" s="27">
        <v>202896</v>
      </c>
      <c r="M391" s="27">
        <v>166655</v>
      </c>
      <c r="N391" s="27"/>
      <c r="O391" s="145">
        <v>87.4</v>
      </c>
      <c r="P391" s="145">
        <v>17</v>
      </c>
      <c r="Q391" s="146">
        <v>87.4</v>
      </c>
      <c r="R391" s="146">
        <v>96.1</v>
      </c>
      <c r="S391" s="91">
        <v>221.1</v>
      </c>
      <c r="T391" s="91">
        <v>197.5</v>
      </c>
      <c r="U391" s="147"/>
    </row>
    <row r="392" spans="2:21">
      <c r="B392" s="292"/>
      <c r="C392" s="19">
        <v>0.95833333333333304</v>
      </c>
      <c r="D392" s="5">
        <v>514578</v>
      </c>
      <c r="E392" s="11">
        <v>572994</v>
      </c>
      <c r="F392" s="10">
        <v>1.6092</v>
      </c>
      <c r="G392" s="144">
        <v>1.1354</v>
      </c>
      <c r="H392" s="144"/>
      <c r="I392" s="9">
        <v>427602</v>
      </c>
      <c r="J392" s="9">
        <v>224877</v>
      </c>
      <c r="K392" s="9"/>
      <c r="L392" s="27">
        <v>202904</v>
      </c>
      <c r="M392" s="27">
        <v>166677</v>
      </c>
      <c r="N392" s="27"/>
      <c r="O392" s="145">
        <v>88.5</v>
      </c>
      <c r="P392" s="145">
        <v>17</v>
      </c>
      <c r="Q392" s="146">
        <v>88.5</v>
      </c>
      <c r="R392" s="146">
        <v>101.8</v>
      </c>
      <c r="S392" s="91">
        <v>199.1</v>
      </c>
      <c r="T392" s="91">
        <v>183.7</v>
      </c>
      <c r="U392" s="147"/>
    </row>
    <row r="393" spans="2:21">
      <c r="B393" s="292"/>
      <c r="C393" s="19">
        <v>1</v>
      </c>
      <c r="D393" s="5">
        <v>514589</v>
      </c>
      <c r="E393" s="11">
        <v>573005</v>
      </c>
      <c r="F393" s="10">
        <v>1.6092</v>
      </c>
      <c r="G393" s="144">
        <v>1.1354</v>
      </c>
      <c r="H393" s="144"/>
      <c r="I393" s="9">
        <v>427905</v>
      </c>
      <c r="J393" s="9">
        <v>225220</v>
      </c>
      <c r="K393" s="9"/>
      <c r="L393" s="27">
        <v>202909</v>
      </c>
      <c r="M393" s="27">
        <v>166687</v>
      </c>
      <c r="N393" s="27"/>
      <c r="O393" s="145">
        <v>89.9</v>
      </c>
      <c r="P393" s="145">
        <v>17</v>
      </c>
      <c r="Q393" s="146">
        <v>89.9</v>
      </c>
      <c r="R393" s="146">
        <v>99.5</v>
      </c>
      <c r="S393" s="91">
        <v>225.3</v>
      </c>
      <c r="T393" s="91">
        <v>196.9</v>
      </c>
      <c r="U393" s="147"/>
    </row>
    <row r="394" spans="2:21">
      <c r="B394" s="292"/>
      <c r="C394" s="19">
        <v>1.0416666666666701</v>
      </c>
      <c r="D394" s="5">
        <v>514600</v>
      </c>
      <c r="E394" s="11">
        <v>573016</v>
      </c>
      <c r="F394" s="10">
        <v>1.6092</v>
      </c>
      <c r="G394" s="144">
        <v>1.1355</v>
      </c>
      <c r="H394" s="144"/>
      <c r="I394" s="9">
        <v>428200</v>
      </c>
      <c r="J394" s="9">
        <v>225581</v>
      </c>
      <c r="K394" s="9"/>
      <c r="L394" s="27">
        <v>202914</v>
      </c>
      <c r="M394" s="27">
        <v>166697</v>
      </c>
      <c r="N394" s="27"/>
      <c r="O394" s="145">
        <v>95.7</v>
      </c>
      <c r="P394" s="145">
        <v>17</v>
      </c>
      <c r="Q394" s="146">
        <v>95.7</v>
      </c>
      <c r="R394" s="146">
        <v>107.6</v>
      </c>
      <c r="S394" s="91">
        <v>221.7</v>
      </c>
      <c r="T394" s="247">
        <v>199</v>
      </c>
      <c r="U394" s="147"/>
    </row>
    <row r="395" spans="2:21">
      <c r="B395" s="292"/>
      <c r="C395" s="19">
        <v>1.0833333333333299</v>
      </c>
      <c r="D395" s="5">
        <v>514612</v>
      </c>
      <c r="E395" s="11">
        <v>573028</v>
      </c>
      <c r="F395" s="10">
        <v>1.6092</v>
      </c>
      <c r="G395" s="144">
        <v>1.1355</v>
      </c>
      <c r="H395" s="144"/>
      <c r="I395" s="9">
        <v>428495</v>
      </c>
      <c r="J395" s="9">
        <v>225999</v>
      </c>
      <c r="K395" s="9"/>
      <c r="L395" s="27">
        <v>202919</v>
      </c>
      <c r="M395" s="27">
        <v>166707</v>
      </c>
      <c r="N395" s="27"/>
      <c r="O395" s="145">
        <v>96.8</v>
      </c>
      <c r="P395" s="145">
        <v>17</v>
      </c>
      <c r="Q395" s="146">
        <v>96.8</v>
      </c>
      <c r="R395" s="146">
        <v>107.8</v>
      </c>
      <c r="S395" s="91">
        <v>214.8</v>
      </c>
      <c r="T395" s="91">
        <v>179.6</v>
      </c>
      <c r="U395" s="147"/>
    </row>
    <row r="396" spans="2:21">
      <c r="B396" s="292"/>
      <c r="C396" s="19">
        <v>1.125</v>
      </c>
      <c r="D396" s="5">
        <v>514624</v>
      </c>
      <c r="E396" s="11">
        <v>573040</v>
      </c>
      <c r="F396" s="10">
        <v>1.6092</v>
      </c>
      <c r="G396" s="144">
        <v>1.1355999999999999</v>
      </c>
      <c r="H396" s="144"/>
      <c r="I396" s="9">
        <v>428793</v>
      </c>
      <c r="J396" s="9">
        <v>226417</v>
      </c>
      <c r="K396" s="9"/>
      <c r="L396" s="27">
        <v>202924</v>
      </c>
      <c r="M396" s="27">
        <v>166717</v>
      </c>
      <c r="N396" s="27"/>
      <c r="O396" s="145">
        <v>87.9</v>
      </c>
      <c r="P396" s="145">
        <v>17</v>
      </c>
      <c r="Q396" s="146">
        <v>87.9</v>
      </c>
      <c r="R396" s="146">
        <v>101.8</v>
      </c>
      <c r="S396" s="91">
        <v>231.2</v>
      </c>
      <c r="T396" s="91">
        <v>186.5</v>
      </c>
      <c r="U396" s="147"/>
    </row>
    <row r="397" spans="2:21">
      <c r="B397" s="292"/>
      <c r="C397" s="19">
        <v>1.1666666666666701</v>
      </c>
      <c r="D397" s="5">
        <v>514635</v>
      </c>
      <c r="E397" s="11">
        <v>573051</v>
      </c>
      <c r="F397" s="10">
        <v>1.6092</v>
      </c>
      <c r="G397" s="144">
        <v>1.1355999999999999</v>
      </c>
      <c r="H397" s="144"/>
      <c r="I397" s="9">
        <v>429195</v>
      </c>
      <c r="J397" s="9">
        <v>226696</v>
      </c>
      <c r="K397" s="9"/>
      <c r="L397" s="27">
        <v>202930</v>
      </c>
      <c r="M397" s="27">
        <v>166732</v>
      </c>
      <c r="N397" s="27"/>
      <c r="O397" s="145">
        <v>93.8</v>
      </c>
      <c r="P397" s="145">
        <v>17</v>
      </c>
      <c r="Q397" s="146">
        <v>93.8</v>
      </c>
      <c r="R397" s="146">
        <v>107.5</v>
      </c>
      <c r="S397" s="91">
        <v>200.1</v>
      </c>
      <c r="T397" s="91">
        <v>184.5</v>
      </c>
      <c r="U397" s="147"/>
    </row>
    <row r="398" spans="2:21">
      <c r="B398" s="292"/>
      <c r="C398" s="19">
        <v>1.2083333333333299</v>
      </c>
      <c r="D398" s="5">
        <v>514646</v>
      </c>
      <c r="E398" s="11">
        <v>573062</v>
      </c>
      <c r="F398" s="10">
        <v>1.6092</v>
      </c>
      <c r="G398" s="144">
        <v>1.1355999999999999</v>
      </c>
      <c r="H398" s="144"/>
      <c r="I398" s="9">
        <v>429597</v>
      </c>
      <c r="J398" s="9">
        <v>226975</v>
      </c>
      <c r="K398" s="9"/>
      <c r="L398" s="27">
        <v>202936</v>
      </c>
      <c r="M398" s="27">
        <v>166747</v>
      </c>
      <c r="N398" s="27"/>
      <c r="O398" s="145">
        <v>96.7</v>
      </c>
      <c r="P398" s="145">
        <v>17</v>
      </c>
      <c r="Q398" s="146">
        <v>96.7</v>
      </c>
      <c r="R398" s="146">
        <v>105.6</v>
      </c>
      <c r="S398" s="91">
        <v>199.1</v>
      </c>
      <c r="T398" s="91">
        <v>179.5</v>
      </c>
      <c r="U398" s="147"/>
    </row>
    <row r="399" spans="2:21">
      <c r="B399" s="292"/>
      <c r="C399" s="19">
        <v>1.25</v>
      </c>
      <c r="D399" s="5">
        <v>514657</v>
      </c>
      <c r="E399" s="11">
        <v>573073</v>
      </c>
      <c r="F399" s="10">
        <v>1.6092</v>
      </c>
      <c r="G399" s="10">
        <v>1.1356999999999999</v>
      </c>
      <c r="H399" s="144"/>
      <c r="I399" s="9">
        <v>429999</v>
      </c>
      <c r="J399" s="9">
        <v>227258</v>
      </c>
      <c r="K399" s="9"/>
      <c r="L399" s="27">
        <v>202942</v>
      </c>
      <c r="M399" s="27">
        <v>166762</v>
      </c>
      <c r="N399" s="27"/>
      <c r="O399" s="145">
        <v>98.1</v>
      </c>
      <c r="P399" s="145">
        <v>17</v>
      </c>
      <c r="Q399" s="146">
        <v>98.1</v>
      </c>
      <c r="R399" s="146">
        <v>107.2</v>
      </c>
      <c r="S399" s="91">
        <v>215.8</v>
      </c>
      <c r="T399" s="91">
        <v>180.7</v>
      </c>
      <c r="U399" s="147"/>
    </row>
    <row r="400" spans="2:21">
      <c r="B400" s="292"/>
      <c r="C400" s="19">
        <v>1.2916666666666701</v>
      </c>
      <c r="D400" s="5">
        <v>514668</v>
      </c>
      <c r="E400" s="11">
        <v>573084</v>
      </c>
      <c r="F400" s="10">
        <v>1.6092</v>
      </c>
      <c r="G400" s="10">
        <v>1.1356999999999999</v>
      </c>
      <c r="H400" s="144"/>
      <c r="I400" s="9">
        <v>430401</v>
      </c>
      <c r="J400" s="9">
        <v>227542</v>
      </c>
      <c r="K400" s="9"/>
      <c r="L400" s="27">
        <v>202951</v>
      </c>
      <c r="M400" s="27">
        <v>166778</v>
      </c>
      <c r="N400" s="27"/>
      <c r="O400" s="145">
        <v>100.9</v>
      </c>
      <c r="P400" s="145">
        <v>17</v>
      </c>
      <c r="Q400" s="146">
        <v>100.9</v>
      </c>
      <c r="R400" s="146">
        <v>113.1</v>
      </c>
      <c r="S400" s="91">
        <v>200.5</v>
      </c>
      <c r="T400" s="91">
        <v>190.2</v>
      </c>
      <c r="U400" s="147"/>
    </row>
    <row r="401" spans="2:21">
      <c r="B401" s="293"/>
      <c r="C401" s="6"/>
      <c r="D401" s="13" cm="1">
        <f t="array" ref="D401">IFERROR(LOOKUP(2,1/(D376:D400&gt;0),D376:D400-D376),0)</f>
        <v>274</v>
      </c>
      <c r="E401" s="13" cm="1">
        <f t="array" ref="E401">IFERROR(LOOKUP(2,1/(E376:E400&gt;0),E376:E400-E376),0)</f>
        <v>283</v>
      </c>
      <c r="F401" s="13" cm="1">
        <f t="array" ref="F401">IFERROR(LOOKUP(2,1/(F376:F400&gt;0),F376:F400-F376),0)</f>
        <v>6.9999999999992291E-4</v>
      </c>
      <c r="G401" s="13" cm="1">
        <f t="array" ref="G401">IFERROR(LOOKUP(2,1/(G376:G400&gt;0),G376:G400-G376),0)</f>
        <v>4.9999999999994493E-4</v>
      </c>
      <c r="H401" s="13">
        <f>F401+G401</f>
        <v>1.1999999999998678E-3</v>
      </c>
      <c r="I401" s="13" cm="1">
        <f t="array" ref="I401">IFERROR(LOOKUP(2,1/(I376:I400&gt;0),I376:I400-I376),0)</f>
        <v>8715</v>
      </c>
      <c r="J401" s="13" cm="1">
        <f t="array" ref="J401">IFERROR(LOOKUP(2,1/(J376:J400&gt;0),J376:J400-J376),0)</f>
        <v>8269</v>
      </c>
      <c r="K401" s="13">
        <f>I401+J401</f>
        <v>16984</v>
      </c>
      <c r="L401" s="13" cm="1">
        <f t="array" ref="L401">IFERROR(LOOKUP(2,1/(L376:L400&gt;0),L376:L400-L376),0)</f>
        <v>140</v>
      </c>
      <c r="M401" s="13" cm="1">
        <f t="array" ref="M401">IFERROR(LOOKUP(2,1/(M376:M400&gt;0),M376:M400-M376),0)</f>
        <v>322</v>
      </c>
      <c r="N401" s="13">
        <f>L401+M401</f>
        <v>462</v>
      </c>
      <c r="O401" s="148">
        <f t="shared" ref="O401:T401" si="14">IFERROR(AVERAGE(O376:O400),0)</f>
        <v>94.164000000000016</v>
      </c>
      <c r="P401" s="148">
        <f t="shared" si="14"/>
        <v>17</v>
      </c>
      <c r="Q401" s="148">
        <f t="shared" si="14"/>
        <v>94.164000000000016</v>
      </c>
      <c r="R401" s="148">
        <f t="shared" si="14"/>
        <v>104.79999999999998</v>
      </c>
      <c r="S401" s="148">
        <f t="shared" si="14"/>
        <v>218.73600000000002</v>
      </c>
      <c r="T401" s="148">
        <f t="shared" si="14"/>
        <v>189.55999999999997</v>
      </c>
      <c r="U401" s="148">
        <f>COUNT(U376:U400)</f>
        <v>0</v>
      </c>
    </row>
    <row r="402" spans="2:21">
      <c r="B402" s="291">
        <f>'DATA B1'!B402</f>
        <v>46038</v>
      </c>
      <c r="C402" s="19">
        <v>0.29166666666666669</v>
      </c>
      <c r="D402" s="5">
        <v>514668</v>
      </c>
      <c r="E402" s="11">
        <v>573084</v>
      </c>
      <c r="F402" s="10">
        <v>1.6092</v>
      </c>
      <c r="G402" s="10">
        <v>1.1356999999999999</v>
      </c>
      <c r="H402" s="144"/>
      <c r="I402" s="9">
        <v>430401</v>
      </c>
      <c r="J402" s="9">
        <v>227542</v>
      </c>
      <c r="K402" s="9"/>
      <c r="L402" s="27">
        <v>202951</v>
      </c>
      <c r="M402" s="27">
        <v>166778</v>
      </c>
      <c r="N402" s="27"/>
      <c r="O402" s="145">
        <v>100.9</v>
      </c>
      <c r="P402" s="145">
        <v>17</v>
      </c>
      <c r="Q402" s="146">
        <v>100.9</v>
      </c>
      <c r="R402" s="146">
        <v>113.1</v>
      </c>
      <c r="S402" s="91">
        <v>200.5</v>
      </c>
      <c r="T402" s="91">
        <v>190.2</v>
      </c>
      <c r="U402" s="147"/>
    </row>
    <row r="403" spans="2:21">
      <c r="B403" s="292"/>
      <c r="C403" s="19">
        <v>0.33333333333333298</v>
      </c>
      <c r="D403" s="5">
        <v>514684</v>
      </c>
      <c r="E403" s="11">
        <v>573100</v>
      </c>
      <c r="F403" s="10">
        <v>1.3092999999999999</v>
      </c>
      <c r="G403" s="144">
        <v>1.1356999999999999</v>
      </c>
      <c r="H403" s="144"/>
      <c r="I403" s="9">
        <v>430864</v>
      </c>
      <c r="J403" s="9">
        <v>227979</v>
      </c>
      <c r="K403" s="9"/>
      <c r="L403" s="27">
        <v>202960</v>
      </c>
      <c r="M403" s="27">
        <v>166819</v>
      </c>
      <c r="N403" s="27"/>
      <c r="O403" s="243">
        <v>100</v>
      </c>
      <c r="P403" s="145">
        <v>17</v>
      </c>
      <c r="Q403" s="244">
        <v>100</v>
      </c>
      <c r="R403" s="146">
        <v>110.3</v>
      </c>
      <c r="S403" s="91">
        <v>219</v>
      </c>
      <c r="T403" s="91">
        <v>197.7</v>
      </c>
      <c r="U403" s="147"/>
    </row>
    <row r="404" spans="2:21">
      <c r="B404" s="292"/>
      <c r="C404" s="19">
        <v>0.375</v>
      </c>
      <c r="D404" s="5">
        <v>514693</v>
      </c>
      <c r="E404" s="11">
        <v>573112</v>
      </c>
      <c r="F404" s="10">
        <v>1.3092999999999999</v>
      </c>
      <c r="G404" s="144">
        <v>1.1356999999999999</v>
      </c>
      <c r="H404" s="144"/>
      <c r="I404" s="9">
        <v>431176</v>
      </c>
      <c r="J404" s="9">
        <v>228273</v>
      </c>
      <c r="K404" s="9"/>
      <c r="L404" s="27">
        <v>202969</v>
      </c>
      <c r="M404" s="27">
        <v>166819</v>
      </c>
      <c r="N404" s="27"/>
      <c r="O404" s="145">
        <v>96.8</v>
      </c>
      <c r="P404" s="145">
        <v>17</v>
      </c>
      <c r="Q404" s="146">
        <v>96.8</v>
      </c>
      <c r="R404" s="146">
        <v>107.8</v>
      </c>
      <c r="S404" s="91">
        <v>214.8</v>
      </c>
      <c r="T404" s="91">
        <v>179.6</v>
      </c>
      <c r="U404" s="147"/>
    </row>
    <row r="405" spans="2:21">
      <c r="B405" s="292"/>
      <c r="C405" s="19">
        <v>0.41666666666666702</v>
      </c>
      <c r="D405" s="5">
        <v>514702</v>
      </c>
      <c r="E405" s="11">
        <v>573124</v>
      </c>
      <c r="F405" s="10">
        <v>1.3092999999999999</v>
      </c>
      <c r="G405" s="144">
        <v>1.1356999999999999</v>
      </c>
      <c r="H405" s="144"/>
      <c r="I405" s="9">
        <v>431483</v>
      </c>
      <c r="J405" s="9">
        <v>228562</v>
      </c>
      <c r="K405" s="9"/>
      <c r="L405" s="27">
        <v>202969</v>
      </c>
      <c r="M405" s="27">
        <v>166819</v>
      </c>
      <c r="N405" s="27"/>
      <c r="O405" s="145">
        <v>93.2</v>
      </c>
      <c r="P405" s="145">
        <v>17</v>
      </c>
      <c r="Q405" s="146">
        <v>93.2</v>
      </c>
      <c r="R405" s="146">
        <v>102.6</v>
      </c>
      <c r="S405" s="91">
        <v>228.2</v>
      </c>
      <c r="T405" s="91">
        <v>197.5</v>
      </c>
      <c r="U405" s="147"/>
    </row>
    <row r="406" spans="2:21">
      <c r="B406" s="292"/>
      <c r="C406" s="19">
        <v>0.45833333333333298</v>
      </c>
      <c r="D406" s="5">
        <v>514711</v>
      </c>
      <c r="E406" s="11">
        <v>573136</v>
      </c>
      <c r="F406" s="10">
        <v>1.3093999999999999</v>
      </c>
      <c r="G406" s="144">
        <v>1.1356999999999999</v>
      </c>
      <c r="H406" s="144"/>
      <c r="I406" s="9">
        <v>431800</v>
      </c>
      <c r="J406" s="9">
        <v>228861</v>
      </c>
      <c r="K406" s="9"/>
      <c r="L406" s="27">
        <v>202975</v>
      </c>
      <c r="M406" s="27">
        <v>166845</v>
      </c>
      <c r="N406" s="27"/>
      <c r="O406" s="145">
        <v>100.6</v>
      </c>
      <c r="P406" s="145">
        <v>17</v>
      </c>
      <c r="Q406" s="146">
        <v>100.6</v>
      </c>
      <c r="R406" s="146">
        <v>110.7</v>
      </c>
      <c r="S406" s="91">
        <v>236.3</v>
      </c>
      <c r="T406" s="91">
        <v>198.8</v>
      </c>
      <c r="U406" s="147"/>
    </row>
    <row r="407" spans="2:21">
      <c r="B407" s="292"/>
      <c r="C407" s="19">
        <v>0.5</v>
      </c>
      <c r="D407" s="5">
        <v>514720</v>
      </c>
      <c r="E407" s="11">
        <v>573146</v>
      </c>
      <c r="F407" s="10">
        <v>1.3093999999999999</v>
      </c>
      <c r="G407" s="144">
        <v>1.1356999999999999</v>
      </c>
      <c r="H407" s="144"/>
      <c r="I407" s="9">
        <v>432113</v>
      </c>
      <c r="J407" s="9">
        <v>229143</v>
      </c>
      <c r="K407" s="9"/>
      <c r="L407" s="27">
        <v>202981</v>
      </c>
      <c r="M407" s="27">
        <v>166870</v>
      </c>
      <c r="N407" s="27"/>
      <c r="O407" s="145">
        <v>89.7</v>
      </c>
      <c r="P407" s="145">
        <v>17</v>
      </c>
      <c r="Q407" s="146">
        <v>89.7</v>
      </c>
      <c r="R407" s="146">
        <v>101.8</v>
      </c>
      <c r="S407" s="91">
        <v>235.2</v>
      </c>
      <c r="T407" s="91">
        <v>199.9</v>
      </c>
      <c r="U407" s="147"/>
    </row>
    <row r="408" spans="2:21">
      <c r="B408" s="292"/>
      <c r="C408" s="19">
        <v>0.54166666666666696</v>
      </c>
      <c r="D408" s="5">
        <v>514729</v>
      </c>
      <c r="E408" s="11">
        <v>573156</v>
      </c>
      <c r="F408" s="10">
        <v>1.3095000000000001</v>
      </c>
      <c r="G408" s="144">
        <v>1.1356999999999999</v>
      </c>
      <c r="H408" s="144"/>
      <c r="I408" s="9">
        <v>432426</v>
      </c>
      <c r="J408" s="9">
        <v>229435</v>
      </c>
      <c r="K408" s="9"/>
      <c r="L408" s="27">
        <v>202987</v>
      </c>
      <c r="M408" s="27">
        <v>166895</v>
      </c>
      <c r="N408" s="27"/>
      <c r="O408" s="145">
        <v>87.4</v>
      </c>
      <c r="P408" s="145">
        <v>17</v>
      </c>
      <c r="Q408" s="146">
        <v>87.4</v>
      </c>
      <c r="R408" s="146">
        <v>96.1</v>
      </c>
      <c r="S408" s="91">
        <v>221.1</v>
      </c>
      <c r="T408" s="91">
        <v>197.5</v>
      </c>
      <c r="U408" s="147"/>
    </row>
    <row r="409" spans="2:21">
      <c r="B409" s="292"/>
      <c r="C409" s="19">
        <v>0.58333333333333304</v>
      </c>
      <c r="D409" s="5">
        <v>514739</v>
      </c>
      <c r="E409" s="11">
        <v>573167</v>
      </c>
      <c r="F409" s="10">
        <v>1.3095000000000001</v>
      </c>
      <c r="G409" s="144">
        <v>1.1356999999999999</v>
      </c>
      <c r="H409" s="144"/>
      <c r="I409" s="9">
        <v>432739</v>
      </c>
      <c r="J409" s="9">
        <v>229747</v>
      </c>
      <c r="K409" s="9"/>
      <c r="L409" s="27">
        <v>202993</v>
      </c>
      <c r="M409" s="27">
        <v>166920</v>
      </c>
      <c r="N409" s="27"/>
      <c r="O409" s="145">
        <v>88.5</v>
      </c>
      <c r="P409" s="145">
        <v>17</v>
      </c>
      <c r="Q409" s="146">
        <v>88.5</v>
      </c>
      <c r="R409" s="146">
        <v>101.8</v>
      </c>
      <c r="S409" s="91">
        <v>199.1</v>
      </c>
      <c r="T409" s="91">
        <v>183.7</v>
      </c>
      <c r="U409" s="149"/>
    </row>
    <row r="410" spans="2:21">
      <c r="B410" s="292"/>
      <c r="C410" s="19">
        <v>0.625</v>
      </c>
      <c r="D410" s="5">
        <v>514749</v>
      </c>
      <c r="E410" s="11">
        <v>573178</v>
      </c>
      <c r="F410" s="10">
        <v>1.3096000000000001</v>
      </c>
      <c r="G410" s="144">
        <v>1.1356999999999999</v>
      </c>
      <c r="H410" s="144"/>
      <c r="I410" s="9">
        <v>433052</v>
      </c>
      <c r="J410" s="9">
        <v>230072</v>
      </c>
      <c r="K410" s="9"/>
      <c r="L410" s="27">
        <v>203001</v>
      </c>
      <c r="M410" s="27">
        <v>166945</v>
      </c>
      <c r="N410" s="27"/>
      <c r="O410" s="145">
        <v>88.6</v>
      </c>
      <c r="P410" s="145">
        <v>17</v>
      </c>
      <c r="Q410" s="146">
        <v>88.6</v>
      </c>
      <c r="R410" s="146">
        <v>99.8</v>
      </c>
      <c r="S410" s="91">
        <v>221.5</v>
      </c>
      <c r="T410" s="91">
        <v>182.8</v>
      </c>
      <c r="U410" s="147"/>
    </row>
    <row r="411" spans="2:21">
      <c r="B411" s="292"/>
      <c r="C411" s="19">
        <v>0.66666666666666696</v>
      </c>
      <c r="D411" s="5">
        <v>514760</v>
      </c>
      <c r="E411" s="11">
        <v>573189</v>
      </c>
      <c r="F411" s="10">
        <v>1.3096000000000001</v>
      </c>
      <c r="G411" s="144">
        <v>1.1356999999999999</v>
      </c>
      <c r="H411" s="144"/>
      <c r="I411" s="9">
        <v>433432</v>
      </c>
      <c r="J411" s="9">
        <v>230411</v>
      </c>
      <c r="K411" s="9"/>
      <c r="L411" s="27">
        <v>203006</v>
      </c>
      <c r="M411" s="27">
        <v>166953</v>
      </c>
      <c r="N411" s="27"/>
      <c r="O411" s="145">
        <v>91.4</v>
      </c>
      <c r="P411" s="145">
        <v>17</v>
      </c>
      <c r="Q411" s="146">
        <v>91.4</v>
      </c>
      <c r="R411" s="146">
        <v>101.6</v>
      </c>
      <c r="S411" s="91">
        <v>232.5</v>
      </c>
      <c r="T411" s="91">
        <v>189.3</v>
      </c>
      <c r="U411" s="147"/>
    </row>
    <row r="412" spans="2:21">
      <c r="B412" s="292"/>
      <c r="C412" s="19">
        <v>0.70833333333333304</v>
      </c>
      <c r="D412" s="5">
        <v>514772</v>
      </c>
      <c r="E412" s="11">
        <v>573200</v>
      </c>
      <c r="F412" s="10">
        <v>1.3097000000000001</v>
      </c>
      <c r="G412" s="144">
        <v>1.1356999999999999</v>
      </c>
      <c r="H412" s="144"/>
      <c r="I412" s="9">
        <v>433812</v>
      </c>
      <c r="J412" s="9">
        <v>230774</v>
      </c>
      <c r="K412" s="9"/>
      <c r="L412" s="27">
        <v>203011</v>
      </c>
      <c r="M412" s="27">
        <v>166961</v>
      </c>
      <c r="N412" s="27"/>
      <c r="O412" s="145">
        <v>93.2</v>
      </c>
      <c r="P412" s="145">
        <v>17</v>
      </c>
      <c r="Q412" s="146">
        <v>93.2</v>
      </c>
      <c r="R412" s="146">
        <v>102.6</v>
      </c>
      <c r="S412" s="91">
        <v>228.2</v>
      </c>
      <c r="T412" s="91">
        <v>197.5</v>
      </c>
      <c r="U412" s="147"/>
    </row>
    <row r="413" spans="2:21">
      <c r="B413" s="292"/>
      <c r="C413" s="19">
        <v>0.75</v>
      </c>
      <c r="D413" s="5">
        <v>514784</v>
      </c>
      <c r="E413" s="11">
        <v>573212</v>
      </c>
      <c r="F413" s="10">
        <v>1.3097000000000001</v>
      </c>
      <c r="G413" s="144">
        <v>1.1356999999999999</v>
      </c>
      <c r="H413" s="144"/>
      <c r="I413" s="9">
        <v>434192</v>
      </c>
      <c r="J413" s="9">
        <v>231121</v>
      </c>
      <c r="K413" s="9"/>
      <c r="L413" s="27">
        <v>203016</v>
      </c>
      <c r="M413" s="27">
        <v>166969</v>
      </c>
      <c r="N413" s="27"/>
      <c r="O413" s="145">
        <v>89.9</v>
      </c>
      <c r="P413" s="145">
        <v>17</v>
      </c>
      <c r="Q413" s="146">
        <v>89.9</v>
      </c>
      <c r="R413" s="146">
        <v>99.5</v>
      </c>
      <c r="S413" s="91">
        <v>225.3</v>
      </c>
      <c r="T413" s="91">
        <v>196.9</v>
      </c>
      <c r="U413" s="147"/>
    </row>
    <row r="414" spans="2:21">
      <c r="B414" s="292"/>
      <c r="C414" s="19">
        <v>0.79166666666666696</v>
      </c>
      <c r="D414" s="5">
        <v>514796</v>
      </c>
      <c r="E414" s="11">
        <v>573224</v>
      </c>
      <c r="F414" s="10">
        <v>1.6097999999999999</v>
      </c>
      <c r="G414" s="144">
        <v>1.1356999999999999</v>
      </c>
      <c r="H414" s="144"/>
      <c r="I414" s="9">
        <v>434575</v>
      </c>
      <c r="J414" s="9">
        <v>231478</v>
      </c>
      <c r="K414" s="9"/>
      <c r="L414" s="27">
        <v>203022</v>
      </c>
      <c r="M414" s="27">
        <v>166979</v>
      </c>
      <c r="N414" s="27"/>
      <c r="O414" s="145">
        <v>92.6</v>
      </c>
      <c r="P414" s="145">
        <v>17</v>
      </c>
      <c r="Q414" s="146">
        <v>92.6</v>
      </c>
      <c r="R414" s="146">
        <v>103.2</v>
      </c>
      <c r="S414" s="91">
        <v>222.4</v>
      </c>
      <c r="T414" s="91">
        <v>182.9</v>
      </c>
      <c r="U414" s="147"/>
    </row>
    <row r="415" spans="2:21">
      <c r="B415" s="292"/>
      <c r="C415" s="19">
        <v>0.83333333333333304</v>
      </c>
      <c r="D415" s="5">
        <v>514809</v>
      </c>
      <c r="E415" s="11">
        <v>573238</v>
      </c>
      <c r="F415" s="10">
        <v>1.6099000000000001</v>
      </c>
      <c r="G415" s="144">
        <v>1.1357999999999999</v>
      </c>
      <c r="H415" s="144"/>
      <c r="I415" s="9">
        <v>434975</v>
      </c>
      <c r="J415" s="9">
        <v>231855</v>
      </c>
      <c r="K415" s="9"/>
      <c r="L415" s="27">
        <v>203029</v>
      </c>
      <c r="M415" s="27">
        <v>166995</v>
      </c>
      <c r="N415" s="27"/>
      <c r="O415" s="145">
        <v>93.4</v>
      </c>
      <c r="P415" s="145">
        <v>17</v>
      </c>
      <c r="Q415" s="146">
        <v>93.4</v>
      </c>
      <c r="R415" s="146">
        <v>105.7</v>
      </c>
      <c r="S415" s="91">
        <v>200.9</v>
      </c>
      <c r="T415" s="91">
        <v>186.7</v>
      </c>
      <c r="U415" s="147"/>
    </row>
    <row r="416" spans="2:21">
      <c r="B416" s="292"/>
      <c r="C416" s="19">
        <v>0.875</v>
      </c>
      <c r="D416" s="5">
        <v>514819</v>
      </c>
      <c r="E416" s="11">
        <v>573249</v>
      </c>
      <c r="F416" s="10">
        <v>1.6099000000000001</v>
      </c>
      <c r="G416" s="144">
        <v>1.1357999999999999</v>
      </c>
      <c r="H416" s="144"/>
      <c r="I416" s="9">
        <v>435320</v>
      </c>
      <c r="J416" s="9">
        <v>232170</v>
      </c>
      <c r="K416" s="9"/>
      <c r="L416" s="27">
        <v>203034</v>
      </c>
      <c r="M416" s="27">
        <v>167008</v>
      </c>
      <c r="N416" s="27"/>
      <c r="O416" s="145">
        <v>95.7</v>
      </c>
      <c r="P416" s="145">
        <v>17</v>
      </c>
      <c r="Q416" s="146">
        <v>95.7</v>
      </c>
      <c r="R416" s="146">
        <v>107.6</v>
      </c>
      <c r="S416" s="91">
        <v>221.7</v>
      </c>
      <c r="T416" s="247">
        <v>199</v>
      </c>
      <c r="U416" s="147"/>
    </row>
    <row r="417" spans="2:21">
      <c r="B417" s="292"/>
      <c r="C417" s="19">
        <v>0.91666666666666696</v>
      </c>
      <c r="D417" s="5">
        <v>514830</v>
      </c>
      <c r="E417" s="11">
        <v>573260</v>
      </c>
      <c r="F417" s="10">
        <v>1.6099000000000001</v>
      </c>
      <c r="G417" s="10">
        <v>1.1358999999999999</v>
      </c>
      <c r="H417" s="144"/>
      <c r="I417" s="9">
        <v>435660</v>
      </c>
      <c r="J417" s="9">
        <v>232507</v>
      </c>
      <c r="K417" s="9"/>
      <c r="L417" s="27">
        <v>203039</v>
      </c>
      <c r="M417" s="27">
        <v>167021</v>
      </c>
      <c r="N417" s="27"/>
      <c r="O417" s="145">
        <v>96.8</v>
      </c>
      <c r="P417" s="145">
        <v>17</v>
      </c>
      <c r="Q417" s="146">
        <v>96.8</v>
      </c>
      <c r="R417" s="146">
        <v>107.8</v>
      </c>
      <c r="S417" s="91">
        <v>214.8</v>
      </c>
      <c r="T417" s="91">
        <v>185.3</v>
      </c>
      <c r="U417" s="147"/>
    </row>
    <row r="418" spans="2:21">
      <c r="B418" s="292"/>
      <c r="C418" s="19">
        <v>0.95833333333333304</v>
      </c>
      <c r="D418" s="5">
        <v>514841</v>
      </c>
      <c r="E418" s="11">
        <v>573272</v>
      </c>
      <c r="F418" s="10">
        <v>1.6099000000000001</v>
      </c>
      <c r="G418" s="10">
        <v>1.1358999999999999</v>
      </c>
      <c r="H418" s="144"/>
      <c r="I418" s="9">
        <v>436010</v>
      </c>
      <c r="J418" s="9">
        <v>232833</v>
      </c>
      <c r="K418" s="9"/>
      <c r="L418" s="27">
        <v>203046</v>
      </c>
      <c r="M418" s="27">
        <v>167035</v>
      </c>
      <c r="N418" s="27"/>
      <c r="O418" s="145">
        <v>95.1</v>
      </c>
      <c r="P418" s="145">
        <v>17</v>
      </c>
      <c r="Q418" s="146">
        <v>95.1</v>
      </c>
      <c r="R418" s="146">
        <v>108.1</v>
      </c>
      <c r="S418" s="91">
        <v>199.3</v>
      </c>
      <c r="T418" s="91">
        <v>185.1</v>
      </c>
      <c r="U418" s="147"/>
    </row>
    <row r="419" spans="2:21">
      <c r="B419" s="292"/>
      <c r="C419" s="19">
        <v>1</v>
      </c>
      <c r="D419" s="5">
        <v>514852</v>
      </c>
      <c r="E419" s="11">
        <v>573283</v>
      </c>
      <c r="F419" s="10">
        <v>1.6099000000000001</v>
      </c>
      <c r="G419" s="10">
        <v>1.1358999999999999</v>
      </c>
      <c r="H419" s="144"/>
      <c r="I419" s="9">
        <v>436360</v>
      </c>
      <c r="J419" s="9">
        <v>233151</v>
      </c>
      <c r="K419" s="9"/>
      <c r="L419" s="27">
        <v>203050</v>
      </c>
      <c r="M419" s="27">
        <v>167042</v>
      </c>
      <c r="N419" s="27"/>
      <c r="O419" s="145">
        <v>91.4</v>
      </c>
      <c r="P419" s="145">
        <v>17</v>
      </c>
      <c r="Q419" s="146">
        <v>91.4</v>
      </c>
      <c r="R419" s="146">
        <v>103.7</v>
      </c>
      <c r="S419" s="91">
        <v>221.1</v>
      </c>
      <c r="T419" s="91">
        <v>184.1</v>
      </c>
      <c r="U419" s="147"/>
    </row>
    <row r="420" spans="2:21">
      <c r="B420" s="292"/>
      <c r="C420" s="19">
        <v>1.0416666666666701</v>
      </c>
      <c r="D420" s="5">
        <v>514863</v>
      </c>
      <c r="E420" s="11">
        <v>573294</v>
      </c>
      <c r="F420" s="10">
        <v>1.6099000000000001</v>
      </c>
      <c r="G420" s="144">
        <v>1.1359999999999999</v>
      </c>
      <c r="H420" s="144"/>
      <c r="I420" s="9">
        <v>436710</v>
      </c>
      <c r="J420" s="9">
        <v>233470</v>
      </c>
      <c r="K420" s="9"/>
      <c r="L420" s="27">
        <v>203054</v>
      </c>
      <c r="M420" s="27">
        <v>167049</v>
      </c>
      <c r="N420" s="27"/>
      <c r="O420" s="145">
        <v>90.2</v>
      </c>
      <c r="P420" s="145">
        <v>17</v>
      </c>
      <c r="Q420" s="146">
        <v>90.2</v>
      </c>
      <c r="R420" s="146">
        <v>103.2</v>
      </c>
      <c r="S420" s="91">
        <v>199.1</v>
      </c>
      <c r="T420" s="91">
        <v>185.7</v>
      </c>
      <c r="U420" s="147"/>
    </row>
    <row r="421" spans="2:21">
      <c r="B421" s="292"/>
      <c r="C421" s="19">
        <v>1.0833333333333299</v>
      </c>
      <c r="D421" s="5">
        <v>514874</v>
      </c>
      <c r="E421" s="11">
        <v>573305</v>
      </c>
      <c r="F421" s="10">
        <v>1.6099000000000001</v>
      </c>
      <c r="G421" s="144">
        <v>1.1359999999999999</v>
      </c>
      <c r="H421" s="144"/>
      <c r="I421" s="9">
        <v>437060</v>
      </c>
      <c r="J421" s="9">
        <v>233785</v>
      </c>
      <c r="K421" s="9"/>
      <c r="L421" s="27">
        <v>203058</v>
      </c>
      <c r="M421" s="27">
        <v>167056</v>
      </c>
      <c r="N421" s="27"/>
      <c r="O421" s="145">
        <v>89.7</v>
      </c>
      <c r="P421" s="145">
        <v>17</v>
      </c>
      <c r="Q421" s="146">
        <v>89.7</v>
      </c>
      <c r="R421" s="146">
        <v>101.8</v>
      </c>
      <c r="S421" s="91">
        <v>235.2</v>
      </c>
      <c r="T421" s="91">
        <v>199.9</v>
      </c>
      <c r="U421" s="147"/>
    </row>
    <row r="422" spans="2:21">
      <c r="B422" s="292"/>
      <c r="C422" s="19">
        <v>1.125</v>
      </c>
      <c r="D422" s="5">
        <v>514886</v>
      </c>
      <c r="E422" s="11">
        <v>573317</v>
      </c>
      <c r="F422" s="10">
        <v>1.6099000000000001</v>
      </c>
      <c r="G422" s="144">
        <v>1.1359999999999999</v>
      </c>
      <c r="H422" s="144"/>
      <c r="I422" s="9">
        <v>437450</v>
      </c>
      <c r="J422" s="9">
        <v>234120</v>
      </c>
      <c r="K422" s="9"/>
      <c r="L422" s="27">
        <v>203062</v>
      </c>
      <c r="M422" s="27">
        <v>167063</v>
      </c>
      <c r="N422" s="27"/>
      <c r="O422" s="145">
        <v>87.4</v>
      </c>
      <c r="P422" s="145">
        <v>17</v>
      </c>
      <c r="Q422" s="146">
        <v>87.4</v>
      </c>
      <c r="R422" s="146">
        <v>96.1</v>
      </c>
      <c r="S422" s="91">
        <v>221.1</v>
      </c>
      <c r="T422" s="91">
        <v>197.5</v>
      </c>
      <c r="U422" s="147"/>
    </row>
    <row r="423" spans="2:21">
      <c r="B423" s="292"/>
      <c r="C423" s="19">
        <v>1.1666666666666701</v>
      </c>
      <c r="D423" s="5">
        <v>514896</v>
      </c>
      <c r="E423" s="11">
        <v>573329</v>
      </c>
      <c r="F423" s="10">
        <v>1.6099000000000001</v>
      </c>
      <c r="G423" s="144">
        <v>1.1361000000000001</v>
      </c>
      <c r="H423" s="144"/>
      <c r="I423" s="9">
        <v>437738</v>
      </c>
      <c r="J423" s="9">
        <v>234449</v>
      </c>
      <c r="K423" s="9"/>
      <c r="L423" s="27">
        <v>203070</v>
      </c>
      <c r="M423" s="27">
        <v>167090</v>
      </c>
      <c r="N423" s="27"/>
      <c r="O423" s="145">
        <v>91.9</v>
      </c>
      <c r="P423" s="145">
        <v>17</v>
      </c>
      <c r="Q423" s="146">
        <v>91.9</v>
      </c>
      <c r="R423" s="146">
        <v>100.2</v>
      </c>
      <c r="S423" s="91">
        <v>223.5</v>
      </c>
      <c r="T423" s="91">
        <v>184.7</v>
      </c>
      <c r="U423" s="147"/>
    </row>
    <row r="424" spans="2:21">
      <c r="B424" s="292"/>
      <c r="C424" s="19">
        <v>1.2083333333333299</v>
      </c>
      <c r="D424" s="5">
        <v>514906</v>
      </c>
      <c r="E424" s="11">
        <v>573341</v>
      </c>
      <c r="F424" s="10">
        <v>1.6099000000000001</v>
      </c>
      <c r="G424" s="144">
        <v>1.1361000000000001</v>
      </c>
      <c r="H424" s="144"/>
      <c r="I424" s="9">
        <v>438036</v>
      </c>
      <c r="J424" s="9">
        <v>234764</v>
      </c>
      <c r="K424" s="9"/>
      <c r="L424" s="27">
        <v>203078</v>
      </c>
      <c r="M424" s="27">
        <v>167117</v>
      </c>
      <c r="N424" s="27"/>
      <c r="O424" s="145">
        <v>88.9</v>
      </c>
      <c r="P424" s="145">
        <v>17</v>
      </c>
      <c r="Q424" s="146">
        <v>88.9</v>
      </c>
      <c r="R424" s="146">
        <v>101.1</v>
      </c>
      <c r="S424" s="91">
        <v>234.6</v>
      </c>
      <c r="T424" s="91">
        <v>189.7</v>
      </c>
      <c r="U424" s="147"/>
    </row>
    <row r="425" spans="2:21">
      <c r="B425" s="292"/>
      <c r="C425" s="19">
        <v>1.25</v>
      </c>
      <c r="D425" s="5">
        <v>514917</v>
      </c>
      <c r="E425" s="11">
        <v>573354</v>
      </c>
      <c r="F425" s="10">
        <v>1.6099000000000001</v>
      </c>
      <c r="G425" s="10">
        <v>1.1362000000000001</v>
      </c>
      <c r="H425" s="144"/>
      <c r="I425" s="9">
        <v>438409</v>
      </c>
      <c r="J425" s="9">
        <v>235056</v>
      </c>
      <c r="K425" s="9"/>
      <c r="L425" s="27">
        <v>203086</v>
      </c>
      <c r="M425" s="27">
        <v>167144</v>
      </c>
      <c r="N425" s="27"/>
      <c r="O425" s="145">
        <v>89.7</v>
      </c>
      <c r="P425" s="145">
        <v>17</v>
      </c>
      <c r="Q425" s="146">
        <v>89.7</v>
      </c>
      <c r="R425" s="146">
        <v>101.6</v>
      </c>
      <c r="S425" s="91">
        <v>221.7</v>
      </c>
      <c r="T425" s="247">
        <v>199</v>
      </c>
      <c r="U425" s="147"/>
    </row>
    <row r="426" spans="2:21">
      <c r="B426" s="292"/>
      <c r="C426" s="19">
        <v>1.2916666666666701</v>
      </c>
      <c r="D426" s="5">
        <v>514928</v>
      </c>
      <c r="E426" s="11">
        <v>573368</v>
      </c>
      <c r="F426" s="10">
        <v>1.6099000000000001</v>
      </c>
      <c r="G426" s="10">
        <v>1.1362000000000001</v>
      </c>
      <c r="H426" s="144"/>
      <c r="I426" s="9">
        <v>438723</v>
      </c>
      <c r="J426" s="9">
        <v>235408</v>
      </c>
      <c r="K426" s="9"/>
      <c r="L426" s="27">
        <v>203095</v>
      </c>
      <c r="M426" s="27">
        <v>167172</v>
      </c>
      <c r="N426" s="27"/>
      <c r="O426" s="145">
        <v>90.8</v>
      </c>
      <c r="P426" s="145">
        <v>17</v>
      </c>
      <c r="Q426" s="146">
        <v>90.8</v>
      </c>
      <c r="R426" s="146">
        <v>104.8</v>
      </c>
      <c r="S426" s="91">
        <v>200.5</v>
      </c>
      <c r="T426" s="91">
        <v>188.5</v>
      </c>
      <c r="U426" s="147"/>
    </row>
    <row r="427" spans="2:21">
      <c r="B427" s="293"/>
      <c r="C427" s="6"/>
      <c r="D427" s="13" cm="1">
        <f t="array" ref="D427">IFERROR(LOOKUP(2,1/(D402:D426&gt;0),D402:D426-D402),0)</f>
        <v>260</v>
      </c>
      <c r="E427" s="13" cm="1">
        <f t="array" ref="E427">IFERROR(LOOKUP(2,1/(E402:E426&gt;0),E402:E426-E402),0)</f>
        <v>284</v>
      </c>
      <c r="F427" s="13" cm="1">
        <f t="array" ref="F427">IFERROR(LOOKUP(2,1/(F402:F426&gt;0),F402:F426-F402),0)</f>
        <v>7.0000000000014495E-4</v>
      </c>
      <c r="G427" s="13" cm="1">
        <f t="array" ref="G427">IFERROR(LOOKUP(2,1/(G402:G426&gt;0),G402:G426-G402),0)</f>
        <v>5.0000000000016698E-4</v>
      </c>
      <c r="H427" s="13">
        <f>F427+G427</f>
        <v>1.2000000000003119E-3</v>
      </c>
      <c r="I427" s="13" cm="1">
        <f t="array" ref="I427">IFERROR(LOOKUP(2,1/(I402:I426&gt;0),I402:I426-I402),0)</f>
        <v>8322</v>
      </c>
      <c r="J427" s="13" cm="1">
        <f t="array" ref="J427">IFERROR(LOOKUP(2,1/(J402:J426&gt;0),J402:J426-J402),0)</f>
        <v>7866</v>
      </c>
      <c r="K427" s="13">
        <f>I427+J427</f>
        <v>16188</v>
      </c>
      <c r="L427" s="13" cm="1">
        <f t="array" ref="L427">IFERROR(LOOKUP(2,1/(L402:L426&gt;0),L402:L426-L402),0)</f>
        <v>144</v>
      </c>
      <c r="M427" s="13" cm="1">
        <f t="array" ref="M427">IFERROR(LOOKUP(2,1/(M402:M426&gt;0),M402:M426-M402),0)</f>
        <v>394</v>
      </c>
      <c r="N427" s="13">
        <f>L427+M427</f>
        <v>538</v>
      </c>
      <c r="O427" s="148">
        <f t="shared" ref="O427:T427" si="15">IFERROR(AVERAGE(O402:O426),0)</f>
        <v>92.552000000000007</v>
      </c>
      <c r="P427" s="148">
        <f t="shared" si="15"/>
        <v>17</v>
      </c>
      <c r="Q427" s="148">
        <f t="shared" si="15"/>
        <v>92.552000000000007</v>
      </c>
      <c r="R427" s="148">
        <f t="shared" si="15"/>
        <v>103.70399999999998</v>
      </c>
      <c r="S427" s="148">
        <f t="shared" si="15"/>
        <v>219.10400000000001</v>
      </c>
      <c r="T427" s="148">
        <f t="shared" si="15"/>
        <v>191.18</v>
      </c>
      <c r="U427" s="148">
        <f>COUNT(U402:U426)</f>
        <v>0</v>
      </c>
    </row>
    <row r="428" spans="2:21">
      <c r="B428" s="291">
        <f>'DATA B1'!B428</f>
        <v>46039</v>
      </c>
      <c r="C428" s="19">
        <v>0.29166666666666669</v>
      </c>
      <c r="D428" s="5">
        <v>514928</v>
      </c>
      <c r="E428" s="11">
        <v>573368</v>
      </c>
      <c r="F428" s="10">
        <v>1.6099000000000001</v>
      </c>
      <c r="G428" s="10">
        <v>1.1362000000000001</v>
      </c>
      <c r="H428" s="144"/>
      <c r="I428" s="9">
        <v>438723</v>
      </c>
      <c r="J428" s="9">
        <v>235408</v>
      </c>
      <c r="K428" s="9"/>
      <c r="L428" s="27">
        <v>203095</v>
      </c>
      <c r="M428" s="27">
        <v>167172</v>
      </c>
      <c r="N428" s="27"/>
      <c r="O428" s="145">
        <v>90.8</v>
      </c>
      <c r="P428" s="145">
        <v>17</v>
      </c>
      <c r="Q428" s="146">
        <v>90.8</v>
      </c>
      <c r="R428" s="146">
        <v>104.8</v>
      </c>
      <c r="S428" s="91">
        <v>200.5</v>
      </c>
      <c r="T428" s="91">
        <v>188.5</v>
      </c>
      <c r="U428" s="147"/>
    </row>
    <row r="429" spans="2:21">
      <c r="B429" s="292"/>
      <c r="C429" s="19">
        <v>0.33333333333333298</v>
      </c>
      <c r="D429" s="5">
        <v>514941</v>
      </c>
      <c r="E429" s="11">
        <v>573380</v>
      </c>
      <c r="F429" s="10">
        <v>1.6099000000000001</v>
      </c>
      <c r="G429" s="144">
        <v>1.1362000000000001</v>
      </c>
      <c r="H429" s="144"/>
      <c r="I429" s="9">
        <v>439131</v>
      </c>
      <c r="J429" s="9">
        <v>235797</v>
      </c>
      <c r="K429" s="9"/>
      <c r="L429" s="27">
        <v>203102</v>
      </c>
      <c r="M429" s="27">
        <v>167182</v>
      </c>
      <c r="N429" s="27"/>
      <c r="O429" s="145">
        <v>86.5</v>
      </c>
      <c r="P429" s="145">
        <v>17</v>
      </c>
      <c r="Q429" s="146">
        <v>86.5</v>
      </c>
      <c r="R429" s="146">
        <v>93.9</v>
      </c>
      <c r="S429" s="91">
        <v>227.3</v>
      </c>
      <c r="T429" s="91">
        <v>197.2</v>
      </c>
      <c r="U429" s="147"/>
    </row>
    <row r="430" spans="2:21">
      <c r="B430" s="292"/>
      <c r="C430" s="19">
        <v>0.375</v>
      </c>
      <c r="D430" s="5">
        <v>514951</v>
      </c>
      <c r="E430" s="11">
        <v>573389</v>
      </c>
      <c r="F430" s="144">
        <v>1.61</v>
      </c>
      <c r="G430" s="144">
        <v>1.1362000000000001</v>
      </c>
      <c r="H430" s="144"/>
      <c r="I430" s="9">
        <v>439453</v>
      </c>
      <c r="J430" s="9">
        <v>236095</v>
      </c>
      <c r="K430" s="9"/>
      <c r="L430" s="27">
        <v>203102</v>
      </c>
      <c r="M430" s="27">
        <v>167182</v>
      </c>
      <c r="N430" s="27"/>
      <c r="O430" s="145">
        <v>93.4</v>
      </c>
      <c r="P430" s="145">
        <v>17</v>
      </c>
      <c r="Q430" s="146">
        <v>93.4</v>
      </c>
      <c r="R430" s="146">
        <v>105.7</v>
      </c>
      <c r="S430" s="91">
        <v>200.9</v>
      </c>
      <c r="T430" s="91">
        <v>186.7</v>
      </c>
      <c r="U430" s="147"/>
    </row>
    <row r="431" spans="2:21">
      <c r="B431" s="292"/>
      <c r="C431" s="19">
        <v>0.41666666666666702</v>
      </c>
      <c r="D431" s="5">
        <v>514961</v>
      </c>
      <c r="E431" s="11">
        <v>573399</v>
      </c>
      <c r="F431" s="144">
        <v>1.61</v>
      </c>
      <c r="G431" s="144">
        <v>1.1362000000000001</v>
      </c>
      <c r="H431" s="144"/>
      <c r="I431" s="9">
        <v>439782</v>
      </c>
      <c r="J431" s="9">
        <v>236396</v>
      </c>
      <c r="K431" s="9"/>
      <c r="L431" s="27">
        <v>203102</v>
      </c>
      <c r="M431" s="27">
        <v>167182</v>
      </c>
      <c r="N431" s="27"/>
      <c r="O431" s="145">
        <v>95.7</v>
      </c>
      <c r="P431" s="145">
        <v>17</v>
      </c>
      <c r="Q431" s="146">
        <v>95.7</v>
      </c>
      <c r="R431" s="146">
        <v>107.6</v>
      </c>
      <c r="S431" s="91">
        <v>221.7</v>
      </c>
      <c r="T431" s="247">
        <v>199</v>
      </c>
      <c r="U431" s="147"/>
    </row>
    <row r="432" spans="2:21">
      <c r="B432" s="292"/>
      <c r="C432" s="19">
        <v>0.45833333333333298</v>
      </c>
      <c r="D432" s="5">
        <v>514971</v>
      </c>
      <c r="E432" s="11">
        <v>573409</v>
      </c>
      <c r="F432" s="10">
        <v>1.6101000000000001</v>
      </c>
      <c r="G432" s="144">
        <v>1.1362000000000001</v>
      </c>
      <c r="H432" s="144"/>
      <c r="I432" s="9">
        <v>440099</v>
      </c>
      <c r="J432" s="9">
        <v>236710</v>
      </c>
      <c r="K432" s="9"/>
      <c r="L432" s="27">
        <v>203102</v>
      </c>
      <c r="M432" s="27">
        <v>167194</v>
      </c>
      <c r="N432" s="27"/>
      <c r="O432" s="145">
        <v>86.9</v>
      </c>
      <c r="P432" s="145">
        <v>17</v>
      </c>
      <c r="Q432" s="146">
        <v>869</v>
      </c>
      <c r="R432" s="146">
        <v>98.3</v>
      </c>
      <c r="S432" s="91">
        <v>235.4</v>
      </c>
      <c r="T432" s="91">
        <v>189.7</v>
      </c>
      <c r="U432" s="147"/>
    </row>
    <row r="433" spans="2:21">
      <c r="B433" s="292"/>
      <c r="C433" s="19">
        <v>0.5</v>
      </c>
      <c r="D433" s="5">
        <v>514981</v>
      </c>
      <c r="E433" s="11">
        <v>573418</v>
      </c>
      <c r="F433" s="10">
        <v>1.6101000000000001</v>
      </c>
      <c r="G433" s="144">
        <v>1.1362000000000001</v>
      </c>
      <c r="H433" s="144"/>
      <c r="I433" s="9">
        <v>440423</v>
      </c>
      <c r="J433" s="9">
        <v>237042</v>
      </c>
      <c r="K433" s="9"/>
      <c r="L433" s="27">
        <v>203111</v>
      </c>
      <c r="M433" s="27">
        <v>167217</v>
      </c>
      <c r="N433" s="27"/>
      <c r="O433" s="145">
        <v>87.4</v>
      </c>
      <c r="P433" s="145">
        <v>17</v>
      </c>
      <c r="Q433" s="146">
        <v>87.4</v>
      </c>
      <c r="R433" s="146">
        <v>96.1</v>
      </c>
      <c r="S433" s="91">
        <v>221.1</v>
      </c>
      <c r="T433" s="91">
        <v>197.5</v>
      </c>
      <c r="U433" s="147"/>
    </row>
    <row r="434" spans="2:21">
      <c r="B434" s="292"/>
      <c r="C434" s="19">
        <v>0.54166666666666696</v>
      </c>
      <c r="D434" s="5">
        <v>514991</v>
      </c>
      <c r="E434" s="11">
        <v>573427</v>
      </c>
      <c r="F434" s="10">
        <v>1.6101000000000001</v>
      </c>
      <c r="G434" s="144">
        <v>1.1362000000000001</v>
      </c>
      <c r="H434" s="144"/>
      <c r="I434" s="9">
        <v>440794</v>
      </c>
      <c r="J434" s="9">
        <v>237291</v>
      </c>
      <c r="K434" s="9"/>
      <c r="L434" s="27">
        <v>203120</v>
      </c>
      <c r="M434" s="27">
        <v>167240</v>
      </c>
      <c r="N434" s="27"/>
      <c r="O434" s="145">
        <v>88.5</v>
      </c>
      <c r="P434" s="145">
        <v>17</v>
      </c>
      <c r="Q434" s="146">
        <v>88.5</v>
      </c>
      <c r="R434" s="146">
        <v>101.8</v>
      </c>
      <c r="S434" s="91">
        <v>199.1</v>
      </c>
      <c r="T434" s="91">
        <v>183.7</v>
      </c>
      <c r="U434" s="147"/>
    </row>
    <row r="435" spans="2:21">
      <c r="B435" s="292"/>
      <c r="C435" s="19">
        <v>0.58333333333333304</v>
      </c>
      <c r="D435" s="5">
        <v>515002</v>
      </c>
      <c r="E435" s="11">
        <v>573436</v>
      </c>
      <c r="F435" s="10">
        <v>1.6102000000000001</v>
      </c>
      <c r="G435" s="144">
        <v>1.1362000000000001</v>
      </c>
      <c r="H435" s="144"/>
      <c r="I435" s="9">
        <v>440992</v>
      </c>
      <c r="J435" s="9">
        <v>237820</v>
      </c>
      <c r="K435" s="9"/>
      <c r="L435" s="27">
        <v>203130</v>
      </c>
      <c r="M435" s="27">
        <v>167263</v>
      </c>
      <c r="N435" s="27"/>
      <c r="O435" s="145">
        <v>88.6</v>
      </c>
      <c r="P435" s="145">
        <v>17</v>
      </c>
      <c r="Q435" s="146">
        <v>88.6</v>
      </c>
      <c r="R435" s="146">
        <v>99.8</v>
      </c>
      <c r="S435" s="91">
        <v>221.5</v>
      </c>
      <c r="T435" s="91">
        <v>182.8</v>
      </c>
      <c r="U435" s="149"/>
    </row>
    <row r="436" spans="2:21">
      <c r="B436" s="292"/>
      <c r="C436" s="19">
        <v>0.625</v>
      </c>
      <c r="D436" s="5">
        <v>515013</v>
      </c>
      <c r="E436" s="11">
        <v>573445</v>
      </c>
      <c r="F436" s="10">
        <v>1.6103000000000001</v>
      </c>
      <c r="G436" s="144">
        <v>1.1362000000000001</v>
      </c>
      <c r="H436" s="144"/>
      <c r="I436" s="9">
        <v>441506</v>
      </c>
      <c r="J436" s="9">
        <v>238038</v>
      </c>
      <c r="K436" s="9"/>
      <c r="L436" s="27">
        <v>203140</v>
      </c>
      <c r="M436" s="27">
        <v>167288</v>
      </c>
      <c r="N436" s="27"/>
      <c r="O436" s="145">
        <v>85</v>
      </c>
      <c r="P436" s="145">
        <v>17</v>
      </c>
      <c r="Q436" s="146">
        <v>85</v>
      </c>
      <c r="R436" s="146">
        <v>95.3</v>
      </c>
      <c r="S436" s="91">
        <v>230.3</v>
      </c>
      <c r="T436" s="91">
        <v>199.5</v>
      </c>
      <c r="U436" s="147"/>
    </row>
    <row r="437" spans="2:21">
      <c r="B437" s="292"/>
      <c r="C437" s="19">
        <v>0.66666666666666696</v>
      </c>
      <c r="D437" s="5">
        <v>515023</v>
      </c>
      <c r="E437" s="11">
        <v>573454</v>
      </c>
      <c r="F437" s="10">
        <v>1.6104000000000001</v>
      </c>
      <c r="G437" s="144">
        <v>1.1362000000000001</v>
      </c>
      <c r="H437" s="144"/>
      <c r="I437" s="9">
        <v>441827</v>
      </c>
      <c r="J437" s="9">
        <v>238313</v>
      </c>
      <c r="K437" s="9"/>
      <c r="L437" s="27">
        <v>203140</v>
      </c>
      <c r="M437" s="27">
        <v>167288</v>
      </c>
      <c r="N437" s="27"/>
      <c r="O437" s="145">
        <v>91.4</v>
      </c>
      <c r="P437" s="145">
        <v>17</v>
      </c>
      <c r="Q437" s="146">
        <v>91.4</v>
      </c>
      <c r="R437" s="146">
        <v>101.6</v>
      </c>
      <c r="S437" s="91">
        <v>232.5</v>
      </c>
      <c r="T437" s="91">
        <v>189.3</v>
      </c>
      <c r="U437" s="147"/>
    </row>
    <row r="438" spans="2:21">
      <c r="B438" s="292"/>
      <c r="C438" s="19">
        <v>0.70833333333333304</v>
      </c>
      <c r="D438" s="5">
        <v>515033</v>
      </c>
      <c r="E438" s="11">
        <v>573463</v>
      </c>
      <c r="F438" s="10">
        <v>1.6104000000000001</v>
      </c>
      <c r="G438" s="144">
        <v>1.1362000000000001</v>
      </c>
      <c r="H438" s="144"/>
      <c r="I438" s="9">
        <v>442134</v>
      </c>
      <c r="J438" s="9">
        <v>238603</v>
      </c>
      <c r="K438" s="9"/>
      <c r="L438" s="27">
        <v>203140</v>
      </c>
      <c r="M438" s="27">
        <v>167288</v>
      </c>
      <c r="N438" s="27"/>
      <c r="O438" s="145">
        <v>93.2</v>
      </c>
      <c r="P438" s="145">
        <v>17</v>
      </c>
      <c r="Q438" s="146">
        <v>93.2</v>
      </c>
      <c r="R438" s="146">
        <v>102.6</v>
      </c>
      <c r="S438" s="91">
        <v>228.2</v>
      </c>
      <c r="T438" s="91">
        <v>197.5</v>
      </c>
      <c r="U438" s="147"/>
    </row>
    <row r="439" spans="2:21">
      <c r="B439" s="292"/>
      <c r="C439" s="19">
        <v>0.75</v>
      </c>
      <c r="D439" s="5">
        <v>515044</v>
      </c>
      <c r="E439" s="11">
        <v>573473</v>
      </c>
      <c r="F439" s="10">
        <v>1.6105</v>
      </c>
      <c r="G439" s="144">
        <v>1.1362000000000001</v>
      </c>
      <c r="H439" s="144"/>
      <c r="I439" s="9">
        <v>442512</v>
      </c>
      <c r="J439" s="9">
        <v>238918</v>
      </c>
      <c r="K439" s="9"/>
      <c r="L439" s="27">
        <v>203140</v>
      </c>
      <c r="M439" s="27">
        <v>167288</v>
      </c>
      <c r="N439" s="27"/>
      <c r="O439" s="145">
        <v>89.9</v>
      </c>
      <c r="P439" s="145">
        <v>17</v>
      </c>
      <c r="Q439" s="146">
        <v>89.9</v>
      </c>
      <c r="R439" s="146">
        <v>99.5</v>
      </c>
      <c r="S439" s="91">
        <v>225.3</v>
      </c>
      <c r="T439" s="91">
        <v>196.9</v>
      </c>
      <c r="U439" s="147"/>
    </row>
    <row r="440" spans="2:21">
      <c r="B440" s="292"/>
      <c r="C440" s="19">
        <v>0.79166666666666696</v>
      </c>
      <c r="D440" s="5">
        <v>515055</v>
      </c>
      <c r="E440" s="11">
        <v>573483</v>
      </c>
      <c r="F440" s="10">
        <v>1.6105</v>
      </c>
      <c r="G440" s="144">
        <v>1.1362000000000001</v>
      </c>
      <c r="H440" s="144"/>
      <c r="I440" s="9">
        <v>442879</v>
      </c>
      <c r="J440" s="9">
        <v>239235</v>
      </c>
      <c r="K440" s="9"/>
      <c r="L440" s="27">
        <v>203162</v>
      </c>
      <c r="M440" s="27">
        <v>167351</v>
      </c>
      <c r="N440" s="27"/>
      <c r="O440" s="145">
        <v>90</v>
      </c>
      <c r="P440" s="145">
        <v>17</v>
      </c>
      <c r="Q440" s="146">
        <v>90</v>
      </c>
      <c r="R440" s="146">
        <v>101.2</v>
      </c>
      <c r="S440" s="91">
        <v>224.6</v>
      </c>
      <c r="T440" s="91">
        <v>185.7</v>
      </c>
      <c r="U440" s="147"/>
    </row>
    <row r="441" spans="2:21">
      <c r="B441" s="292"/>
      <c r="C441" s="19">
        <v>0.83333333333333304</v>
      </c>
      <c r="D441" s="5">
        <v>515067</v>
      </c>
      <c r="E441" s="11">
        <v>573495</v>
      </c>
      <c r="F441" s="10">
        <v>1.6106</v>
      </c>
      <c r="G441" s="144">
        <v>1.1363000000000001</v>
      </c>
      <c r="H441" s="144"/>
      <c r="I441" s="9">
        <v>443268</v>
      </c>
      <c r="J441" s="9">
        <v>239700</v>
      </c>
      <c r="K441" s="9"/>
      <c r="L441" s="27">
        <v>203169</v>
      </c>
      <c r="M441" s="27">
        <v>167363</v>
      </c>
      <c r="N441" s="27"/>
      <c r="O441" s="145">
        <v>88.5</v>
      </c>
      <c r="P441" s="145">
        <v>17</v>
      </c>
      <c r="Q441" s="146">
        <v>88.5</v>
      </c>
      <c r="R441" s="146">
        <v>99.2</v>
      </c>
      <c r="S441" s="91">
        <v>200.7</v>
      </c>
      <c r="T441" s="91">
        <v>181.2</v>
      </c>
      <c r="U441" s="147"/>
    </row>
    <row r="442" spans="2:21">
      <c r="B442" s="292"/>
      <c r="C442" s="19">
        <v>0.875</v>
      </c>
      <c r="D442" s="5">
        <v>515074</v>
      </c>
      <c r="E442" s="11">
        <v>573501</v>
      </c>
      <c r="F442" s="10">
        <v>1.6106</v>
      </c>
      <c r="G442" s="144">
        <v>1.1363000000000001</v>
      </c>
      <c r="H442" s="144"/>
      <c r="I442" s="9">
        <v>443501</v>
      </c>
      <c r="J442" s="9">
        <v>239910</v>
      </c>
      <c r="K442" s="9"/>
      <c r="L442" s="27">
        <v>203175</v>
      </c>
      <c r="M442" s="27">
        <v>167366</v>
      </c>
      <c r="N442" s="27"/>
      <c r="O442" s="145">
        <v>89.7</v>
      </c>
      <c r="P442" s="145">
        <v>17</v>
      </c>
      <c r="Q442" s="146">
        <v>89.7</v>
      </c>
      <c r="R442" s="146">
        <v>101.8</v>
      </c>
      <c r="S442" s="91">
        <v>235.2</v>
      </c>
      <c r="T442" s="91">
        <v>199.9</v>
      </c>
      <c r="U442" s="147"/>
    </row>
    <row r="443" spans="2:21">
      <c r="B443" s="292"/>
      <c r="C443" s="19">
        <v>0.91666666666666696</v>
      </c>
      <c r="D443" s="5">
        <v>515081</v>
      </c>
      <c r="E443" s="11">
        <v>573507</v>
      </c>
      <c r="F443" s="10">
        <v>1.6106</v>
      </c>
      <c r="G443" s="144">
        <v>1.1364000000000001</v>
      </c>
      <c r="H443" s="144"/>
      <c r="I443" s="9">
        <v>443714</v>
      </c>
      <c r="J443" s="9">
        <v>240142</v>
      </c>
      <c r="K443" s="9"/>
      <c r="L443" s="27">
        <v>203181</v>
      </c>
      <c r="M443" s="27">
        <v>167369</v>
      </c>
      <c r="N443" s="27"/>
      <c r="O443" s="145">
        <v>87.4</v>
      </c>
      <c r="P443" s="145">
        <v>17</v>
      </c>
      <c r="Q443" s="146">
        <v>87.4</v>
      </c>
      <c r="R443" s="146">
        <v>96.1</v>
      </c>
      <c r="S443" s="91">
        <v>221.1</v>
      </c>
      <c r="T443" s="91">
        <v>197.5</v>
      </c>
      <c r="U443" s="147"/>
    </row>
    <row r="444" spans="2:21">
      <c r="B444" s="292"/>
      <c r="C444" s="19">
        <v>0.95833333333333304</v>
      </c>
      <c r="D444" s="5">
        <v>515089</v>
      </c>
      <c r="E444" s="11">
        <v>573515</v>
      </c>
      <c r="F444" s="10">
        <v>1.6106</v>
      </c>
      <c r="G444" s="144">
        <v>1.1364000000000001</v>
      </c>
      <c r="H444" s="144"/>
      <c r="I444" s="9">
        <v>443968</v>
      </c>
      <c r="J444" s="9">
        <v>240364</v>
      </c>
      <c r="K444" s="9"/>
      <c r="L444" s="27">
        <v>203187</v>
      </c>
      <c r="M444" s="27">
        <v>167372</v>
      </c>
      <c r="N444" s="27"/>
      <c r="O444" s="145">
        <v>87.5</v>
      </c>
      <c r="P444" s="145">
        <v>17</v>
      </c>
      <c r="Q444" s="146">
        <v>87.5</v>
      </c>
      <c r="R444" s="146">
        <v>96.9</v>
      </c>
      <c r="S444" s="91">
        <v>200.4</v>
      </c>
      <c r="T444" s="91">
        <v>176.8</v>
      </c>
      <c r="U444" s="147"/>
    </row>
    <row r="445" spans="2:21">
      <c r="B445" s="292"/>
      <c r="C445" s="19">
        <v>1</v>
      </c>
      <c r="D445" s="5">
        <v>515096</v>
      </c>
      <c r="E445" s="11">
        <v>573521</v>
      </c>
      <c r="F445" s="10">
        <v>1.6106</v>
      </c>
      <c r="G445" s="144">
        <v>1.1364000000000001</v>
      </c>
      <c r="H445" s="144"/>
      <c r="I445" s="9">
        <v>444202</v>
      </c>
      <c r="J445" s="9">
        <v>240583</v>
      </c>
      <c r="K445" s="9"/>
      <c r="L445" s="27">
        <v>203191</v>
      </c>
      <c r="M445" s="27">
        <v>167375</v>
      </c>
      <c r="N445" s="27"/>
      <c r="O445" s="145">
        <v>89.7</v>
      </c>
      <c r="P445" s="145">
        <v>17</v>
      </c>
      <c r="Q445" s="146">
        <v>89.7</v>
      </c>
      <c r="R445" s="146">
        <v>101.8</v>
      </c>
      <c r="S445" s="91">
        <v>235.2</v>
      </c>
      <c r="T445" s="91">
        <v>199.9</v>
      </c>
      <c r="U445" s="147"/>
    </row>
    <row r="446" spans="2:21">
      <c r="B446" s="292"/>
      <c r="C446" s="19">
        <v>1.0416666666666701</v>
      </c>
      <c r="D446" s="5">
        <v>515103</v>
      </c>
      <c r="E446" s="11">
        <v>573527</v>
      </c>
      <c r="F446" s="10">
        <v>1.6106</v>
      </c>
      <c r="G446" s="10">
        <v>1.1365000000000001</v>
      </c>
      <c r="H446" s="144"/>
      <c r="I446" s="9">
        <v>444433</v>
      </c>
      <c r="J446" s="9">
        <v>240802</v>
      </c>
      <c r="K446" s="9"/>
      <c r="L446" s="27">
        <v>203195</v>
      </c>
      <c r="M446" s="27">
        <v>167378</v>
      </c>
      <c r="N446" s="27"/>
      <c r="O446" s="145">
        <v>87.4</v>
      </c>
      <c r="P446" s="145">
        <v>17</v>
      </c>
      <c r="Q446" s="146">
        <v>87.4</v>
      </c>
      <c r="R446" s="146">
        <v>96.1</v>
      </c>
      <c r="S446" s="91">
        <v>221.1</v>
      </c>
      <c r="T446" s="91">
        <v>197.5</v>
      </c>
      <c r="U446" s="147"/>
    </row>
    <row r="447" spans="2:21">
      <c r="B447" s="292"/>
      <c r="C447" s="19">
        <v>1.0833333333333299</v>
      </c>
      <c r="D447" s="5">
        <v>515111</v>
      </c>
      <c r="E447" s="11">
        <v>573534</v>
      </c>
      <c r="F447" s="10">
        <v>1.6106</v>
      </c>
      <c r="G447" s="10">
        <v>1.1365000000000001</v>
      </c>
      <c r="H447" s="144"/>
      <c r="I447" s="9">
        <v>444684</v>
      </c>
      <c r="J447" s="9">
        <v>241024</v>
      </c>
      <c r="K447" s="9"/>
      <c r="L447" s="27">
        <v>203199</v>
      </c>
      <c r="M447" s="27">
        <v>167381</v>
      </c>
      <c r="N447" s="27"/>
      <c r="O447" s="145">
        <v>88.5</v>
      </c>
      <c r="P447" s="145">
        <v>17</v>
      </c>
      <c r="Q447" s="146">
        <v>88.5</v>
      </c>
      <c r="R447" s="146">
        <v>101.8</v>
      </c>
      <c r="S447" s="91">
        <v>199.1</v>
      </c>
      <c r="T447" s="91">
        <v>183.7</v>
      </c>
      <c r="U447" s="147"/>
    </row>
    <row r="448" spans="2:21">
      <c r="B448" s="292"/>
      <c r="C448" s="19">
        <v>1.125</v>
      </c>
      <c r="D448" s="5">
        <v>515119</v>
      </c>
      <c r="E448" s="11">
        <v>573541</v>
      </c>
      <c r="F448" s="10">
        <v>1.6106</v>
      </c>
      <c r="G448" s="10">
        <v>1.1365000000000001</v>
      </c>
      <c r="H448" s="144"/>
      <c r="I448" s="9">
        <v>444939</v>
      </c>
      <c r="J448" s="9">
        <v>241246</v>
      </c>
      <c r="K448" s="9"/>
      <c r="L448" s="27">
        <v>203203</v>
      </c>
      <c r="M448" s="27">
        <v>167384</v>
      </c>
      <c r="N448" s="27"/>
      <c r="O448" s="145">
        <v>88.6</v>
      </c>
      <c r="P448" s="145">
        <v>17</v>
      </c>
      <c r="Q448" s="146">
        <v>88.6</v>
      </c>
      <c r="R448" s="146">
        <v>99.8</v>
      </c>
      <c r="S448" s="91">
        <v>221.5</v>
      </c>
      <c r="T448" s="91">
        <v>182.8</v>
      </c>
      <c r="U448" s="147"/>
    </row>
    <row r="449" spans="2:21">
      <c r="B449" s="292"/>
      <c r="C449" s="19">
        <v>1.1666666666666701</v>
      </c>
      <c r="D449" s="5">
        <v>515125</v>
      </c>
      <c r="E449" s="11">
        <v>573546</v>
      </c>
      <c r="F449" s="10">
        <v>1.6106</v>
      </c>
      <c r="G449" s="10">
        <v>1.1366000000000001</v>
      </c>
      <c r="H449" s="144"/>
      <c r="I449" s="9">
        <v>445142</v>
      </c>
      <c r="J449" s="9">
        <v>241440</v>
      </c>
      <c r="K449" s="9"/>
      <c r="L449" s="27">
        <v>203214</v>
      </c>
      <c r="M449" s="27">
        <v>167384</v>
      </c>
      <c r="N449" s="27"/>
      <c r="O449" s="145">
        <v>88.9</v>
      </c>
      <c r="P449" s="145">
        <v>17</v>
      </c>
      <c r="Q449" s="146">
        <v>88.9</v>
      </c>
      <c r="R449" s="146">
        <v>101.1</v>
      </c>
      <c r="S449" s="91">
        <v>234.6</v>
      </c>
      <c r="T449" s="91">
        <v>189.7</v>
      </c>
      <c r="U449" s="147"/>
    </row>
    <row r="450" spans="2:21">
      <c r="B450" s="292"/>
      <c r="C450" s="19">
        <v>1.2083333333333299</v>
      </c>
      <c r="D450" s="5">
        <v>515131</v>
      </c>
      <c r="E450" s="11">
        <v>573551</v>
      </c>
      <c r="F450" s="10">
        <v>1.6106</v>
      </c>
      <c r="G450" s="10">
        <v>1.1366000000000001</v>
      </c>
      <c r="H450" s="144"/>
      <c r="I450" s="9">
        <v>445330</v>
      </c>
      <c r="J450" s="9">
        <v>241650</v>
      </c>
      <c r="K450" s="9"/>
      <c r="L450" s="27">
        <v>203225</v>
      </c>
      <c r="M450" s="27">
        <v>167384</v>
      </c>
      <c r="N450" s="27"/>
      <c r="O450" s="145">
        <v>89.7</v>
      </c>
      <c r="P450" s="145">
        <v>17</v>
      </c>
      <c r="Q450" s="146">
        <v>89.7</v>
      </c>
      <c r="R450" s="146">
        <v>101.6</v>
      </c>
      <c r="S450" s="91">
        <v>221.7</v>
      </c>
      <c r="T450" s="247">
        <v>199</v>
      </c>
      <c r="U450" s="147"/>
    </row>
    <row r="451" spans="2:21">
      <c r="B451" s="292"/>
      <c r="C451" s="19">
        <v>1.25</v>
      </c>
      <c r="D451" s="5">
        <v>515137</v>
      </c>
      <c r="E451" s="11">
        <v>573556</v>
      </c>
      <c r="F451" s="10">
        <v>1.6106</v>
      </c>
      <c r="G451" s="10">
        <v>1.1366000000000001</v>
      </c>
      <c r="H451" s="144"/>
      <c r="I451" s="9">
        <v>445545</v>
      </c>
      <c r="J451" s="9">
        <v>241830</v>
      </c>
      <c r="K451" s="9"/>
      <c r="L451" s="27">
        <v>203236</v>
      </c>
      <c r="M451" s="27">
        <v>167384</v>
      </c>
      <c r="N451" s="27"/>
      <c r="O451" s="145">
        <v>90.8</v>
      </c>
      <c r="P451" s="145">
        <v>17</v>
      </c>
      <c r="Q451" s="146">
        <v>90.8</v>
      </c>
      <c r="R451" s="146">
        <v>104.8</v>
      </c>
      <c r="S451" s="91">
        <v>200.5</v>
      </c>
      <c r="T451" s="91">
        <v>188.5</v>
      </c>
      <c r="U451" s="147"/>
    </row>
    <row r="452" spans="2:21">
      <c r="B452" s="292"/>
      <c r="C452" s="19">
        <v>1.2916666666666701</v>
      </c>
      <c r="D452" s="5">
        <v>515144</v>
      </c>
      <c r="E452" s="11">
        <v>573562</v>
      </c>
      <c r="F452" s="10">
        <v>1.6106</v>
      </c>
      <c r="G452" s="10">
        <v>1.1366000000000001</v>
      </c>
      <c r="H452" s="144"/>
      <c r="I452" s="9">
        <v>445751</v>
      </c>
      <c r="J452" s="9">
        <v>242054</v>
      </c>
      <c r="K452" s="9"/>
      <c r="L452" s="27">
        <v>203236</v>
      </c>
      <c r="M452" s="27">
        <v>167388</v>
      </c>
      <c r="N452" s="27"/>
      <c r="O452" s="145">
        <v>88.1</v>
      </c>
      <c r="P452" s="145">
        <v>17</v>
      </c>
      <c r="Q452" s="146">
        <v>88.1</v>
      </c>
      <c r="R452" s="146">
        <v>97.3</v>
      </c>
      <c r="S452" s="91">
        <v>198.5</v>
      </c>
      <c r="T452" s="91">
        <v>171.1</v>
      </c>
      <c r="U452" s="147"/>
    </row>
    <row r="453" spans="2:21">
      <c r="B453" s="293"/>
      <c r="C453" s="6"/>
      <c r="D453" s="13" cm="1">
        <f t="array" ref="D453">IFERROR(LOOKUP(2,1/(D428:D452&gt;0),D428:D452-D428),0)</f>
        <v>216</v>
      </c>
      <c r="E453" s="13" cm="1">
        <f t="array" ref="E453">IFERROR(LOOKUP(2,1/(E428:E452&gt;0),E428:E452-E428),0)</f>
        <v>194</v>
      </c>
      <c r="F453" s="13" cm="1">
        <f t="array" ref="F453">IFERROR(LOOKUP(2,1/(F428:F452&gt;0),F428:F452-F428),0)</f>
        <v>6.9999999999992291E-4</v>
      </c>
      <c r="G453" s="13" cm="1">
        <f t="array" ref="G453">IFERROR(LOOKUP(2,1/(G428:G452&gt;0),G428:G452-G428),0)</f>
        <v>3.9999999999995595E-4</v>
      </c>
      <c r="H453" s="13">
        <f>F453+G453</f>
        <v>1.0999999999998789E-3</v>
      </c>
      <c r="I453" s="13" cm="1">
        <f t="array" ref="I453">IFERROR(LOOKUP(2,1/(I428:I452&gt;0),I428:I452-I428),0)</f>
        <v>7028</v>
      </c>
      <c r="J453" s="13" cm="1">
        <f t="array" ref="J453">IFERROR(LOOKUP(2,1/(J428:J452&gt;0),J428:J452-J428),0)</f>
        <v>6646</v>
      </c>
      <c r="K453" s="13">
        <f>I453+J453</f>
        <v>13674</v>
      </c>
      <c r="L453" s="13" cm="1">
        <f t="array" ref="L453">IFERROR(LOOKUP(2,1/(L428:L452&gt;0),L428:L452-L428),0)</f>
        <v>141</v>
      </c>
      <c r="M453" s="13" cm="1">
        <f t="array" ref="M453">IFERROR(LOOKUP(2,1/(M428:M452&gt;0),M428:M452-M428),0)</f>
        <v>216</v>
      </c>
      <c r="N453" s="13">
        <f>L453+M453</f>
        <v>357</v>
      </c>
      <c r="O453" s="148">
        <f>IFERROR(AVERAGE(O428:O452),0)</f>
        <v>89.28400000000002</v>
      </c>
      <c r="P453" s="148">
        <f t="shared" ref="P453:T453" si="16">IFERROR(AVERAGE(P428:P452),0)</f>
        <v>17</v>
      </c>
      <c r="Q453" s="148">
        <f t="shared" si="16"/>
        <v>120.56800000000001</v>
      </c>
      <c r="R453" s="148">
        <f t="shared" si="16"/>
        <v>100.26</v>
      </c>
      <c r="S453" s="148">
        <f t="shared" si="16"/>
        <v>218.32</v>
      </c>
      <c r="T453" s="148">
        <f t="shared" si="16"/>
        <v>190.46400000000003</v>
      </c>
      <c r="U453" s="148">
        <f>COUNT(U428:U452)</f>
        <v>0</v>
      </c>
    </row>
    <row r="454" spans="2:21">
      <c r="B454" s="291">
        <f>'DATA B1'!B454</f>
        <v>46040</v>
      </c>
      <c r="C454" s="19">
        <v>0.29166666666666669</v>
      </c>
      <c r="D454" s="5">
        <v>515144</v>
      </c>
      <c r="E454" s="11">
        <v>573562</v>
      </c>
      <c r="F454" s="10">
        <v>1.6106</v>
      </c>
      <c r="G454" s="10">
        <v>1.1366000000000001</v>
      </c>
      <c r="H454" s="144"/>
      <c r="I454" s="9">
        <v>445751</v>
      </c>
      <c r="J454" s="9">
        <v>242054</v>
      </c>
      <c r="K454" s="9"/>
      <c r="L454" s="27">
        <v>203236</v>
      </c>
      <c r="M454" s="27">
        <v>167388</v>
      </c>
      <c r="N454" s="27"/>
      <c r="O454" s="145">
        <v>88.1</v>
      </c>
      <c r="P454" s="145">
        <v>17</v>
      </c>
      <c r="Q454" s="146">
        <v>88.1</v>
      </c>
      <c r="R454" s="146">
        <v>97.3</v>
      </c>
      <c r="S454" s="91">
        <v>198.5</v>
      </c>
      <c r="T454" s="91">
        <v>171.1</v>
      </c>
      <c r="U454" s="147"/>
    </row>
    <row r="455" spans="2:21">
      <c r="B455" s="292"/>
      <c r="C455" s="19">
        <v>0.33333333333333298</v>
      </c>
      <c r="D455" s="5">
        <v>515151</v>
      </c>
      <c r="E455" s="11">
        <v>573569</v>
      </c>
      <c r="F455" s="10">
        <v>1.6106</v>
      </c>
      <c r="G455" s="144">
        <v>1.1366000000000001</v>
      </c>
      <c r="H455" s="144"/>
      <c r="I455" s="9">
        <v>446004</v>
      </c>
      <c r="J455" s="9">
        <v>242296</v>
      </c>
      <c r="K455" s="9"/>
      <c r="L455" s="27">
        <v>203243</v>
      </c>
      <c r="M455" s="27">
        <v>167396</v>
      </c>
      <c r="N455" s="27"/>
      <c r="O455" s="145">
        <v>91.5</v>
      </c>
      <c r="P455" s="145">
        <v>17</v>
      </c>
      <c r="Q455" s="146">
        <v>91.5</v>
      </c>
      <c r="R455" s="146">
        <v>99.5</v>
      </c>
      <c r="S455" s="91">
        <v>231.4</v>
      </c>
      <c r="T455" s="91">
        <v>175.6</v>
      </c>
      <c r="U455" s="147"/>
    </row>
    <row r="456" spans="2:21">
      <c r="B456" s="292"/>
      <c r="C456" s="19">
        <v>0.375</v>
      </c>
      <c r="D456" s="5">
        <v>515158</v>
      </c>
      <c r="E456" s="11">
        <v>573576</v>
      </c>
      <c r="F456" s="10">
        <v>1.6106</v>
      </c>
      <c r="G456" s="144">
        <v>1.1366000000000001</v>
      </c>
      <c r="H456" s="144"/>
      <c r="I456" s="9">
        <v>446228</v>
      </c>
      <c r="J456" s="9">
        <v>242510</v>
      </c>
      <c r="K456" s="9"/>
      <c r="L456" s="27">
        <v>203248</v>
      </c>
      <c r="M456" s="27">
        <v>167399</v>
      </c>
      <c r="N456" s="27"/>
      <c r="O456" s="145">
        <v>95.7</v>
      </c>
      <c r="P456" s="145">
        <v>17</v>
      </c>
      <c r="Q456" s="146">
        <v>95.7</v>
      </c>
      <c r="R456" s="146">
        <v>107.6</v>
      </c>
      <c r="S456" s="91">
        <v>221.7</v>
      </c>
      <c r="T456" s="247">
        <v>199</v>
      </c>
      <c r="U456" s="147"/>
    </row>
    <row r="457" spans="2:21">
      <c r="B457" s="292"/>
      <c r="C457" s="19">
        <v>0.41666666666666702</v>
      </c>
      <c r="D457" s="5">
        <v>515165</v>
      </c>
      <c r="E457" s="11">
        <v>573584</v>
      </c>
      <c r="F457" s="10">
        <v>1.6106</v>
      </c>
      <c r="G457" s="144">
        <v>1.1366000000000001</v>
      </c>
      <c r="H457" s="144"/>
      <c r="I457" s="9">
        <v>446498</v>
      </c>
      <c r="J457" s="9">
        <v>242663</v>
      </c>
      <c r="K457" s="9"/>
      <c r="L457" s="27">
        <v>203253</v>
      </c>
      <c r="M457" s="27">
        <v>167403</v>
      </c>
      <c r="N457" s="27"/>
      <c r="O457" s="145">
        <v>96.8</v>
      </c>
      <c r="P457" s="145">
        <v>17</v>
      </c>
      <c r="Q457" s="146">
        <v>96.8</v>
      </c>
      <c r="R457" s="146">
        <v>107.8</v>
      </c>
      <c r="S457" s="91">
        <v>214.8</v>
      </c>
      <c r="T457" s="91">
        <v>185.3</v>
      </c>
      <c r="U457" s="147"/>
    </row>
    <row r="458" spans="2:21">
      <c r="B458" s="292"/>
      <c r="C458" s="19">
        <v>0.45833333333333298</v>
      </c>
      <c r="D458" s="5">
        <v>515173</v>
      </c>
      <c r="E458" s="11">
        <v>573592</v>
      </c>
      <c r="F458" s="10">
        <v>1.6107</v>
      </c>
      <c r="G458" s="144">
        <v>1.1366000000000001</v>
      </c>
      <c r="H458" s="144"/>
      <c r="I458" s="9">
        <v>446676</v>
      </c>
      <c r="J458" s="9">
        <v>242939</v>
      </c>
      <c r="K458" s="9"/>
      <c r="L458" s="27">
        <v>203260</v>
      </c>
      <c r="M458" s="27">
        <v>167407</v>
      </c>
      <c r="N458" s="27"/>
      <c r="O458" s="145">
        <v>100.9</v>
      </c>
      <c r="P458" s="145">
        <v>17</v>
      </c>
      <c r="Q458" s="146">
        <v>100.9</v>
      </c>
      <c r="R458" s="146">
        <v>108.4</v>
      </c>
      <c r="S458" s="91">
        <v>226.3</v>
      </c>
      <c r="T458" s="91">
        <v>200.1</v>
      </c>
      <c r="U458" s="147"/>
    </row>
    <row r="459" spans="2:21">
      <c r="B459" s="292"/>
      <c r="C459" s="19">
        <v>0.5</v>
      </c>
      <c r="D459" s="5">
        <v>515181</v>
      </c>
      <c r="E459" s="11">
        <v>573600</v>
      </c>
      <c r="F459" s="10">
        <v>1.6107</v>
      </c>
      <c r="G459" s="144">
        <v>1.1366000000000001</v>
      </c>
      <c r="H459" s="144"/>
      <c r="I459" s="9">
        <v>446935</v>
      </c>
      <c r="J459" s="9">
        <v>243176</v>
      </c>
      <c r="K459" s="9"/>
      <c r="L459" s="27">
        <v>203260</v>
      </c>
      <c r="M459" s="27">
        <v>167407</v>
      </c>
      <c r="N459" s="27"/>
      <c r="O459" s="145">
        <v>101.2</v>
      </c>
      <c r="P459" s="145">
        <v>17</v>
      </c>
      <c r="Q459" s="146">
        <v>101.2</v>
      </c>
      <c r="R459" s="146">
        <v>111.9</v>
      </c>
      <c r="S459" s="91">
        <v>231.6</v>
      </c>
      <c r="T459" s="91">
        <v>198.6</v>
      </c>
      <c r="U459" s="147"/>
    </row>
    <row r="460" spans="2:21">
      <c r="B460" s="292"/>
      <c r="C460" s="19">
        <v>0.54166666666666696</v>
      </c>
      <c r="D460" s="5">
        <v>515189</v>
      </c>
      <c r="E460" s="11">
        <v>573608</v>
      </c>
      <c r="F460" s="10">
        <v>1.6108</v>
      </c>
      <c r="G460" s="144">
        <v>1.1366000000000001</v>
      </c>
      <c r="H460" s="144"/>
      <c r="I460" s="9">
        <v>447173</v>
      </c>
      <c r="J460" s="9">
        <v>243424</v>
      </c>
      <c r="K460" s="9"/>
      <c r="L460" s="27">
        <v>203260</v>
      </c>
      <c r="M460" s="27">
        <v>167407</v>
      </c>
      <c r="N460" s="27"/>
      <c r="O460" s="145">
        <v>101.1</v>
      </c>
      <c r="P460" s="145">
        <v>17</v>
      </c>
      <c r="Q460" s="146">
        <v>101.2</v>
      </c>
      <c r="R460" s="146">
        <v>112.1</v>
      </c>
      <c r="S460" s="91">
        <v>235.5</v>
      </c>
      <c r="T460" s="91">
        <v>192.3</v>
      </c>
      <c r="U460" s="147"/>
    </row>
    <row r="461" spans="2:21">
      <c r="B461" s="292"/>
      <c r="C461" s="19">
        <v>0.58333333333333304</v>
      </c>
      <c r="D461" s="5">
        <v>515197</v>
      </c>
      <c r="E461" s="11">
        <v>573616</v>
      </c>
      <c r="F461" s="10">
        <v>1.6108</v>
      </c>
      <c r="G461" s="144">
        <v>1.1366000000000001</v>
      </c>
      <c r="H461" s="144"/>
      <c r="I461" s="9">
        <v>447439</v>
      </c>
      <c r="J461" s="9">
        <v>243647</v>
      </c>
      <c r="K461" s="9"/>
      <c r="L461" s="27">
        <v>203260</v>
      </c>
      <c r="M461" s="27">
        <v>167407</v>
      </c>
      <c r="N461" s="27"/>
      <c r="O461" s="145">
        <v>101.2</v>
      </c>
      <c r="P461" s="145">
        <v>17</v>
      </c>
      <c r="Q461" s="146">
        <v>101.2</v>
      </c>
      <c r="R461" s="146">
        <v>111.9</v>
      </c>
      <c r="S461" s="91">
        <v>285.89999999999998</v>
      </c>
      <c r="T461" s="91">
        <v>191.2</v>
      </c>
      <c r="U461" s="149"/>
    </row>
    <row r="462" spans="2:21">
      <c r="B462" s="292"/>
      <c r="C462" s="19">
        <v>0.625</v>
      </c>
      <c r="D462" s="5">
        <v>515205</v>
      </c>
      <c r="E462" s="11">
        <v>573625</v>
      </c>
      <c r="F462" s="10">
        <v>1.6109</v>
      </c>
      <c r="G462" s="144">
        <v>1.1366000000000001</v>
      </c>
      <c r="H462" s="144"/>
      <c r="I462" s="9">
        <v>447692</v>
      </c>
      <c r="J462" s="9">
        <v>243893</v>
      </c>
      <c r="K462" s="9"/>
      <c r="L462" s="27">
        <v>203281</v>
      </c>
      <c r="M462" s="27">
        <v>167437</v>
      </c>
      <c r="N462" s="27"/>
      <c r="O462" s="145">
        <v>100.9</v>
      </c>
      <c r="P462" s="145">
        <v>17</v>
      </c>
      <c r="Q462" s="146">
        <v>100.9</v>
      </c>
      <c r="R462" s="146">
        <v>109.6</v>
      </c>
      <c r="S462" s="91">
        <v>230.4</v>
      </c>
      <c r="T462" s="91">
        <v>187.3</v>
      </c>
      <c r="U462" s="147"/>
    </row>
    <row r="463" spans="2:21">
      <c r="B463" s="292"/>
      <c r="C463" s="19">
        <v>0.66666666666666696</v>
      </c>
      <c r="D463" s="5">
        <v>515213</v>
      </c>
      <c r="E463" s="11">
        <v>573636</v>
      </c>
      <c r="F463" s="10">
        <v>1.6109</v>
      </c>
      <c r="G463" s="144">
        <v>1.1366000000000001</v>
      </c>
      <c r="H463" s="144"/>
      <c r="I463" s="9">
        <v>447930</v>
      </c>
      <c r="J463" s="9">
        <v>244145</v>
      </c>
      <c r="K463" s="9"/>
      <c r="L463" s="27">
        <v>203287</v>
      </c>
      <c r="M463" s="27">
        <v>167445</v>
      </c>
      <c r="N463" s="27"/>
      <c r="O463" s="145">
        <v>95.7</v>
      </c>
      <c r="P463" s="145">
        <v>17</v>
      </c>
      <c r="Q463" s="146">
        <v>95.7</v>
      </c>
      <c r="R463" s="146">
        <v>107.6</v>
      </c>
      <c r="S463" s="91">
        <v>221.7</v>
      </c>
      <c r="T463" s="247">
        <v>199</v>
      </c>
      <c r="U463" s="147"/>
    </row>
    <row r="464" spans="2:21">
      <c r="B464" s="292"/>
      <c r="C464" s="19">
        <v>0.70833333333333304</v>
      </c>
      <c r="D464" s="5">
        <v>515221</v>
      </c>
      <c r="E464" s="11">
        <v>573647</v>
      </c>
      <c r="F464" s="10">
        <v>1.6109</v>
      </c>
      <c r="G464" s="144">
        <v>1.1366000000000001</v>
      </c>
      <c r="H464" s="144"/>
      <c r="I464" s="9">
        <v>448253</v>
      </c>
      <c r="J464" s="9">
        <v>244310</v>
      </c>
      <c r="K464" s="9"/>
      <c r="L464" s="27">
        <v>203793</v>
      </c>
      <c r="M464" s="27">
        <v>167453</v>
      </c>
      <c r="N464" s="27"/>
      <c r="O464" s="145">
        <v>96.8</v>
      </c>
      <c r="P464" s="145">
        <v>17</v>
      </c>
      <c r="Q464" s="146">
        <v>96.8</v>
      </c>
      <c r="R464" s="146">
        <v>107.8</v>
      </c>
      <c r="S464" s="91">
        <v>214.8</v>
      </c>
      <c r="T464" s="91">
        <v>185.3</v>
      </c>
      <c r="U464" s="147"/>
    </row>
    <row r="465" spans="2:21">
      <c r="B465" s="292"/>
      <c r="C465" s="19">
        <v>0.75</v>
      </c>
      <c r="D465" s="5">
        <v>515229</v>
      </c>
      <c r="E465" s="11">
        <v>573658</v>
      </c>
      <c r="F465" s="10">
        <v>1.6109</v>
      </c>
      <c r="G465" s="144">
        <v>1.1366000000000001</v>
      </c>
      <c r="H465" s="144"/>
      <c r="I465" s="9">
        <v>448556</v>
      </c>
      <c r="J465" s="9">
        <v>244489</v>
      </c>
      <c r="K465" s="9"/>
      <c r="L465" s="27">
        <v>203799</v>
      </c>
      <c r="M465" s="27">
        <v>167461</v>
      </c>
      <c r="N465" s="27"/>
      <c r="O465" s="145">
        <v>95.1</v>
      </c>
      <c r="P465" s="145">
        <v>17</v>
      </c>
      <c r="Q465" s="146">
        <v>95.1</v>
      </c>
      <c r="R465" s="146">
        <v>108.1</v>
      </c>
      <c r="S465" s="91">
        <v>199.3</v>
      </c>
      <c r="T465" s="91">
        <v>185.1</v>
      </c>
      <c r="U465" s="147"/>
    </row>
    <row r="466" spans="2:21">
      <c r="B466" s="292"/>
      <c r="C466" s="19">
        <v>0.79166666666666696</v>
      </c>
      <c r="D466" s="5">
        <v>515238</v>
      </c>
      <c r="E466" s="11">
        <v>573669</v>
      </c>
      <c r="F466" s="144">
        <v>1.611</v>
      </c>
      <c r="G466" s="144">
        <v>1.1366000000000001</v>
      </c>
      <c r="H466" s="144"/>
      <c r="I466" s="9">
        <v>448747</v>
      </c>
      <c r="J466" s="9">
        <v>244902</v>
      </c>
      <c r="K466" s="9"/>
      <c r="L466" s="27">
        <v>203305</v>
      </c>
      <c r="M466" s="27">
        <v>167469</v>
      </c>
      <c r="N466" s="27"/>
      <c r="O466" s="145">
        <v>100.6</v>
      </c>
      <c r="P466" s="145">
        <v>17</v>
      </c>
      <c r="Q466" s="146">
        <v>100.6</v>
      </c>
      <c r="R466" s="146">
        <v>108</v>
      </c>
      <c r="S466" s="91">
        <v>216.9</v>
      </c>
      <c r="T466" s="91">
        <v>198.3</v>
      </c>
      <c r="U466" s="147"/>
    </row>
    <row r="467" spans="2:21">
      <c r="B467" s="292"/>
      <c r="C467" s="19">
        <v>0.83333333333333304</v>
      </c>
      <c r="D467" s="5">
        <v>515246</v>
      </c>
      <c r="E467" s="11">
        <v>573681</v>
      </c>
      <c r="F467" s="10">
        <v>1.6111</v>
      </c>
      <c r="G467" s="144">
        <v>1.1366000000000001</v>
      </c>
      <c r="H467" s="144"/>
      <c r="I467" s="9">
        <v>449024</v>
      </c>
      <c r="J467" s="9">
        <v>245161</v>
      </c>
      <c r="K467" s="9"/>
      <c r="L467" s="27">
        <v>203311</v>
      </c>
      <c r="M467" s="27">
        <v>167476</v>
      </c>
      <c r="N467" s="27"/>
      <c r="O467" s="145">
        <v>100.9</v>
      </c>
      <c r="P467" s="145">
        <v>17</v>
      </c>
      <c r="Q467" s="146">
        <v>100.9</v>
      </c>
      <c r="R467" s="146">
        <v>110.4</v>
      </c>
      <c r="S467" s="91">
        <v>200.9</v>
      </c>
      <c r="T467" s="91">
        <v>180.7</v>
      </c>
      <c r="U467" s="147"/>
    </row>
    <row r="468" spans="2:21">
      <c r="B468" s="292"/>
      <c r="C468" s="19">
        <v>0.875</v>
      </c>
      <c r="D468" s="5">
        <v>515252</v>
      </c>
      <c r="E468" s="11">
        <v>573690</v>
      </c>
      <c r="F468" s="10">
        <v>1.6111</v>
      </c>
      <c r="G468" s="10">
        <v>1.1367</v>
      </c>
      <c r="H468" s="144"/>
      <c r="I468" s="9">
        <v>449228</v>
      </c>
      <c r="J468" s="9">
        <v>245370</v>
      </c>
      <c r="K468" s="9"/>
      <c r="L468" s="27">
        <v>203316</v>
      </c>
      <c r="M468" s="27">
        <v>167480</v>
      </c>
      <c r="N468" s="27"/>
      <c r="O468" s="145">
        <v>100.9</v>
      </c>
      <c r="P468" s="145">
        <v>17</v>
      </c>
      <c r="Q468" s="146">
        <v>100.9</v>
      </c>
      <c r="R468" s="146">
        <v>108.4</v>
      </c>
      <c r="S468" s="91">
        <v>226.3</v>
      </c>
      <c r="T468" s="91">
        <v>200.1</v>
      </c>
      <c r="U468" s="147"/>
    </row>
    <row r="469" spans="2:21">
      <c r="B469" s="292"/>
      <c r="C469" s="19">
        <v>0.91666666666666696</v>
      </c>
      <c r="D469" s="5">
        <v>515259</v>
      </c>
      <c r="E469" s="11">
        <v>573699</v>
      </c>
      <c r="F469" s="10">
        <v>1.6111</v>
      </c>
      <c r="G469" s="10">
        <v>1.1367</v>
      </c>
      <c r="H469" s="144"/>
      <c r="I469" s="9">
        <v>449470</v>
      </c>
      <c r="J469" s="9">
        <v>245570</v>
      </c>
      <c r="K469" s="9"/>
      <c r="L469" s="27">
        <v>203321</v>
      </c>
      <c r="M469" s="27">
        <v>167484</v>
      </c>
      <c r="N469" s="27"/>
      <c r="O469" s="145">
        <v>101.2</v>
      </c>
      <c r="P469" s="145">
        <v>17</v>
      </c>
      <c r="Q469" s="146">
        <v>101.2</v>
      </c>
      <c r="R469" s="146">
        <v>111.9</v>
      </c>
      <c r="S469" s="91">
        <v>231.6</v>
      </c>
      <c r="T469" s="91">
        <v>198.6</v>
      </c>
      <c r="U469" s="147"/>
    </row>
    <row r="470" spans="2:21">
      <c r="B470" s="292"/>
      <c r="C470" s="19">
        <v>0.95833333333333304</v>
      </c>
      <c r="D470" s="5">
        <v>515266</v>
      </c>
      <c r="E470" s="11">
        <v>573709</v>
      </c>
      <c r="F470" s="10">
        <v>1.6111</v>
      </c>
      <c r="G470" s="10">
        <v>1.1367</v>
      </c>
      <c r="H470" s="144"/>
      <c r="I470" s="9">
        <v>449698</v>
      </c>
      <c r="J470" s="9">
        <v>245788</v>
      </c>
      <c r="K470" s="9"/>
      <c r="L470" s="27">
        <v>203328</v>
      </c>
      <c r="M470" s="27">
        <v>167490</v>
      </c>
      <c r="N470" s="27"/>
      <c r="O470" s="145">
        <v>101.1</v>
      </c>
      <c r="P470" s="145">
        <v>17</v>
      </c>
      <c r="Q470" s="146">
        <v>101.1</v>
      </c>
      <c r="R470" s="146">
        <v>110.8</v>
      </c>
      <c r="S470" s="91">
        <v>197.5</v>
      </c>
      <c r="T470" s="91">
        <v>181.5</v>
      </c>
      <c r="U470" s="147"/>
    </row>
    <row r="471" spans="2:21">
      <c r="B471" s="292"/>
      <c r="C471" s="19">
        <v>1</v>
      </c>
      <c r="D471" s="5">
        <v>515273</v>
      </c>
      <c r="E471" s="11">
        <v>573717</v>
      </c>
      <c r="F471" s="10">
        <v>1.6111</v>
      </c>
      <c r="G471" s="10">
        <v>1.1368</v>
      </c>
      <c r="H471" s="144"/>
      <c r="I471" s="9">
        <v>449920</v>
      </c>
      <c r="J471" s="9">
        <v>246003</v>
      </c>
      <c r="K471" s="9"/>
      <c r="L471" s="27">
        <v>203332</v>
      </c>
      <c r="M471" s="27">
        <v>167490</v>
      </c>
      <c r="N471" s="27"/>
      <c r="O471" s="145">
        <v>101.3</v>
      </c>
      <c r="P471" s="145">
        <v>17</v>
      </c>
      <c r="Q471" s="146">
        <v>101.3</v>
      </c>
      <c r="R471" s="146">
        <v>113.8</v>
      </c>
      <c r="S471" s="91">
        <v>232</v>
      </c>
      <c r="T471" s="91">
        <v>200</v>
      </c>
      <c r="U471" s="147"/>
    </row>
    <row r="472" spans="2:21">
      <c r="B472" s="292"/>
      <c r="C472" s="19">
        <v>1.0416666666666701</v>
      </c>
      <c r="D472" s="5">
        <v>515280</v>
      </c>
      <c r="E472" s="11">
        <v>573725</v>
      </c>
      <c r="F472" s="10">
        <v>1.6111</v>
      </c>
      <c r="G472" s="10">
        <v>1.1368</v>
      </c>
      <c r="H472" s="144"/>
      <c r="I472" s="9">
        <v>450145</v>
      </c>
      <c r="J472" s="9">
        <v>246218</v>
      </c>
      <c r="K472" s="9"/>
      <c r="L472" s="27">
        <v>203336</v>
      </c>
      <c r="M472" s="27">
        <v>167490</v>
      </c>
      <c r="N472" s="27"/>
      <c r="O472" s="145">
        <v>101.2</v>
      </c>
      <c r="P472" s="145">
        <v>17</v>
      </c>
      <c r="Q472" s="146">
        <v>101.2</v>
      </c>
      <c r="R472" s="146">
        <v>111.9</v>
      </c>
      <c r="S472" s="91">
        <v>231.6</v>
      </c>
      <c r="T472" s="91">
        <v>198.6</v>
      </c>
      <c r="U472" s="147"/>
    </row>
    <row r="473" spans="2:21">
      <c r="B473" s="292"/>
      <c r="C473" s="19">
        <v>1.0833333333333299</v>
      </c>
      <c r="D473" s="5">
        <v>515288</v>
      </c>
      <c r="E473" s="11">
        <v>573733</v>
      </c>
      <c r="F473" s="10">
        <v>1.6111</v>
      </c>
      <c r="G473" s="10">
        <v>1.1368</v>
      </c>
      <c r="H473" s="144"/>
      <c r="I473" s="9">
        <v>450390</v>
      </c>
      <c r="J473" s="9">
        <v>246452</v>
      </c>
      <c r="K473" s="9"/>
      <c r="L473" s="27">
        <v>203340</v>
      </c>
      <c r="M473" s="27">
        <v>167490</v>
      </c>
      <c r="N473" s="27"/>
      <c r="O473" s="145">
        <v>101.2</v>
      </c>
      <c r="P473" s="145">
        <v>17</v>
      </c>
      <c r="Q473" s="146">
        <v>101.2</v>
      </c>
      <c r="R473" s="146">
        <v>111.1</v>
      </c>
      <c r="S473" s="91">
        <v>199.1</v>
      </c>
      <c r="T473" s="91">
        <v>194.1</v>
      </c>
      <c r="U473" s="147"/>
    </row>
    <row r="474" spans="2:21">
      <c r="B474" s="292"/>
      <c r="C474" s="19">
        <v>1.125</v>
      </c>
      <c r="D474" s="5">
        <v>515296</v>
      </c>
      <c r="E474" s="11">
        <v>573742</v>
      </c>
      <c r="F474" s="10">
        <v>1.6111</v>
      </c>
      <c r="G474" s="10">
        <v>1.1369</v>
      </c>
      <c r="H474" s="144"/>
      <c r="I474" s="9">
        <v>450630</v>
      </c>
      <c r="J474" s="9">
        <v>246692</v>
      </c>
      <c r="K474" s="9"/>
      <c r="L474" s="27">
        <v>203344</v>
      </c>
      <c r="M474" s="27">
        <v>167492</v>
      </c>
      <c r="N474" s="27"/>
      <c r="O474" s="145">
        <v>101.2</v>
      </c>
      <c r="P474" s="145">
        <v>17</v>
      </c>
      <c r="Q474" s="146">
        <v>101.2</v>
      </c>
      <c r="R474" s="146">
        <v>111.9</v>
      </c>
      <c r="S474" s="91">
        <v>231.6</v>
      </c>
      <c r="T474" s="91">
        <v>198.6</v>
      </c>
      <c r="U474" s="147"/>
    </row>
    <row r="475" spans="2:21">
      <c r="B475" s="292"/>
      <c r="C475" s="19">
        <v>1.1666666666666701</v>
      </c>
      <c r="D475" s="5">
        <v>515303</v>
      </c>
      <c r="E475" s="11">
        <v>573752</v>
      </c>
      <c r="F475" s="10">
        <v>1.6111</v>
      </c>
      <c r="G475" s="10">
        <v>1.1369</v>
      </c>
      <c r="H475" s="144"/>
      <c r="I475" s="9">
        <v>450842</v>
      </c>
      <c r="J475" s="9">
        <v>246892</v>
      </c>
      <c r="K475" s="9"/>
      <c r="L475" s="27">
        <v>203352</v>
      </c>
      <c r="M475" s="27">
        <v>167500</v>
      </c>
      <c r="N475" s="27"/>
      <c r="O475" s="145">
        <v>100.9</v>
      </c>
      <c r="P475" s="145">
        <v>17</v>
      </c>
      <c r="Q475" s="146">
        <v>100.9</v>
      </c>
      <c r="R475" s="146">
        <v>108.4</v>
      </c>
      <c r="S475" s="91">
        <v>226.3</v>
      </c>
      <c r="T475" s="91">
        <v>200.1</v>
      </c>
      <c r="U475" s="147"/>
    </row>
    <row r="476" spans="2:21">
      <c r="B476" s="292"/>
      <c r="C476" s="19">
        <v>1.2083333333333299</v>
      </c>
      <c r="D476" s="5">
        <v>515310</v>
      </c>
      <c r="E476" s="11">
        <v>573762</v>
      </c>
      <c r="F476" s="10">
        <v>1.6111</v>
      </c>
      <c r="G476" s="10">
        <v>1.1369</v>
      </c>
      <c r="H476" s="144"/>
      <c r="I476" s="9">
        <v>451053</v>
      </c>
      <c r="J476" s="9">
        <v>247092</v>
      </c>
      <c r="K476" s="9"/>
      <c r="L476" s="27">
        <v>203360</v>
      </c>
      <c r="M476" s="27">
        <v>167508</v>
      </c>
      <c r="N476" s="27"/>
      <c r="O476" s="145">
        <v>101.2</v>
      </c>
      <c r="P476" s="145">
        <v>17</v>
      </c>
      <c r="Q476" s="146">
        <v>101.2</v>
      </c>
      <c r="R476" s="146">
        <v>111.9</v>
      </c>
      <c r="S476" s="91">
        <v>231.6</v>
      </c>
      <c r="T476" s="91">
        <v>198.6</v>
      </c>
      <c r="U476" s="147"/>
    </row>
    <row r="477" spans="2:21">
      <c r="B477" s="292"/>
      <c r="C477" s="19">
        <v>1.25</v>
      </c>
      <c r="D477" s="5">
        <v>515317</v>
      </c>
      <c r="E477" s="11">
        <v>573772</v>
      </c>
      <c r="F477" s="10">
        <v>1.6111</v>
      </c>
      <c r="G477" s="144">
        <v>1.137</v>
      </c>
      <c r="H477" s="144"/>
      <c r="I477" s="9">
        <v>451266</v>
      </c>
      <c r="J477" s="9">
        <v>247292</v>
      </c>
      <c r="K477" s="9"/>
      <c r="L477" s="27">
        <v>203368</v>
      </c>
      <c r="M477" s="27">
        <v>167516</v>
      </c>
      <c r="N477" s="27"/>
      <c r="O477" s="145">
        <v>101.1</v>
      </c>
      <c r="P477" s="145">
        <v>17</v>
      </c>
      <c r="Q477" s="146">
        <v>101.2</v>
      </c>
      <c r="R477" s="146">
        <v>112.1</v>
      </c>
      <c r="S477" s="91">
        <v>235.5</v>
      </c>
      <c r="T477" s="91">
        <v>192.3</v>
      </c>
      <c r="U477" s="147"/>
    </row>
    <row r="478" spans="2:21">
      <c r="B478" s="292"/>
      <c r="C478" s="19">
        <v>1.2916666666666701</v>
      </c>
      <c r="D478" s="5">
        <v>515324</v>
      </c>
      <c r="E478" s="11">
        <v>573783</v>
      </c>
      <c r="F478" s="10">
        <v>1.6111</v>
      </c>
      <c r="G478" s="144">
        <v>1.137</v>
      </c>
      <c r="H478" s="144"/>
      <c r="I478" s="9">
        <v>451480</v>
      </c>
      <c r="J478" s="9">
        <v>247494</v>
      </c>
      <c r="K478" s="9"/>
      <c r="L478" s="27">
        <v>203379</v>
      </c>
      <c r="M478" s="27">
        <v>167525</v>
      </c>
      <c r="N478" s="27"/>
      <c r="O478" s="145">
        <v>100.7</v>
      </c>
      <c r="P478" s="145">
        <v>17</v>
      </c>
      <c r="Q478" s="146">
        <v>100.7</v>
      </c>
      <c r="R478" s="146">
        <v>108.7</v>
      </c>
      <c r="S478" s="91">
        <v>199.7</v>
      </c>
      <c r="T478" s="91">
        <v>170.4</v>
      </c>
      <c r="U478" s="147"/>
    </row>
    <row r="479" spans="2:21">
      <c r="B479" s="293"/>
      <c r="C479" s="6"/>
      <c r="D479" s="13" cm="1">
        <f t="array" ref="D479">IFERROR(LOOKUP(2,1/(D454:D478&gt;0),D454:D478-D454),0)</f>
        <v>180</v>
      </c>
      <c r="E479" s="13" cm="1">
        <f t="array" ref="E479">IFERROR(LOOKUP(2,1/(E454:E478&gt;0),E454:E478-E454),0)</f>
        <v>221</v>
      </c>
      <c r="F479" s="13" cm="1">
        <f t="array" ref="F479">IFERROR(LOOKUP(2,1/(F454:F478&gt;0),F454:F478-F454),0)</f>
        <v>4.9999999999994493E-4</v>
      </c>
      <c r="G479" s="13" cm="1">
        <f t="array" ref="G479">IFERROR(LOOKUP(2,1/(G454:G478&gt;0),G454:G478-G454),0)</f>
        <v>3.9999999999995595E-4</v>
      </c>
      <c r="H479" s="13">
        <f>F479+G479</f>
        <v>8.9999999999990088E-4</v>
      </c>
      <c r="I479" s="13" cm="1">
        <f t="array" ref="I479">IFERROR(LOOKUP(2,1/(I454:I478&gt;0),I454:I478-I454),0)</f>
        <v>5729</v>
      </c>
      <c r="J479" s="13" cm="1">
        <f t="array" ref="J479">IFERROR(LOOKUP(2,1/(J454:J478&gt;0),J454:J478-J454),0)</f>
        <v>5440</v>
      </c>
      <c r="K479" s="13">
        <f>I479+J479</f>
        <v>11169</v>
      </c>
      <c r="L479" s="13" cm="1">
        <f t="array" ref="L479">IFERROR(LOOKUP(2,1/(L454:L478&gt;0),L454:L478-L454),0)</f>
        <v>143</v>
      </c>
      <c r="M479" s="13" cm="1">
        <f t="array" ref="M479">IFERROR(LOOKUP(2,1/(M454:M478&gt;0),M454:M478-M454),0)</f>
        <v>137</v>
      </c>
      <c r="N479" s="13">
        <f>L479+M479</f>
        <v>280</v>
      </c>
      <c r="O479" s="148">
        <f t="shared" ref="O479:T479" si="17">IFERROR(AVERAGE(O454:O478),0)</f>
        <v>99.139999999999986</v>
      </c>
      <c r="P479" s="148">
        <f t="shared" si="17"/>
        <v>17</v>
      </c>
      <c r="Q479" s="148">
        <f t="shared" si="17"/>
        <v>99.147999999999996</v>
      </c>
      <c r="R479" s="148">
        <f t="shared" si="17"/>
        <v>109.15600000000001</v>
      </c>
      <c r="S479" s="148">
        <f t="shared" si="17"/>
        <v>222.90000000000006</v>
      </c>
      <c r="T479" s="148">
        <f t="shared" si="17"/>
        <v>191.27200000000002</v>
      </c>
      <c r="U479" s="148">
        <f>COUNT(U454:U478)</f>
        <v>0</v>
      </c>
    </row>
    <row r="480" spans="2:21">
      <c r="B480" s="291">
        <f>'DATA B1'!B480</f>
        <v>46041</v>
      </c>
      <c r="C480" s="19">
        <v>0.29166666666666669</v>
      </c>
      <c r="D480" s="5">
        <v>515324</v>
      </c>
      <c r="E480" s="11">
        <v>573783</v>
      </c>
      <c r="F480" s="10">
        <v>1.1612</v>
      </c>
      <c r="G480" s="144">
        <v>1.137</v>
      </c>
      <c r="H480" s="144"/>
      <c r="I480" s="9">
        <v>451480</v>
      </c>
      <c r="J480" s="9">
        <v>247494</v>
      </c>
      <c r="K480" s="9"/>
      <c r="L480" s="27">
        <v>203379</v>
      </c>
      <c r="M480" s="27">
        <v>167525</v>
      </c>
      <c r="N480" s="27"/>
      <c r="O480" s="145">
        <v>100.7</v>
      </c>
      <c r="P480" s="145">
        <v>17</v>
      </c>
      <c r="Q480" s="146">
        <v>100.7</v>
      </c>
      <c r="R480" s="146">
        <v>108.7</v>
      </c>
      <c r="S480" s="91">
        <v>199.7</v>
      </c>
      <c r="T480" s="91">
        <v>170.4</v>
      </c>
      <c r="U480" s="147"/>
    </row>
    <row r="481" spans="2:21">
      <c r="B481" s="292"/>
      <c r="C481" s="19">
        <v>0.33333333333333298</v>
      </c>
      <c r="D481" s="5">
        <v>515331</v>
      </c>
      <c r="E481" s="11">
        <v>573790</v>
      </c>
      <c r="F481" s="10">
        <v>1.1612</v>
      </c>
      <c r="G481" s="144">
        <v>1.137</v>
      </c>
      <c r="H481" s="144"/>
      <c r="I481" s="9">
        <v>451724</v>
      </c>
      <c r="J481" s="9">
        <v>247720</v>
      </c>
      <c r="K481" s="9"/>
      <c r="L481" s="27">
        <v>203386</v>
      </c>
      <c r="M481" s="27">
        <v>167530</v>
      </c>
      <c r="N481" s="27"/>
      <c r="O481" s="145">
        <v>100.6</v>
      </c>
      <c r="P481" s="145">
        <v>17</v>
      </c>
      <c r="Q481" s="146">
        <v>100.6</v>
      </c>
      <c r="R481" s="146">
        <v>109.8</v>
      </c>
      <c r="S481" s="91">
        <v>212.8</v>
      </c>
      <c r="T481" s="91">
        <v>176.3</v>
      </c>
      <c r="U481" s="147"/>
    </row>
    <row r="482" spans="2:21">
      <c r="B482" s="292"/>
      <c r="C482" s="19">
        <v>0.375</v>
      </c>
      <c r="D482" s="5">
        <v>515338</v>
      </c>
      <c r="E482" s="11">
        <v>573798</v>
      </c>
      <c r="F482" s="10">
        <v>1.1612</v>
      </c>
      <c r="G482" s="144">
        <v>1.137</v>
      </c>
      <c r="H482" s="144"/>
      <c r="I482" s="9">
        <v>451952</v>
      </c>
      <c r="J482" s="9">
        <v>247926</v>
      </c>
      <c r="K482" s="9"/>
      <c r="L482" s="27">
        <v>203386</v>
      </c>
      <c r="M482" s="27">
        <v>167530</v>
      </c>
      <c r="N482" s="27"/>
      <c r="O482" s="145">
        <v>100.9</v>
      </c>
      <c r="P482" s="145">
        <v>17</v>
      </c>
      <c r="Q482" s="146">
        <v>100.9</v>
      </c>
      <c r="R482" s="146">
        <v>110.4</v>
      </c>
      <c r="S482" s="91">
        <v>200.9</v>
      </c>
      <c r="T482" s="91">
        <v>180.7</v>
      </c>
      <c r="U482" s="147"/>
    </row>
    <row r="483" spans="2:21">
      <c r="B483" s="292"/>
      <c r="C483" s="19">
        <v>0.41666666666666702</v>
      </c>
      <c r="D483" s="5">
        <v>515346</v>
      </c>
      <c r="E483" s="11">
        <v>573807</v>
      </c>
      <c r="F483" s="10">
        <v>1.1613</v>
      </c>
      <c r="G483" s="144">
        <v>1.137</v>
      </c>
      <c r="H483" s="144"/>
      <c r="I483" s="9">
        <v>452208</v>
      </c>
      <c r="J483" s="9">
        <v>248167</v>
      </c>
      <c r="K483" s="9"/>
      <c r="L483" s="27">
        <v>203386</v>
      </c>
      <c r="M483" s="27">
        <v>167530</v>
      </c>
      <c r="N483" s="27"/>
      <c r="O483" s="145">
        <v>100.9</v>
      </c>
      <c r="P483" s="145">
        <v>17</v>
      </c>
      <c r="Q483" s="146">
        <v>100.9</v>
      </c>
      <c r="R483" s="146">
        <v>108.4</v>
      </c>
      <c r="S483" s="91">
        <v>226.3</v>
      </c>
      <c r="T483" s="91">
        <v>200.1</v>
      </c>
      <c r="U483" s="147"/>
    </row>
    <row r="484" spans="2:21">
      <c r="B484" s="292"/>
      <c r="C484" s="19">
        <v>0.45833333333333298</v>
      </c>
      <c r="D484" s="5">
        <v>515354</v>
      </c>
      <c r="E484" s="11">
        <v>573816</v>
      </c>
      <c r="F484" s="10">
        <v>1.1613</v>
      </c>
      <c r="G484" s="144">
        <v>1.137</v>
      </c>
      <c r="H484" s="144"/>
      <c r="I484" s="9">
        <v>452451</v>
      </c>
      <c r="J484" s="9">
        <v>248408</v>
      </c>
      <c r="K484" s="9"/>
      <c r="L484" s="27">
        <v>203408</v>
      </c>
      <c r="M484" s="27">
        <v>167542</v>
      </c>
      <c r="N484" s="27"/>
      <c r="O484" s="145">
        <v>100.1</v>
      </c>
      <c r="P484" s="145">
        <v>17</v>
      </c>
      <c r="Q484" s="146">
        <v>100.1</v>
      </c>
      <c r="R484" s="146">
        <v>109.8</v>
      </c>
      <c r="S484" s="91">
        <v>230</v>
      </c>
      <c r="T484" s="91">
        <v>180</v>
      </c>
      <c r="U484" s="147"/>
    </row>
    <row r="485" spans="2:21">
      <c r="B485" s="292"/>
      <c r="C485" s="19">
        <v>0.5</v>
      </c>
      <c r="D485" s="5">
        <v>515355</v>
      </c>
      <c r="E485" s="11">
        <v>573817</v>
      </c>
      <c r="F485" s="10">
        <v>1.1613</v>
      </c>
      <c r="G485" s="144">
        <v>1.137</v>
      </c>
      <c r="H485" s="144"/>
      <c r="I485" s="9">
        <v>452488</v>
      </c>
      <c r="J485" s="9">
        <v>248443</v>
      </c>
      <c r="K485" s="9"/>
      <c r="L485" s="27">
        <v>203412</v>
      </c>
      <c r="M485" s="27">
        <v>167543</v>
      </c>
      <c r="N485" s="27"/>
      <c r="O485" s="145">
        <v>101.2</v>
      </c>
      <c r="P485" s="145">
        <v>17</v>
      </c>
      <c r="Q485" s="146">
        <v>101.2</v>
      </c>
      <c r="R485" s="146">
        <v>111.9</v>
      </c>
      <c r="S485" s="91">
        <v>225.5</v>
      </c>
      <c r="T485" s="91">
        <v>198.6</v>
      </c>
      <c r="U485" s="147"/>
    </row>
    <row r="486" spans="2:21">
      <c r="B486" s="292"/>
      <c r="C486" s="19">
        <v>0.54166666666666696</v>
      </c>
      <c r="D486" s="5">
        <v>515356</v>
      </c>
      <c r="E486" s="11">
        <v>573819</v>
      </c>
      <c r="F486" s="10">
        <v>1.1613</v>
      </c>
      <c r="G486" s="144">
        <v>1.137</v>
      </c>
      <c r="H486" s="144"/>
      <c r="I486" s="9">
        <v>452528</v>
      </c>
      <c r="J486" s="9">
        <v>248470</v>
      </c>
      <c r="K486" s="9"/>
      <c r="L486" s="27">
        <v>203416</v>
      </c>
      <c r="M486" s="27">
        <v>167544</v>
      </c>
      <c r="N486" s="27"/>
      <c r="O486" s="145">
        <v>101.1</v>
      </c>
      <c r="P486" s="145">
        <v>17</v>
      </c>
      <c r="Q486" s="146">
        <v>101.2</v>
      </c>
      <c r="R486" s="146">
        <v>112.1</v>
      </c>
      <c r="S486" s="91">
        <v>195.5</v>
      </c>
      <c r="T486" s="91">
        <v>192.3</v>
      </c>
      <c r="U486" s="147"/>
    </row>
    <row r="487" spans="2:21">
      <c r="B487" s="292"/>
      <c r="C487" s="19">
        <v>0.58333333333333304</v>
      </c>
      <c r="D487" s="5">
        <v>515357</v>
      </c>
      <c r="E487" s="11">
        <v>573820</v>
      </c>
      <c r="F487" s="10">
        <v>1.1613</v>
      </c>
      <c r="G487" s="144">
        <v>1.137</v>
      </c>
      <c r="H487" s="144"/>
      <c r="I487" s="9">
        <v>452580</v>
      </c>
      <c r="J487" s="9">
        <v>248490</v>
      </c>
      <c r="K487" s="9"/>
      <c r="L487" s="27">
        <v>203421</v>
      </c>
      <c r="M487" s="27">
        <v>167545</v>
      </c>
      <c r="N487" s="27"/>
      <c r="O487" s="145">
        <v>101.2</v>
      </c>
      <c r="P487" s="145">
        <v>17</v>
      </c>
      <c r="Q487" s="146">
        <v>101.2</v>
      </c>
      <c r="R487" s="146">
        <v>111.9</v>
      </c>
      <c r="S487" s="91">
        <v>155.6</v>
      </c>
      <c r="T487" s="91">
        <v>191.2</v>
      </c>
      <c r="U487" s="149"/>
    </row>
    <row r="488" spans="2:21">
      <c r="B488" s="292"/>
      <c r="C488" s="19">
        <v>0.625</v>
      </c>
      <c r="D488" s="5">
        <v>515358</v>
      </c>
      <c r="E488" s="11">
        <v>573822</v>
      </c>
      <c r="F488" s="10">
        <v>1.1613</v>
      </c>
      <c r="G488" s="144">
        <v>1.137</v>
      </c>
      <c r="H488" s="144"/>
      <c r="I488" s="9">
        <v>452601</v>
      </c>
      <c r="J488" s="9">
        <v>248551</v>
      </c>
      <c r="K488" s="9"/>
      <c r="L488" s="27">
        <v>203427</v>
      </c>
      <c r="M488" s="27">
        <v>167546</v>
      </c>
      <c r="N488" s="27"/>
      <c r="O488" s="145">
        <v>112.8</v>
      </c>
      <c r="P488" s="145">
        <v>17</v>
      </c>
      <c r="Q488" s="146">
        <v>112.8</v>
      </c>
      <c r="R488" s="146">
        <v>110.2</v>
      </c>
      <c r="S488" s="91">
        <v>133.6</v>
      </c>
      <c r="T488" s="91">
        <v>198.7</v>
      </c>
      <c r="U488" s="147"/>
    </row>
    <row r="489" spans="2:21">
      <c r="B489" s="292"/>
      <c r="C489" s="19">
        <v>0.66666666666666696</v>
      </c>
      <c r="D489" s="5">
        <v>515358</v>
      </c>
      <c r="E489" s="11">
        <v>573822</v>
      </c>
      <c r="F489" s="10">
        <v>1.1613</v>
      </c>
      <c r="G489" s="144">
        <v>1.137</v>
      </c>
      <c r="H489" s="144"/>
      <c r="I489" s="9">
        <v>452601</v>
      </c>
      <c r="J489" s="9">
        <v>248551</v>
      </c>
      <c r="K489" s="9"/>
      <c r="L489" s="27">
        <v>203427</v>
      </c>
      <c r="M489" s="27">
        <v>167546</v>
      </c>
      <c r="N489" s="27"/>
      <c r="O489" s="145"/>
      <c r="P489" s="145"/>
      <c r="Q489" s="146"/>
      <c r="R489" s="146"/>
      <c r="S489" s="91"/>
      <c r="T489" s="91"/>
      <c r="U489" s="147"/>
    </row>
    <row r="490" spans="2:21">
      <c r="B490" s="292"/>
      <c r="C490" s="19">
        <v>0.70833333333333304</v>
      </c>
      <c r="D490" s="5">
        <v>515358</v>
      </c>
      <c r="E490" s="11">
        <v>573822</v>
      </c>
      <c r="F490" s="10">
        <v>1.1613</v>
      </c>
      <c r="G490" s="144">
        <v>1.137</v>
      </c>
      <c r="H490" s="144"/>
      <c r="I490" s="9">
        <v>452601</v>
      </c>
      <c r="J490" s="9">
        <v>248551</v>
      </c>
      <c r="K490" s="9"/>
      <c r="L490" s="27">
        <v>203427</v>
      </c>
      <c r="M490" s="27">
        <v>167546</v>
      </c>
      <c r="N490" s="27"/>
      <c r="O490" s="145"/>
      <c r="P490" s="145"/>
      <c r="Q490" s="146"/>
      <c r="R490" s="146"/>
      <c r="S490" s="91"/>
      <c r="T490" s="91"/>
      <c r="U490" s="147"/>
    </row>
    <row r="491" spans="2:21">
      <c r="B491" s="292"/>
      <c r="C491" s="19">
        <v>0.75</v>
      </c>
      <c r="D491" s="5">
        <v>515358</v>
      </c>
      <c r="E491" s="11">
        <v>573822</v>
      </c>
      <c r="F491" s="10">
        <v>1.1613</v>
      </c>
      <c r="G491" s="144">
        <v>1.137</v>
      </c>
      <c r="H491" s="144"/>
      <c r="I491" s="9">
        <v>452601</v>
      </c>
      <c r="J491" s="9">
        <v>248551</v>
      </c>
      <c r="K491" s="9"/>
      <c r="L491" s="27">
        <v>203427</v>
      </c>
      <c r="M491" s="27">
        <v>167546</v>
      </c>
      <c r="N491" s="27"/>
      <c r="O491" s="145"/>
      <c r="P491" s="145"/>
      <c r="Q491" s="146"/>
      <c r="R491" s="146"/>
      <c r="S491" s="91"/>
      <c r="T491" s="91"/>
      <c r="U491" s="147"/>
    </row>
    <row r="492" spans="2:21">
      <c r="B492" s="292"/>
      <c r="C492" s="19">
        <v>0.79166666666666696</v>
      </c>
      <c r="D492" s="5">
        <v>515358</v>
      </c>
      <c r="E492" s="11">
        <v>573822</v>
      </c>
      <c r="F492" s="10">
        <v>1.1613</v>
      </c>
      <c r="G492" s="144">
        <v>1.137</v>
      </c>
      <c r="H492" s="144"/>
      <c r="I492" s="9">
        <v>452601</v>
      </c>
      <c r="J492" s="9">
        <v>248551</v>
      </c>
      <c r="K492" s="9"/>
      <c r="L492" s="27">
        <v>203427</v>
      </c>
      <c r="M492" s="27">
        <v>167546</v>
      </c>
      <c r="N492" s="27"/>
      <c r="O492" s="145"/>
      <c r="P492" s="145"/>
      <c r="Q492" s="146"/>
      <c r="R492" s="146"/>
      <c r="S492" s="91"/>
      <c r="T492" s="91"/>
      <c r="U492" s="147"/>
    </row>
    <row r="493" spans="2:21">
      <c r="B493" s="292"/>
      <c r="C493" s="19">
        <v>0.83333333333333304</v>
      </c>
      <c r="D493" s="5">
        <v>515358</v>
      </c>
      <c r="E493" s="11">
        <v>573822</v>
      </c>
      <c r="F493" s="10">
        <v>1.1613</v>
      </c>
      <c r="G493" s="144">
        <v>1.137</v>
      </c>
      <c r="H493" s="144"/>
      <c r="I493" s="9">
        <v>452601</v>
      </c>
      <c r="J493" s="9">
        <v>248551</v>
      </c>
      <c r="K493" s="9"/>
      <c r="L493" s="27">
        <v>203427</v>
      </c>
      <c r="M493" s="27">
        <v>167546</v>
      </c>
      <c r="N493" s="27"/>
      <c r="O493" s="145"/>
      <c r="P493" s="145"/>
      <c r="Q493" s="146"/>
      <c r="R493" s="146"/>
      <c r="S493" s="91"/>
      <c r="T493" s="91"/>
      <c r="U493" s="147"/>
    </row>
    <row r="494" spans="2:21">
      <c r="B494" s="292"/>
      <c r="C494" s="19">
        <v>0.875</v>
      </c>
      <c r="D494" s="5">
        <v>515358</v>
      </c>
      <c r="E494" s="11">
        <v>573822</v>
      </c>
      <c r="F494" s="10">
        <v>1.1613</v>
      </c>
      <c r="G494" s="144">
        <v>1.137</v>
      </c>
      <c r="H494" s="144"/>
      <c r="I494" s="9">
        <v>452601</v>
      </c>
      <c r="J494" s="9">
        <v>248551</v>
      </c>
      <c r="K494" s="9"/>
      <c r="L494" s="27">
        <v>203427</v>
      </c>
      <c r="M494" s="27">
        <v>167546</v>
      </c>
      <c r="N494" s="27"/>
      <c r="O494" s="145"/>
      <c r="P494" s="145"/>
      <c r="Q494" s="146"/>
      <c r="R494" s="146"/>
      <c r="S494" s="91"/>
      <c r="T494" s="91"/>
      <c r="U494" s="147"/>
    </row>
    <row r="495" spans="2:21">
      <c r="B495" s="292"/>
      <c r="C495" s="19">
        <v>0.91666666666666696</v>
      </c>
      <c r="D495" s="5">
        <v>515358</v>
      </c>
      <c r="E495" s="11">
        <v>573822</v>
      </c>
      <c r="F495" s="10">
        <v>1.1613</v>
      </c>
      <c r="G495" s="144">
        <v>1.137</v>
      </c>
      <c r="H495" s="144"/>
      <c r="I495" s="9">
        <v>452601</v>
      </c>
      <c r="J495" s="9">
        <v>248551</v>
      </c>
      <c r="K495" s="9"/>
      <c r="L495" s="27">
        <v>203427</v>
      </c>
      <c r="M495" s="27">
        <v>167546</v>
      </c>
      <c r="N495" s="27"/>
      <c r="O495" s="145"/>
      <c r="P495" s="145"/>
      <c r="Q495" s="146"/>
      <c r="R495" s="146"/>
      <c r="S495" s="91"/>
      <c r="T495" s="91"/>
      <c r="U495" s="147"/>
    </row>
    <row r="496" spans="2:21">
      <c r="B496" s="292"/>
      <c r="C496" s="19">
        <v>0.95833333333333304</v>
      </c>
      <c r="D496" s="5">
        <v>515358</v>
      </c>
      <c r="E496" s="11">
        <v>573822</v>
      </c>
      <c r="F496" s="10">
        <v>1.1613</v>
      </c>
      <c r="G496" s="144">
        <v>1.137</v>
      </c>
      <c r="H496" s="144"/>
      <c r="I496" s="9">
        <v>452601</v>
      </c>
      <c r="J496" s="9">
        <v>248551</v>
      </c>
      <c r="K496" s="9"/>
      <c r="L496" s="27">
        <v>203427</v>
      </c>
      <c r="M496" s="27">
        <v>167546</v>
      </c>
      <c r="N496" s="27"/>
      <c r="O496" s="145"/>
      <c r="P496" s="145"/>
      <c r="Q496" s="146"/>
      <c r="R496" s="146"/>
      <c r="S496" s="91"/>
      <c r="T496" s="91"/>
      <c r="U496" s="147"/>
    </row>
    <row r="497" spans="2:21">
      <c r="B497" s="292"/>
      <c r="C497" s="19">
        <v>1</v>
      </c>
      <c r="D497" s="5">
        <v>515358</v>
      </c>
      <c r="E497" s="11">
        <v>573822</v>
      </c>
      <c r="F497" s="10">
        <v>1.1613</v>
      </c>
      <c r="G497" s="144">
        <v>1.137</v>
      </c>
      <c r="H497" s="144"/>
      <c r="I497" s="9">
        <v>452601</v>
      </c>
      <c r="J497" s="9">
        <v>248551</v>
      </c>
      <c r="K497" s="9"/>
      <c r="L497" s="27">
        <v>203427</v>
      </c>
      <c r="M497" s="27">
        <v>167546</v>
      </c>
      <c r="N497" s="27"/>
      <c r="O497" s="145"/>
      <c r="P497" s="145"/>
      <c r="Q497" s="146"/>
      <c r="R497" s="146"/>
      <c r="S497" s="91"/>
      <c r="T497" s="91"/>
      <c r="U497" s="147"/>
    </row>
    <row r="498" spans="2:21">
      <c r="B498" s="292"/>
      <c r="C498" s="19">
        <v>1.0416666666666701</v>
      </c>
      <c r="D498" s="5">
        <v>515358</v>
      </c>
      <c r="E498" s="11">
        <v>573822</v>
      </c>
      <c r="F498" s="10">
        <v>1.1613</v>
      </c>
      <c r="G498" s="144">
        <v>1.137</v>
      </c>
      <c r="H498" s="144"/>
      <c r="I498" s="9">
        <v>452601</v>
      </c>
      <c r="J498" s="9">
        <v>248551</v>
      </c>
      <c r="K498" s="9"/>
      <c r="L498" s="27">
        <v>203427</v>
      </c>
      <c r="M498" s="27">
        <v>167546</v>
      </c>
      <c r="N498" s="27"/>
      <c r="O498" s="145"/>
      <c r="P498" s="145"/>
      <c r="Q498" s="146"/>
      <c r="R498" s="146"/>
      <c r="S498" s="91"/>
      <c r="T498" s="91"/>
      <c r="U498" s="147"/>
    </row>
    <row r="499" spans="2:21">
      <c r="B499" s="292"/>
      <c r="C499" s="19">
        <v>1.0833333333333299</v>
      </c>
      <c r="D499" s="5">
        <v>515358</v>
      </c>
      <c r="E499" s="11">
        <v>573822</v>
      </c>
      <c r="F499" s="10">
        <v>1.1613</v>
      </c>
      <c r="G499" s="144">
        <v>1.137</v>
      </c>
      <c r="H499" s="144"/>
      <c r="I499" s="9">
        <v>452601</v>
      </c>
      <c r="J499" s="9">
        <v>248551</v>
      </c>
      <c r="K499" s="9"/>
      <c r="L499" s="27">
        <v>203427</v>
      </c>
      <c r="M499" s="27">
        <v>167546</v>
      </c>
      <c r="N499" s="27"/>
      <c r="O499" s="145"/>
      <c r="P499" s="145"/>
      <c r="Q499" s="146"/>
      <c r="R499" s="146"/>
      <c r="S499" s="91"/>
      <c r="T499" s="91"/>
      <c r="U499" s="147"/>
    </row>
    <row r="500" spans="2:21">
      <c r="B500" s="292"/>
      <c r="C500" s="19">
        <v>1.125</v>
      </c>
      <c r="D500" s="5">
        <v>515358</v>
      </c>
      <c r="E500" s="11">
        <v>573822</v>
      </c>
      <c r="F500" s="10">
        <v>1.1613</v>
      </c>
      <c r="G500" s="144">
        <v>1.137</v>
      </c>
      <c r="H500" s="144"/>
      <c r="I500" s="9">
        <v>452601</v>
      </c>
      <c r="J500" s="9">
        <v>248551</v>
      </c>
      <c r="K500" s="9"/>
      <c r="L500" s="27">
        <v>203427</v>
      </c>
      <c r="M500" s="27">
        <v>167546</v>
      </c>
      <c r="N500" s="27"/>
      <c r="O500" s="145"/>
      <c r="P500" s="145"/>
      <c r="Q500" s="146"/>
      <c r="R500" s="146"/>
      <c r="S500" s="91"/>
      <c r="T500" s="91"/>
      <c r="U500" s="147"/>
    </row>
    <row r="501" spans="2:21">
      <c r="B501" s="292"/>
      <c r="C501" s="19">
        <v>1.1666666666666701</v>
      </c>
      <c r="D501" s="5">
        <v>515358</v>
      </c>
      <c r="E501" s="11">
        <v>573822</v>
      </c>
      <c r="F501" s="10">
        <v>1.1613</v>
      </c>
      <c r="G501" s="144">
        <v>1.137</v>
      </c>
      <c r="H501" s="144"/>
      <c r="I501" s="9">
        <v>452601</v>
      </c>
      <c r="J501" s="9">
        <v>248551</v>
      </c>
      <c r="K501" s="9"/>
      <c r="L501" s="27">
        <v>203427</v>
      </c>
      <c r="M501" s="27">
        <v>167546</v>
      </c>
      <c r="N501" s="27"/>
      <c r="O501" s="145"/>
      <c r="P501" s="145"/>
      <c r="Q501" s="146"/>
      <c r="R501" s="146"/>
      <c r="S501" s="91"/>
      <c r="T501" s="91"/>
      <c r="U501" s="147"/>
    </row>
    <row r="502" spans="2:21">
      <c r="B502" s="292"/>
      <c r="C502" s="19">
        <v>1.2083333333333299</v>
      </c>
      <c r="D502" s="5">
        <v>515358</v>
      </c>
      <c r="E502" s="11">
        <v>573822</v>
      </c>
      <c r="F502" s="10">
        <v>1.1613</v>
      </c>
      <c r="G502" s="144">
        <v>1.137</v>
      </c>
      <c r="H502" s="144"/>
      <c r="I502" s="9">
        <v>452601</v>
      </c>
      <c r="J502" s="9">
        <v>248551</v>
      </c>
      <c r="K502" s="9"/>
      <c r="L502" s="27">
        <v>203427</v>
      </c>
      <c r="M502" s="27">
        <v>167546</v>
      </c>
      <c r="N502" s="27"/>
      <c r="O502" s="145"/>
      <c r="P502" s="145"/>
      <c r="Q502" s="146"/>
      <c r="R502" s="146"/>
      <c r="S502" s="91"/>
      <c r="T502" s="91"/>
      <c r="U502" s="147"/>
    </row>
    <row r="503" spans="2:21">
      <c r="B503" s="292"/>
      <c r="C503" s="19">
        <v>1.25</v>
      </c>
      <c r="D503" s="5">
        <v>515358</v>
      </c>
      <c r="E503" s="11">
        <v>573822</v>
      </c>
      <c r="F503" s="10">
        <v>1.1613</v>
      </c>
      <c r="G503" s="144">
        <v>1.137</v>
      </c>
      <c r="H503" s="144"/>
      <c r="I503" s="9">
        <v>452601</v>
      </c>
      <c r="J503" s="9">
        <v>248551</v>
      </c>
      <c r="K503" s="9"/>
      <c r="L503" s="27">
        <v>203427</v>
      </c>
      <c r="M503" s="27">
        <v>167546</v>
      </c>
      <c r="N503" s="27"/>
      <c r="O503" s="145"/>
      <c r="P503" s="145"/>
      <c r="Q503" s="146"/>
      <c r="R503" s="146"/>
      <c r="S503" s="91"/>
      <c r="T503" s="91"/>
      <c r="U503" s="147"/>
    </row>
    <row r="504" spans="2:21">
      <c r="B504" s="292"/>
      <c r="C504" s="19">
        <v>1.2916666666666701</v>
      </c>
      <c r="D504" s="5">
        <v>515358</v>
      </c>
      <c r="E504" s="11">
        <v>573822</v>
      </c>
      <c r="F504" s="10">
        <v>1.1613</v>
      </c>
      <c r="G504" s="144">
        <v>1.137</v>
      </c>
      <c r="H504" s="144"/>
      <c r="I504" s="9">
        <v>452601</v>
      </c>
      <c r="J504" s="9">
        <v>248551</v>
      </c>
      <c r="K504" s="9"/>
      <c r="L504" s="27">
        <v>203427</v>
      </c>
      <c r="M504" s="27">
        <v>167546</v>
      </c>
      <c r="N504" s="27"/>
      <c r="O504" s="145"/>
      <c r="P504" s="145"/>
      <c r="Q504" s="146"/>
      <c r="R504" s="146"/>
      <c r="S504" s="91"/>
      <c r="T504" s="91"/>
      <c r="U504" s="147"/>
    </row>
    <row r="505" spans="2:21">
      <c r="B505" s="293"/>
      <c r="C505" s="6"/>
      <c r="D505" s="13" cm="1">
        <f t="array" ref="D505">IFERROR(LOOKUP(2,1/(D480:D504&gt;0),D480:D504-D480),0)</f>
        <v>34</v>
      </c>
      <c r="E505" s="13" cm="1">
        <f t="array" ref="E505">IFERROR(LOOKUP(2,1/(E480:E504&gt;0),E480:E504-E480),0)</f>
        <v>39</v>
      </c>
      <c r="F505" s="272" cm="1">
        <f t="array" ref="F505">IFERROR(LOOKUP(2,1/(F480:F504&gt;0),F480:F504-F480),0)</f>
        <v>9.9999999999988987E-5</v>
      </c>
      <c r="G505" s="272" cm="1">
        <f t="array" ref="G505">IFERROR(LOOKUP(2,1/(G480:G504&gt;0),G480:G504-G480),0)</f>
        <v>0</v>
      </c>
      <c r="H505" s="272">
        <f>F505+G505</f>
        <v>9.9999999999988987E-5</v>
      </c>
      <c r="I505" s="13" cm="1">
        <f t="array" ref="I505">IFERROR(LOOKUP(2,1/(I480:I504&gt;0),I480:I504-I480),0)</f>
        <v>1121</v>
      </c>
      <c r="J505" s="13" cm="1">
        <f t="array" ref="J505">IFERROR(LOOKUP(2,1/(J480:J504&gt;0),J480:J504-J480),0)</f>
        <v>1057</v>
      </c>
      <c r="K505" s="13">
        <f>I505+J505</f>
        <v>2178</v>
      </c>
      <c r="L505" s="13" cm="1">
        <f t="array" ref="L505">IFERROR(LOOKUP(2,1/(L480:L504&gt;0),L480:L504-L480),0)</f>
        <v>48</v>
      </c>
      <c r="M505" s="13" cm="1">
        <f t="array" ref="M505">IFERROR(LOOKUP(2,1/(M480:M504&gt;0),M480:M504-M480),0)</f>
        <v>21</v>
      </c>
      <c r="N505" s="13">
        <f>L505+M505</f>
        <v>69</v>
      </c>
      <c r="O505" s="148">
        <f t="shared" ref="O505:T505" si="18">IFERROR(AVERAGE(O480:O504),0)</f>
        <v>102.16666666666669</v>
      </c>
      <c r="P505" s="148">
        <f t="shared" si="18"/>
        <v>17</v>
      </c>
      <c r="Q505" s="148">
        <f t="shared" si="18"/>
        <v>102.17777777777779</v>
      </c>
      <c r="R505" s="148">
        <f t="shared" si="18"/>
        <v>110.35555555555555</v>
      </c>
      <c r="S505" s="148">
        <f t="shared" si="18"/>
        <v>197.76666666666665</v>
      </c>
      <c r="T505" s="148">
        <f t="shared" si="18"/>
        <v>187.5888888888889</v>
      </c>
      <c r="U505" s="148">
        <f>COUNT(U480:U504)</f>
        <v>0</v>
      </c>
    </row>
    <row r="506" spans="2:21">
      <c r="B506" s="291">
        <f>'DATA B1'!B506</f>
        <v>46042</v>
      </c>
      <c r="C506" s="19">
        <v>0.29166666666666669</v>
      </c>
      <c r="D506" s="5">
        <v>515358</v>
      </c>
      <c r="E506" s="11">
        <v>573822</v>
      </c>
      <c r="F506" s="10">
        <v>1.1613</v>
      </c>
      <c r="G506" s="144">
        <v>1.137</v>
      </c>
      <c r="H506" s="144"/>
      <c r="I506" s="9">
        <v>452601</v>
      </c>
      <c r="J506" s="9">
        <v>248551</v>
      </c>
      <c r="K506" s="9"/>
      <c r="L506" s="27">
        <v>203427</v>
      </c>
      <c r="M506" s="27">
        <v>167546</v>
      </c>
      <c r="N506" s="27"/>
      <c r="O506" s="145"/>
      <c r="P506" s="145"/>
      <c r="Q506" s="146"/>
      <c r="R506" s="146"/>
      <c r="S506" s="91"/>
      <c r="T506" s="91"/>
      <c r="U506" s="147"/>
    </row>
    <row r="507" spans="2:21">
      <c r="B507" s="292"/>
      <c r="C507" s="19">
        <v>0.33333333333333298</v>
      </c>
      <c r="D507" s="5">
        <v>515358</v>
      </c>
      <c r="E507" s="11">
        <v>573822</v>
      </c>
      <c r="F507" s="10">
        <v>1.1613</v>
      </c>
      <c r="G507" s="144">
        <v>1.137</v>
      </c>
      <c r="H507" s="144"/>
      <c r="I507" s="9">
        <v>452601</v>
      </c>
      <c r="J507" s="9">
        <v>248551</v>
      </c>
      <c r="K507" s="9"/>
      <c r="L507" s="27">
        <v>203427</v>
      </c>
      <c r="M507" s="27">
        <v>167546</v>
      </c>
      <c r="N507" s="27"/>
      <c r="O507" s="145"/>
      <c r="P507" s="145"/>
      <c r="Q507" s="146"/>
      <c r="R507" s="146"/>
      <c r="S507" s="91"/>
      <c r="T507" s="91"/>
      <c r="U507" s="147"/>
    </row>
    <row r="508" spans="2:21">
      <c r="B508" s="292"/>
      <c r="C508" s="19">
        <v>0.375</v>
      </c>
      <c r="D508" s="5">
        <v>515358</v>
      </c>
      <c r="E508" s="11">
        <v>573822</v>
      </c>
      <c r="F508" s="10">
        <v>1.1613</v>
      </c>
      <c r="G508" s="144">
        <v>1.137</v>
      </c>
      <c r="H508" s="144"/>
      <c r="I508" s="9">
        <v>452601</v>
      </c>
      <c r="J508" s="9">
        <v>248551</v>
      </c>
      <c r="K508" s="9"/>
      <c r="L508" s="27">
        <v>203427</v>
      </c>
      <c r="M508" s="27">
        <v>167546</v>
      </c>
      <c r="N508" s="27"/>
      <c r="O508" s="145"/>
      <c r="P508" s="145"/>
      <c r="Q508" s="146"/>
      <c r="R508" s="146"/>
      <c r="S508" s="91"/>
      <c r="T508" s="91"/>
      <c r="U508" s="147"/>
    </row>
    <row r="509" spans="2:21">
      <c r="B509" s="292"/>
      <c r="C509" s="19">
        <v>0.41666666666666702</v>
      </c>
      <c r="D509" s="5">
        <v>515358</v>
      </c>
      <c r="E509" s="11">
        <v>573822</v>
      </c>
      <c r="F509" s="10">
        <v>1.1613</v>
      </c>
      <c r="G509" s="144">
        <v>1.137</v>
      </c>
      <c r="H509" s="144"/>
      <c r="I509" s="9">
        <v>452601</v>
      </c>
      <c r="J509" s="9">
        <v>248551</v>
      </c>
      <c r="K509" s="9"/>
      <c r="L509" s="27">
        <v>203427</v>
      </c>
      <c r="M509" s="27">
        <v>167546</v>
      </c>
      <c r="N509" s="27"/>
      <c r="O509" s="145"/>
      <c r="P509" s="145"/>
      <c r="Q509" s="146"/>
      <c r="R509" s="146"/>
      <c r="S509" s="91"/>
      <c r="T509" s="91"/>
      <c r="U509" s="147"/>
    </row>
    <row r="510" spans="2:21">
      <c r="B510" s="292"/>
      <c r="C510" s="19">
        <v>0.45833333333333298</v>
      </c>
      <c r="D510" s="5">
        <v>515358</v>
      </c>
      <c r="E510" s="11">
        <v>573822</v>
      </c>
      <c r="F510" s="10">
        <v>1.1613</v>
      </c>
      <c r="G510" s="144">
        <v>1.137</v>
      </c>
      <c r="H510" s="144"/>
      <c r="I510" s="9">
        <v>452601</v>
      </c>
      <c r="J510" s="9">
        <v>248551</v>
      </c>
      <c r="K510" s="9"/>
      <c r="L510" s="27">
        <v>203427</v>
      </c>
      <c r="M510" s="27">
        <v>167546</v>
      </c>
      <c r="N510" s="27"/>
      <c r="O510" s="145"/>
      <c r="P510" s="145"/>
      <c r="Q510" s="146"/>
      <c r="R510" s="146"/>
      <c r="S510" s="91"/>
      <c r="T510" s="91"/>
      <c r="U510" s="147"/>
    </row>
    <row r="511" spans="2:21">
      <c r="B511" s="292"/>
      <c r="C511" s="19">
        <v>0.5</v>
      </c>
      <c r="D511" s="5">
        <v>515358</v>
      </c>
      <c r="E511" s="11">
        <v>573822</v>
      </c>
      <c r="F511" s="10">
        <v>1.1613</v>
      </c>
      <c r="G511" s="144">
        <v>1.137</v>
      </c>
      <c r="H511" s="144"/>
      <c r="I511" s="9">
        <v>452601</v>
      </c>
      <c r="J511" s="9">
        <v>248551</v>
      </c>
      <c r="K511" s="9"/>
      <c r="L511" s="27">
        <v>203427</v>
      </c>
      <c r="M511" s="27">
        <v>167546</v>
      </c>
      <c r="N511" s="27"/>
      <c r="O511" s="145"/>
      <c r="P511" s="145"/>
      <c r="Q511" s="146"/>
      <c r="R511" s="146"/>
      <c r="S511" s="91"/>
      <c r="T511" s="91"/>
      <c r="U511" s="147"/>
    </row>
    <row r="512" spans="2:21">
      <c r="B512" s="292"/>
      <c r="C512" s="19">
        <v>0.54166666666666696</v>
      </c>
      <c r="D512" s="5">
        <v>515358</v>
      </c>
      <c r="E512" s="11">
        <v>573822</v>
      </c>
      <c r="F512" s="10">
        <v>1.1613</v>
      </c>
      <c r="G512" s="144">
        <v>1.137</v>
      </c>
      <c r="H512" s="144"/>
      <c r="I512" s="9">
        <v>452601</v>
      </c>
      <c r="J512" s="9">
        <v>248551</v>
      </c>
      <c r="K512" s="9"/>
      <c r="L512" s="27">
        <v>203427</v>
      </c>
      <c r="M512" s="27">
        <v>167546</v>
      </c>
      <c r="N512" s="27"/>
      <c r="O512" s="145"/>
      <c r="P512" s="145"/>
      <c r="Q512" s="146"/>
      <c r="R512" s="146"/>
      <c r="S512" s="91"/>
      <c r="T512" s="91"/>
      <c r="U512" s="147"/>
    </row>
    <row r="513" spans="2:21">
      <c r="B513" s="292"/>
      <c r="C513" s="19">
        <v>0.58333333333333304</v>
      </c>
      <c r="D513" s="5">
        <v>515358</v>
      </c>
      <c r="E513" s="11">
        <v>573822</v>
      </c>
      <c r="F513" s="10">
        <v>1.1613</v>
      </c>
      <c r="G513" s="144">
        <v>1.137</v>
      </c>
      <c r="H513" s="144"/>
      <c r="I513" s="9">
        <v>452601</v>
      </c>
      <c r="J513" s="9">
        <v>248551</v>
      </c>
      <c r="K513" s="9"/>
      <c r="L513" s="27">
        <v>203427</v>
      </c>
      <c r="M513" s="27">
        <v>167546</v>
      </c>
      <c r="N513" s="27"/>
      <c r="O513" s="145"/>
      <c r="P513" s="145"/>
      <c r="Q513" s="146"/>
      <c r="R513" s="146"/>
      <c r="S513" s="91"/>
      <c r="T513" s="91"/>
      <c r="U513" s="149"/>
    </row>
    <row r="514" spans="2:21">
      <c r="B514" s="292"/>
      <c r="C514" s="19">
        <v>0.625</v>
      </c>
      <c r="D514" s="5">
        <v>515358</v>
      </c>
      <c r="E514" s="11">
        <v>573822</v>
      </c>
      <c r="F514" s="10">
        <v>1.1613</v>
      </c>
      <c r="G514" s="144">
        <v>1.137</v>
      </c>
      <c r="H514" s="144"/>
      <c r="I514" s="9">
        <v>452601</v>
      </c>
      <c r="J514" s="9">
        <v>248551</v>
      </c>
      <c r="K514" s="9"/>
      <c r="L514" s="27">
        <v>203427</v>
      </c>
      <c r="M514" s="27">
        <v>167546</v>
      </c>
      <c r="N514" s="27"/>
      <c r="O514" s="145"/>
      <c r="P514" s="145"/>
      <c r="Q514" s="146"/>
      <c r="R514" s="146"/>
      <c r="S514" s="91"/>
      <c r="T514" s="91"/>
      <c r="U514" s="147"/>
    </row>
    <row r="515" spans="2:21">
      <c r="B515" s="292"/>
      <c r="C515" s="19">
        <v>0.66666666666666696</v>
      </c>
      <c r="D515" s="5">
        <v>515358</v>
      </c>
      <c r="E515" s="11">
        <v>573822</v>
      </c>
      <c r="F515" s="10">
        <v>1.1613</v>
      </c>
      <c r="G515" s="144">
        <v>1.137</v>
      </c>
      <c r="H515" s="144"/>
      <c r="I515" s="9">
        <v>452601</v>
      </c>
      <c r="J515" s="9">
        <v>248551</v>
      </c>
      <c r="K515" s="9"/>
      <c r="L515" s="27">
        <v>203427</v>
      </c>
      <c r="M515" s="27">
        <v>167546</v>
      </c>
      <c r="N515" s="27"/>
      <c r="O515" s="145"/>
      <c r="P515" s="145"/>
      <c r="Q515" s="146"/>
      <c r="R515" s="146"/>
      <c r="S515" s="91"/>
      <c r="T515" s="91"/>
      <c r="U515" s="147"/>
    </row>
    <row r="516" spans="2:21">
      <c r="B516" s="292"/>
      <c r="C516" s="19">
        <v>0.70833333333333304</v>
      </c>
      <c r="D516" s="5">
        <v>515358</v>
      </c>
      <c r="E516" s="11">
        <v>573822</v>
      </c>
      <c r="F516" s="10">
        <v>1.1613</v>
      </c>
      <c r="G516" s="144">
        <v>1.137</v>
      </c>
      <c r="H516" s="144"/>
      <c r="I516" s="9">
        <v>452601</v>
      </c>
      <c r="J516" s="9">
        <v>248551</v>
      </c>
      <c r="K516" s="9"/>
      <c r="L516" s="27">
        <v>203427</v>
      </c>
      <c r="M516" s="27">
        <v>167546</v>
      </c>
      <c r="N516" s="27"/>
      <c r="O516" s="145"/>
      <c r="P516" s="145"/>
      <c r="Q516" s="146"/>
      <c r="R516" s="146"/>
      <c r="S516" s="91"/>
      <c r="T516" s="91"/>
      <c r="U516" s="147"/>
    </row>
    <row r="517" spans="2:21">
      <c r="B517" s="292"/>
      <c r="C517" s="19">
        <v>0.75</v>
      </c>
      <c r="D517" s="5">
        <v>515358</v>
      </c>
      <c r="E517" s="11">
        <v>573822</v>
      </c>
      <c r="F517" s="10">
        <v>1.1613</v>
      </c>
      <c r="G517" s="144">
        <v>1.137</v>
      </c>
      <c r="H517" s="144"/>
      <c r="I517" s="9">
        <v>452601</v>
      </c>
      <c r="J517" s="9">
        <v>248551</v>
      </c>
      <c r="K517" s="9"/>
      <c r="L517" s="27">
        <v>203427</v>
      </c>
      <c r="M517" s="27">
        <v>167546</v>
      </c>
      <c r="N517" s="27"/>
      <c r="O517" s="145"/>
      <c r="P517" s="145"/>
      <c r="Q517" s="146"/>
      <c r="R517" s="146"/>
      <c r="S517" s="91"/>
      <c r="T517" s="91"/>
      <c r="U517" s="147"/>
    </row>
    <row r="518" spans="2:21">
      <c r="B518" s="292"/>
      <c r="C518" s="19">
        <v>0.79166666666666696</v>
      </c>
      <c r="D518" s="5">
        <v>515358</v>
      </c>
      <c r="E518" s="11">
        <v>573822</v>
      </c>
      <c r="F518" s="10">
        <v>1.1613</v>
      </c>
      <c r="G518" s="144">
        <v>1.137</v>
      </c>
      <c r="H518" s="144"/>
      <c r="I518" s="9">
        <v>452601</v>
      </c>
      <c r="J518" s="9">
        <v>248551</v>
      </c>
      <c r="K518" s="9"/>
      <c r="L518" s="27">
        <v>203427</v>
      </c>
      <c r="M518" s="27">
        <v>167546</v>
      </c>
      <c r="N518" s="27"/>
      <c r="O518" s="145"/>
      <c r="P518" s="145"/>
      <c r="Q518" s="146"/>
      <c r="R518" s="146"/>
      <c r="S518" s="91"/>
      <c r="T518" s="91"/>
      <c r="U518" s="147"/>
    </row>
    <row r="519" spans="2:21">
      <c r="B519" s="292"/>
      <c r="C519" s="19">
        <v>0.83333333333333304</v>
      </c>
      <c r="D519" s="5">
        <v>515358</v>
      </c>
      <c r="E519" s="11">
        <v>573822</v>
      </c>
      <c r="F519" s="10">
        <v>1.1613</v>
      </c>
      <c r="G519" s="144">
        <v>1.137</v>
      </c>
      <c r="H519" s="144"/>
      <c r="I519" s="9">
        <v>452601</v>
      </c>
      <c r="J519" s="9">
        <v>248551</v>
      </c>
      <c r="K519" s="9"/>
      <c r="L519" s="27">
        <v>203427</v>
      </c>
      <c r="M519" s="27">
        <v>167546</v>
      </c>
      <c r="N519" s="27"/>
      <c r="O519" s="145"/>
      <c r="P519" s="145"/>
      <c r="Q519" s="146"/>
      <c r="R519" s="146"/>
      <c r="S519" s="91"/>
      <c r="T519" s="91"/>
      <c r="U519" s="147"/>
    </row>
    <row r="520" spans="2:21">
      <c r="B520" s="292"/>
      <c r="C520" s="19">
        <v>0.875</v>
      </c>
      <c r="D520" s="5">
        <v>515358</v>
      </c>
      <c r="E520" s="11">
        <v>573822</v>
      </c>
      <c r="F520" s="10">
        <v>1.1613</v>
      </c>
      <c r="G520" s="144">
        <v>1.137</v>
      </c>
      <c r="H520" s="144"/>
      <c r="I520" s="9">
        <v>452601</v>
      </c>
      <c r="J520" s="9">
        <v>248551</v>
      </c>
      <c r="K520" s="9"/>
      <c r="L520" s="27">
        <v>203427</v>
      </c>
      <c r="M520" s="27">
        <v>167546</v>
      </c>
      <c r="N520" s="27"/>
      <c r="O520" s="145"/>
      <c r="P520" s="145"/>
      <c r="Q520" s="146"/>
      <c r="R520" s="146"/>
      <c r="S520" s="91"/>
      <c r="T520" s="91"/>
      <c r="U520" s="147"/>
    </row>
    <row r="521" spans="2:21">
      <c r="B521" s="292"/>
      <c r="C521" s="19">
        <v>0.91666666666666696</v>
      </c>
      <c r="D521" s="5">
        <v>515358</v>
      </c>
      <c r="E521" s="11">
        <v>573822</v>
      </c>
      <c r="F521" s="10">
        <v>1.1613</v>
      </c>
      <c r="G521" s="144">
        <v>1.137</v>
      </c>
      <c r="H521" s="144"/>
      <c r="I521" s="9">
        <v>452601</v>
      </c>
      <c r="J521" s="9">
        <v>248551</v>
      </c>
      <c r="K521" s="9"/>
      <c r="L521" s="27">
        <v>203427</v>
      </c>
      <c r="M521" s="27">
        <v>167546</v>
      </c>
      <c r="N521" s="27"/>
      <c r="O521" s="145"/>
      <c r="P521" s="145"/>
      <c r="Q521" s="146"/>
      <c r="R521" s="146"/>
      <c r="S521" s="91"/>
      <c r="T521" s="91"/>
      <c r="U521" s="147"/>
    </row>
    <row r="522" spans="2:21">
      <c r="B522" s="292"/>
      <c r="C522" s="19">
        <v>0.95833333333333304</v>
      </c>
      <c r="D522" s="5">
        <v>515358</v>
      </c>
      <c r="E522" s="11">
        <v>573822</v>
      </c>
      <c r="F522" s="10">
        <v>1.1613</v>
      </c>
      <c r="G522" s="144">
        <v>1.137</v>
      </c>
      <c r="H522" s="144"/>
      <c r="I522" s="9">
        <v>452601</v>
      </c>
      <c r="J522" s="9">
        <v>248551</v>
      </c>
      <c r="K522" s="9"/>
      <c r="L522" s="27">
        <v>203427</v>
      </c>
      <c r="M522" s="27">
        <v>167546</v>
      </c>
      <c r="N522" s="27"/>
      <c r="O522" s="145"/>
      <c r="P522" s="145"/>
      <c r="Q522" s="146"/>
      <c r="R522" s="146"/>
      <c r="S522" s="91"/>
      <c r="T522" s="91"/>
      <c r="U522" s="147"/>
    </row>
    <row r="523" spans="2:21">
      <c r="B523" s="292"/>
      <c r="C523" s="19">
        <v>1</v>
      </c>
      <c r="D523" s="5">
        <v>515358</v>
      </c>
      <c r="E523" s="11">
        <v>573822</v>
      </c>
      <c r="F523" s="10">
        <v>1.1613</v>
      </c>
      <c r="G523" s="144">
        <v>1.137</v>
      </c>
      <c r="H523" s="144"/>
      <c r="I523" s="9">
        <v>452601</v>
      </c>
      <c r="J523" s="9">
        <v>248551</v>
      </c>
      <c r="K523" s="9"/>
      <c r="L523" s="27">
        <v>203427</v>
      </c>
      <c r="M523" s="27">
        <v>167546</v>
      </c>
      <c r="N523" s="27"/>
      <c r="O523" s="145"/>
      <c r="P523" s="145"/>
      <c r="Q523" s="146"/>
      <c r="R523" s="146"/>
      <c r="S523" s="91"/>
      <c r="T523" s="91"/>
      <c r="U523" s="147"/>
    </row>
    <row r="524" spans="2:21">
      <c r="B524" s="292"/>
      <c r="C524" s="19">
        <v>1.0416666666666701</v>
      </c>
      <c r="D524" s="5">
        <v>515358</v>
      </c>
      <c r="E524" s="11">
        <v>573822</v>
      </c>
      <c r="F524" s="10">
        <v>1.1613</v>
      </c>
      <c r="G524" s="144">
        <v>1.137</v>
      </c>
      <c r="H524" s="144"/>
      <c r="I524" s="9">
        <v>452601</v>
      </c>
      <c r="J524" s="9">
        <v>248551</v>
      </c>
      <c r="K524" s="9"/>
      <c r="L524" s="27">
        <v>203427</v>
      </c>
      <c r="M524" s="27">
        <v>167546</v>
      </c>
      <c r="N524" s="27"/>
      <c r="O524" s="145"/>
      <c r="P524" s="145"/>
      <c r="Q524" s="146"/>
      <c r="R524" s="146"/>
      <c r="S524" s="91"/>
      <c r="T524" s="91"/>
      <c r="U524" s="147"/>
    </row>
    <row r="525" spans="2:21">
      <c r="B525" s="292"/>
      <c r="C525" s="19">
        <v>1.0833333333333299</v>
      </c>
      <c r="D525" s="5">
        <v>515358</v>
      </c>
      <c r="E525" s="11">
        <v>573822</v>
      </c>
      <c r="F525" s="10">
        <v>1.1613</v>
      </c>
      <c r="G525" s="144">
        <v>1.137</v>
      </c>
      <c r="H525" s="144"/>
      <c r="I525" s="9">
        <v>452601</v>
      </c>
      <c r="J525" s="9">
        <v>248551</v>
      </c>
      <c r="K525" s="9"/>
      <c r="L525" s="27">
        <v>203427</v>
      </c>
      <c r="M525" s="27">
        <v>167546</v>
      </c>
      <c r="N525" s="27"/>
      <c r="O525" s="145"/>
      <c r="P525" s="145"/>
      <c r="Q525" s="146"/>
      <c r="R525" s="146"/>
      <c r="S525" s="91"/>
      <c r="T525" s="91"/>
      <c r="U525" s="147"/>
    </row>
    <row r="526" spans="2:21">
      <c r="B526" s="292"/>
      <c r="C526" s="19">
        <v>1.125</v>
      </c>
      <c r="D526" s="5">
        <v>515358</v>
      </c>
      <c r="E526" s="11">
        <v>573822</v>
      </c>
      <c r="F526" s="10">
        <v>1.1613</v>
      </c>
      <c r="G526" s="144">
        <v>1.137</v>
      </c>
      <c r="H526" s="144"/>
      <c r="I526" s="9">
        <v>452601</v>
      </c>
      <c r="J526" s="9">
        <v>248551</v>
      </c>
      <c r="K526" s="9"/>
      <c r="L526" s="27">
        <v>203427</v>
      </c>
      <c r="M526" s="27">
        <v>167546</v>
      </c>
      <c r="N526" s="27"/>
      <c r="O526" s="145"/>
      <c r="P526" s="145"/>
      <c r="Q526" s="146"/>
      <c r="R526" s="146"/>
      <c r="S526" s="91"/>
      <c r="T526" s="91"/>
      <c r="U526" s="147"/>
    </row>
    <row r="527" spans="2:21">
      <c r="B527" s="292"/>
      <c r="C527" s="19">
        <v>1.1666666666666701</v>
      </c>
      <c r="D527" s="5">
        <v>515358</v>
      </c>
      <c r="E527" s="11">
        <v>573822</v>
      </c>
      <c r="F527" s="10">
        <v>1.1613</v>
      </c>
      <c r="G527" s="144">
        <v>1.137</v>
      </c>
      <c r="H527" s="144"/>
      <c r="I527" s="9">
        <v>452601</v>
      </c>
      <c r="J527" s="9">
        <v>248551</v>
      </c>
      <c r="K527" s="9"/>
      <c r="L527" s="27">
        <v>203427</v>
      </c>
      <c r="M527" s="27">
        <v>167546</v>
      </c>
      <c r="N527" s="27"/>
      <c r="O527" s="145"/>
      <c r="P527" s="145"/>
      <c r="Q527" s="146"/>
      <c r="R527" s="146"/>
      <c r="S527" s="91"/>
      <c r="T527" s="91"/>
      <c r="U527" s="147"/>
    </row>
    <row r="528" spans="2:21">
      <c r="B528" s="292"/>
      <c r="C528" s="19">
        <v>1.2083333333333299</v>
      </c>
      <c r="D528" s="5">
        <v>515358</v>
      </c>
      <c r="E528" s="11">
        <v>573822</v>
      </c>
      <c r="F528" s="10">
        <v>1.1613</v>
      </c>
      <c r="G528" s="144">
        <v>1.137</v>
      </c>
      <c r="H528" s="144"/>
      <c r="I528" s="9">
        <v>452601</v>
      </c>
      <c r="J528" s="9">
        <v>248551</v>
      </c>
      <c r="K528" s="9"/>
      <c r="L528" s="27">
        <v>203427</v>
      </c>
      <c r="M528" s="27">
        <v>167546</v>
      </c>
      <c r="N528" s="27"/>
      <c r="O528" s="145"/>
      <c r="P528" s="145"/>
      <c r="Q528" s="146"/>
      <c r="R528" s="146"/>
      <c r="S528" s="91"/>
      <c r="T528" s="91"/>
      <c r="U528" s="147"/>
    </row>
    <row r="529" spans="2:21">
      <c r="B529" s="292"/>
      <c r="C529" s="19">
        <v>1.25</v>
      </c>
      <c r="D529" s="5">
        <v>515358</v>
      </c>
      <c r="E529" s="11">
        <v>573822</v>
      </c>
      <c r="F529" s="10">
        <v>1.1613</v>
      </c>
      <c r="G529" s="144">
        <v>1.137</v>
      </c>
      <c r="H529" s="144"/>
      <c r="I529" s="9">
        <v>452601</v>
      </c>
      <c r="J529" s="9">
        <v>248551</v>
      </c>
      <c r="K529" s="9"/>
      <c r="L529" s="27">
        <v>203427</v>
      </c>
      <c r="M529" s="27">
        <v>167546</v>
      </c>
      <c r="N529" s="27"/>
      <c r="O529" s="145"/>
      <c r="P529" s="145"/>
      <c r="Q529" s="146"/>
      <c r="R529" s="146"/>
      <c r="S529" s="91"/>
      <c r="T529" s="91"/>
      <c r="U529" s="147"/>
    </row>
    <row r="530" spans="2:21">
      <c r="B530" s="292"/>
      <c r="C530" s="19">
        <v>1.2916666666666701</v>
      </c>
      <c r="D530" s="5">
        <v>515358</v>
      </c>
      <c r="E530" s="11">
        <v>573822</v>
      </c>
      <c r="F530" s="10">
        <v>1.1613</v>
      </c>
      <c r="G530" s="144">
        <v>1.137</v>
      </c>
      <c r="H530" s="144"/>
      <c r="I530" s="9">
        <v>452601</v>
      </c>
      <c r="J530" s="9">
        <v>248551</v>
      </c>
      <c r="K530" s="9"/>
      <c r="L530" s="27">
        <v>203427</v>
      </c>
      <c r="M530" s="27">
        <v>167546</v>
      </c>
      <c r="N530" s="27"/>
      <c r="O530" s="145"/>
      <c r="P530" s="145"/>
      <c r="Q530" s="146"/>
      <c r="R530" s="146"/>
      <c r="S530" s="91"/>
      <c r="T530" s="91"/>
      <c r="U530" s="147"/>
    </row>
    <row r="531" spans="2:21">
      <c r="B531" s="293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48">
        <f t="shared" ref="O531:T531" si="19">IFERROR(AVERAGE(O506:O530),0)</f>
        <v>0</v>
      </c>
      <c r="P531" s="148">
        <f t="shared" si="19"/>
        <v>0</v>
      </c>
      <c r="Q531" s="148">
        <f t="shared" si="19"/>
        <v>0</v>
      </c>
      <c r="R531" s="148">
        <f t="shared" si="19"/>
        <v>0</v>
      </c>
      <c r="S531" s="148">
        <f t="shared" si="19"/>
        <v>0</v>
      </c>
      <c r="T531" s="148">
        <f t="shared" si="19"/>
        <v>0</v>
      </c>
      <c r="U531" s="148">
        <f>COUNT(U506:U530)</f>
        <v>0</v>
      </c>
    </row>
    <row r="532" spans="2:21">
      <c r="B532" s="291">
        <f>'DATA B1'!B532</f>
        <v>46043</v>
      </c>
      <c r="C532" s="19">
        <v>0.29166666666666669</v>
      </c>
      <c r="D532" s="5">
        <v>515358</v>
      </c>
      <c r="E532" s="11">
        <v>573822</v>
      </c>
      <c r="F532" s="10">
        <v>1.1613</v>
      </c>
      <c r="G532" s="144">
        <v>1.137</v>
      </c>
      <c r="H532" s="144"/>
      <c r="I532" s="9">
        <v>452601</v>
      </c>
      <c r="J532" s="9">
        <v>248551</v>
      </c>
      <c r="K532" s="9"/>
      <c r="L532" s="27">
        <v>203427</v>
      </c>
      <c r="M532" s="27">
        <v>167546</v>
      </c>
      <c r="N532" s="27"/>
      <c r="O532" s="145"/>
      <c r="P532" s="145"/>
      <c r="Q532" s="146"/>
      <c r="R532" s="146"/>
      <c r="S532" s="91"/>
      <c r="T532" s="91"/>
      <c r="U532" s="147"/>
    </row>
    <row r="533" spans="2:21">
      <c r="B533" s="292"/>
      <c r="C533" s="19">
        <v>0.33333333333333298</v>
      </c>
      <c r="D533" s="5">
        <v>515358</v>
      </c>
      <c r="E533" s="11">
        <v>573822</v>
      </c>
      <c r="F533" s="10">
        <v>1.1613</v>
      </c>
      <c r="G533" s="144">
        <v>1.137</v>
      </c>
      <c r="H533" s="144"/>
      <c r="I533" s="9">
        <v>452601</v>
      </c>
      <c r="J533" s="9">
        <v>248551</v>
      </c>
      <c r="K533" s="9"/>
      <c r="L533" s="27">
        <v>203427</v>
      </c>
      <c r="M533" s="27">
        <v>167546</v>
      </c>
      <c r="N533" s="27"/>
      <c r="O533" s="145"/>
      <c r="P533" s="145"/>
      <c r="Q533" s="146"/>
      <c r="R533" s="146"/>
      <c r="S533" s="91"/>
      <c r="T533" s="91"/>
      <c r="U533" s="147"/>
    </row>
    <row r="534" spans="2:21">
      <c r="B534" s="292"/>
      <c r="C534" s="19">
        <v>0.375</v>
      </c>
      <c r="D534" s="5">
        <v>515358</v>
      </c>
      <c r="E534" s="11">
        <v>573822</v>
      </c>
      <c r="F534" s="10">
        <v>1.1613</v>
      </c>
      <c r="G534" s="144">
        <v>1.137</v>
      </c>
      <c r="H534" s="144"/>
      <c r="I534" s="9">
        <v>452601</v>
      </c>
      <c r="J534" s="9">
        <v>248551</v>
      </c>
      <c r="K534" s="9"/>
      <c r="L534" s="27">
        <v>203427</v>
      </c>
      <c r="M534" s="27">
        <v>167546</v>
      </c>
      <c r="N534" s="27"/>
      <c r="O534" s="145"/>
      <c r="P534" s="145"/>
      <c r="Q534" s="146"/>
      <c r="R534" s="146"/>
      <c r="S534" s="91"/>
      <c r="T534" s="91"/>
      <c r="U534" s="147"/>
    </row>
    <row r="535" spans="2:21">
      <c r="B535" s="292"/>
      <c r="C535" s="19">
        <v>0.41666666666666702</v>
      </c>
      <c r="D535" s="5">
        <v>515358</v>
      </c>
      <c r="E535" s="11">
        <v>573822</v>
      </c>
      <c r="F535" s="10">
        <v>1.1613</v>
      </c>
      <c r="G535" s="144">
        <v>1.137</v>
      </c>
      <c r="H535" s="144"/>
      <c r="I535" s="9">
        <v>452601</v>
      </c>
      <c r="J535" s="9">
        <v>248551</v>
      </c>
      <c r="K535" s="9"/>
      <c r="L535" s="27">
        <v>203427</v>
      </c>
      <c r="M535" s="27">
        <v>167546</v>
      </c>
      <c r="N535" s="27"/>
      <c r="O535" s="145"/>
      <c r="P535" s="145"/>
      <c r="Q535" s="146"/>
      <c r="R535" s="146"/>
      <c r="S535" s="91"/>
      <c r="T535" s="91"/>
      <c r="U535" s="147"/>
    </row>
    <row r="536" spans="2:21">
      <c r="B536" s="292"/>
      <c r="C536" s="19">
        <v>0.45833333333333298</v>
      </c>
      <c r="D536" s="5">
        <v>515358</v>
      </c>
      <c r="E536" s="11">
        <v>573822</v>
      </c>
      <c r="F536" s="10">
        <v>1.1613</v>
      </c>
      <c r="G536" s="144">
        <v>1.137</v>
      </c>
      <c r="H536" s="144"/>
      <c r="I536" s="9">
        <v>452601</v>
      </c>
      <c r="J536" s="9">
        <v>248551</v>
      </c>
      <c r="K536" s="9"/>
      <c r="L536" s="27">
        <v>203427</v>
      </c>
      <c r="M536" s="27">
        <v>167546</v>
      </c>
      <c r="N536" s="27"/>
      <c r="O536" s="145"/>
      <c r="P536" s="145"/>
      <c r="Q536" s="146"/>
      <c r="R536" s="146"/>
      <c r="S536" s="91"/>
      <c r="T536" s="91"/>
      <c r="U536" s="147"/>
    </row>
    <row r="537" spans="2:21">
      <c r="B537" s="292"/>
      <c r="C537" s="19">
        <v>0.5</v>
      </c>
      <c r="D537" s="5">
        <v>515358</v>
      </c>
      <c r="E537" s="11">
        <v>573822</v>
      </c>
      <c r="F537" s="10">
        <v>1.1613</v>
      </c>
      <c r="G537" s="144">
        <v>1.137</v>
      </c>
      <c r="H537" s="144"/>
      <c r="I537" s="9">
        <v>452601</v>
      </c>
      <c r="J537" s="9">
        <v>248551</v>
      </c>
      <c r="K537" s="9"/>
      <c r="L537" s="27">
        <v>203427</v>
      </c>
      <c r="M537" s="27">
        <v>167546</v>
      </c>
      <c r="N537" s="27"/>
      <c r="O537" s="145"/>
      <c r="P537" s="145"/>
      <c r="Q537" s="146"/>
      <c r="R537" s="146"/>
      <c r="S537" s="91"/>
      <c r="T537" s="91"/>
      <c r="U537" s="147"/>
    </row>
    <row r="538" spans="2:21">
      <c r="B538" s="292"/>
      <c r="C538" s="19">
        <v>0.54166666666666696</v>
      </c>
      <c r="D538" s="5">
        <v>515358</v>
      </c>
      <c r="E538" s="11">
        <v>573822</v>
      </c>
      <c r="F538" s="10">
        <v>1.1613</v>
      </c>
      <c r="G538" s="144">
        <v>1.137</v>
      </c>
      <c r="H538" s="144"/>
      <c r="I538" s="9">
        <v>452601</v>
      </c>
      <c r="J538" s="9">
        <v>248551</v>
      </c>
      <c r="K538" s="9"/>
      <c r="L538" s="27">
        <v>203427</v>
      </c>
      <c r="M538" s="27">
        <v>167546</v>
      </c>
      <c r="N538" s="27"/>
      <c r="O538" s="145"/>
      <c r="P538" s="145"/>
      <c r="Q538" s="146"/>
      <c r="R538" s="146"/>
      <c r="S538" s="91"/>
      <c r="T538" s="91"/>
      <c r="U538" s="147"/>
    </row>
    <row r="539" spans="2:21">
      <c r="B539" s="292"/>
      <c r="C539" s="19">
        <v>0.58333333333333304</v>
      </c>
      <c r="D539" s="5">
        <v>515358</v>
      </c>
      <c r="E539" s="11">
        <v>573822</v>
      </c>
      <c r="F539" s="10">
        <v>1.1613</v>
      </c>
      <c r="G539" s="144">
        <v>1.137</v>
      </c>
      <c r="H539" s="144"/>
      <c r="I539" s="9">
        <v>452601</v>
      </c>
      <c r="J539" s="9">
        <v>248551</v>
      </c>
      <c r="K539" s="9"/>
      <c r="L539" s="27">
        <v>203427</v>
      </c>
      <c r="M539" s="27">
        <v>167546</v>
      </c>
      <c r="N539" s="27"/>
      <c r="O539" s="145"/>
      <c r="P539" s="145"/>
      <c r="Q539" s="146"/>
      <c r="R539" s="146"/>
      <c r="S539" s="91"/>
      <c r="T539" s="91"/>
      <c r="U539" s="149"/>
    </row>
    <row r="540" spans="2:21">
      <c r="B540" s="292"/>
      <c r="C540" s="19">
        <v>0.625</v>
      </c>
      <c r="D540" s="5">
        <v>515358</v>
      </c>
      <c r="E540" s="11">
        <v>573822</v>
      </c>
      <c r="F540" s="10">
        <v>1.1613</v>
      </c>
      <c r="G540" s="144">
        <v>1.137</v>
      </c>
      <c r="H540" s="144"/>
      <c r="I540" s="9">
        <v>452601</v>
      </c>
      <c r="J540" s="9">
        <v>248551</v>
      </c>
      <c r="K540" s="9"/>
      <c r="L540" s="27">
        <v>203427</v>
      </c>
      <c r="M540" s="27">
        <v>167546</v>
      </c>
      <c r="N540" s="27"/>
      <c r="O540" s="145"/>
      <c r="P540" s="145"/>
      <c r="Q540" s="146"/>
      <c r="R540" s="146"/>
      <c r="S540" s="91"/>
      <c r="T540" s="91"/>
      <c r="U540" s="147"/>
    </row>
    <row r="541" spans="2:21">
      <c r="B541" s="292"/>
      <c r="C541" s="19">
        <v>0.66666666666666696</v>
      </c>
      <c r="D541" s="5">
        <v>515358</v>
      </c>
      <c r="E541" s="11">
        <v>573822</v>
      </c>
      <c r="F541" s="10">
        <v>1.1613</v>
      </c>
      <c r="G541" s="144">
        <v>1.137</v>
      </c>
      <c r="H541" s="144"/>
      <c r="I541" s="9">
        <v>452601</v>
      </c>
      <c r="J541" s="9">
        <v>248551</v>
      </c>
      <c r="K541" s="9"/>
      <c r="L541" s="27">
        <v>203427</v>
      </c>
      <c r="M541" s="27">
        <v>167546</v>
      </c>
      <c r="N541" s="27"/>
      <c r="O541" s="145"/>
      <c r="P541" s="145"/>
      <c r="Q541" s="146"/>
      <c r="R541" s="146"/>
      <c r="S541" s="91"/>
      <c r="T541" s="91"/>
      <c r="U541" s="147"/>
    </row>
    <row r="542" spans="2:21">
      <c r="B542" s="292"/>
      <c r="C542" s="19">
        <v>0.70833333333333304</v>
      </c>
      <c r="D542" s="5">
        <v>515358</v>
      </c>
      <c r="E542" s="11">
        <v>573822</v>
      </c>
      <c r="F542" s="10">
        <v>1.1613</v>
      </c>
      <c r="G542" s="144">
        <v>1.137</v>
      </c>
      <c r="H542" s="144"/>
      <c r="I542" s="9">
        <v>452601</v>
      </c>
      <c r="J542" s="9">
        <v>248551</v>
      </c>
      <c r="K542" s="9"/>
      <c r="L542" s="27">
        <v>203427</v>
      </c>
      <c r="M542" s="27">
        <v>167546</v>
      </c>
      <c r="N542" s="27"/>
      <c r="O542" s="145"/>
      <c r="P542" s="145"/>
      <c r="Q542" s="146"/>
      <c r="R542" s="146"/>
      <c r="S542" s="91"/>
      <c r="T542" s="91"/>
      <c r="U542" s="147"/>
    </row>
    <row r="543" spans="2:21">
      <c r="B543" s="292"/>
      <c r="C543" s="19">
        <v>0.75</v>
      </c>
      <c r="D543" s="5">
        <v>515358</v>
      </c>
      <c r="E543" s="11">
        <v>573822</v>
      </c>
      <c r="F543" s="10">
        <v>1.1613</v>
      </c>
      <c r="G543" s="144">
        <v>1.137</v>
      </c>
      <c r="H543" s="144"/>
      <c r="I543" s="9">
        <v>452601</v>
      </c>
      <c r="J543" s="9">
        <v>248551</v>
      </c>
      <c r="K543" s="9"/>
      <c r="L543" s="27">
        <v>203427</v>
      </c>
      <c r="M543" s="27">
        <v>167546</v>
      </c>
      <c r="N543" s="27"/>
      <c r="O543" s="145"/>
      <c r="P543" s="145"/>
      <c r="Q543" s="146"/>
      <c r="R543" s="146"/>
      <c r="S543" s="91"/>
      <c r="T543" s="91"/>
      <c r="U543" s="147"/>
    </row>
    <row r="544" spans="2:21">
      <c r="B544" s="292"/>
      <c r="C544" s="19">
        <v>0.79166666666666696</v>
      </c>
      <c r="D544" s="5">
        <v>515358</v>
      </c>
      <c r="E544" s="11">
        <v>573822</v>
      </c>
      <c r="F544" s="10">
        <v>1.1613</v>
      </c>
      <c r="G544" s="144">
        <v>1.137</v>
      </c>
      <c r="H544" s="144"/>
      <c r="I544" s="9">
        <v>452601</v>
      </c>
      <c r="J544" s="9">
        <v>248551</v>
      </c>
      <c r="K544" s="9"/>
      <c r="L544" s="27">
        <v>203427</v>
      </c>
      <c r="M544" s="27">
        <v>167546</v>
      </c>
      <c r="N544" s="27"/>
      <c r="O544" s="145"/>
      <c r="P544" s="145"/>
      <c r="Q544" s="146"/>
      <c r="R544" s="146"/>
      <c r="S544" s="91"/>
      <c r="T544" s="91"/>
      <c r="U544" s="147"/>
    </row>
    <row r="545" spans="2:21">
      <c r="B545" s="292"/>
      <c r="C545" s="19">
        <v>0.83333333333333304</v>
      </c>
      <c r="D545" s="5"/>
      <c r="E545" s="11"/>
      <c r="F545" s="10"/>
      <c r="G545" s="144"/>
      <c r="H545" s="144"/>
      <c r="I545" s="9"/>
      <c r="J545" s="9"/>
      <c r="K545" s="9"/>
      <c r="L545" s="27"/>
      <c r="M545" s="27"/>
      <c r="N545" s="27"/>
      <c r="O545" s="145"/>
      <c r="P545" s="145"/>
      <c r="Q545" s="146"/>
      <c r="R545" s="146"/>
      <c r="S545" s="91"/>
      <c r="T545" s="91"/>
      <c r="U545" s="147"/>
    </row>
    <row r="546" spans="2:21">
      <c r="B546" s="292"/>
      <c r="C546" s="19">
        <v>0.875</v>
      </c>
      <c r="D546" s="5"/>
      <c r="E546" s="11"/>
      <c r="F546" s="10"/>
      <c r="G546" s="144"/>
      <c r="H546" s="144"/>
      <c r="I546" s="9"/>
      <c r="J546" s="9"/>
      <c r="K546" s="9"/>
      <c r="L546" s="27"/>
      <c r="M546" s="27"/>
      <c r="N546" s="27"/>
      <c r="O546" s="145"/>
      <c r="P546" s="145"/>
      <c r="Q546" s="146"/>
      <c r="R546" s="146"/>
      <c r="S546" s="91"/>
      <c r="T546" s="91"/>
      <c r="U546" s="147"/>
    </row>
    <row r="547" spans="2:21">
      <c r="B547" s="292"/>
      <c r="C547" s="19">
        <v>0.91666666666666696</v>
      </c>
      <c r="D547" s="5"/>
      <c r="E547" s="11"/>
      <c r="F547" s="10"/>
      <c r="G547" s="10"/>
      <c r="H547" s="144"/>
      <c r="I547" s="9"/>
      <c r="J547" s="9"/>
      <c r="K547" s="9"/>
      <c r="L547" s="27"/>
      <c r="M547" s="27"/>
      <c r="N547" s="27"/>
      <c r="O547" s="145"/>
      <c r="P547" s="145"/>
      <c r="Q547" s="146"/>
      <c r="R547" s="146"/>
      <c r="S547" s="91"/>
      <c r="T547" s="91"/>
      <c r="U547" s="147"/>
    </row>
    <row r="548" spans="2:21">
      <c r="B548" s="292"/>
      <c r="C548" s="19">
        <v>0.95833333333333304</v>
      </c>
      <c r="D548" s="5"/>
      <c r="E548" s="11"/>
      <c r="F548" s="10"/>
      <c r="G548" s="10"/>
      <c r="H548" s="144"/>
      <c r="I548" s="9"/>
      <c r="J548" s="9"/>
      <c r="K548" s="9"/>
      <c r="L548" s="27"/>
      <c r="M548" s="27"/>
      <c r="N548" s="27"/>
      <c r="O548" s="145"/>
      <c r="P548" s="145"/>
      <c r="Q548" s="146"/>
      <c r="R548" s="146"/>
      <c r="S548" s="91"/>
      <c r="T548" s="91"/>
      <c r="U548" s="147"/>
    </row>
    <row r="549" spans="2:21">
      <c r="B549" s="292"/>
      <c r="C549" s="19">
        <v>1</v>
      </c>
      <c r="D549" s="5"/>
      <c r="E549" s="11"/>
      <c r="F549" s="10"/>
      <c r="G549" s="10"/>
      <c r="H549" s="144"/>
      <c r="I549" s="9"/>
      <c r="J549" s="9"/>
      <c r="K549" s="9"/>
      <c r="L549" s="27"/>
      <c r="M549" s="27"/>
      <c r="N549" s="27"/>
      <c r="O549" s="145"/>
      <c r="P549" s="145"/>
      <c r="Q549" s="146"/>
      <c r="R549" s="146"/>
      <c r="S549" s="91"/>
      <c r="T549" s="91"/>
      <c r="U549" s="147"/>
    </row>
    <row r="550" spans="2:21">
      <c r="B550" s="292"/>
      <c r="C550" s="19">
        <v>1.0416666666666701</v>
      </c>
      <c r="D550" s="5"/>
      <c r="E550" s="11"/>
      <c r="F550" s="10"/>
      <c r="G550" s="10"/>
      <c r="H550" s="144"/>
      <c r="I550" s="9"/>
      <c r="J550" s="9"/>
      <c r="K550" s="9"/>
      <c r="L550" s="27"/>
      <c r="M550" s="27"/>
      <c r="N550" s="27"/>
      <c r="O550" s="145"/>
      <c r="P550" s="145"/>
      <c r="Q550" s="146"/>
      <c r="R550" s="146"/>
      <c r="S550" s="91"/>
      <c r="T550" s="91"/>
      <c r="U550" s="147"/>
    </row>
    <row r="551" spans="2:21">
      <c r="B551" s="292"/>
      <c r="C551" s="19">
        <v>1.0833333333333299</v>
      </c>
      <c r="D551" s="5"/>
      <c r="E551" s="11"/>
      <c r="F551" s="10"/>
      <c r="G551" s="10"/>
      <c r="H551" s="144"/>
      <c r="I551" s="9"/>
      <c r="J551" s="9"/>
      <c r="K551" s="9"/>
      <c r="L551" s="27"/>
      <c r="M551" s="27"/>
      <c r="N551" s="27"/>
      <c r="O551" s="145"/>
      <c r="P551" s="145"/>
      <c r="Q551" s="146"/>
      <c r="R551" s="146"/>
      <c r="S551" s="91"/>
      <c r="T551" s="91"/>
      <c r="U551" s="147"/>
    </row>
    <row r="552" spans="2:21">
      <c r="B552" s="292"/>
      <c r="C552" s="19">
        <v>1.125</v>
      </c>
      <c r="D552" s="5"/>
      <c r="E552" s="11"/>
      <c r="F552" s="10"/>
      <c r="G552" s="10"/>
      <c r="H552" s="144"/>
      <c r="I552" s="9"/>
      <c r="J552" s="9"/>
      <c r="K552" s="9"/>
      <c r="L552" s="27"/>
      <c r="M552" s="27"/>
      <c r="N552" s="27"/>
      <c r="O552" s="145"/>
      <c r="P552" s="145"/>
      <c r="Q552" s="146"/>
      <c r="R552" s="146"/>
      <c r="S552" s="91"/>
      <c r="T552" s="91"/>
      <c r="U552" s="147"/>
    </row>
    <row r="553" spans="2:21">
      <c r="B553" s="292"/>
      <c r="C553" s="19">
        <v>1.1666666666666701</v>
      </c>
      <c r="D553" s="5"/>
      <c r="E553" s="11"/>
      <c r="F553" s="10"/>
      <c r="G553" s="10"/>
      <c r="H553" s="144"/>
      <c r="I553" s="9"/>
      <c r="J553" s="9"/>
      <c r="K553" s="9"/>
      <c r="L553" s="27"/>
      <c r="M553" s="27"/>
      <c r="N553" s="27"/>
      <c r="O553" s="145"/>
      <c r="P553" s="145"/>
      <c r="Q553" s="146"/>
      <c r="R553" s="146"/>
      <c r="S553" s="91"/>
      <c r="T553" s="91"/>
      <c r="U553" s="147"/>
    </row>
    <row r="554" spans="2:21">
      <c r="B554" s="292"/>
      <c r="C554" s="19">
        <v>1.2083333333333299</v>
      </c>
      <c r="D554" s="5"/>
      <c r="E554" s="11"/>
      <c r="F554" s="10"/>
      <c r="G554" s="10"/>
      <c r="H554" s="144"/>
      <c r="I554" s="9"/>
      <c r="J554" s="9"/>
      <c r="K554" s="9"/>
      <c r="L554" s="27"/>
      <c r="M554" s="27"/>
      <c r="N554" s="27"/>
      <c r="O554" s="145"/>
      <c r="P554" s="145"/>
      <c r="Q554" s="146"/>
      <c r="R554" s="146"/>
      <c r="S554" s="91"/>
      <c r="T554" s="91"/>
      <c r="U554" s="147"/>
    </row>
    <row r="555" spans="2:21">
      <c r="B555" s="292"/>
      <c r="C555" s="19">
        <v>1.25</v>
      </c>
      <c r="D555" s="5"/>
      <c r="E555" s="11"/>
      <c r="F555" s="10"/>
      <c r="G555" s="10"/>
      <c r="H555" s="144"/>
      <c r="I555" s="9"/>
      <c r="J555" s="9"/>
      <c r="K555" s="9"/>
      <c r="L555" s="27"/>
      <c r="M555" s="27"/>
      <c r="N555" s="27"/>
      <c r="O555" s="145"/>
      <c r="P555" s="145"/>
      <c r="Q555" s="146"/>
      <c r="R555" s="146"/>
      <c r="S555" s="91"/>
      <c r="T555" s="91"/>
      <c r="U555" s="147"/>
    </row>
    <row r="556" spans="2:21">
      <c r="B556" s="292"/>
      <c r="C556" s="19">
        <v>1.2916666666666701</v>
      </c>
      <c r="D556" s="5"/>
      <c r="E556" s="11"/>
      <c r="F556" s="10"/>
      <c r="G556" s="10"/>
      <c r="H556" s="144"/>
      <c r="I556" s="9"/>
      <c r="J556" s="9"/>
      <c r="K556" s="9"/>
      <c r="L556" s="27"/>
      <c r="M556" s="27"/>
      <c r="N556" s="27"/>
      <c r="O556" s="145"/>
      <c r="P556" s="145"/>
      <c r="Q556" s="146"/>
      <c r="R556" s="146"/>
      <c r="S556" s="91"/>
      <c r="T556" s="91"/>
      <c r="U556" s="147"/>
    </row>
    <row r="557" spans="2:21">
      <c r="B557" s="293"/>
      <c r="C557" s="6"/>
      <c r="D557" s="13" cm="1">
        <f t="array" ref="D557">IFERROR(LOOKUP(2,1/(D532:D556&gt;0),D532:D556-D532),0)</f>
        <v>0</v>
      </c>
      <c r="E557" s="13" cm="1">
        <f t="array" ref="E557">IFERROR(LOOKUP(2,1/(E532:E556&gt;0),E532:E556-E532),0)</f>
        <v>0</v>
      </c>
      <c r="F557" s="13" cm="1">
        <f t="array" ref="F557">IFERROR(LOOKUP(2,1/(F532:F556&gt;0),F532:F556-F532),0)</f>
        <v>0</v>
      </c>
      <c r="G557" s="13" cm="1">
        <f t="array" ref="G557">IFERROR(LOOKUP(2,1/(G532:G556&gt;0),G532:G556-G532),0)</f>
        <v>0</v>
      </c>
      <c r="H557" s="13">
        <f>F557+G557</f>
        <v>0</v>
      </c>
      <c r="I557" s="13" cm="1">
        <f t="array" ref="I557">IFERROR(LOOKUP(2,1/(I532:I556&gt;0),I532:I556-I532),0)</f>
        <v>0</v>
      </c>
      <c r="J557" s="13" cm="1">
        <f t="array" ref="J557">IFERROR(LOOKUP(2,1/(J532:J556&gt;0),J532:J556-J532),0)</f>
        <v>0</v>
      </c>
      <c r="K557" s="13">
        <f>I557+J557</f>
        <v>0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48">
        <f t="shared" ref="O557:T557" si="20">IFERROR(AVERAGE(O532:O556),0)</f>
        <v>0</v>
      </c>
      <c r="P557" s="148">
        <f t="shared" si="20"/>
        <v>0</v>
      </c>
      <c r="Q557" s="148">
        <f t="shared" si="20"/>
        <v>0</v>
      </c>
      <c r="R557" s="148">
        <f t="shared" si="20"/>
        <v>0</v>
      </c>
      <c r="S557" s="148">
        <f t="shared" si="20"/>
        <v>0</v>
      </c>
      <c r="T557" s="148">
        <f t="shared" si="20"/>
        <v>0</v>
      </c>
      <c r="U557" s="148">
        <f>COUNT(U532:U556)</f>
        <v>0</v>
      </c>
    </row>
    <row r="558" spans="2:21">
      <c r="B558" s="291">
        <f>'DATA B1'!B558</f>
        <v>46044</v>
      </c>
      <c r="C558" s="19">
        <v>0.29166666666666669</v>
      </c>
      <c r="D558" s="5"/>
      <c r="E558" s="11"/>
      <c r="F558" s="10"/>
      <c r="G558" s="144"/>
      <c r="H558" s="144"/>
      <c r="I558" s="9"/>
      <c r="J558" s="9"/>
      <c r="K558" s="9"/>
      <c r="L558" s="27"/>
      <c r="M558" s="27"/>
      <c r="N558" s="27"/>
      <c r="O558" s="145"/>
      <c r="P558" s="145"/>
      <c r="Q558" s="146"/>
      <c r="R558" s="146"/>
      <c r="S558" s="91"/>
      <c r="T558" s="91"/>
      <c r="U558" s="147"/>
    </row>
    <row r="559" spans="2:21">
      <c r="B559" s="292"/>
      <c r="C559" s="19">
        <v>0.33333333333333298</v>
      </c>
      <c r="D559" s="5"/>
      <c r="E559" s="11"/>
      <c r="F559" s="10"/>
      <c r="G559" s="144"/>
      <c r="H559" s="144"/>
      <c r="I559" s="9"/>
      <c r="J559" s="9"/>
      <c r="K559" s="9"/>
      <c r="L559" s="27"/>
      <c r="M559" s="27"/>
      <c r="N559" s="27"/>
      <c r="O559" s="145"/>
      <c r="P559" s="145"/>
      <c r="Q559" s="146"/>
      <c r="R559" s="146"/>
      <c r="S559" s="91"/>
      <c r="T559" s="91"/>
      <c r="U559" s="147"/>
    </row>
    <row r="560" spans="2:21">
      <c r="B560" s="292"/>
      <c r="C560" s="19">
        <v>0.375</v>
      </c>
      <c r="D560" s="5"/>
      <c r="E560" s="11"/>
      <c r="F560" s="10"/>
      <c r="G560" s="144"/>
      <c r="H560" s="144"/>
      <c r="I560" s="9"/>
      <c r="J560" s="9"/>
      <c r="K560" s="9"/>
      <c r="L560" s="27"/>
      <c r="M560" s="27"/>
      <c r="N560" s="27"/>
      <c r="O560" s="145"/>
      <c r="P560" s="145"/>
      <c r="Q560" s="146"/>
      <c r="R560" s="146"/>
      <c r="S560" s="91"/>
      <c r="T560" s="91"/>
      <c r="U560" s="147"/>
    </row>
    <row r="561" spans="2:21">
      <c r="B561" s="292"/>
      <c r="C561" s="19">
        <v>0.41666666666666702</v>
      </c>
      <c r="D561" s="5"/>
      <c r="E561" s="11"/>
      <c r="F561" s="10"/>
      <c r="G561" s="144"/>
      <c r="H561" s="144"/>
      <c r="I561" s="9"/>
      <c r="J561" s="9"/>
      <c r="K561" s="9"/>
      <c r="L561" s="27"/>
      <c r="M561" s="27"/>
      <c r="N561" s="27"/>
      <c r="O561" s="145"/>
      <c r="P561" s="145"/>
      <c r="Q561" s="146"/>
      <c r="R561" s="146"/>
      <c r="S561" s="91"/>
      <c r="T561" s="91"/>
      <c r="U561" s="147"/>
    </row>
    <row r="562" spans="2:21">
      <c r="B562" s="292"/>
      <c r="C562" s="19">
        <v>0.45833333333333298</v>
      </c>
      <c r="D562" s="5"/>
      <c r="E562" s="11"/>
      <c r="F562" s="10"/>
      <c r="G562" s="144"/>
      <c r="H562" s="144"/>
      <c r="I562" s="9"/>
      <c r="J562" s="9"/>
      <c r="K562" s="9"/>
      <c r="L562" s="27"/>
      <c r="M562" s="27"/>
      <c r="N562" s="27"/>
      <c r="O562" s="145"/>
      <c r="P562" s="145"/>
      <c r="Q562" s="146"/>
      <c r="R562" s="146"/>
      <c r="S562" s="91"/>
      <c r="T562" s="91"/>
      <c r="U562" s="147"/>
    </row>
    <row r="563" spans="2:21">
      <c r="B563" s="292"/>
      <c r="C563" s="19">
        <v>0.5</v>
      </c>
      <c r="D563" s="5"/>
      <c r="E563" s="11"/>
      <c r="F563" s="10"/>
      <c r="G563" s="144"/>
      <c r="H563" s="144"/>
      <c r="I563" s="9"/>
      <c r="J563" s="9"/>
      <c r="K563" s="9"/>
      <c r="L563" s="27"/>
      <c r="M563" s="27"/>
      <c r="N563" s="27"/>
      <c r="O563" s="145"/>
      <c r="P563" s="145"/>
      <c r="Q563" s="146"/>
      <c r="R563" s="146"/>
      <c r="S563" s="91"/>
      <c r="T563" s="91"/>
      <c r="U563" s="147"/>
    </row>
    <row r="564" spans="2:21">
      <c r="B564" s="292"/>
      <c r="C564" s="19">
        <v>0.54166666666666696</v>
      </c>
      <c r="D564" s="5"/>
      <c r="E564" s="11"/>
      <c r="F564" s="10"/>
      <c r="G564" s="144"/>
      <c r="H564" s="144"/>
      <c r="I564" s="9"/>
      <c r="J564" s="9"/>
      <c r="K564" s="9"/>
      <c r="L564" s="27"/>
      <c r="M564" s="27"/>
      <c r="N564" s="27"/>
      <c r="O564" s="145"/>
      <c r="P564" s="145"/>
      <c r="Q564" s="146"/>
      <c r="R564" s="146"/>
      <c r="S564" s="91"/>
      <c r="T564" s="91"/>
      <c r="U564" s="147"/>
    </row>
    <row r="565" spans="2:21">
      <c r="B565" s="292"/>
      <c r="C565" s="19">
        <v>0.58333333333333304</v>
      </c>
      <c r="D565" s="5"/>
      <c r="E565" s="11"/>
      <c r="F565" s="10"/>
      <c r="G565" s="144"/>
      <c r="H565" s="144"/>
      <c r="I565" s="9"/>
      <c r="J565" s="9"/>
      <c r="K565" s="9"/>
      <c r="L565" s="27"/>
      <c r="M565" s="27"/>
      <c r="N565" s="27"/>
      <c r="O565" s="145"/>
      <c r="P565" s="145"/>
      <c r="Q565" s="146"/>
      <c r="R565" s="146"/>
      <c r="S565" s="91"/>
      <c r="T565" s="91"/>
      <c r="U565" s="149"/>
    </row>
    <row r="566" spans="2:21">
      <c r="B566" s="292"/>
      <c r="C566" s="19">
        <v>0.625</v>
      </c>
      <c r="D566" s="5"/>
      <c r="E566" s="11"/>
      <c r="F566" s="10"/>
      <c r="G566" s="144"/>
      <c r="H566" s="144"/>
      <c r="I566" s="9"/>
      <c r="J566" s="9"/>
      <c r="K566" s="9"/>
      <c r="L566" s="27"/>
      <c r="M566" s="27"/>
      <c r="N566" s="27"/>
      <c r="O566" s="145"/>
      <c r="P566" s="145"/>
      <c r="Q566" s="146"/>
      <c r="R566" s="146"/>
      <c r="S566" s="91"/>
      <c r="T566" s="91"/>
      <c r="U566" s="147"/>
    </row>
    <row r="567" spans="2:21">
      <c r="B567" s="292"/>
      <c r="C567" s="19">
        <v>0.66666666666666696</v>
      </c>
      <c r="D567" s="5"/>
      <c r="E567" s="11"/>
      <c r="F567" s="10"/>
      <c r="G567" s="144"/>
      <c r="H567" s="144"/>
      <c r="I567" s="9"/>
      <c r="J567" s="9"/>
      <c r="K567" s="9"/>
      <c r="L567" s="27"/>
      <c r="M567" s="27"/>
      <c r="N567" s="27"/>
      <c r="O567" s="145"/>
      <c r="P567" s="145"/>
      <c r="Q567" s="146"/>
      <c r="R567" s="146"/>
      <c r="S567" s="91"/>
      <c r="T567" s="91"/>
      <c r="U567" s="147"/>
    </row>
    <row r="568" spans="2:21">
      <c r="B568" s="292"/>
      <c r="C568" s="19">
        <v>0.70833333333333304</v>
      </c>
      <c r="D568" s="5"/>
      <c r="E568" s="11"/>
      <c r="F568" s="10"/>
      <c r="G568" s="144"/>
      <c r="H568" s="144"/>
      <c r="I568" s="9"/>
      <c r="J568" s="9"/>
      <c r="K568" s="9"/>
      <c r="L568" s="27"/>
      <c r="M568" s="27"/>
      <c r="N568" s="27"/>
      <c r="O568" s="145"/>
      <c r="P568" s="145"/>
      <c r="Q568" s="146"/>
      <c r="R568" s="146"/>
      <c r="S568" s="91"/>
      <c r="T568" s="91"/>
      <c r="U568" s="147"/>
    </row>
    <row r="569" spans="2:21">
      <c r="B569" s="292"/>
      <c r="C569" s="19">
        <v>0.75</v>
      </c>
      <c r="D569" s="5"/>
      <c r="E569" s="11"/>
      <c r="F569" s="10"/>
      <c r="G569" s="144"/>
      <c r="H569" s="144"/>
      <c r="I569" s="9"/>
      <c r="J569" s="9"/>
      <c r="K569" s="9"/>
      <c r="L569" s="27"/>
      <c r="M569" s="27"/>
      <c r="N569" s="27"/>
      <c r="O569" s="145"/>
      <c r="P569" s="145"/>
      <c r="Q569" s="146"/>
      <c r="R569" s="146"/>
      <c r="S569" s="91"/>
      <c r="T569" s="91"/>
      <c r="U569" s="147"/>
    </row>
    <row r="570" spans="2:21">
      <c r="B570" s="292"/>
      <c r="C570" s="19">
        <v>0.79166666666666696</v>
      </c>
      <c r="D570" s="5"/>
      <c r="E570" s="11"/>
      <c r="F570" s="10"/>
      <c r="G570" s="144"/>
      <c r="H570" s="144"/>
      <c r="I570" s="9"/>
      <c r="J570" s="9"/>
      <c r="K570" s="9"/>
      <c r="L570" s="27"/>
      <c r="M570" s="27"/>
      <c r="N570" s="27"/>
      <c r="O570" s="145"/>
      <c r="P570" s="145"/>
      <c r="Q570" s="146"/>
      <c r="R570" s="146"/>
      <c r="S570" s="91"/>
      <c r="T570" s="91"/>
      <c r="U570" s="147"/>
    </row>
    <row r="571" spans="2:21">
      <c r="B571" s="292"/>
      <c r="C571" s="19">
        <v>0.83333333333333304</v>
      </c>
      <c r="D571" s="5"/>
      <c r="E571" s="11"/>
      <c r="F571" s="10"/>
      <c r="G571" s="144"/>
      <c r="H571" s="144"/>
      <c r="I571" s="9"/>
      <c r="J571" s="9"/>
      <c r="K571" s="9"/>
      <c r="L571" s="27"/>
      <c r="M571" s="27"/>
      <c r="N571" s="27"/>
      <c r="O571" s="145"/>
      <c r="P571" s="145"/>
      <c r="Q571" s="146"/>
      <c r="R571" s="146"/>
      <c r="S571" s="91"/>
      <c r="T571" s="91"/>
      <c r="U571" s="147"/>
    </row>
    <row r="572" spans="2:21">
      <c r="B572" s="292"/>
      <c r="C572" s="19">
        <v>0.875</v>
      </c>
      <c r="D572" s="5"/>
      <c r="E572" s="11"/>
      <c r="F572" s="10"/>
      <c r="G572" s="144"/>
      <c r="H572" s="144"/>
      <c r="I572" s="9"/>
      <c r="J572" s="9"/>
      <c r="K572" s="9"/>
      <c r="L572" s="27"/>
      <c r="M572" s="27"/>
      <c r="N572" s="27"/>
      <c r="O572" s="145"/>
      <c r="P572" s="145"/>
      <c r="Q572" s="146"/>
      <c r="R572" s="146"/>
      <c r="S572" s="91"/>
      <c r="T572" s="91"/>
      <c r="U572" s="147"/>
    </row>
    <row r="573" spans="2:21">
      <c r="B573" s="292"/>
      <c r="C573" s="19">
        <v>0.91666666666666696</v>
      </c>
      <c r="D573" s="5"/>
      <c r="E573" s="11"/>
      <c r="F573" s="10"/>
      <c r="G573" s="10"/>
      <c r="H573" s="144"/>
      <c r="I573" s="9"/>
      <c r="J573" s="9"/>
      <c r="K573" s="9"/>
      <c r="L573" s="27"/>
      <c r="M573" s="27"/>
      <c r="N573" s="27"/>
      <c r="O573" s="145"/>
      <c r="P573" s="145"/>
      <c r="Q573" s="146"/>
      <c r="R573" s="146"/>
      <c r="S573" s="91"/>
      <c r="T573" s="91"/>
      <c r="U573" s="147"/>
    </row>
    <row r="574" spans="2:21">
      <c r="B574" s="292"/>
      <c r="C574" s="19">
        <v>0.95833333333333304</v>
      </c>
      <c r="D574" s="5"/>
      <c r="E574" s="11"/>
      <c r="F574" s="10"/>
      <c r="G574" s="10"/>
      <c r="H574" s="144"/>
      <c r="I574" s="9"/>
      <c r="J574" s="9"/>
      <c r="K574" s="9"/>
      <c r="L574" s="27"/>
      <c r="M574" s="27"/>
      <c r="N574" s="27"/>
      <c r="O574" s="145"/>
      <c r="P574" s="145"/>
      <c r="Q574" s="146"/>
      <c r="R574" s="146"/>
      <c r="S574" s="91"/>
      <c r="T574" s="91"/>
      <c r="U574" s="147"/>
    </row>
    <row r="575" spans="2:21">
      <c r="B575" s="292"/>
      <c r="C575" s="19">
        <v>1</v>
      </c>
      <c r="D575" s="5"/>
      <c r="E575" s="11"/>
      <c r="F575" s="10"/>
      <c r="G575" s="10"/>
      <c r="H575" s="144"/>
      <c r="I575" s="9"/>
      <c r="J575" s="9"/>
      <c r="K575" s="9"/>
      <c r="L575" s="27"/>
      <c r="M575" s="27"/>
      <c r="N575" s="27"/>
      <c r="O575" s="145"/>
      <c r="P575" s="145"/>
      <c r="Q575" s="146"/>
      <c r="R575" s="146"/>
      <c r="S575" s="91"/>
      <c r="T575" s="91"/>
      <c r="U575" s="147"/>
    </row>
    <row r="576" spans="2:21">
      <c r="B576" s="292"/>
      <c r="C576" s="19">
        <v>1.0416666666666701</v>
      </c>
      <c r="D576" s="5"/>
      <c r="E576" s="11"/>
      <c r="F576" s="10"/>
      <c r="G576" s="10"/>
      <c r="H576" s="144"/>
      <c r="I576" s="9"/>
      <c r="J576" s="9"/>
      <c r="K576" s="9"/>
      <c r="L576" s="27"/>
      <c r="M576" s="27"/>
      <c r="N576" s="27"/>
      <c r="O576" s="145"/>
      <c r="P576" s="145"/>
      <c r="Q576" s="146"/>
      <c r="R576" s="146"/>
      <c r="S576" s="91"/>
      <c r="T576" s="91"/>
      <c r="U576" s="147"/>
    </row>
    <row r="577" spans="2:21">
      <c r="B577" s="292"/>
      <c r="C577" s="19">
        <v>1.0833333333333299</v>
      </c>
      <c r="D577" s="5"/>
      <c r="E577" s="11"/>
      <c r="F577" s="10"/>
      <c r="G577" s="10"/>
      <c r="H577" s="144"/>
      <c r="I577" s="9"/>
      <c r="J577" s="9"/>
      <c r="K577" s="9"/>
      <c r="L577" s="27"/>
      <c r="M577" s="27"/>
      <c r="N577" s="27"/>
      <c r="O577" s="145"/>
      <c r="P577" s="145"/>
      <c r="Q577" s="146"/>
      <c r="R577" s="146"/>
      <c r="S577" s="91"/>
      <c r="T577" s="91"/>
      <c r="U577" s="147"/>
    </row>
    <row r="578" spans="2:21">
      <c r="B578" s="292"/>
      <c r="C578" s="19">
        <v>1.125</v>
      </c>
      <c r="D578" s="5"/>
      <c r="E578" s="11"/>
      <c r="F578" s="10"/>
      <c r="G578" s="10"/>
      <c r="H578" s="144"/>
      <c r="I578" s="9"/>
      <c r="J578" s="9"/>
      <c r="K578" s="9"/>
      <c r="L578" s="27"/>
      <c r="M578" s="27"/>
      <c r="N578" s="27"/>
      <c r="O578" s="145"/>
      <c r="P578" s="145"/>
      <c r="Q578" s="146"/>
      <c r="R578" s="146"/>
      <c r="S578" s="91"/>
      <c r="T578" s="91"/>
      <c r="U578" s="147"/>
    </row>
    <row r="579" spans="2:21">
      <c r="B579" s="292"/>
      <c r="C579" s="19">
        <v>1.1666666666666701</v>
      </c>
      <c r="D579" s="5"/>
      <c r="E579" s="11"/>
      <c r="F579" s="10"/>
      <c r="G579" s="10"/>
      <c r="H579" s="144"/>
      <c r="I579" s="9"/>
      <c r="J579" s="9"/>
      <c r="K579" s="9"/>
      <c r="L579" s="27"/>
      <c r="M579" s="27"/>
      <c r="N579" s="27"/>
      <c r="O579" s="145"/>
      <c r="P579" s="145"/>
      <c r="Q579" s="146"/>
      <c r="R579" s="146"/>
      <c r="S579" s="91"/>
      <c r="T579" s="91"/>
      <c r="U579" s="147"/>
    </row>
    <row r="580" spans="2:21">
      <c r="B580" s="292"/>
      <c r="C580" s="19">
        <v>1.2083333333333299</v>
      </c>
      <c r="D580" s="5"/>
      <c r="E580" s="11"/>
      <c r="F580" s="10"/>
      <c r="G580" s="10"/>
      <c r="H580" s="144"/>
      <c r="I580" s="9"/>
      <c r="J580" s="9"/>
      <c r="K580" s="9"/>
      <c r="L580" s="27"/>
      <c r="M580" s="27"/>
      <c r="N580" s="27"/>
      <c r="O580" s="145"/>
      <c r="P580" s="145"/>
      <c r="Q580" s="146"/>
      <c r="R580" s="146"/>
      <c r="S580" s="91"/>
      <c r="T580" s="91"/>
      <c r="U580" s="147"/>
    </row>
    <row r="581" spans="2:21">
      <c r="B581" s="292"/>
      <c r="C581" s="19">
        <v>1.25</v>
      </c>
      <c r="D581" s="5"/>
      <c r="E581" s="11"/>
      <c r="F581" s="10"/>
      <c r="G581" s="10"/>
      <c r="H581" s="144"/>
      <c r="I581" s="9"/>
      <c r="J581" s="9"/>
      <c r="K581" s="9"/>
      <c r="L581" s="27"/>
      <c r="M581" s="27"/>
      <c r="N581" s="27"/>
      <c r="O581" s="145"/>
      <c r="P581" s="145"/>
      <c r="Q581" s="146"/>
      <c r="R581" s="146"/>
      <c r="S581" s="91"/>
      <c r="T581" s="91"/>
      <c r="U581" s="147"/>
    </row>
    <row r="582" spans="2:21">
      <c r="B582" s="292"/>
      <c r="C582" s="19">
        <v>1.2916666666666701</v>
      </c>
      <c r="D582" s="5"/>
      <c r="E582" s="11"/>
      <c r="F582" s="10"/>
      <c r="G582" s="10"/>
      <c r="H582" s="144"/>
      <c r="I582" s="9"/>
      <c r="J582" s="9"/>
      <c r="K582" s="9"/>
      <c r="L582" s="27"/>
      <c r="M582" s="27"/>
      <c r="N582" s="27"/>
      <c r="O582" s="145"/>
      <c r="P582" s="145"/>
      <c r="Q582" s="146"/>
      <c r="R582" s="146"/>
      <c r="S582" s="91"/>
      <c r="T582" s="91"/>
      <c r="U582" s="147"/>
    </row>
    <row r="583" spans="2:21">
      <c r="B583" s="293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48">
        <f t="shared" ref="O583:T583" si="21">IFERROR(AVERAGE(O558:O582),0)</f>
        <v>0</v>
      </c>
      <c r="P583" s="148">
        <f t="shared" si="21"/>
        <v>0</v>
      </c>
      <c r="Q583" s="148">
        <f t="shared" si="21"/>
        <v>0</v>
      </c>
      <c r="R583" s="148">
        <f t="shared" si="21"/>
        <v>0</v>
      </c>
      <c r="S583" s="148">
        <f t="shared" si="21"/>
        <v>0</v>
      </c>
      <c r="T583" s="148">
        <f t="shared" si="21"/>
        <v>0</v>
      </c>
      <c r="U583" s="148">
        <f>COUNT(U558:U582)</f>
        <v>0</v>
      </c>
    </row>
    <row r="584" spans="2:21">
      <c r="B584" s="291">
        <f>'DATA B1'!B584</f>
        <v>46045</v>
      </c>
      <c r="C584" s="19">
        <v>0.29166666666666669</v>
      </c>
      <c r="D584" s="5"/>
      <c r="E584" s="11"/>
      <c r="F584" s="10"/>
      <c r="G584" s="144"/>
      <c r="H584" s="144"/>
      <c r="I584" s="9"/>
      <c r="J584" s="9"/>
      <c r="K584" s="9"/>
      <c r="L584" s="27"/>
      <c r="M584" s="27"/>
      <c r="N584" s="27"/>
      <c r="O584" s="145"/>
      <c r="P584" s="145"/>
      <c r="Q584" s="146"/>
      <c r="R584" s="146"/>
      <c r="S584" s="91"/>
      <c r="T584" s="91"/>
      <c r="U584" s="147"/>
    </row>
    <row r="585" spans="2:21">
      <c r="B585" s="292"/>
      <c r="C585" s="19">
        <v>0.33333333333333298</v>
      </c>
      <c r="D585" s="5"/>
      <c r="E585" s="11"/>
      <c r="F585" s="10"/>
      <c r="G585" s="144"/>
      <c r="H585" s="144"/>
      <c r="I585" s="9"/>
      <c r="J585" s="9"/>
      <c r="K585" s="9"/>
      <c r="L585" s="27"/>
      <c r="M585" s="27"/>
      <c r="N585" s="27"/>
      <c r="O585" s="145"/>
      <c r="P585" s="145"/>
      <c r="Q585" s="146"/>
      <c r="R585" s="146"/>
      <c r="S585" s="91"/>
      <c r="T585" s="91"/>
      <c r="U585" s="147"/>
    </row>
    <row r="586" spans="2:21">
      <c r="B586" s="292"/>
      <c r="C586" s="19">
        <v>0.375</v>
      </c>
      <c r="D586" s="5"/>
      <c r="E586" s="11"/>
      <c r="F586" s="10"/>
      <c r="G586" s="144"/>
      <c r="H586" s="144"/>
      <c r="I586" s="9"/>
      <c r="J586" s="9"/>
      <c r="K586" s="9"/>
      <c r="L586" s="27"/>
      <c r="M586" s="27"/>
      <c r="N586" s="27"/>
      <c r="O586" s="145"/>
      <c r="P586" s="145"/>
      <c r="Q586" s="146"/>
      <c r="R586" s="146"/>
      <c r="S586" s="91"/>
      <c r="T586" s="91"/>
      <c r="U586" s="147"/>
    </row>
    <row r="587" spans="2:21">
      <c r="B587" s="292"/>
      <c r="C587" s="19">
        <v>0.41666666666666702</v>
      </c>
      <c r="D587" s="5"/>
      <c r="E587" s="11"/>
      <c r="F587" s="10"/>
      <c r="G587" s="144"/>
      <c r="H587" s="144"/>
      <c r="I587" s="9"/>
      <c r="J587" s="9"/>
      <c r="K587" s="9"/>
      <c r="L587" s="27"/>
      <c r="M587" s="27"/>
      <c r="N587" s="27"/>
      <c r="O587" s="145"/>
      <c r="P587" s="145"/>
      <c r="Q587" s="146"/>
      <c r="R587" s="146"/>
      <c r="S587" s="91"/>
      <c r="T587" s="91"/>
      <c r="U587" s="147"/>
    </row>
    <row r="588" spans="2:21">
      <c r="B588" s="292"/>
      <c r="C588" s="19">
        <v>0.45833333333333298</v>
      </c>
      <c r="D588" s="5"/>
      <c r="E588" s="11"/>
      <c r="F588" s="10"/>
      <c r="G588" s="144"/>
      <c r="H588" s="144"/>
      <c r="I588" s="9"/>
      <c r="J588" s="9"/>
      <c r="K588" s="9"/>
      <c r="L588" s="27"/>
      <c r="M588" s="27"/>
      <c r="N588" s="27"/>
      <c r="O588" s="145"/>
      <c r="P588" s="145"/>
      <c r="Q588" s="146"/>
      <c r="R588" s="146"/>
      <c r="S588" s="91"/>
      <c r="T588" s="91"/>
      <c r="U588" s="147"/>
    </row>
    <row r="589" spans="2:21">
      <c r="B589" s="292"/>
      <c r="C589" s="19">
        <v>0.5</v>
      </c>
      <c r="D589" s="5"/>
      <c r="E589" s="11"/>
      <c r="F589" s="10"/>
      <c r="G589" s="144"/>
      <c r="H589" s="144"/>
      <c r="I589" s="9"/>
      <c r="J589" s="9"/>
      <c r="K589" s="9"/>
      <c r="L589" s="27"/>
      <c r="M589" s="27"/>
      <c r="N589" s="27"/>
      <c r="O589" s="145"/>
      <c r="P589" s="145"/>
      <c r="Q589" s="146"/>
      <c r="R589" s="146"/>
      <c r="S589" s="91"/>
      <c r="T589" s="91"/>
      <c r="U589" s="147"/>
    </row>
    <row r="590" spans="2:21">
      <c r="B590" s="292"/>
      <c r="C590" s="19">
        <v>0.54166666666666696</v>
      </c>
      <c r="D590" s="5"/>
      <c r="E590" s="11"/>
      <c r="F590" s="10"/>
      <c r="G590" s="144"/>
      <c r="H590" s="144"/>
      <c r="I590" s="9"/>
      <c r="J590" s="9"/>
      <c r="K590" s="9"/>
      <c r="L590" s="27"/>
      <c r="M590" s="27"/>
      <c r="N590" s="27"/>
      <c r="O590" s="145"/>
      <c r="P590" s="145"/>
      <c r="Q590" s="146"/>
      <c r="R590" s="146"/>
      <c r="S590" s="91"/>
      <c r="T590" s="91"/>
      <c r="U590" s="147"/>
    </row>
    <row r="591" spans="2:21">
      <c r="B591" s="292"/>
      <c r="C591" s="19">
        <v>0.58333333333333304</v>
      </c>
      <c r="D591" s="5"/>
      <c r="E591" s="11"/>
      <c r="F591" s="10"/>
      <c r="G591" s="144"/>
      <c r="H591" s="144"/>
      <c r="I591" s="9"/>
      <c r="J591" s="9"/>
      <c r="K591" s="9"/>
      <c r="L591" s="27"/>
      <c r="M591" s="27"/>
      <c r="N591" s="27"/>
      <c r="O591" s="145"/>
      <c r="P591" s="145"/>
      <c r="Q591" s="146"/>
      <c r="R591" s="146"/>
      <c r="S591" s="91"/>
      <c r="T591" s="91"/>
      <c r="U591" s="149"/>
    </row>
    <row r="592" spans="2:21">
      <c r="B592" s="292"/>
      <c r="C592" s="19">
        <v>0.625</v>
      </c>
      <c r="D592" s="5"/>
      <c r="E592" s="11"/>
      <c r="F592" s="10"/>
      <c r="G592" s="144"/>
      <c r="H592" s="144"/>
      <c r="I592" s="9"/>
      <c r="J592" s="9"/>
      <c r="K592" s="9"/>
      <c r="L592" s="27"/>
      <c r="M592" s="27"/>
      <c r="N592" s="27"/>
      <c r="O592" s="145"/>
      <c r="P592" s="145"/>
      <c r="Q592" s="146"/>
      <c r="R592" s="146"/>
      <c r="S592" s="91"/>
      <c r="T592" s="91"/>
      <c r="U592" s="147"/>
    </row>
    <row r="593" spans="2:21">
      <c r="B593" s="292"/>
      <c r="C593" s="19">
        <v>0.66666666666666696</v>
      </c>
      <c r="D593" s="5"/>
      <c r="E593" s="11"/>
      <c r="F593" s="10"/>
      <c r="G593" s="144"/>
      <c r="H593" s="144"/>
      <c r="I593" s="9"/>
      <c r="J593" s="9"/>
      <c r="K593" s="9"/>
      <c r="L593" s="27"/>
      <c r="M593" s="27"/>
      <c r="N593" s="27"/>
      <c r="O593" s="145"/>
      <c r="P593" s="145"/>
      <c r="Q593" s="146"/>
      <c r="R593" s="146"/>
      <c r="S593" s="91"/>
      <c r="T593" s="91"/>
      <c r="U593" s="147"/>
    </row>
    <row r="594" spans="2:21">
      <c r="B594" s="292"/>
      <c r="C594" s="19">
        <v>0.70833333333333304</v>
      </c>
      <c r="D594" s="5"/>
      <c r="E594" s="11"/>
      <c r="F594" s="10"/>
      <c r="G594" s="144"/>
      <c r="H594" s="144"/>
      <c r="I594" s="9"/>
      <c r="J594" s="9"/>
      <c r="K594" s="9"/>
      <c r="L594" s="27"/>
      <c r="M594" s="27"/>
      <c r="N594" s="27"/>
      <c r="O594" s="145"/>
      <c r="P594" s="145"/>
      <c r="Q594" s="146"/>
      <c r="R594" s="146"/>
      <c r="S594" s="91"/>
      <c r="T594" s="91"/>
      <c r="U594" s="147"/>
    </row>
    <row r="595" spans="2:21">
      <c r="B595" s="292"/>
      <c r="C595" s="19">
        <v>0.75</v>
      </c>
      <c r="D595" s="5"/>
      <c r="E595" s="11"/>
      <c r="F595" s="10"/>
      <c r="G595" s="144"/>
      <c r="H595" s="144"/>
      <c r="I595" s="9"/>
      <c r="J595" s="9"/>
      <c r="K595" s="9"/>
      <c r="L595" s="27"/>
      <c r="M595" s="27"/>
      <c r="N595" s="27"/>
      <c r="O595" s="145"/>
      <c r="P595" s="145"/>
      <c r="Q595" s="146"/>
      <c r="R595" s="146"/>
      <c r="S595" s="91"/>
      <c r="T595" s="91"/>
      <c r="U595" s="147"/>
    </row>
    <row r="596" spans="2:21">
      <c r="B596" s="292"/>
      <c r="C596" s="19">
        <v>0.79166666666666696</v>
      </c>
      <c r="D596" s="5"/>
      <c r="E596" s="11"/>
      <c r="F596" s="10"/>
      <c r="G596" s="144"/>
      <c r="H596" s="144"/>
      <c r="I596" s="9"/>
      <c r="J596" s="9"/>
      <c r="K596" s="9"/>
      <c r="L596" s="27"/>
      <c r="M596" s="27"/>
      <c r="N596" s="27"/>
      <c r="O596" s="145"/>
      <c r="P596" s="145"/>
      <c r="Q596" s="146"/>
      <c r="R596" s="146"/>
      <c r="S596" s="91"/>
      <c r="T596" s="91"/>
      <c r="U596" s="147"/>
    </row>
    <row r="597" spans="2:21">
      <c r="B597" s="292"/>
      <c r="C597" s="19">
        <v>0.83333333333333304</v>
      </c>
      <c r="D597" s="5"/>
      <c r="E597" s="11"/>
      <c r="F597" s="10"/>
      <c r="G597" s="144"/>
      <c r="H597" s="144"/>
      <c r="I597" s="9"/>
      <c r="J597" s="9"/>
      <c r="K597" s="9"/>
      <c r="L597" s="27"/>
      <c r="M597" s="27"/>
      <c r="N597" s="27"/>
      <c r="O597" s="145"/>
      <c r="P597" s="145"/>
      <c r="Q597" s="146"/>
      <c r="R597" s="146"/>
      <c r="S597" s="91"/>
      <c r="T597" s="91"/>
      <c r="U597" s="147"/>
    </row>
    <row r="598" spans="2:21">
      <c r="B598" s="292"/>
      <c r="C598" s="19">
        <v>0.875</v>
      </c>
      <c r="D598" s="5"/>
      <c r="E598" s="11"/>
      <c r="F598" s="10"/>
      <c r="G598" s="144"/>
      <c r="H598" s="144"/>
      <c r="I598" s="9"/>
      <c r="J598" s="9"/>
      <c r="K598" s="9"/>
      <c r="L598" s="27"/>
      <c r="M598" s="27"/>
      <c r="N598" s="27"/>
      <c r="O598" s="145"/>
      <c r="P598" s="145"/>
      <c r="Q598" s="146"/>
      <c r="R598" s="146"/>
      <c r="S598" s="91"/>
      <c r="T598" s="91"/>
      <c r="U598" s="147"/>
    </row>
    <row r="599" spans="2:21">
      <c r="B599" s="292"/>
      <c r="C599" s="19">
        <v>0.91666666666666696</v>
      </c>
      <c r="D599" s="5"/>
      <c r="E599" s="11"/>
      <c r="F599" s="10"/>
      <c r="G599" s="10"/>
      <c r="H599" s="144"/>
      <c r="I599" s="9"/>
      <c r="J599" s="9"/>
      <c r="K599" s="9"/>
      <c r="L599" s="27"/>
      <c r="M599" s="27"/>
      <c r="N599" s="27"/>
      <c r="O599" s="145"/>
      <c r="P599" s="145"/>
      <c r="Q599" s="146"/>
      <c r="R599" s="146"/>
      <c r="S599" s="91"/>
      <c r="T599" s="91"/>
      <c r="U599" s="147"/>
    </row>
    <row r="600" spans="2:21">
      <c r="B600" s="292"/>
      <c r="C600" s="19">
        <v>0.95833333333333304</v>
      </c>
      <c r="D600" s="5"/>
      <c r="E600" s="11"/>
      <c r="F600" s="10"/>
      <c r="G600" s="10"/>
      <c r="H600" s="144"/>
      <c r="I600" s="9"/>
      <c r="J600" s="9"/>
      <c r="K600" s="9"/>
      <c r="L600" s="27"/>
      <c r="M600" s="27"/>
      <c r="N600" s="27"/>
      <c r="O600" s="145"/>
      <c r="P600" s="145"/>
      <c r="Q600" s="146"/>
      <c r="R600" s="146"/>
      <c r="S600" s="91"/>
      <c r="T600" s="91"/>
      <c r="U600" s="147"/>
    </row>
    <row r="601" spans="2:21">
      <c r="B601" s="292"/>
      <c r="C601" s="19">
        <v>1</v>
      </c>
      <c r="D601" s="5"/>
      <c r="E601" s="11"/>
      <c r="F601" s="10"/>
      <c r="G601" s="10"/>
      <c r="H601" s="144"/>
      <c r="I601" s="9"/>
      <c r="J601" s="9"/>
      <c r="K601" s="9"/>
      <c r="L601" s="27"/>
      <c r="M601" s="27"/>
      <c r="N601" s="27"/>
      <c r="O601" s="145"/>
      <c r="P601" s="145"/>
      <c r="Q601" s="146"/>
      <c r="R601" s="146"/>
      <c r="S601" s="91"/>
      <c r="T601" s="91"/>
      <c r="U601" s="147"/>
    </row>
    <row r="602" spans="2:21">
      <c r="B602" s="292"/>
      <c r="C602" s="19">
        <v>1.0416666666666701</v>
      </c>
      <c r="D602" s="5"/>
      <c r="E602" s="11"/>
      <c r="F602" s="10"/>
      <c r="G602" s="10"/>
      <c r="H602" s="144"/>
      <c r="I602" s="9"/>
      <c r="J602" s="9"/>
      <c r="K602" s="9"/>
      <c r="L602" s="27"/>
      <c r="M602" s="27"/>
      <c r="N602" s="27"/>
      <c r="O602" s="145"/>
      <c r="P602" s="145"/>
      <c r="Q602" s="146"/>
      <c r="R602" s="146"/>
      <c r="S602" s="91"/>
      <c r="T602" s="91"/>
      <c r="U602" s="147"/>
    </row>
    <row r="603" spans="2:21">
      <c r="B603" s="292"/>
      <c r="C603" s="19">
        <v>1.0833333333333299</v>
      </c>
      <c r="D603" s="5"/>
      <c r="E603" s="11"/>
      <c r="F603" s="10"/>
      <c r="G603" s="10"/>
      <c r="H603" s="144"/>
      <c r="I603" s="9"/>
      <c r="J603" s="9"/>
      <c r="K603" s="9"/>
      <c r="L603" s="27"/>
      <c r="M603" s="27"/>
      <c r="N603" s="27"/>
      <c r="O603" s="145"/>
      <c r="P603" s="145"/>
      <c r="Q603" s="146"/>
      <c r="R603" s="146"/>
      <c r="S603" s="91"/>
      <c r="T603" s="91"/>
      <c r="U603" s="147"/>
    </row>
    <row r="604" spans="2:21">
      <c r="B604" s="292"/>
      <c r="C604" s="19">
        <v>1.125</v>
      </c>
      <c r="D604" s="5"/>
      <c r="E604" s="11"/>
      <c r="F604" s="10"/>
      <c r="G604" s="10"/>
      <c r="H604" s="144"/>
      <c r="I604" s="9"/>
      <c r="J604" s="9"/>
      <c r="K604" s="9"/>
      <c r="L604" s="27"/>
      <c r="M604" s="27"/>
      <c r="N604" s="27"/>
      <c r="O604" s="145"/>
      <c r="P604" s="145"/>
      <c r="Q604" s="146"/>
      <c r="R604" s="146"/>
      <c r="S604" s="91"/>
      <c r="T604" s="91"/>
      <c r="U604" s="147"/>
    </row>
    <row r="605" spans="2:21">
      <c r="B605" s="292"/>
      <c r="C605" s="19">
        <v>1.1666666666666701</v>
      </c>
      <c r="D605" s="5"/>
      <c r="E605" s="11"/>
      <c r="F605" s="10"/>
      <c r="G605" s="10"/>
      <c r="H605" s="144"/>
      <c r="I605" s="9"/>
      <c r="J605" s="9"/>
      <c r="K605" s="9"/>
      <c r="L605" s="27"/>
      <c r="M605" s="27"/>
      <c r="N605" s="27"/>
      <c r="O605" s="145"/>
      <c r="P605" s="145"/>
      <c r="Q605" s="146"/>
      <c r="R605" s="146"/>
      <c r="S605" s="91"/>
      <c r="T605" s="91"/>
      <c r="U605" s="147"/>
    </row>
    <row r="606" spans="2:21">
      <c r="B606" s="292"/>
      <c r="C606" s="19">
        <v>1.2083333333333299</v>
      </c>
      <c r="D606" s="5"/>
      <c r="E606" s="11"/>
      <c r="F606" s="10"/>
      <c r="G606" s="10"/>
      <c r="H606" s="144"/>
      <c r="I606" s="9"/>
      <c r="J606" s="9"/>
      <c r="K606" s="9"/>
      <c r="L606" s="27"/>
      <c r="M606" s="27"/>
      <c r="N606" s="27"/>
      <c r="O606" s="145"/>
      <c r="P606" s="145"/>
      <c r="Q606" s="146"/>
      <c r="R606" s="146"/>
      <c r="S606" s="91"/>
      <c r="T606" s="91"/>
      <c r="U606" s="147"/>
    </row>
    <row r="607" spans="2:21">
      <c r="B607" s="292"/>
      <c r="C607" s="19">
        <v>1.25</v>
      </c>
      <c r="D607" s="5"/>
      <c r="E607" s="11"/>
      <c r="F607" s="10"/>
      <c r="G607" s="10"/>
      <c r="H607" s="144"/>
      <c r="I607" s="9"/>
      <c r="J607" s="9"/>
      <c r="K607" s="9"/>
      <c r="L607" s="27"/>
      <c r="M607" s="27"/>
      <c r="N607" s="27"/>
      <c r="O607" s="145"/>
      <c r="P607" s="145"/>
      <c r="Q607" s="146"/>
      <c r="R607" s="146"/>
      <c r="S607" s="91"/>
      <c r="T607" s="91"/>
      <c r="U607" s="147"/>
    </row>
    <row r="608" spans="2:21">
      <c r="B608" s="292"/>
      <c r="C608" s="19">
        <v>1.2916666666666701</v>
      </c>
      <c r="D608" s="5"/>
      <c r="E608" s="11"/>
      <c r="F608" s="10"/>
      <c r="G608" s="10"/>
      <c r="H608" s="144"/>
      <c r="I608" s="9"/>
      <c r="J608" s="9"/>
      <c r="K608" s="9"/>
      <c r="L608" s="27"/>
      <c r="M608" s="27"/>
      <c r="N608" s="27"/>
      <c r="O608" s="145"/>
      <c r="P608" s="145"/>
      <c r="Q608" s="146"/>
      <c r="R608" s="146"/>
      <c r="S608" s="91"/>
      <c r="T608" s="91"/>
      <c r="U608" s="147"/>
    </row>
    <row r="609" spans="2:21">
      <c r="B609" s="293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48">
        <f t="shared" ref="O609:T609" si="22">IFERROR(AVERAGE(O584:O608),0)</f>
        <v>0</v>
      </c>
      <c r="P609" s="148">
        <f t="shared" si="22"/>
        <v>0</v>
      </c>
      <c r="Q609" s="148">
        <f t="shared" si="22"/>
        <v>0</v>
      </c>
      <c r="R609" s="148">
        <f t="shared" si="22"/>
        <v>0</v>
      </c>
      <c r="S609" s="148">
        <f t="shared" si="22"/>
        <v>0</v>
      </c>
      <c r="T609" s="148">
        <f t="shared" si="22"/>
        <v>0</v>
      </c>
      <c r="U609" s="148">
        <f>COUNT(U584:U608)</f>
        <v>0</v>
      </c>
    </row>
    <row r="610" spans="2:21">
      <c r="B610" s="291">
        <f>'DATA B1'!B610</f>
        <v>46046</v>
      </c>
      <c r="C610" s="19">
        <v>0.29166666666666669</v>
      </c>
      <c r="D610" s="5"/>
      <c r="E610" s="11"/>
      <c r="F610" s="10"/>
      <c r="G610" s="144"/>
      <c r="H610" s="144"/>
      <c r="I610" s="9"/>
      <c r="J610" s="9"/>
      <c r="K610" s="9"/>
      <c r="L610" s="27"/>
      <c r="M610" s="27"/>
      <c r="N610" s="27"/>
      <c r="O610" s="145"/>
      <c r="P610" s="145"/>
      <c r="Q610" s="146"/>
      <c r="R610" s="146"/>
      <c r="S610" s="91"/>
      <c r="T610" s="91"/>
      <c r="U610" s="147"/>
    </row>
    <row r="611" spans="2:21">
      <c r="B611" s="292"/>
      <c r="C611" s="19">
        <v>0.33333333333333298</v>
      </c>
      <c r="D611" s="5"/>
      <c r="E611" s="11"/>
      <c r="F611" s="10"/>
      <c r="G611" s="144"/>
      <c r="H611" s="144"/>
      <c r="I611" s="9"/>
      <c r="J611" s="9"/>
      <c r="K611" s="9"/>
      <c r="L611" s="27"/>
      <c r="M611" s="27"/>
      <c r="N611" s="27"/>
      <c r="O611" s="145"/>
      <c r="P611" s="145"/>
      <c r="Q611" s="146"/>
      <c r="R611" s="146"/>
      <c r="S611" s="91"/>
      <c r="T611" s="91"/>
      <c r="U611" s="147"/>
    </row>
    <row r="612" spans="2:21">
      <c r="B612" s="292"/>
      <c r="C612" s="19">
        <v>0.375</v>
      </c>
      <c r="D612" s="5"/>
      <c r="E612" s="11"/>
      <c r="F612" s="10"/>
      <c r="G612" s="144"/>
      <c r="H612" s="144"/>
      <c r="I612" s="9"/>
      <c r="J612" s="9"/>
      <c r="K612" s="9"/>
      <c r="L612" s="27"/>
      <c r="M612" s="27"/>
      <c r="N612" s="27"/>
      <c r="O612" s="145"/>
      <c r="P612" s="145"/>
      <c r="Q612" s="146"/>
      <c r="R612" s="146"/>
      <c r="S612" s="91"/>
      <c r="T612" s="91"/>
      <c r="U612" s="147"/>
    </row>
    <row r="613" spans="2:21">
      <c r="B613" s="292"/>
      <c r="C613" s="19">
        <v>0.41666666666666702</v>
      </c>
      <c r="D613" s="5"/>
      <c r="E613" s="11"/>
      <c r="F613" s="10"/>
      <c r="G613" s="144"/>
      <c r="H613" s="144"/>
      <c r="I613" s="9"/>
      <c r="J613" s="9"/>
      <c r="K613" s="9"/>
      <c r="L613" s="27"/>
      <c r="M613" s="27"/>
      <c r="N613" s="27"/>
      <c r="O613" s="145"/>
      <c r="P613" s="145"/>
      <c r="Q613" s="146"/>
      <c r="R613" s="146"/>
      <c r="S613" s="91"/>
      <c r="T613" s="91"/>
      <c r="U613" s="147"/>
    </row>
    <row r="614" spans="2:21">
      <c r="B614" s="292"/>
      <c r="C614" s="19">
        <v>0.45833333333333298</v>
      </c>
      <c r="D614" s="5"/>
      <c r="E614" s="11"/>
      <c r="F614" s="10"/>
      <c r="G614" s="144"/>
      <c r="H614" s="144"/>
      <c r="I614" s="9"/>
      <c r="J614" s="9"/>
      <c r="K614" s="9"/>
      <c r="L614" s="27"/>
      <c r="M614" s="27"/>
      <c r="N614" s="27"/>
      <c r="O614" s="145"/>
      <c r="P614" s="145"/>
      <c r="Q614" s="146"/>
      <c r="R614" s="146"/>
      <c r="S614" s="91"/>
      <c r="T614" s="91"/>
      <c r="U614" s="147"/>
    </row>
    <row r="615" spans="2:21">
      <c r="B615" s="292"/>
      <c r="C615" s="19">
        <v>0.5</v>
      </c>
      <c r="D615" s="5"/>
      <c r="E615" s="11"/>
      <c r="F615" s="10"/>
      <c r="G615" s="144"/>
      <c r="H615" s="144"/>
      <c r="I615" s="9"/>
      <c r="J615" s="9"/>
      <c r="K615" s="9"/>
      <c r="L615" s="27"/>
      <c r="M615" s="27"/>
      <c r="N615" s="27"/>
      <c r="O615" s="145"/>
      <c r="P615" s="145"/>
      <c r="Q615" s="146"/>
      <c r="R615" s="146"/>
      <c r="S615" s="91"/>
      <c r="T615" s="91"/>
      <c r="U615" s="147"/>
    </row>
    <row r="616" spans="2:21">
      <c r="B616" s="292"/>
      <c r="C616" s="19">
        <v>0.54166666666666696</v>
      </c>
      <c r="D616" s="5"/>
      <c r="E616" s="11"/>
      <c r="F616" s="10"/>
      <c r="G616" s="144"/>
      <c r="H616" s="144"/>
      <c r="I616" s="9"/>
      <c r="J616" s="9"/>
      <c r="K616" s="9"/>
      <c r="L616" s="27"/>
      <c r="M616" s="27"/>
      <c r="N616" s="27"/>
      <c r="O616" s="145"/>
      <c r="P616" s="145"/>
      <c r="Q616" s="146"/>
      <c r="R616" s="146"/>
      <c r="S616" s="91"/>
      <c r="T616" s="91"/>
      <c r="U616" s="147"/>
    </row>
    <row r="617" spans="2:21">
      <c r="B617" s="292"/>
      <c r="C617" s="19">
        <v>0.58333333333333304</v>
      </c>
      <c r="D617" s="5"/>
      <c r="E617" s="11"/>
      <c r="F617" s="10"/>
      <c r="G617" s="144"/>
      <c r="H617" s="144"/>
      <c r="I617" s="9"/>
      <c r="J617" s="9"/>
      <c r="K617" s="9"/>
      <c r="L617" s="27"/>
      <c r="M617" s="27"/>
      <c r="N617" s="27"/>
      <c r="O617" s="145"/>
      <c r="P617" s="145"/>
      <c r="Q617" s="146"/>
      <c r="R617" s="146"/>
      <c r="S617" s="91"/>
      <c r="T617" s="91"/>
      <c r="U617" s="149"/>
    </row>
    <row r="618" spans="2:21">
      <c r="B618" s="292"/>
      <c r="C618" s="19">
        <v>0.625</v>
      </c>
      <c r="D618" s="5"/>
      <c r="E618" s="11"/>
      <c r="F618" s="10"/>
      <c r="G618" s="144"/>
      <c r="H618" s="144"/>
      <c r="I618" s="9"/>
      <c r="J618" s="9"/>
      <c r="K618" s="9"/>
      <c r="L618" s="27"/>
      <c r="M618" s="27"/>
      <c r="N618" s="27"/>
      <c r="O618" s="145"/>
      <c r="P618" s="145"/>
      <c r="Q618" s="146"/>
      <c r="R618" s="146"/>
      <c r="S618" s="91"/>
      <c r="T618" s="91"/>
      <c r="U618" s="147"/>
    </row>
    <row r="619" spans="2:21">
      <c r="B619" s="292"/>
      <c r="C619" s="19">
        <v>0.66666666666666696</v>
      </c>
      <c r="D619" s="5"/>
      <c r="E619" s="11"/>
      <c r="F619" s="10"/>
      <c r="G619" s="144"/>
      <c r="H619" s="144"/>
      <c r="I619" s="9"/>
      <c r="J619" s="9"/>
      <c r="K619" s="9"/>
      <c r="L619" s="27"/>
      <c r="M619" s="27"/>
      <c r="N619" s="27"/>
      <c r="O619" s="145"/>
      <c r="P619" s="145"/>
      <c r="Q619" s="146"/>
      <c r="R619" s="146"/>
      <c r="S619" s="91"/>
      <c r="T619" s="91"/>
      <c r="U619" s="147"/>
    </row>
    <row r="620" spans="2:21">
      <c r="B620" s="292"/>
      <c r="C620" s="19">
        <v>0.70833333333333304</v>
      </c>
      <c r="D620" s="5"/>
      <c r="E620" s="11"/>
      <c r="F620" s="10"/>
      <c r="G620" s="144"/>
      <c r="H620" s="144"/>
      <c r="I620" s="9"/>
      <c r="J620" s="9"/>
      <c r="K620" s="9"/>
      <c r="L620" s="27"/>
      <c r="M620" s="27"/>
      <c r="N620" s="27"/>
      <c r="O620" s="145"/>
      <c r="P620" s="145"/>
      <c r="Q620" s="146"/>
      <c r="R620" s="146"/>
      <c r="S620" s="91"/>
      <c r="T620" s="91"/>
      <c r="U620" s="147"/>
    </row>
    <row r="621" spans="2:21">
      <c r="B621" s="292"/>
      <c r="C621" s="19">
        <v>0.75</v>
      </c>
      <c r="D621" s="5"/>
      <c r="E621" s="11"/>
      <c r="F621" s="10"/>
      <c r="G621" s="144"/>
      <c r="H621" s="144"/>
      <c r="I621" s="9"/>
      <c r="J621" s="9"/>
      <c r="K621" s="9"/>
      <c r="L621" s="27"/>
      <c r="M621" s="27"/>
      <c r="N621" s="27"/>
      <c r="O621" s="145"/>
      <c r="P621" s="145"/>
      <c r="Q621" s="146"/>
      <c r="R621" s="146"/>
      <c r="S621" s="91"/>
      <c r="T621" s="91"/>
      <c r="U621" s="147"/>
    </row>
    <row r="622" spans="2:21">
      <c r="B622" s="292"/>
      <c r="C622" s="19">
        <v>0.79166666666666696</v>
      </c>
      <c r="D622" s="5"/>
      <c r="E622" s="11"/>
      <c r="F622" s="10"/>
      <c r="G622" s="144"/>
      <c r="H622" s="144"/>
      <c r="I622" s="9"/>
      <c r="J622" s="9"/>
      <c r="K622" s="9"/>
      <c r="L622" s="27"/>
      <c r="M622" s="27"/>
      <c r="N622" s="27"/>
      <c r="O622" s="145"/>
      <c r="P622" s="145"/>
      <c r="Q622" s="146"/>
      <c r="R622" s="146"/>
      <c r="S622" s="91"/>
      <c r="T622" s="91"/>
      <c r="U622" s="147"/>
    </row>
    <row r="623" spans="2:21">
      <c r="B623" s="292"/>
      <c r="C623" s="19">
        <v>0.83333333333333304</v>
      </c>
      <c r="D623" s="5"/>
      <c r="E623" s="11"/>
      <c r="F623" s="10"/>
      <c r="G623" s="144"/>
      <c r="H623" s="144"/>
      <c r="I623" s="9"/>
      <c r="J623" s="9"/>
      <c r="K623" s="9"/>
      <c r="L623" s="27"/>
      <c r="M623" s="27"/>
      <c r="N623" s="27"/>
      <c r="O623" s="145"/>
      <c r="P623" s="145"/>
      <c r="Q623" s="146"/>
      <c r="R623" s="146"/>
      <c r="S623" s="91"/>
      <c r="T623" s="91"/>
      <c r="U623" s="147"/>
    </row>
    <row r="624" spans="2:21">
      <c r="B624" s="292"/>
      <c r="C624" s="19">
        <v>0.875</v>
      </c>
      <c r="D624" s="5"/>
      <c r="E624" s="11"/>
      <c r="F624" s="10"/>
      <c r="G624" s="144"/>
      <c r="H624" s="144"/>
      <c r="I624" s="9"/>
      <c r="J624" s="9"/>
      <c r="K624" s="9"/>
      <c r="L624" s="27"/>
      <c r="M624" s="27"/>
      <c r="N624" s="27"/>
      <c r="O624" s="145"/>
      <c r="P624" s="145"/>
      <c r="Q624" s="146"/>
      <c r="R624" s="146"/>
      <c r="S624" s="91"/>
      <c r="T624" s="91"/>
      <c r="U624" s="147"/>
    </row>
    <row r="625" spans="2:21">
      <c r="B625" s="292"/>
      <c r="C625" s="19">
        <v>0.91666666666666696</v>
      </c>
      <c r="D625" s="5"/>
      <c r="E625" s="11"/>
      <c r="F625" s="10"/>
      <c r="G625" s="10"/>
      <c r="H625" s="144"/>
      <c r="I625" s="9"/>
      <c r="J625" s="9"/>
      <c r="K625" s="9"/>
      <c r="L625" s="27"/>
      <c r="M625" s="27"/>
      <c r="N625" s="27"/>
      <c r="O625" s="145"/>
      <c r="P625" s="145"/>
      <c r="Q625" s="146"/>
      <c r="R625" s="146"/>
      <c r="S625" s="91"/>
      <c r="T625" s="91"/>
      <c r="U625" s="147"/>
    </row>
    <row r="626" spans="2:21">
      <c r="B626" s="292"/>
      <c r="C626" s="19">
        <v>0.95833333333333304</v>
      </c>
      <c r="D626" s="5"/>
      <c r="E626" s="11"/>
      <c r="F626" s="10"/>
      <c r="G626" s="10"/>
      <c r="H626" s="144"/>
      <c r="I626" s="9"/>
      <c r="J626" s="9"/>
      <c r="K626" s="9"/>
      <c r="L626" s="27"/>
      <c r="M626" s="27"/>
      <c r="N626" s="27"/>
      <c r="O626" s="145"/>
      <c r="P626" s="145"/>
      <c r="Q626" s="146"/>
      <c r="R626" s="146"/>
      <c r="S626" s="91"/>
      <c r="T626" s="91"/>
      <c r="U626" s="147"/>
    </row>
    <row r="627" spans="2:21">
      <c r="B627" s="292"/>
      <c r="C627" s="19">
        <v>1</v>
      </c>
      <c r="D627" s="5"/>
      <c r="E627" s="11"/>
      <c r="F627" s="10"/>
      <c r="G627" s="10"/>
      <c r="H627" s="144"/>
      <c r="I627" s="9"/>
      <c r="J627" s="9"/>
      <c r="K627" s="9"/>
      <c r="L627" s="27"/>
      <c r="M627" s="27"/>
      <c r="N627" s="27"/>
      <c r="O627" s="145"/>
      <c r="P627" s="145"/>
      <c r="Q627" s="146"/>
      <c r="R627" s="146"/>
      <c r="S627" s="91"/>
      <c r="T627" s="91"/>
      <c r="U627" s="147"/>
    </row>
    <row r="628" spans="2:21">
      <c r="B628" s="292"/>
      <c r="C628" s="19">
        <v>1.0416666666666701</v>
      </c>
      <c r="D628" s="5"/>
      <c r="E628" s="11"/>
      <c r="F628" s="10"/>
      <c r="G628" s="10"/>
      <c r="H628" s="144"/>
      <c r="I628" s="9"/>
      <c r="J628" s="9"/>
      <c r="K628" s="9"/>
      <c r="L628" s="27"/>
      <c r="M628" s="27"/>
      <c r="N628" s="27"/>
      <c r="O628" s="145"/>
      <c r="P628" s="145"/>
      <c r="Q628" s="146"/>
      <c r="R628" s="146"/>
      <c r="S628" s="91"/>
      <c r="T628" s="91"/>
      <c r="U628" s="147"/>
    </row>
    <row r="629" spans="2:21">
      <c r="B629" s="292"/>
      <c r="C629" s="19">
        <v>1.0833333333333299</v>
      </c>
      <c r="D629" s="5"/>
      <c r="E629" s="11"/>
      <c r="F629" s="10"/>
      <c r="G629" s="10"/>
      <c r="H629" s="144"/>
      <c r="I629" s="9"/>
      <c r="J629" s="9"/>
      <c r="K629" s="9"/>
      <c r="L629" s="27"/>
      <c r="M629" s="27"/>
      <c r="N629" s="27"/>
      <c r="O629" s="145"/>
      <c r="P629" s="145"/>
      <c r="Q629" s="146"/>
      <c r="R629" s="146"/>
      <c r="S629" s="91"/>
      <c r="T629" s="91"/>
      <c r="U629" s="147"/>
    </row>
    <row r="630" spans="2:21">
      <c r="B630" s="292"/>
      <c r="C630" s="19">
        <v>1.125</v>
      </c>
      <c r="D630" s="5"/>
      <c r="E630" s="11"/>
      <c r="F630" s="10"/>
      <c r="G630" s="10"/>
      <c r="H630" s="144"/>
      <c r="I630" s="9"/>
      <c r="J630" s="9"/>
      <c r="K630" s="9"/>
      <c r="L630" s="27"/>
      <c r="M630" s="27"/>
      <c r="N630" s="27"/>
      <c r="O630" s="145"/>
      <c r="P630" s="145"/>
      <c r="Q630" s="146"/>
      <c r="R630" s="146"/>
      <c r="S630" s="91"/>
      <c r="T630" s="91"/>
      <c r="U630" s="147"/>
    </row>
    <row r="631" spans="2:21">
      <c r="B631" s="292"/>
      <c r="C631" s="19">
        <v>1.1666666666666701</v>
      </c>
      <c r="D631" s="5"/>
      <c r="E631" s="11"/>
      <c r="F631" s="10"/>
      <c r="G631" s="10"/>
      <c r="H631" s="144"/>
      <c r="I631" s="9"/>
      <c r="J631" s="9"/>
      <c r="K631" s="9"/>
      <c r="L631" s="27"/>
      <c r="M631" s="27"/>
      <c r="N631" s="27"/>
      <c r="O631" s="145"/>
      <c r="P631" s="145"/>
      <c r="Q631" s="146"/>
      <c r="R631" s="146"/>
      <c r="S631" s="91"/>
      <c r="T631" s="91"/>
      <c r="U631" s="147"/>
    </row>
    <row r="632" spans="2:21">
      <c r="B632" s="292"/>
      <c r="C632" s="19">
        <v>1.2083333333333299</v>
      </c>
      <c r="D632" s="5"/>
      <c r="E632" s="11"/>
      <c r="F632" s="10"/>
      <c r="G632" s="10"/>
      <c r="H632" s="144"/>
      <c r="I632" s="9"/>
      <c r="J632" s="9"/>
      <c r="K632" s="9"/>
      <c r="L632" s="27"/>
      <c r="M632" s="27"/>
      <c r="N632" s="27"/>
      <c r="O632" s="145"/>
      <c r="P632" s="145"/>
      <c r="Q632" s="146"/>
      <c r="R632" s="146"/>
      <c r="S632" s="91"/>
      <c r="T632" s="91"/>
      <c r="U632" s="147"/>
    </row>
    <row r="633" spans="2:21">
      <c r="B633" s="292"/>
      <c r="C633" s="19">
        <v>1.25</v>
      </c>
      <c r="D633" s="5"/>
      <c r="E633" s="11"/>
      <c r="F633" s="10"/>
      <c r="G633" s="10"/>
      <c r="H633" s="144"/>
      <c r="I633" s="9"/>
      <c r="J633" s="9"/>
      <c r="K633" s="9"/>
      <c r="L633" s="27"/>
      <c r="M633" s="27"/>
      <c r="N633" s="27"/>
      <c r="O633" s="145"/>
      <c r="P633" s="145"/>
      <c r="Q633" s="146"/>
      <c r="R633" s="146"/>
      <c r="S633" s="91"/>
      <c r="T633" s="91"/>
      <c r="U633" s="147"/>
    </row>
    <row r="634" spans="2:21">
      <c r="B634" s="292"/>
      <c r="C634" s="19">
        <v>1.2916666666666701</v>
      </c>
      <c r="D634" s="5"/>
      <c r="E634" s="11"/>
      <c r="F634" s="10"/>
      <c r="G634" s="10"/>
      <c r="H634" s="144"/>
      <c r="I634" s="9"/>
      <c r="J634" s="9"/>
      <c r="K634" s="9"/>
      <c r="L634" s="27"/>
      <c r="M634" s="27"/>
      <c r="N634" s="27"/>
      <c r="O634" s="145"/>
      <c r="P634" s="145"/>
      <c r="Q634" s="146"/>
      <c r="R634" s="146"/>
      <c r="S634" s="91"/>
      <c r="T634" s="91"/>
      <c r="U634" s="147"/>
    </row>
    <row r="635" spans="2:21">
      <c r="B635" s="293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48">
        <f t="shared" ref="O635:T635" si="23">IFERROR(AVERAGE(O610:O634),0)</f>
        <v>0</v>
      </c>
      <c r="P635" s="148">
        <f t="shared" si="23"/>
        <v>0</v>
      </c>
      <c r="Q635" s="148">
        <f t="shared" si="23"/>
        <v>0</v>
      </c>
      <c r="R635" s="148">
        <f t="shared" si="23"/>
        <v>0</v>
      </c>
      <c r="S635" s="148">
        <f t="shared" si="23"/>
        <v>0</v>
      </c>
      <c r="T635" s="148">
        <f t="shared" si="23"/>
        <v>0</v>
      </c>
      <c r="U635" s="148">
        <f>COUNT(U610:U634)</f>
        <v>0</v>
      </c>
    </row>
    <row r="636" spans="2:21">
      <c r="B636" s="291">
        <f>'DATA B1'!B636</f>
        <v>46047</v>
      </c>
      <c r="C636" s="19">
        <v>0.29166666666666669</v>
      </c>
      <c r="D636" s="5"/>
      <c r="E636" s="11"/>
      <c r="F636" s="10"/>
      <c r="G636" s="144"/>
      <c r="H636" s="144"/>
      <c r="I636" s="9"/>
      <c r="J636" s="9"/>
      <c r="K636" s="9"/>
      <c r="L636" s="27"/>
      <c r="M636" s="27"/>
      <c r="N636" s="27"/>
      <c r="O636" s="145"/>
      <c r="P636" s="145"/>
      <c r="Q636" s="146"/>
      <c r="R636" s="146"/>
      <c r="S636" s="91"/>
      <c r="T636" s="91"/>
      <c r="U636" s="147"/>
    </row>
    <row r="637" spans="2:21">
      <c r="B637" s="292"/>
      <c r="C637" s="19">
        <v>0.33333333333333298</v>
      </c>
      <c r="D637" s="5"/>
      <c r="E637" s="11"/>
      <c r="F637" s="10"/>
      <c r="G637" s="144"/>
      <c r="H637" s="144"/>
      <c r="I637" s="9"/>
      <c r="J637" s="9"/>
      <c r="K637" s="9"/>
      <c r="L637" s="27"/>
      <c r="M637" s="27"/>
      <c r="N637" s="27"/>
      <c r="O637" s="145"/>
      <c r="P637" s="145"/>
      <c r="Q637" s="146"/>
      <c r="R637" s="146"/>
      <c r="S637" s="91"/>
      <c r="T637" s="91"/>
      <c r="U637" s="147"/>
    </row>
    <row r="638" spans="2:21">
      <c r="B638" s="292"/>
      <c r="C638" s="19">
        <v>0.375</v>
      </c>
      <c r="D638" s="5"/>
      <c r="E638" s="11"/>
      <c r="F638" s="10"/>
      <c r="G638" s="144"/>
      <c r="H638" s="144"/>
      <c r="I638" s="9"/>
      <c r="J638" s="9"/>
      <c r="K638" s="9"/>
      <c r="L638" s="27"/>
      <c r="M638" s="27"/>
      <c r="N638" s="27"/>
      <c r="O638" s="145"/>
      <c r="P638" s="145"/>
      <c r="Q638" s="146"/>
      <c r="R638" s="146"/>
      <c r="S638" s="91"/>
      <c r="T638" s="91"/>
      <c r="U638" s="147"/>
    </row>
    <row r="639" spans="2:21">
      <c r="B639" s="292"/>
      <c r="C639" s="19">
        <v>0.41666666666666702</v>
      </c>
      <c r="D639" s="5"/>
      <c r="E639" s="11"/>
      <c r="F639" s="10"/>
      <c r="G639" s="144"/>
      <c r="H639" s="144"/>
      <c r="I639" s="9"/>
      <c r="J639" s="9"/>
      <c r="K639" s="9"/>
      <c r="L639" s="27"/>
      <c r="M639" s="27"/>
      <c r="N639" s="27"/>
      <c r="O639" s="145"/>
      <c r="P639" s="145"/>
      <c r="Q639" s="146"/>
      <c r="R639" s="146"/>
      <c r="S639" s="91"/>
      <c r="T639" s="91"/>
      <c r="U639" s="147"/>
    </row>
    <row r="640" spans="2:21">
      <c r="B640" s="292"/>
      <c r="C640" s="19">
        <v>0.45833333333333298</v>
      </c>
      <c r="D640" s="5"/>
      <c r="E640" s="11"/>
      <c r="F640" s="10"/>
      <c r="G640" s="144"/>
      <c r="H640" s="144"/>
      <c r="I640" s="9"/>
      <c r="J640" s="9"/>
      <c r="K640" s="9"/>
      <c r="L640" s="27"/>
      <c r="M640" s="27"/>
      <c r="N640" s="27"/>
      <c r="O640" s="145"/>
      <c r="P640" s="145"/>
      <c r="Q640" s="146"/>
      <c r="R640" s="146"/>
      <c r="S640" s="91"/>
      <c r="T640" s="91"/>
      <c r="U640" s="147"/>
    </row>
    <row r="641" spans="2:21">
      <c r="B641" s="292"/>
      <c r="C641" s="19">
        <v>0.5</v>
      </c>
      <c r="D641" s="5"/>
      <c r="E641" s="11"/>
      <c r="F641" s="10"/>
      <c r="G641" s="144"/>
      <c r="H641" s="144"/>
      <c r="I641" s="9"/>
      <c r="J641" s="9"/>
      <c r="K641" s="9"/>
      <c r="L641" s="27"/>
      <c r="M641" s="27"/>
      <c r="N641" s="27"/>
      <c r="O641" s="145"/>
      <c r="P641" s="145"/>
      <c r="Q641" s="146"/>
      <c r="R641" s="146"/>
      <c r="S641" s="91"/>
      <c r="T641" s="91"/>
      <c r="U641" s="147"/>
    </row>
    <row r="642" spans="2:21">
      <c r="B642" s="292"/>
      <c r="C642" s="19">
        <v>0.54166666666666696</v>
      </c>
      <c r="D642" s="5"/>
      <c r="E642" s="11"/>
      <c r="F642" s="10"/>
      <c r="G642" s="144"/>
      <c r="H642" s="144"/>
      <c r="I642" s="9"/>
      <c r="J642" s="9"/>
      <c r="K642" s="9"/>
      <c r="L642" s="27"/>
      <c r="M642" s="27"/>
      <c r="N642" s="27"/>
      <c r="O642" s="145"/>
      <c r="P642" s="145"/>
      <c r="Q642" s="146"/>
      <c r="R642" s="146"/>
      <c r="S642" s="91"/>
      <c r="T642" s="91"/>
      <c r="U642" s="147"/>
    </row>
    <row r="643" spans="2:21">
      <c r="B643" s="292"/>
      <c r="C643" s="19">
        <v>0.58333333333333304</v>
      </c>
      <c r="D643" s="5"/>
      <c r="E643" s="11"/>
      <c r="F643" s="10"/>
      <c r="G643" s="144"/>
      <c r="H643" s="144"/>
      <c r="I643" s="9"/>
      <c r="J643" s="9"/>
      <c r="K643" s="9"/>
      <c r="L643" s="27"/>
      <c r="M643" s="27"/>
      <c r="N643" s="27"/>
      <c r="O643" s="145"/>
      <c r="P643" s="145"/>
      <c r="Q643" s="146"/>
      <c r="R643" s="146"/>
      <c r="S643" s="91"/>
      <c r="T643" s="91"/>
      <c r="U643" s="149"/>
    </row>
    <row r="644" spans="2:21">
      <c r="B644" s="292"/>
      <c r="C644" s="19">
        <v>0.625</v>
      </c>
      <c r="D644" s="5"/>
      <c r="E644" s="11"/>
      <c r="F644" s="10"/>
      <c r="G644" s="144"/>
      <c r="H644" s="144"/>
      <c r="I644" s="9"/>
      <c r="J644" s="9"/>
      <c r="K644" s="9"/>
      <c r="L644" s="27"/>
      <c r="M644" s="27"/>
      <c r="N644" s="27"/>
      <c r="O644" s="145"/>
      <c r="P644" s="145"/>
      <c r="Q644" s="146"/>
      <c r="R644" s="146"/>
      <c r="S644" s="91"/>
      <c r="T644" s="91"/>
      <c r="U644" s="147"/>
    </row>
    <row r="645" spans="2:21">
      <c r="B645" s="292"/>
      <c r="C645" s="19">
        <v>0.66666666666666696</v>
      </c>
      <c r="D645" s="5"/>
      <c r="E645" s="11"/>
      <c r="F645" s="10"/>
      <c r="G645" s="144"/>
      <c r="H645" s="144"/>
      <c r="I645" s="9"/>
      <c r="J645" s="9"/>
      <c r="K645" s="9"/>
      <c r="L645" s="27"/>
      <c r="M645" s="27"/>
      <c r="N645" s="27"/>
      <c r="O645" s="145"/>
      <c r="P645" s="145"/>
      <c r="Q645" s="146"/>
      <c r="R645" s="146"/>
      <c r="S645" s="91"/>
      <c r="T645" s="91"/>
      <c r="U645" s="147"/>
    </row>
    <row r="646" spans="2:21">
      <c r="B646" s="292"/>
      <c r="C646" s="19">
        <v>0.70833333333333304</v>
      </c>
      <c r="D646" s="5"/>
      <c r="E646" s="11"/>
      <c r="F646" s="10"/>
      <c r="G646" s="144"/>
      <c r="H646" s="144"/>
      <c r="I646" s="9"/>
      <c r="J646" s="9"/>
      <c r="K646" s="9"/>
      <c r="L646" s="27"/>
      <c r="M646" s="27"/>
      <c r="N646" s="27"/>
      <c r="O646" s="145"/>
      <c r="P646" s="145"/>
      <c r="Q646" s="146"/>
      <c r="R646" s="146"/>
      <c r="S646" s="91"/>
      <c r="T646" s="91"/>
      <c r="U646" s="147"/>
    </row>
    <row r="647" spans="2:21">
      <c r="B647" s="292"/>
      <c r="C647" s="19">
        <v>0.75</v>
      </c>
      <c r="D647" s="5"/>
      <c r="E647" s="11"/>
      <c r="F647" s="10"/>
      <c r="G647" s="144"/>
      <c r="H647" s="144"/>
      <c r="I647" s="9"/>
      <c r="J647" s="9"/>
      <c r="K647" s="9"/>
      <c r="L647" s="27"/>
      <c r="M647" s="27"/>
      <c r="N647" s="27"/>
      <c r="O647" s="145"/>
      <c r="P647" s="145"/>
      <c r="Q647" s="146"/>
      <c r="R647" s="146"/>
      <c r="S647" s="91"/>
      <c r="T647" s="91"/>
      <c r="U647" s="147"/>
    </row>
    <row r="648" spans="2:21">
      <c r="B648" s="292"/>
      <c r="C648" s="19">
        <v>0.79166666666666696</v>
      </c>
      <c r="D648" s="5"/>
      <c r="E648" s="11"/>
      <c r="F648" s="10"/>
      <c r="G648" s="144"/>
      <c r="H648" s="144"/>
      <c r="I648" s="9"/>
      <c r="J648" s="9"/>
      <c r="K648" s="9"/>
      <c r="L648" s="27"/>
      <c r="M648" s="27"/>
      <c r="N648" s="27"/>
      <c r="O648" s="145"/>
      <c r="P648" s="145"/>
      <c r="Q648" s="146"/>
      <c r="R648" s="146"/>
      <c r="S648" s="91"/>
      <c r="T648" s="91"/>
      <c r="U648" s="147"/>
    </row>
    <row r="649" spans="2:21">
      <c r="B649" s="292"/>
      <c r="C649" s="19">
        <v>0.83333333333333304</v>
      </c>
      <c r="D649" s="5"/>
      <c r="E649" s="11"/>
      <c r="F649" s="10"/>
      <c r="G649" s="144"/>
      <c r="H649" s="144"/>
      <c r="I649" s="9"/>
      <c r="J649" s="9"/>
      <c r="K649" s="9"/>
      <c r="L649" s="27"/>
      <c r="M649" s="27"/>
      <c r="N649" s="27"/>
      <c r="O649" s="145"/>
      <c r="P649" s="145"/>
      <c r="Q649" s="146"/>
      <c r="R649" s="146"/>
      <c r="S649" s="91"/>
      <c r="T649" s="91"/>
      <c r="U649" s="147"/>
    </row>
    <row r="650" spans="2:21">
      <c r="B650" s="292"/>
      <c r="C650" s="19">
        <v>0.875</v>
      </c>
      <c r="D650" s="5"/>
      <c r="E650" s="11"/>
      <c r="F650" s="10"/>
      <c r="G650" s="144"/>
      <c r="H650" s="144"/>
      <c r="I650" s="9"/>
      <c r="J650" s="9"/>
      <c r="K650" s="9"/>
      <c r="L650" s="27"/>
      <c r="M650" s="27"/>
      <c r="N650" s="27"/>
      <c r="O650" s="145"/>
      <c r="P650" s="145"/>
      <c r="Q650" s="146"/>
      <c r="R650" s="146"/>
      <c r="S650" s="91"/>
      <c r="T650" s="91"/>
      <c r="U650" s="147"/>
    </row>
    <row r="651" spans="2:21">
      <c r="B651" s="292"/>
      <c r="C651" s="19">
        <v>0.91666666666666696</v>
      </c>
      <c r="D651" s="5"/>
      <c r="E651" s="11"/>
      <c r="F651" s="10"/>
      <c r="G651" s="10"/>
      <c r="H651" s="144"/>
      <c r="I651" s="9"/>
      <c r="J651" s="9"/>
      <c r="K651" s="9"/>
      <c r="L651" s="27"/>
      <c r="M651" s="27"/>
      <c r="N651" s="27"/>
      <c r="O651" s="145"/>
      <c r="P651" s="145"/>
      <c r="Q651" s="146"/>
      <c r="R651" s="146"/>
      <c r="S651" s="91"/>
      <c r="T651" s="91"/>
      <c r="U651" s="147"/>
    </row>
    <row r="652" spans="2:21">
      <c r="B652" s="292"/>
      <c r="C652" s="19">
        <v>0.95833333333333304</v>
      </c>
      <c r="D652" s="5"/>
      <c r="E652" s="11"/>
      <c r="F652" s="10"/>
      <c r="G652" s="10"/>
      <c r="H652" s="144"/>
      <c r="I652" s="9"/>
      <c r="J652" s="9"/>
      <c r="K652" s="9"/>
      <c r="L652" s="27"/>
      <c r="M652" s="27"/>
      <c r="N652" s="27"/>
      <c r="O652" s="145"/>
      <c r="P652" s="145"/>
      <c r="Q652" s="146"/>
      <c r="R652" s="146"/>
      <c r="S652" s="91"/>
      <c r="T652" s="91"/>
      <c r="U652" s="147"/>
    </row>
    <row r="653" spans="2:21">
      <c r="B653" s="292"/>
      <c r="C653" s="19">
        <v>1</v>
      </c>
      <c r="D653" s="5"/>
      <c r="E653" s="11"/>
      <c r="F653" s="10"/>
      <c r="G653" s="10"/>
      <c r="H653" s="144"/>
      <c r="I653" s="9"/>
      <c r="J653" s="9"/>
      <c r="K653" s="9"/>
      <c r="L653" s="27"/>
      <c r="M653" s="27"/>
      <c r="N653" s="27"/>
      <c r="O653" s="145"/>
      <c r="P653" s="145"/>
      <c r="Q653" s="146"/>
      <c r="R653" s="146"/>
      <c r="S653" s="91"/>
      <c r="T653" s="91"/>
      <c r="U653" s="147"/>
    </row>
    <row r="654" spans="2:21">
      <c r="B654" s="292"/>
      <c r="C654" s="19">
        <v>1.0416666666666701</v>
      </c>
      <c r="D654" s="5"/>
      <c r="E654" s="11"/>
      <c r="F654" s="10"/>
      <c r="G654" s="10"/>
      <c r="H654" s="144"/>
      <c r="I654" s="9"/>
      <c r="J654" s="9"/>
      <c r="K654" s="9"/>
      <c r="L654" s="27"/>
      <c r="M654" s="27"/>
      <c r="N654" s="27"/>
      <c r="O654" s="145"/>
      <c r="P654" s="145"/>
      <c r="Q654" s="146"/>
      <c r="R654" s="146"/>
      <c r="S654" s="91"/>
      <c r="T654" s="91"/>
      <c r="U654" s="147"/>
    </row>
    <row r="655" spans="2:21">
      <c r="B655" s="292"/>
      <c r="C655" s="19">
        <v>1.0833333333333299</v>
      </c>
      <c r="D655" s="5"/>
      <c r="E655" s="11"/>
      <c r="F655" s="10"/>
      <c r="G655" s="10"/>
      <c r="H655" s="144"/>
      <c r="I655" s="9"/>
      <c r="J655" s="9"/>
      <c r="K655" s="9"/>
      <c r="L655" s="27"/>
      <c r="M655" s="27"/>
      <c r="N655" s="27"/>
      <c r="O655" s="145"/>
      <c r="P655" s="145"/>
      <c r="Q655" s="146"/>
      <c r="R655" s="146"/>
      <c r="S655" s="91"/>
      <c r="T655" s="91"/>
      <c r="U655" s="147"/>
    </row>
    <row r="656" spans="2:21">
      <c r="B656" s="292"/>
      <c r="C656" s="19">
        <v>1.125</v>
      </c>
      <c r="D656" s="5"/>
      <c r="E656" s="11"/>
      <c r="F656" s="10"/>
      <c r="G656" s="10"/>
      <c r="H656" s="144"/>
      <c r="I656" s="9"/>
      <c r="J656" s="9"/>
      <c r="K656" s="9"/>
      <c r="L656" s="27"/>
      <c r="M656" s="27"/>
      <c r="N656" s="27"/>
      <c r="O656" s="145"/>
      <c r="P656" s="145"/>
      <c r="Q656" s="146"/>
      <c r="R656" s="146"/>
      <c r="S656" s="91"/>
      <c r="T656" s="91"/>
      <c r="U656" s="147"/>
    </row>
    <row r="657" spans="2:21">
      <c r="B657" s="292"/>
      <c r="C657" s="19">
        <v>1.1666666666666701</v>
      </c>
      <c r="D657" s="5"/>
      <c r="E657" s="11"/>
      <c r="F657" s="10"/>
      <c r="G657" s="10"/>
      <c r="H657" s="144"/>
      <c r="I657" s="9"/>
      <c r="J657" s="9"/>
      <c r="K657" s="9"/>
      <c r="L657" s="27"/>
      <c r="M657" s="27"/>
      <c r="N657" s="27"/>
      <c r="O657" s="145"/>
      <c r="P657" s="145"/>
      <c r="Q657" s="146"/>
      <c r="R657" s="146"/>
      <c r="S657" s="91"/>
      <c r="T657" s="91"/>
      <c r="U657" s="147"/>
    </row>
    <row r="658" spans="2:21">
      <c r="B658" s="292"/>
      <c r="C658" s="19">
        <v>1.2083333333333299</v>
      </c>
      <c r="D658" s="5"/>
      <c r="E658" s="11"/>
      <c r="F658" s="10"/>
      <c r="G658" s="10"/>
      <c r="H658" s="144"/>
      <c r="I658" s="9"/>
      <c r="J658" s="9"/>
      <c r="K658" s="9"/>
      <c r="L658" s="27"/>
      <c r="M658" s="27"/>
      <c r="N658" s="27"/>
      <c r="O658" s="145"/>
      <c r="P658" s="145"/>
      <c r="Q658" s="146"/>
      <c r="R658" s="146"/>
      <c r="S658" s="91"/>
      <c r="T658" s="91"/>
      <c r="U658" s="147"/>
    </row>
    <row r="659" spans="2:21">
      <c r="B659" s="292"/>
      <c r="C659" s="19">
        <v>1.25</v>
      </c>
      <c r="D659" s="5"/>
      <c r="E659" s="11"/>
      <c r="F659" s="10"/>
      <c r="G659" s="10"/>
      <c r="H659" s="144"/>
      <c r="I659" s="9"/>
      <c r="J659" s="9"/>
      <c r="K659" s="9"/>
      <c r="L659" s="27"/>
      <c r="M659" s="27"/>
      <c r="N659" s="27"/>
      <c r="O659" s="145"/>
      <c r="P659" s="145"/>
      <c r="Q659" s="146"/>
      <c r="R659" s="146"/>
      <c r="S659" s="91"/>
      <c r="T659" s="91"/>
      <c r="U659" s="147"/>
    </row>
    <row r="660" spans="2:21">
      <c r="B660" s="292"/>
      <c r="C660" s="19">
        <v>1.2916666666666701</v>
      </c>
      <c r="D660" s="5"/>
      <c r="E660" s="11"/>
      <c r="F660" s="10"/>
      <c r="G660" s="10"/>
      <c r="H660" s="144"/>
      <c r="I660" s="9"/>
      <c r="J660" s="9"/>
      <c r="K660" s="9"/>
      <c r="L660" s="27"/>
      <c r="M660" s="27"/>
      <c r="N660" s="27"/>
      <c r="O660" s="145"/>
      <c r="P660" s="145"/>
      <c r="Q660" s="146"/>
      <c r="R660" s="146"/>
      <c r="S660" s="91"/>
      <c r="T660" s="91"/>
      <c r="U660" s="147"/>
    </row>
    <row r="661" spans="2:21">
      <c r="B661" s="293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48">
        <f t="shared" ref="O661:T661" si="24">IFERROR(AVERAGE(O636:O660),0)</f>
        <v>0</v>
      </c>
      <c r="P661" s="148">
        <f t="shared" si="24"/>
        <v>0</v>
      </c>
      <c r="Q661" s="148">
        <f t="shared" si="24"/>
        <v>0</v>
      </c>
      <c r="R661" s="148">
        <f t="shared" si="24"/>
        <v>0</v>
      </c>
      <c r="S661" s="148">
        <f t="shared" si="24"/>
        <v>0</v>
      </c>
      <c r="T661" s="148">
        <f t="shared" si="24"/>
        <v>0</v>
      </c>
      <c r="U661" s="148">
        <f>COUNT(U636:U660)</f>
        <v>0</v>
      </c>
    </row>
    <row r="662" spans="2:21">
      <c r="B662" s="291">
        <f>'DATA B1'!B662</f>
        <v>46048</v>
      </c>
      <c r="C662" s="19">
        <v>0.29166666666666669</v>
      </c>
      <c r="D662" s="5"/>
      <c r="E662" s="11"/>
      <c r="F662" s="10"/>
      <c r="G662" s="144"/>
      <c r="H662" s="144"/>
      <c r="I662" s="9"/>
      <c r="J662" s="9"/>
      <c r="K662" s="9"/>
      <c r="L662" s="27"/>
      <c r="M662" s="27"/>
      <c r="N662" s="27"/>
      <c r="O662" s="145"/>
      <c r="P662" s="145"/>
      <c r="Q662" s="146"/>
      <c r="R662" s="146"/>
      <c r="S662" s="91"/>
      <c r="T662" s="91"/>
      <c r="U662" s="147"/>
    </row>
    <row r="663" spans="2:21">
      <c r="B663" s="292"/>
      <c r="C663" s="19">
        <v>0.33333333333333298</v>
      </c>
      <c r="D663" s="5"/>
      <c r="E663" s="11"/>
      <c r="F663" s="10"/>
      <c r="G663" s="144"/>
      <c r="H663" s="144"/>
      <c r="I663" s="9"/>
      <c r="J663" s="9"/>
      <c r="K663" s="9"/>
      <c r="L663" s="27"/>
      <c r="M663" s="27"/>
      <c r="N663" s="27"/>
      <c r="O663" s="145"/>
      <c r="P663" s="145"/>
      <c r="Q663" s="146"/>
      <c r="R663" s="146"/>
      <c r="S663" s="91"/>
      <c r="T663" s="91"/>
      <c r="U663" s="147"/>
    </row>
    <row r="664" spans="2:21">
      <c r="B664" s="292"/>
      <c r="C664" s="19">
        <v>0.375</v>
      </c>
      <c r="D664" s="5"/>
      <c r="E664" s="11"/>
      <c r="F664" s="10"/>
      <c r="G664" s="144"/>
      <c r="H664" s="144"/>
      <c r="I664" s="9"/>
      <c r="J664" s="9"/>
      <c r="K664" s="9"/>
      <c r="L664" s="27"/>
      <c r="M664" s="27"/>
      <c r="N664" s="27"/>
      <c r="O664" s="145"/>
      <c r="P664" s="145"/>
      <c r="Q664" s="146"/>
      <c r="R664" s="146"/>
      <c r="S664" s="91"/>
      <c r="T664" s="91"/>
      <c r="U664" s="147"/>
    </row>
    <row r="665" spans="2:21">
      <c r="B665" s="292"/>
      <c r="C665" s="19">
        <v>0.41666666666666702</v>
      </c>
      <c r="D665" s="5"/>
      <c r="E665" s="11"/>
      <c r="F665" s="10"/>
      <c r="G665" s="144"/>
      <c r="H665" s="144"/>
      <c r="I665" s="9"/>
      <c r="J665" s="9"/>
      <c r="K665" s="9"/>
      <c r="L665" s="27"/>
      <c r="M665" s="27"/>
      <c r="N665" s="27"/>
      <c r="O665" s="145"/>
      <c r="P665" s="145"/>
      <c r="Q665" s="146"/>
      <c r="R665" s="146"/>
      <c r="S665" s="91"/>
      <c r="T665" s="91"/>
      <c r="U665" s="147"/>
    </row>
    <row r="666" spans="2:21">
      <c r="B666" s="292"/>
      <c r="C666" s="19">
        <v>0.45833333333333298</v>
      </c>
      <c r="D666" s="5"/>
      <c r="E666" s="11"/>
      <c r="F666" s="10"/>
      <c r="G666" s="144"/>
      <c r="H666" s="144"/>
      <c r="I666" s="9"/>
      <c r="J666" s="9"/>
      <c r="K666" s="9"/>
      <c r="L666" s="27"/>
      <c r="M666" s="27"/>
      <c r="N666" s="27"/>
      <c r="O666" s="145"/>
      <c r="P666" s="145"/>
      <c r="Q666" s="146"/>
      <c r="R666" s="146"/>
      <c r="S666" s="91"/>
      <c r="T666" s="91"/>
      <c r="U666" s="147"/>
    </row>
    <row r="667" spans="2:21">
      <c r="B667" s="292"/>
      <c r="C667" s="19">
        <v>0.5</v>
      </c>
      <c r="D667" s="5"/>
      <c r="E667" s="11"/>
      <c r="F667" s="10"/>
      <c r="G667" s="144"/>
      <c r="H667" s="144"/>
      <c r="I667" s="9"/>
      <c r="J667" s="9"/>
      <c r="K667" s="9"/>
      <c r="L667" s="27"/>
      <c r="M667" s="27"/>
      <c r="N667" s="27"/>
      <c r="O667" s="145"/>
      <c r="P667" s="145"/>
      <c r="Q667" s="146"/>
      <c r="R667" s="146"/>
      <c r="S667" s="91"/>
      <c r="T667" s="91"/>
      <c r="U667" s="147"/>
    </row>
    <row r="668" spans="2:21">
      <c r="B668" s="292"/>
      <c r="C668" s="19">
        <v>0.54166666666666696</v>
      </c>
      <c r="D668" s="5"/>
      <c r="E668" s="11"/>
      <c r="F668" s="10"/>
      <c r="G668" s="144"/>
      <c r="H668" s="144"/>
      <c r="I668" s="9"/>
      <c r="J668" s="9"/>
      <c r="K668" s="9"/>
      <c r="L668" s="27"/>
      <c r="M668" s="27"/>
      <c r="N668" s="27"/>
      <c r="O668" s="145"/>
      <c r="P668" s="145"/>
      <c r="Q668" s="146"/>
      <c r="R668" s="146"/>
      <c r="S668" s="91"/>
      <c r="T668" s="91"/>
      <c r="U668" s="147"/>
    </row>
    <row r="669" spans="2:21">
      <c r="B669" s="292"/>
      <c r="C669" s="19">
        <v>0.58333333333333304</v>
      </c>
      <c r="D669" s="5"/>
      <c r="E669" s="11"/>
      <c r="F669" s="10"/>
      <c r="G669" s="144"/>
      <c r="H669" s="144"/>
      <c r="I669" s="9"/>
      <c r="J669" s="9"/>
      <c r="K669" s="9"/>
      <c r="L669" s="27"/>
      <c r="M669" s="27"/>
      <c r="N669" s="27"/>
      <c r="O669" s="145"/>
      <c r="P669" s="145"/>
      <c r="Q669" s="146"/>
      <c r="R669" s="146"/>
      <c r="S669" s="91"/>
      <c r="T669" s="91"/>
      <c r="U669" s="149"/>
    </row>
    <row r="670" spans="2:21">
      <c r="B670" s="292"/>
      <c r="C670" s="19">
        <v>0.625</v>
      </c>
      <c r="D670" s="5"/>
      <c r="E670" s="11"/>
      <c r="F670" s="10"/>
      <c r="G670" s="144"/>
      <c r="H670" s="144"/>
      <c r="I670" s="9"/>
      <c r="J670" s="9"/>
      <c r="K670" s="9"/>
      <c r="L670" s="27"/>
      <c r="M670" s="27"/>
      <c r="N670" s="27"/>
      <c r="O670" s="145"/>
      <c r="P670" s="145"/>
      <c r="Q670" s="146"/>
      <c r="R670" s="146"/>
      <c r="S670" s="91"/>
      <c r="T670" s="91"/>
      <c r="U670" s="147"/>
    </row>
    <row r="671" spans="2:21">
      <c r="B671" s="292"/>
      <c r="C671" s="19">
        <v>0.66666666666666696</v>
      </c>
      <c r="D671" s="5"/>
      <c r="E671" s="11"/>
      <c r="F671" s="10"/>
      <c r="G671" s="144"/>
      <c r="H671" s="144"/>
      <c r="I671" s="9"/>
      <c r="J671" s="9"/>
      <c r="K671" s="9"/>
      <c r="L671" s="27"/>
      <c r="M671" s="27"/>
      <c r="N671" s="27"/>
      <c r="O671" s="145"/>
      <c r="P671" s="145"/>
      <c r="Q671" s="146"/>
      <c r="R671" s="146"/>
      <c r="S671" s="91"/>
      <c r="T671" s="91"/>
      <c r="U671" s="147"/>
    </row>
    <row r="672" spans="2:21">
      <c r="B672" s="292"/>
      <c r="C672" s="19">
        <v>0.70833333333333304</v>
      </c>
      <c r="D672" s="5"/>
      <c r="E672" s="11"/>
      <c r="F672" s="10"/>
      <c r="G672" s="144"/>
      <c r="H672" s="144"/>
      <c r="I672" s="9"/>
      <c r="J672" s="9"/>
      <c r="K672" s="9"/>
      <c r="L672" s="27"/>
      <c r="M672" s="27"/>
      <c r="N672" s="27"/>
      <c r="O672" s="145"/>
      <c r="P672" s="145"/>
      <c r="Q672" s="146"/>
      <c r="R672" s="146"/>
      <c r="S672" s="91"/>
      <c r="T672" s="91"/>
      <c r="U672" s="147"/>
    </row>
    <row r="673" spans="2:21">
      <c r="B673" s="292"/>
      <c r="C673" s="19">
        <v>0.75</v>
      </c>
      <c r="D673" s="5"/>
      <c r="E673" s="11"/>
      <c r="F673" s="10"/>
      <c r="G673" s="144"/>
      <c r="H673" s="144"/>
      <c r="I673" s="9"/>
      <c r="J673" s="9"/>
      <c r="K673" s="9"/>
      <c r="L673" s="27"/>
      <c r="M673" s="27"/>
      <c r="N673" s="27"/>
      <c r="O673" s="145"/>
      <c r="P673" s="145"/>
      <c r="Q673" s="146"/>
      <c r="R673" s="146"/>
      <c r="S673" s="91"/>
      <c r="T673" s="91"/>
      <c r="U673" s="147"/>
    </row>
    <row r="674" spans="2:21">
      <c r="B674" s="292"/>
      <c r="C674" s="19">
        <v>0.79166666666666696</v>
      </c>
      <c r="D674" s="5"/>
      <c r="E674" s="11"/>
      <c r="F674" s="10"/>
      <c r="G674" s="144"/>
      <c r="H674" s="144"/>
      <c r="I674" s="9"/>
      <c r="J674" s="9"/>
      <c r="K674" s="9"/>
      <c r="L674" s="27"/>
      <c r="M674" s="27"/>
      <c r="N674" s="27"/>
      <c r="O674" s="145"/>
      <c r="P674" s="145"/>
      <c r="Q674" s="146"/>
      <c r="R674" s="146"/>
      <c r="S674" s="91"/>
      <c r="T674" s="91"/>
      <c r="U674" s="147"/>
    </row>
    <row r="675" spans="2:21">
      <c r="B675" s="292"/>
      <c r="C675" s="19">
        <v>0.83333333333333304</v>
      </c>
      <c r="D675" s="5"/>
      <c r="E675" s="11"/>
      <c r="F675" s="10"/>
      <c r="G675" s="144"/>
      <c r="H675" s="144"/>
      <c r="I675" s="9"/>
      <c r="J675" s="9"/>
      <c r="K675" s="9"/>
      <c r="L675" s="27"/>
      <c r="M675" s="27"/>
      <c r="N675" s="27"/>
      <c r="O675" s="145"/>
      <c r="P675" s="145"/>
      <c r="Q675" s="146"/>
      <c r="R675" s="146"/>
      <c r="S675" s="91"/>
      <c r="T675" s="91"/>
      <c r="U675" s="147"/>
    </row>
    <row r="676" spans="2:21">
      <c r="B676" s="292"/>
      <c r="C676" s="19">
        <v>0.875</v>
      </c>
      <c r="D676" s="5"/>
      <c r="E676" s="11"/>
      <c r="F676" s="10"/>
      <c r="G676" s="144"/>
      <c r="H676" s="144"/>
      <c r="I676" s="9"/>
      <c r="J676" s="9"/>
      <c r="K676" s="9"/>
      <c r="L676" s="27"/>
      <c r="M676" s="27"/>
      <c r="N676" s="27"/>
      <c r="O676" s="145"/>
      <c r="P676" s="145"/>
      <c r="Q676" s="146"/>
      <c r="R676" s="146"/>
      <c r="S676" s="91"/>
      <c r="T676" s="91"/>
      <c r="U676" s="147"/>
    </row>
    <row r="677" spans="2:21">
      <c r="B677" s="292"/>
      <c r="C677" s="19">
        <v>0.91666666666666696</v>
      </c>
      <c r="D677" s="5"/>
      <c r="E677" s="11"/>
      <c r="F677" s="10"/>
      <c r="G677" s="10"/>
      <c r="H677" s="144"/>
      <c r="I677" s="9"/>
      <c r="J677" s="9"/>
      <c r="K677" s="9"/>
      <c r="L677" s="27"/>
      <c r="M677" s="27"/>
      <c r="N677" s="27"/>
      <c r="O677" s="145"/>
      <c r="P677" s="145"/>
      <c r="Q677" s="146"/>
      <c r="R677" s="146"/>
      <c r="S677" s="91"/>
      <c r="T677" s="91"/>
      <c r="U677" s="147"/>
    </row>
    <row r="678" spans="2:21">
      <c r="B678" s="292"/>
      <c r="C678" s="19">
        <v>0.95833333333333304</v>
      </c>
      <c r="D678" s="5"/>
      <c r="E678" s="11"/>
      <c r="F678" s="10"/>
      <c r="G678" s="10"/>
      <c r="H678" s="144"/>
      <c r="I678" s="9"/>
      <c r="J678" s="9"/>
      <c r="K678" s="9"/>
      <c r="L678" s="27"/>
      <c r="M678" s="27"/>
      <c r="N678" s="27"/>
      <c r="O678" s="145"/>
      <c r="P678" s="145"/>
      <c r="Q678" s="146"/>
      <c r="R678" s="146"/>
      <c r="S678" s="91"/>
      <c r="T678" s="91"/>
      <c r="U678" s="147"/>
    </row>
    <row r="679" spans="2:21">
      <c r="B679" s="292"/>
      <c r="C679" s="19">
        <v>1</v>
      </c>
      <c r="D679" s="5"/>
      <c r="E679" s="11"/>
      <c r="F679" s="10"/>
      <c r="G679" s="10"/>
      <c r="H679" s="144"/>
      <c r="I679" s="9"/>
      <c r="J679" s="9"/>
      <c r="K679" s="9"/>
      <c r="L679" s="27"/>
      <c r="M679" s="27"/>
      <c r="N679" s="27"/>
      <c r="O679" s="145"/>
      <c r="P679" s="145"/>
      <c r="Q679" s="146"/>
      <c r="R679" s="146"/>
      <c r="S679" s="91"/>
      <c r="T679" s="91"/>
      <c r="U679" s="147"/>
    </row>
    <row r="680" spans="2:21">
      <c r="B680" s="292"/>
      <c r="C680" s="19">
        <v>1.0416666666666701</v>
      </c>
      <c r="D680" s="5"/>
      <c r="E680" s="11"/>
      <c r="F680" s="10"/>
      <c r="G680" s="10"/>
      <c r="H680" s="144"/>
      <c r="I680" s="9"/>
      <c r="J680" s="9"/>
      <c r="K680" s="9"/>
      <c r="L680" s="27"/>
      <c r="M680" s="27"/>
      <c r="N680" s="27"/>
      <c r="O680" s="145"/>
      <c r="P680" s="145"/>
      <c r="Q680" s="146"/>
      <c r="R680" s="146"/>
      <c r="S680" s="91"/>
      <c r="T680" s="91"/>
      <c r="U680" s="147"/>
    </row>
    <row r="681" spans="2:21">
      <c r="B681" s="292"/>
      <c r="C681" s="19">
        <v>1.0833333333333299</v>
      </c>
      <c r="D681" s="5"/>
      <c r="E681" s="11"/>
      <c r="F681" s="10"/>
      <c r="G681" s="10"/>
      <c r="H681" s="144"/>
      <c r="I681" s="9"/>
      <c r="J681" s="9"/>
      <c r="K681" s="9"/>
      <c r="L681" s="27"/>
      <c r="M681" s="27"/>
      <c r="N681" s="27"/>
      <c r="O681" s="145"/>
      <c r="P681" s="145"/>
      <c r="Q681" s="146"/>
      <c r="R681" s="146"/>
      <c r="S681" s="91"/>
      <c r="T681" s="91"/>
      <c r="U681" s="147"/>
    </row>
    <row r="682" spans="2:21">
      <c r="B682" s="292"/>
      <c r="C682" s="19">
        <v>1.125</v>
      </c>
      <c r="D682" s="5"/>
      <c r="E682" s="11"/>
      <c r="F682" s="10"/>
      <c r="G682" s="10"/>
      <c r="H682" s="144"/>
      <c r="I682" s="9"/>
      <c r="J682" s="9"/>
      <c r="K682" s="9"/>
      <c r="L682" s="27"/>
      <c r="M682" s="27"/>
      <c r="N682" s="27"/>
      <c r="O682" s="145"/>
      <c r="P682" s="145"/>
      <c r="Q682" s="146"/>
      <c r="R682" s="146"/>
      <c r="S682" s="91"/>
      <c r="T682" s="91"/>
      <c r="U682" s="147"/>
    </row>
    <row r="683" spans="2:21">
      <c r="B683" s="292"/>
      <c r="C683" s="19">
        <v>1.1666666666666701</v>
      </c>
      <c r="D683" s="5"/>
      <c r="E683" s="11"/>
      <c r="F683" s="10"/>
      <c r="G683" s="10"/>
      <c r="H683" s="144"/>
      <c r="I683" s="9"/>
      <c r="J683" s="9"/>
      <c r="K683" s="9"/>
      <c r="L683" s="27"/>
      <c r="M683" s="27"/>
      <c r="N683" s="27"/>
      <c r="O683" s="145"/>
      <c r="P683" s="145"/>
      <c r="Q683" s="146"/>
      <c r="R683" s="146"/>
      <c r="S683" s="91"/>
      <c r="T683" s="91"/>
      <c r="U683" s="147"/>
    </row>
    <row r="684" spans="2:21">
      <c r="B684" s="292"/>
      <c r="C684" s="19">
        <v>1.2083333333333299</v>
      </c>
      <c r="D684" s="5"/>
      <c r="E684" s="11"/>
      <c r="F684" s="10"/>
      <c r="G684" s="10"/>
      <c r="H684" s="144"/>
      <c r="I684" s="9"/>
      <c r="J684" s="9"/>
      <c r="K684" s="9"/>
      <c r="L684" s="27"/>
      <c r="M684" s="27"/>
      <c r="N684" s="27"/>
      <c r="O684" s="145"/>
      <c r="P684" s="145"/>
      <c r="Q684" s="146"/>
      <c r="R684" s="146"/>
      <c r="S684" s="91"/>
      <c r="T684" s="91"/>
      <c r="U684" s="147"/>
    </row>
    <row r="685" spans="2:21">
      <c r="B685" s="292"/>
      <c r="C685" s="19">
        <v>1.25</v>
      </c>
      <c r="D685" s="5"/>
      <c r="E685" s="11"/>
      <c r="F685" s="10"/>
      <c r="G685" s="10"/>
      <c r="H685" s="144"/>
      <c r="I685" s="9"/>
      <c r="J685" s="9"/>
      <c r="K685" s="9"/>
      <c r="L685" s="27"/>
      <c r="M685" s="27"/>
      <c r="N685" s="27"/>
      <c r="O685" s="145"/>
      <c r="P685" s="145"/>
      <c r="Q685" s="146"/>
      <c r="R685" s="146"/>
      <c r="S685" s="91"/>
      <c r="T685" s="91"/>
      <c r="U685" s="147"/>
    </row>
    <row r="686" spans="2:21">
      <c r="B686" s="292"/>
      <c r="C686" s="19">
        <v>1.2916666666666701</v>
      </c>
      <c r="D686" s="5"/>
      <c r="E686" s="11"/>
      <c r="F686" s="10"/>
      <c r="G686" s="10"/>
      <c r="H686" s="144"/>
      <c r="I686" s="9"/>
      <c r="J686" s="9"/>
      <c r="K686" s="9"/>
      <c r="L686" s="27"/>
      <c r="M686" s="27"/>
      <c r="N686" s="27"/>
      <c r="O686" s="145"/>
      <c r="P686" s="145"/>
      <c r="Q686" s="146"/>
      <c r="R686" s="146"/>
      <c r="S686" s="91"/>
      <c r="T686" s="91"/>
      <c r="U686" s="147"/>
    </row>
    <row r="687" spans="2:21">
      <c r="B687" s="293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48">
        <f t="shared" ref="O687:T687" si="25">IFERROR(AVERAGE(O662:O686),0)</f>
        <v>0</v>
      </c>
      <c r="P687" s="148">
        <f t="shared" si="25"/>
        <v>0</v>
      </c>
      <c r="Q687" s="148">
        <f t="shared" si="25"/>
        <v>0</v>
      </c>
      <c r="R687" s="148">
        <f t="shared" si="25"/>
        <v>0</v>
      </c>
      <c r="S687" s="148">
        <f t="shared" si="25"/>
        <v>0</v>
      </c>
      <c r="T687" s="148">
        <f t="shared" si="25"/>
        <v>0</v>
      </c>
      <c r="U687" s="148">
        <f>COUNT(U662:U686)</f>
        <v>0</v>
      </c>
    </row>
    <row r="688" spans="2:21">
      <c r="B688" s="291">
        <f>'DATA B1'!B688</f>
        <v>46049</v>
      </c>
      <c r="C688" s="19">
        <v>0.29166666666666669</v>
      </c>
      <c r="D688" s="5"/>
      <c r="E688" s="11"/>
      <c r="F688" s="10"/>
      <c r="G688" s="144"/>
      <c r="H688" s="144"/>
      <c r="I688" s="9"/>
      <c r="J688" s="9"/>
      <c r="K688" s="9"/>
      <c r="L688" s="27"/>
      <c r="M688" s="27"/>
      <c r="N688" s="27"/>
      <c r="O688" s="145"/>
      <c r="P688" s="145"/>
      <c r="Q688" s="146"/>
      <c r="R688" s="146"/>
      <c r="S688" s="91"/>
      <c r="T688" s="91"/>
      <c r="U688" s="147"/>
    </row>
    <row r="689" spans="2:21">
      <c r="B689" s="292"/>
      <c r="C689" s="19">
        <v>0.33333333333333298</v>
      </c>
      <c r="D689" s="5"/>
      <c r="E689" s="11"/>
      <c r="F689" s="10"/>
      <c r="G689" s="144"/>
      <c r="H689" s="144"/>
      <c r="I689" s="9"/>
      <c r="J689" s="9"/>
      <c r="K689" s="9"/>
      <c r="L689" s="27"/>
      <c r="M689" s="27"/>
      <c r="N689" s="27"/>
      <c r="O689" s="145"/>
      <c r="P689" s="145"/>
      <c r="Q689" s="146"/>
      <c r="R689" s="146"/>
      <c r="S689" s="91"/>
      <c r="T689" s="91"/>
      <c r="U689" s="147"/>
    </row>
    <row r="690" spans="2:21">
      <c r="B690" s="292"/>
      <c r="C690" s="19">
        <v>0.375</v>
      </c>
      <c r="D690" s="5"/>
      <c r="E690" s="11"/>
      <c r="F690" s="10"/>
      <c r="G690" s="144"/>
      <c r="H690" s="144"/>
      <c r="I690" s="9"/>
      <c r="J690" s="9"/>
      <c r="K690" s="9"/>
      <c r="L690" s="27"/>
      <c r="M690" s="27"/>
      <c r="N690" s="27"/>
      <c r="O690" s="145"/>
      <c r="P690" s="145"/>
      <c r="Q690" s="146"/>
      <c r="R690" s="146"/>
      <c r="S690" s="91"/>
      <c r="T690" s="91"/>
      <c r="U690" s="147"/>
    </row>
    <row r="691" spans="2:21">
      <c r="B691" s="292"/>
      <c r="C691" s="19">
        <v>0.41666666666666702</v>
      </c>
      <c r="D691" s="5"/>
      <c r="E691" s="11"/>
      <c r="F691" s="10"/>
      <c r="G691" s="144"/>
      <c r="H691" s="144"/>
      <c r="I691" s="9"/>
      <c r="J691" s="9"/>
      <c r="K691" s="9"/>
      <c r="L691" s="27"/>
      <c r="M691" s="27"/>
      <c r="N691" s="27"/>
      <c r="O691" s="145"/>
      <c r="P691" s="145"/>
      <c r="Q691" s="146"/>
      <c r="R691" s="146"/>
      <c r="S691" s="91"/>
      <c r="T691" s="91"/>
      <c r="U691" s="147"/>
    </row>
    <row r="692" spans="2:21">
      <c r="B692" s="292"/>
      <c r="C692" s="19">
        <v>0.45833333333333298</v>
      </c>
      <c r="D692" s="5"/>
      <c r="E692" s="11"/>
      <c r="F692" s="10"/>
      <c r="G692" s="144"/>
      <c r="H692" s="144"/>
      <c r="I692" s="9"/>
      <c r="J692" s="9"/>
      <c r="K692" s="9"/>
      <c r="L692" s="27"/>
      <c r="M692" s="27"/>
      <c r="N692" s="27"/>
      <c r="O692" s="145"/>
      <c r="P692" s="145"/>
      <c r="Q692" s="146"/>
      <c r="R692" s="146"/>
      <c r="S692" s="91"/>
      <c r="T692" s="91"/>
      <c r="U692" s="147"/>
    </row>
    <row r="693" spans="2:21">
      <c r="B693" s="292"/>
      <c r="C693" s="19">
        <v>0.5</v>
      </c>
      <c r="D693" s="5"/>
      <c r="E693" s="11"/>
      <c r="F693" s="10"/>
      <c r="G693" s="144"/>
      <c r="H693" s="144"/>
      <c r="I693" s="9"/>
      <c r="J693" s="9"/>
      <c r="K693" s="9"/>
      <c r="L693" s="27"/>
      <c r="M693" s="27"/>
      <c r="N693" s="27"/>
      <c r="O693" s="145"/>
      <c r="P693" s="145"/>
      <c r="Q693" s="146"/>
      <c r="R693" s="146"/>
      <c r="S693" s="91"/>
      <c r="T693" s="91"/>
      <c r="U693" s="147"/>
    </row>
    <row r="694" spans="2:21">
      <c r="B694" s="292"/>
      <c r="C694" s="19">
        <v>0.54166666666666696</v>
      </c>
      <c r="D694" s="5"/>
      <c r="E694" s="11"/>
      <c r="F694" s="10"/>
      <c r="G694" s="144"/>
      <c r="H694" s="144"/>
      <c r="I694" s="9"/>
      <c r="J694" s="9"/>
      <c r="K694" s="9"/>
      <c r="L694" s="27"/>
      <c r="M694" s="27"/>
      <c r="N694" s="27"/>
      <c r="O694" s="145"/>
      <c r="P694" s="145"/>
      <c r="Q694" s="146"/>
      <c r="R694" s="146"/>
      <c r="S694" s="91"/>
      <c r="T694" s="91"/>
      <c r="U694" s="147"/>
    </row>
    <row r="695" spans="2:21">
      <c r="B695" s="292"/>
      <c r="C695" s="19">
        <v>0.58333333333333304</v>
      </c>
      <c r="D695" s="5"/>
      <c r="E695" s="11"/>
      <c r="F695" s="10"/>
      <c r="G695" s="144"/>
      <c r="H695" s="144"/>
      <c r="I695" s="9"/>
      <c r="J695" s="9"/>
      <c r="K695" s="9"/>
      <c r="L695" s="27"/>
      <c r="M695" s="27"/>
      <c r="N695" s="27"/>
      <c r="O695" s="145"/>
      <c r="P695" s="145"/>
      <c r="Q695" s="146"/>
      <c r="R695" s="146"/>
      <c r="S695" s="91"/>
      <c r="T695" s="91"/>
      <c r="U695" s="149"/>
    </row>
    <row r="696" spans="2:21">
      <c r="B696" s="292"/>
      <c r="C696" s="19">
        <v>0.625</v>
      </c>
      <c r="D696" s="5"/>
      <c r="E696" s="11"/>
      <c r="F696" s="10"/>
      <c r="G696" s="144"/>
      <c r="H696" s="144"/>
      <c r="I696" s="9"/>
      <c r="J696" s="9"/>
      <c r="K696" s="9"/>
      <c r="L696" s="27"/>
      <c r="M696" s="27"/>
      <c r="N696" s="27"/>
      <c r="O696" s="145"/>
      <c r="P696" s="145"/>
      <c r="Q696" s="146"/>
      <c r="R696" s="146"/>
      <c r="S696" s="91"/>
      <c r="T696" s="91"/>
      <c r="U696" s="147"/>
    </row>
    <row r="697" spans="2:21">
      <c r="B697" s="292"/>
      <c r="C697" s="19">
        <v>0.66666666666666696</v>
      </c>
      <c r="D697" s="5"/>
      <c r="E697" s="11"/>
      <c r="F697" s="10"/>
      <c r="G697" s="144"/>
      <c r="H697" s="144"/>
      <c r="I697" s="9"/>
      <c r="J697" s="9"/>
      <c r="K697" s="9"/>
      <c r="L697" s="27"/>
      <c r="M697" s="27"/>
      <c r="N697" s="27"/>
      <c r="O697" s="145"/>
      <c r="P697" s="145"/>
      <c r="Q697" s="146"/>
      <c r="R697" s="146"/>
      <c r="S697" s="91"/>
      <c r="T697" s="91"/>
      <c r="U697" s="147"/>
    </row>
    <row r="698" spans="2:21">
      <c r="B698" s="292"/>
      <c r="C698" s="19">
        <v>0.70833333333333304</v>
      </c>
      <c r="D698" s="5"/>
      <c r="E698" s="11"/>
      <c r="F698" s="10"/>
      <c r="G698" s="144"/>
      <c r="H698" s="144"/>
      <c r="I698" s="9"/>
      <c r="J698" s="9"/>
      <c r="K698" s="9"/>
      <c r="L698" s="27"/>
      <c r="M698" s="27"/>
      <c r="N698" s="27"/>
      <c r="O698" s="145"/>
      <c r="P698" s="145"/>
      <c r="Q698" s="146"/>
      <c r="R698" s="146"/>
      <c r="S698" s="91"/>
      <c r="T698" s="91"/>
      <c r="U698" s="147"/>
    </row>
    <row r="699" spans="2:21">
      <c r="B699" s="292"/>
      <c r="C699" s="19">
        <v>0.75</v>
      </c>
      <c r="D699" s="5"/>
      <c r="E699" s="11"/>
      <c r="F699" s="10"/>
      <c r="G699" s="144"/>
      <c r="H699" s="144"/>
      <c r="I699" s="9"/>
      <c r="J699" s="9"/>
      <c r="K699" s="9"/>
      <c r="L699" s="27"/>
      <c r="M699" s="27"/>
      <c r="N699" s="27"/>
      <c r="O699" s="145"/>
      <c r="P699" s="145"/>
      <c r="Q699" s="146"/>
      <c r="R699" s="146"/>
      <c r="S699" s="91"/>
      <c r="T699" s="91"/>
      <c r="U699" s="147"/>
    </row>
    <row r="700" spans="2:21">
      <c r="B700" s="292"/>
      <c r="C700" s="19">
        <v>0.79166666666666696</v>
      </c>
      <c r="D700" s="5"/>
      <c r="E700" s="11"/>
      <c r="F700" s="10"/>
      <c r="G700" s="144"/>
      <c r="H700" s="144"/>
      <c r="I700" s="9"/>
      <c r="J700" s="9"/>
      <c r="K700" s="9"/>
      <c r="L700" s="27"/>
      <c r="M700" s="27"/>
      <c r="N700" s="27"/>
      <c r="O700" s="145"/>
      <c r="P700" s="145"/>
      <c r="Q700" s="146"/>
      <c r="R700" s="146"/>
      <c r="S700" s="91"/>
      <c r="T700" s="91"/>
      <c r="U700" s="147"/>
    </row>
    <row r="701" spans="2:21">
      <c r="B701" s="292"/>
      <c r="C701" s="19">
        <v>0.83333333333333304</v>
      </c>
      <c r="D701" s="5"/>
      <c r="E701" s="11"/>
      <c r="F701" s="10"/>
      <c r="G701" s="144"/>
      <c r="H701" s="144"/>
      <c r="I701" s="9"/>
      <c r="J701" s="9"/>
      <c r="K701" s="9"/>
      <c r="L701" s="27"/>
      <c r="M701" s="27"/>
      <c r="N701" s="27"/>
      <c r="O701" s="145"/>
      <c r="P701" s="145"/>
      <c r="Q701" s="146"/>
      <c r="R701" s="146"/>
      <c r="S701" s="91"/>
      <c r="T701" s="91"/>
      <c r="U701" s="147"/>
    </row>
    <row r="702" spans="2:21">
      <c r="B702" s="292"/>
      <c r="C702" s="19">
        <v>0.875</v>
      </c>
      <c r="D702" s="5"/>
      <c r="E702" s="11"/>
      <c r="F702" s="10"/>
      <c r="G702" s="144"/>
      <c r="H702" s="144"/>
      <c r="I702" s="9"/>
      <c r="J702" s="9"/>
      <c r="K702" s="9"/>
      <c r="L702" s="27"/>
      <c r="M702" s="27"/>
      <c r="N702" s="27"/>
      <c r="O702" s="145"/>
      <c r="P702" s="145"/>
      <c r="Q702" s="146"/>
      <c r="R702" s="146"/>
      <c r="S702" s="91"/>
      <c r="T702" s="91"/>
      <c r="U702" s="147"/>
    </row>
    <row r="703" spans="2:21">
      <c r="B703" s="292"/>
      <c r="C703" s="19">
        <v>0.91666666666666696</v>
      </c>
      <c r="D703" s="5"/>
      <c r="E703" s="11"/>
      <c r="F703" s="10"/>
      <c r="G703" s="10"/>
      <c r="H703" s="144"/>
      <c r="I703" s="9"/>
      <c r="J703" s="9"/>
      <c r="K703" s="9"/>
      <c r="L703" s="27"/>
      <c r="M703" s="27"/>
      <c r="N703" s="27"/>
      <c r="O703" s="145"/>
      <c r="P703" s="145"/>
      <c r="Q703" s="146"/>
      <c r="R703" s="146"/>
      <c r="S703" s="91"/>
      <c r="T703" s="91"/>
      <c r="U703" s="147"/>
    </row>
    <row r="704" spans="2:21">
      <c r="B704" s="292"/>
      <c r="C704" s="19">
        <v>0.95833333333333304</v>
      </c>
      <c r="D704" s="5"/>
      <c r="E704" s="11"/>
      <c r="F704" s="10"/>
      <c r="G704" s="10"/>
      <c r="H704" s="144"/>
      <c r="I704" s="9"/>
      <c r="J704" s="9"/>
      <c r="K704" s="9"/>
      <c r="L704" s="27"/>
      <c r="M704" s="27"/>
      <c r="N704" s="27"/>
      <c r="O704" s="145"/>
      <c r="P704" s="145"/>
      <c r="Q704" s="146"/>
      <c r="R704" s="146"/>
      <c r="S704" s="91"/>
      <c r="T704" s="91"/>
      <c r="U704" s="147"/>
    </row>
    <row r="705" spans="2:21">
      <c r="B705" s="292"/>
      <c r="C705" s="19">
        <v>1</v>
      </c>
      <c r="D705" s="5"/>
      <c r="E705" s="11"/>
      <c r="F705" s="10"/>
      <c r="G705" s="10"/>
      <c r="H705" s="144"/>
      <c r="I705" s="9"/>
      <c r="J705" s="9"/>
      <c r="K705" s="9"/>
      <c r="L705" s="27"/>
      <c r="M705" s="27"/>
      <c r="N705" s="27"/>
      <c r="O705" s="145"/>
      <c r="P705" s="145"/>
      <c r="Q705" s="146"/>
      <c r="R705" s="146"/>
      <c r="S705" s="91"/>
      <c r="T705" s="91"/>
      <c r="U705" s="147"/>
    </row>
    <row r="706" spans="2:21">
      <c r="B706" s="292"/>
      <c r="C706" s="19">
        <v>1.0416666666666701</v>
      </c>
      <c r="D706" s="5"/>
      <c r="E706" s="11"/>
      <c r="F706" s="10"/>
      <c r="G706" s="10"/>
      <c r="H706" s="144"/>
      <c r="I706" s="9"/>
      <c r="J706" s="9"/>
      <c r="K706" s="9"/>
      <c r="L706" s="27"/>
      <c r="M706" s="27"/>
      <c r="N706" s="27"/>
      <c r="O706" s="145"/>
      <c r="P706" s="145"/>
      <c r="Q706" s="146"/>
      <c r="R706" s="146"/>
      <c r="S706" s="91"/>
      <c r="T706" s="91"/>
      <c r="U706" s="147"/>
    </row>
    <row r="707" spans="2:21">
      <c r="B707" s="292"/>
      <c r="C707" s="19">
        <v>1.0833333333333299</v>
      </c>
      <c r="D707" s="5"/>
      <c r="E707" s="11"/>
      <c r="F707" s="10"/>
      <c r="G707" s="10"/>
      <c r="H707" s="144"/>
      <c r="I707" s="9"/>
      <c r="J707" s="9"/>
      <c r="K707" s="9"/>
      <c r="L707" s="27"/>
      <c r="M707" s="27"/>
      <c r="N707" s="27"/>
      <c r="O707" s="145"/>
      <c r="P707" s="145"/>
      <c r="Q707" s="146"/>
      <c r="R707" s="146"/>
      <c r="S707" s="91"/>
      <c r="T707" s="91"/>
      <c r="U707" s="147"/>
    </row>
    <row r="708" spans="2:21">
      <c r="B708" s="292"/>
      <c r="C708" s="19">
        <v>1.125</v>
      </c>
      <c r="D708" s="5"/>
      <c r="E708" s="11"/>
      <c r="F708" s="10"/>
      <c r="G708" s="10"/>
      <c r="H708" s="144"/>
      <c r="I708" s="9"/>
      <c r="J708" s="9"/>
      <c r="K708" s="9"/>
      <c r="L708" s="27"/>
      <c r="M708" s="27"/>
      <c r="N708" s="27"/>
      <c r="O708" s="145"/>
      <c r="P708" s="145"/>
      <c r="Q708" s="146"/>
      <c r="R708" s="146"/>
      <c r="S708" s="91"/>
      <c r="T708" s="91"/>
      <c r="U708" s="147"/>
    </row>
    <row r="709" spans="2:21">
      <c r="B709" s="292"/>
      <c r="C709" s="19">
        <v>1.1666666666666701</v>
      </c>
      <c r="D709" s="5"/>
      <c r="E709" s="11"/>
      <c r="F709" s="10"/>
      <c r="G709" s="10"/>
      <c r="H709" s="144"/>
      <c r="I709" s="9"/>
      <c r="J709" s="9"/>
      <c r="K709" s="9"/>
      <c r="L709" s="27"/>
      <c r="M709" s="27"/>
      <c r="N709" s="27"/>
      <c r="O709" s="145"/>
      <c r="P709" s="145"/>
      <c r="Q709" s="146"/>
      <c r="R709" s="146"/>
      <c r="S709" s="91"/>
      <c r="T709" s="91"/>
      <c r="U709" s="147"/>
    </row>
    <row r="710" spans="2:21">
      <c r="B710" s="292"/>
      <c r="C710" s="19">
        <v>1.2083333333333299</v>
      </c>
      <c r="D710" s="5"/>
      <c r="E710" s="11"/>
      <c r="F710" s="10"/>
      <c r="G710" s="10"/>
      <c r="H710" s="144"/>
      <c r="I710" s="9"/>
      <c r="J710" s="9"/>
      <c r="K710" s="9"/>
      <c r="L710" s="27"/>
      <c r="M710" s="27"/>
      <c r="N710" s="27"/>
      <c r="O710" s="145"/>
      <c r="P710" s="145"/>
      <c r="Q710" s="146"/>
      <c r="R710" s="146"/>
      <c r="S710" s="91"/>
      <c r="T710" s="91"/>
      <c r="U710" s="147"/>
    </row>
    <row r="711" spans="2:21">
      <c r="B711" s="292"/>
      <c r="C711" s="19">
        <v>1.25</v>
      </c>
      <c r="D711" s="5"/>
      <c r="E711" s="11"/>
      <c r="F711" s="10"/>
      <c r="G711" s="10"/>
      <c r="H711" s="144"/>
      <c r="I711" s="9"/>
      <c r="J711" s="9"/>
      <c r="K711" s="9"/>
      <c r="L711" s="27"/>
      <c r="M711" s="27"/>
      <c r="N711" s="27"/>
      <c r="O711" s="145"/>
      <c r="P711" s="145"/>
      <c r="Q711" s="146"/>
      <c r="R711" s="146"/>
      <c r="S711" s="91"/>
      <c r="T711" s="91"/>
      <c r="U711" s="147"/>
    </row>
    <row r="712" spans="2:21">
      <c r="B712" s="292"/>
      <c r="C712" s="19">
        <v>1.2916666666666701</v>
      </c>
      <c r="D712" s="5"/>
      <c r="E712" s="11"/>
      <c r="F712" s="10"/>
      <c r="G712" s="10"/>
      <c r="H712" s="144"/>
      <c r="I712" s="9"/>
      <c r="J712" s="9"/>
      <c r="K712" s="9"/>
      <c r="L712" s="27"/>
      <c r="M712" s="27"/>
      <c r="N712" s="27"/>
      <c r="O712" s="145"/>
      <c r="P712" s="145"/>
      <c r="Q712" s="146"/>
      <c r="R712" s="146"/>
      <c r="S712" s="91"/>
      <c r="T712" s="91"/>
      <c r="U712" s="147"/>
    </row>
    <row r="713" spans="2:21">
      <c r="B713" s="293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48">
        <f t="shared" ref="O713:T713" si="26">IFERROR(AVERAGE(O688:O712),0)</f>
        <v>0</v>
      </c>
      <c r="P713" s="148">
        <f t="shared" si="26"/>
        <v>0</v>
      </c>
      <c r="Q713" s="148">
        <f t="shared" si="26"/>
        <v>0</v>
      </c>
      <c r="R713" s="148">
        <f t="shared" si="26"/>
        <v>0</v>
      </c>
      <c r="S713" s="148">
        <f t="shared" si="26"/>
        <v>0</v>
      </c>
      <c r="T713" s="148">
        <f t="shared" si="26"/>
        <v>0</v>
      </c>
      <c r="U713" s="148">
        <f>COUNT(U688:U712)</f>
        <v>0</v>
      </c>
    </row>
    <row r="714" spans="2:21">
      <c r="B714" s="291">
        <f>'DATA B1'!B714</f>
        <v>46050</v>
      </c>
      <c r="C714" s="19">
        <v>0.29166666666666669</v>
      </c>
      <c r="D714" s="5"/>
      <c r="E714" s="11"/>
      <c r="F714" s="10"/>
      <c r="G714" s="144"/>
      <c r="H714" s="144"/>
      <c r="I714" s="9"/>
      <c r="J714" s="9"/>
      <c r="K714" s="9"/>
      <c r="L714" s="27"/>
      <c r="M714" s="27"/>
      <c r="N714" s="27"/>
      <c r="O714" s="145"/>
      <c r="P714" s="145"/>
      <c r="Q714" s="146"/>
      <c r="R714" s="146"/>
      <c r="S714" s="91"/>
      <c r="T714" s="91"/>
      <c r="U714" s="147"/>
    </row>
    <row r="715" spans="2:21">
      <c r="B715" s="292"/>
      <c r="C715" s="19">
        <v>0.33333333333333298</v>
      </c>
      <c r="D715" s="5"/>
      <c r="E715" s="11"/>
      <c r="F715" s="10"/>
      <c r="G715" s="144"/>
      <c r="H715" s="144"/>
      <c r="I715" s="9"/>
      <c r="J715" s="9"/>
      <c r="K715" s="9"/>
      <c r="L715" s="27"/>
      <c r="M715" s="27"/>
      <c r="N715" s="27"/>
      <c r="O715" s="145"/>
      <c r="P715" s="145"/>
      <c r="Q715" s="146"/>
      <c r="R715" s="146"/>
      <c r="S715" s="91"/>
      <c r="T715" s="91"/>
      <c r="U715" s="147"/>
    </row>
    <row r="716" spans="2:21">
      <c r="B716" s="292"/>
      <c r="C716" s="19">
        <v>0.375</v>
      </c>
      <c r="D716" s="5"/>
      <c r="E716" s="11"/>
      <c r="F716" s="10"/>
      <c r="G716" s="144"/>
      <c r="H716" s="144"/>
      <c r="I716" s="9"/>
      <c r="J716" s="9"/>
      <c r="K716" s="9"/>
      <c r="L716" s="27"/>
      <c r="M716" s="27"/>
      <c r="N716" s="27"/>
      <c r="O716" s="145"/>
      <c r="P716" s="145"/>
      <c r="Q716" s="146"/>
      <c r="R716" s="146"/>
      <c r="S716" s="91"/>
      <c r="T716" s="91"/>
      <c r="U716" s="147"/>
    </row>
    <row r="717" spans="2:21">
      <c r="B717" s="292"/>
      <c r="C717" s="19">
        <v>0.41666666666666702</v>
      </c>
      <c r="D717" s="5"/>
      <c r="E717" s="11"/>
      <c r="F717" s="10"/>
      <c r="G717" s="144"/>
      <c r="H717" s="144"/>
      <c r="I717" s="9"/>
      <c r="J717" s="9"/>
      <c r="K717" s="9"/>
      <c r="L717" s="27"/>
      <c r="M717" s="27"/>
      <c r="N717" s="27"/>
      <c r="O717" s="145"/>
      <c r="P717" s="145"/>
      <c r="Q717" s="146"/>
      <c r="R717" s="146"/>
      <c r="S717" s="91"/>
      <c r="T717" s="91"/>
      <c r="U717" s="147"/>
    </row>
    <row r="718" spans="2:21">
      <c r="B718" s="292"/>
      <c r="C718" s="19">
        <v>0.45833333333333298</v>
      </c>
      <c r="D718" s="5"/>
      <c r="E718" s="11"/>
      <c r="F718" s="10"/>
      <c r="G718" s="144"/>
      <c r="H718" s="144"/>
      <c r="I718" s="9"/>
      <c r="J718" s="9"/>
      <c r="K718" s="9"/>
      <c r="L718" s="27"/>
      <c r="M718" s="27"/>
      <c r="N718" s="27"/>
      <c r="O718" s="145"/>
      <c r="P718" s="145"/>
      <c r="Q718" s="146"/>
      <c r="R718" s="146"/>
      <c r="S718" s="91"/>
      <c r="T718" s="91"/>
      <c r="U718" s="147"/>
    </row>
    <row r="719" spans="2:21">
      <c r="B719" s="292"/>
      <c r="C719" s="19">
        <v>0.5</v>
      </c>
      <c r="D719" s="5"/>
      <c r="E719" s="11"/>
      <c r="F719" s="10"/>
      <c r="G719" s="144"/>
      <c r="H719" s="144"/>
      <c r="I719" s="9"/>
      <c r="J719" s="9"/>
      <c r="K719" s="9"/>
      <c r="L719" s="27"/>
      <c r="M719" s="27"/>
      <c r="N719" s="27"/>
      <c r="O719" s="145"/>
      <c r="P719" s="145"/>
      <c r="Q719" s="146"/>
      <c r="R719" s="146"/>
      <c r="S719" s="91"/>
      <c r="T719" s="91"/>
      <c r="U719" s="147"/>
    </row>
    <row r="720" spans="2:21">
      <c r="B720" s="292"/>
      <c r="C720" s="19">
        <v>0.54166666666666696</v>
      </c>
      <c r="D720" s="5"/>
      <c r="E720" s="11"/>
      <c r="F720" s="10"/>
      <c r="G720" s="144"/>
      <c r="H720" s="144"/>
      <c r="I720" s="9"/>
      <c r="J720" s="9"/>
      <c r="K720" s="9"/>
      <c r="L720" s="27"/>
      <c r="M720" s="27"/>
      <c r="N720" s="27"/>
      <c r="O720" s="145"/>
      <c r="P720" s="145"/>
      <c r="Q720" s="146"/>
      <c r="R720" s="146"/>
      <c r="S720" s="91"/>
      <c r="T720" s="91"/>
      <c r="U720" s="147"/>
    </row>
    <row r="721" spans="2:21">
      <c r="B721" s="292"/>
      <c r="C721" s="19">
        <v>0.58333333333333304</v>
      </c>
      <c r="D721" s="5"/>
      <c r="E721" s="11"/>
      <c r="F721" s="10"/>
      <c r="G721" s="144"/>
      <c r="H721" s="144"/>
      <c r="I721" s="9"/>
      <c r="J721" s="9"/>
      <c r="K721" s="9"/>
      <c r="L721" s="27"/>
      <c r="M721" s="27"/>
      <c r="N721" s="27"/>
      <c r="O721" s="145"/>
      <c r="P721" s="145"/>
      <c r="Q721" s="146"/>
      <c r="R721" s="146"/>
      <c r="S721" s="91"/>
      <c r="T721" s="91"/>
      <c r="U721" s="149"/>
    </row>
    <row r="722" spans="2:21">
      <c r="B722" s="292"/>
      <c r="C722" s="19">
        <v>0.625</v>
      </c>
      <c r="D722" s="5"/>
      <c r="E722" s="11"/>
      <c r="F722" s="10"/>
      <c r="G722" s="144"/>
      <c r="H722" s="144"/>
      <c r="I722" s="9"/>
      <c r="J722" s="9"/>
      <c r="K722" s="9"/>
      <c r="L722" s="27"/>
      <c r="M722" s="27"/>
      <c r="N722" s="27"/>
      <c r="O722" s="145"/>
      <c r="P722" s="145"/>
      <c r="Q722" s="146"/>
      <c r="R722" s="146"/>
      <c r="S722" s="91"/>
      <c r="T722" s="91"/>
      <c r="U722" s="147"/>
    </row>
    <row r="723" spans="2:21">
      <c r="B723" s="292"/>
      <c r="C723" s="19">
        <v>0.66666666666666696</v>
      </c>
      <c r="D723" s="5"/>
      <c r="E723" s="11"/>
      <c r="F723" s="10"/>
      <c r="G723" s="144"/>
      <c r="H723" s="144"/>
      <c r="I723" s="9"/>
      <c r="J723" s="9"/>
      <c r="K723" s="9"/>
      <c r="L723" s="27"/>
      <c r="M723" s="27"/>
      <c r="N723" s="27"/>
      <c r="O723" s="145"/>
      <c r="P723" s="145"/>
      <c r="Q723" s="146"/>
      <c r="R723" s="146"/>
      <c r="S723" s="91"/>
      <c r="T723" s="91"/>
      <c r="U723" s="147"/>
    </row>
    <row r="724" spans="2:21">
      <c r="B724" s="292"/>
      <c r="C724" s="19">
        <v>0.70833333333333304</v>
      </c>
      <c r="D724" s="5"/>
      <c r="E724" s="11"/>
      <c r="F724" s="10"/>
      <c r="G724" s="144"/>
      <c r="H724" s="144"/>
      <c r="I724" s="9"/>
      <c r="J724" s="9"/>
      <c r="K724" s="9"/>
      <c r="L724" s="27"/>
      <c r="M724" s="27"/>
      <c r="N724" s="27"/>
      <c r="O724" s="145"/>
      <c r="P724" s="145"/>
      <c r="Q724" s="146"/>
      <c r="R724" s="146"/>
      <c r="S724" s="91"/>
      <c r="T724" s="91"/>
      <c r="U724" s="147"/>
    </row>
    <row r="725" spans="2:21">
      <c r="B725" s="292"/>
      <c r="C725" s="19">
        <v>0.75</v>
      </c>
      <c r="D725" s="5"/>
      <c r="E725" s="11"/>
      <c r="F725" s="10"/>
      <c r="G725" s="144"/>
      <c r="H725" s="144"/>
      <c r="I725" s="9"/>
      <c r="J725" s="9"/>
      <c r="K725" s="9"/>
      <c r="L725" s="27"/>
      <c r="M725" s="27"/>
      <c r="N725" s="27"/>
      <c r="O725" s="145"/>
      <c r="P725" s="145"/>
      <c r="Q725" s="146"/>
      <c r="R725" s="146"/>
      <c r="S725" s="91"/>
      <c r="T725" s="91"/>
      <c r="U725" s="147"/>
    </row>
    <row r="726" spans="2:21">
      <c r="B726" s="292"/>
      <c r="C726" s="19">
        <v>0.79166666666666696</v>
      </c>
      <c r="D726" s="5"/>
      <c r="E726" s="11"/>
      <c r="F726" s="10"/>
      <c r="G726" s="144"/>
      <c r="H726" s="144"/>
      <c r="I726" s="9"/>
      <c r="J726" s="9"/>
      <c r="K726" s="9"/>
      <c r="L726" s="27"/>
      <c r="M726" s="27"/>
      <c r="N726" s="27"/>
      <c r="O726" s="145"/>
      <c r="P726" s="145"/>
      <c r="Q726" s="146"/>
      <c r="R726" s="146"/>
      <c r="S726" s="91"/>
      <c r="T726" s="91"/>
      <c r="U726" s="147"/>
    </row>
    <row r="727" spans="2:21">
      <c r="B727" s="292"/>
      <c r="C727" s="19">
        <v>0.83333333333333304</v>
      </c>
      <c r="D727" s="5"/>
      <c r="E727" s="11"/>
      <c r="F727" s="10"/>
      <c r="G727" s="144"/>
      <c r="H727" s="144"/>
      <c r="I727" s="9"/>
      <c r="J727" s="9"/>
      <c r="K727" s="9"/>
      <c r="L727" s="27"/>
      <c r="M727" s="27"/>
      <c r="N727" s="27"/>
      <c r="O727" s="145"/>
      <c r="P727" s="145"/>
      <c r="Q727" s="146"/>
      <c r="R727" s="146"/>
      <c r="S727" s="91"/>
      <c r="T727" s="91"/>
      <c r="U727" s="147"/>
    </row>
    <row r="728" spans="2:21">
      <c r="B728" s="292"/>
      <c r="C728" s="19">
        <v>0.875</v>
      </c>
      <c r="D728" s="5"/>
      <c r="E728" s="11"/>
      <c r="F728" s="10"/>
      <c r="G728" s="144"/>
      <c r="H728" s="144"/>
      <c r="I728" s="9"/>
      <c r="J728" s="9"/>
      <c r="K728" s="9"/>
      <c r="L728" s="27"/>
      <c r="M728" s="27"/>
      <c r="N728" s="27"/>
      <c r="O728" s="145"/>
      <c r="P728" s="145"/>
      <c r="Q728" s="146"/>
      <c r="R728" s="146"/>
      <c r="S728" s="91"/>
      <c r="T728" s="91"/>
      <c r="U728" s="147"/>
    </row>
    <row r="729" spans="2:21">
      <c r="B729" s="292"/>
      <c r="C729" s="19">
        <v>0.91666666666666696</v>
      </c>
      <c r="D729" s="5"/>
      <c r="E729" s="11"/>
      <c r="F729" s="10"/>
      <c r="G729" s="10"/>
      <c r="H729" s="144"/>
      <c r="I729" s="9"/>
      <c r="J729" s="9"/>
      <c r="K729" s="9"/>
      <c r="L729" s="27"/>
      <c r="M729" s="27"/>
      <c r="N729" s="27"/>
      <c r="O729" s="145"/>
      <c r="P729" s="145"/>
      <c r="Q729" s="146"/>
      <c r="R729" s="146"/>
      <c r="S729" s="91"/>
      <c r="T729" s="91"/>
      <c r="U729" s="147"/>
    </row>
    <row r="730" spans="2:21">
      <c r="B730" s="292"/>
      <c r="C730" s="19">
        <v>0.95833333333333304</v>
      </c>
      <c r="D730" s="5"/>
      <c r="E730" s="11"/>
      <c r="F730" s="10"/>
      <c r="G730" s="10"/>
      <c r="H730" s="144"/>
      <c r="I730" s="9"/>
      <c r="J730" s="9"/>
      <c r="K730" s="9"/>
      <c r="L730" s="27"/>
      <c r="M730" s="27"/>
      <c r="N730" s="27"/>
      <c r="O730" s="145"/>
      <c r="P730" s="145"/>
      <c r="Q730" s="146"/>
      <c r="R730" s="146"/>
      <c r="S730" s="91"/>
      <c r="T730" s="91"/>
      <c r="U730" s="147"/>
    </row>
    <row r="731" spans="2:21">
      <c r="B731" s="292"/>
      <c r="C731" s="19">
        <v>1</v>
      </c>
      <c r="D731" s="5"/>
      <c r="E731" s="11"/>
      <c r="F731" s="10"/>
      <c r="G731" s="10"/>
      <c r="H731" s="144"/>
      <c r="I731" s="9"/>
      <c r="J731" s="9"/>
      <c r="K731" s="9"/>
      <c r="L731" s="27"/>
      <c r="M731" s="27"/>
      <c r="N731" s="27"/>
      <c r="O731" s="145"/>
      <c r="P731" s="145"/>
      <c r="Q731" s="146"/>
      <c r="R731" s="146"/>
      <c r="S731" s="91"/>
      <c r="T731" s="91"/>
      <c r="U731" s="147"/>
    </row>
    <row r="732" spans="2:21">
      <c r="B732" s="292"/>
      <c r="C732" s="19">
        <v>1.0416666666666701</v>
      </c>
      <c r="D732" s="5"/>
      <c r="E732" s="11"/>
      <c r="F732" s="10"/>
      <c r="G732" s="10"/>
      <c r="H732" s="144"/>
      <c r="I732" s="9"/>
      <c r="J732" s="9"/>
      <c r="K732" s="9"/>
      <c r="L732" s="27"/>
      <c r="M732" s="27"/>
      <c r="N732" s="27"/>
      <c r="O732" s="145"/>
      <c r="P732" s="145"/>
      <c r="Q732" s="146"/>
      <c r="R732" s="146"/>
      <c r="S732" s="91"/>
      <c r="T732" s="91"/>
      <c r="U732" s="147"/>
    </row>
    <row r="733" spans="2:21">
      <c r="B733" s="292"/>
      <c r="C733" s="19">
        <v>1.0833333333333299</v>
      </c>
      <c r="D733" s="5"/>
      <c r="E733" s="11"/>
      <c r="F733" s="10"/>
      <c r="G733" s="10"/>
      <c r="H733" s="144"/>
      <c r="I733" s="9"/>
      <c r="J733" s="9"/>
      <c r="K733" s="9"/>
      <c r="L733" s="27"/>
      <c r="M733" s="27"/>
      <c r="N733" s="27"/>
      <c r="O733" s="145"/>
      <c r="P733" s="145"/>
      <c r="Q733" s="146"/>
      <c r="R733" s="146"/>
      <c r="S733" s="91"/>
      <c r="T733" s="91"/>
      <c r="U733" s="147"/>
    </row>
    <row r="734" spans="2:21">
      <c r="B734" s="292"/>
      <c r="C734" s="19">
        <v>1.125</v>
      </c>
      <c r="D734" s="5"/>
      <c r="E734" s="11"/>
      <c r="F734" s="10"/>
      <c r="G734" s="10"/>
      <c r="H734" s="144"/>
      <c r="I734" s="9"/>
      <c r="J734" s="9"/>
      <c r="K734" s="9"/>
      <c r="L734" s="27"/>
      <c r="M734" s="27"/>
      <c r="N734" s="27"/>
      <c r="O734" s="145"/>
      <c r="P734" s="145"/>
      <c r="Q734" s="146"/>
      <c r="R734" s="146"/>
      <c r="S734" s="91"/>
      <c r="T734" s="91"/>
      <c r="U734" s="147"/>
    </row>
    <row r="735" spans="2:21">
      <c r="B735" s="292"/>
      <c r="C735" s="19">
        <v>1.1666666666666701</v>
      </c>
      <c r="D735" s="5"/>
      <c r="E735" s="11"/>
      <c r="F735" s="10"/>
      <c r="G735" s="10"/>
      <c r="H735" s="144"/>
      <c r="I735" s="9"/>
      <c r="J735" s="9"/>
      <c r="K735" s="9"/>
      <c r="L735" s="27"/>
      <c r="M735" s="27"/>
      <c r="N735" s="27"/>
      <c r="O735" s="145"/>
      <c r="P735" s="145"/>
      <c r="Q735" s="146"/>
      <c r="R735" s="146"/>
      <c r="S735" s="91"/>
      <c r="T735" s="91"/>
      <c r="U735" s="147"/>
    </row>
    <row r="736" spans="2:21">
      <c r="B736" s="292"/>
      <c r="C736" s="19">
        <v>1.2083333333333299</v>
      </c>
      <c r="D736" s="5"/>
      <c r="E736" s="11"/>
      <c r="F736" s="10"/>
      <c r="G736" s="10"/>
      <c r="H736" s="144"/>
      <c r="I736" s="9"/>
      <c r="J736" s="9"/>
      <c r="K736" s="9"/>
      <c r="L736" s="27"/>
      <c r="M736" s="27"/>
      <c r="N736" s="27"/>
      <c r="O736" s="145"/>
      <c r="P736" s="145"/>
      <c r="Q736" s="146"/>
      <c r="R736" s="146"/>
      <c r="S736" s="91"/>
      <c r="T736" s="91"/>
      <c r="U736" s="147"/>
    </row>
    <row r="737" spans="2:21">
      <c r="B737" s="292"/>
      <c r="C737" s="19">
        <v>1.25</v>
      </c>
      <c r="D737" s="5"/>
      <c r="E737" s="11"/>
      <c r="F737" s="10"/>
      <c r="G737" s="10"/>
      <c r="H737" s="144"/>
      <c r="I737" s="9"/>
      <c r="J737" s="9"/>
      <c r="K737" s="9"/>
      <c r="L737" s="27"/>
      <c r="M737" s="27"/>
      <c r="N737" s="27"/>
      <c r="O737" s="145"/>
      <c r="P737" s="145"/>
      <c r="Q737" s="146"/>
      <c r="R737" s="146"/>
      <c r="S737" s="91"/>
      <c r="T737" s="91"/>
      <c r="U737" s="147"/>
    </row>
    <row r="738" spans="2:21">
      <c r="B738" s="292"/>
      <c r="C738" s="19">
        <v>1.2916666666666701</v>
      </c>
      <c r="D738" s="5"/>
      <c r="E738" s="11"/>
      <c r="F738" s="10"/>
      <c r="G738" s="10"/>
      <c r="H738" s="144"/>
      <c r="I738" s="9"/>
      <c r="J738" s="9"/>
      <c r="K738" s="9"/>
      <c r="L738" s="27"/>
      <c r="M738" s="27"/>
      <c r="N738" s="27"/>
      <c r="O738" s="145"/>
      <c r="P738" s="145"/>
      <c r="Q738" s="146"/>
      <c r="R738" s="146"/>
      <c r="S738" s="91"/>
      <c r="T738" s="91"/>
      <c r="U738" s="147"/>
    </row>
    <row r="739" spans="2:21">
      <c r="B739" s="293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48">
        <f t="shared" ref="O739:T739" si="27">IFERROR(AVERAGE(O714:O738),0)</f>
        <v>0</v>
      </c>
      <c r="P739" s="148">
        <f t="shared" si="27"/>
        <v>0</v>
      </c>
      <c r="Q739" s="148">
        <f t="shared" si="27"/>
        <v>0</v>
      </c>
      <c r="R739" s="148">
        <f t="shared" si="27"/>
        <v>0</v>
      </c>
      <c r="S739" s="148">
        <f t="shared" si="27"/>
        <v>0</v>
      </c>
      <c r="T739" s="148">
        <f t="shared" si="27"/>
        <v>0</v>
      </c>
      <c r="U739" s="148">
        <f>COUNT(U714:U738)</f>
        <v>0</v>
      </c>
    </row>
    <row r="740" spans="2:21">
      <c r="B740" s="291">
        <f>'DATA B1'!B740</f>
        <v>46051</v>
      </c>
      <c r="C740" s="19">
        <v>0.29166666666666669</v>
      </c>
      <c r="D740" s="5"/>
      <c r="E740" s="11"/>
      <c r="F740" s="10"/>
      <c r="G740" s="144"/>
      <c r="H740" s="144"/>
      <c r="I740" s="9"/>
      <c r="J740" s="9"/>
      <c r="K740" s="9"/>
      <c r="L740" s="27"/>
      <c r="M740" s="27"/>
      <c r="N740" s="27"/>
      <c r="O740" s="145"/>
      <c r="P740" s="145"/>
      <c r="Q740" s="146"/>
      <c r="R740" s="146"/>
      <c r="S740" s="91"/>
      <c r="T740" s="91"/>
      <c r="U740" s="147"/>
    </row>
    <row r="741" spans="2:21">
      <c r="B741" s="292"/>
      <c r="C741" s="19">
        <v>0.33333333333333298</v>
      </c>
      <c r="D741" s="5"/>
      <c r="E741" s="11"/>
      <c r="F741" s="10"/>
      <c r="G741" s="144"/>
      <c r="H741" s="144"/>
      <c r="I741" s="9"/>
      <c r="J741" s="9"/>
      <c r="K741" s="9"/>
      <c r="L741" s="27"/>
      <c r="M741" s="27"/>
      <c r="N741" s="27"/>
      <c r="O741" s="145"/>
      <c r="P741" s="145"/>
      <c r="Q741" s="146"/>
      <c r="R741" s="146"/>
      <c r="S741" s="91"/>
      <c r="T741" s="91"/>
      <c r="U741" s="147"/>
    </row>
    <row r="742" spans="2:21">
      <c r="B742" s="292"/>
      <c r="C742" s="19">
        <v>0.375</v>
      </c>
      <c r="D742" s="5"/>
      <c r="E742" s="11"/>
      <c r="F742" s="10"/>
      <c r="G742" s="144"/>
      <c r="H742" s="144"/>
      <c r="I742" s="9"/>
      <c r="J742" s="9"/>
      <c r="K742" s="9"/>
      <c r="L742" s="27"/>
      <c r="M742" s="27"/>
      <c r="N742" s="27"/>
      <c r="O742" s="145"/>
      <c r="P742" s="145"/>
      <c r="Q742" s="146"/>
      <c r="R742" s="146"/>
      <c r="S742" s="91"/>
      <c r="T742" s="91"/>
      <c r="U742" s="147"/>
    </row>
    <row r="743" spans="2:21">
      <c r="B743" s="292"/>
      <c r="C743" s="19">
        <v>0.41666666666666702</v>
      </c>
      <c r="D743" s="5"/>
      <c r="E743" s="11"/>
      <c r="F743" s="10"/>
      <c r="G743" s="144"/>
      <c r="H743" s="144"/>
      <c r="I743" s="9"/>
      <c r="J743" s="9"/>
      <c r="K743" s="9"/>
      <c r="L743" s="27"/>
      <c r="M743" s="27"/>
      <c r="N743" s="27"/>
      <c r="O743" s="145"/>
      <c r="P743" s="145"/>
      <c r="Q743" s="146"/>
      <c r="R743" s="146"/>
      <c r="S743" s="91"/>
      <c r="T743" s="91"/>
      <c r="U743" s="147"/>
    </row>
    <row r="744" spans="2:21">
      <c r="B744" s="292"/>
      <c r="C744" s="19">
        <v>0.45833333333333298</v>
      </c>
      <c r="D744" s="5"/>
      <c r="E744" s="11"/>
      <c r="F744" s="10"/>
      <c r="G744" s="144"/>
      <c r="H744" s="144"/>
      <c r="I744" s="9"/>
      <c r="J744" s="9"/>
      <c r="K744" s="9"/>
      <c r="L744" s="27"/>
      <c r="M744" s="27"/>
      <c r="N744" s="27"/>
      <c r="O744" s="145"/>
      <c r="P744" s="145"/>
      <c r="Q744" s="146"/>
      <c r="R744" s="146"/>
      <c r="S744" s="91"/>
      <c r="T744" s="91"/>
      <c r="U744" s="147"/>
    </row>
    <row r="745" spans="2:21">
      <c r="B745" s="292"/>
      <c r="C745" s="19">
        <v>0.5</v>
      </c>
      <c r="D745" s="5"/>
      <c r="E745" s="11"/>
      <c r="F745" s="10"/>
      <c r="G745" s="144"/>
      <c r="H745" s="144"/>
      <c r="I745" s="9"/>
      <c r="J745" s="9"/>
      <c r="K745" s="9"/>
      <c r="L745" s="27"/>
      <c r="M745" s="27"/>
      <c r="N745" s="27"/>
      <c r="O745" s="145"/>
      <c r="P745" s="145"/>
      <c r="Q745" s="146"/>
      <c r="R745" s="146"/>
      <c r="S745" s="91"/>
      <c r="T745" s="91"/>
      <c r="U745" s="147"/>
    </row>
    <row r="746" spans="2:21">
      <c r="B746" s="292"/>
      <c r="C746" s="19">
        <v>0.54166666666666696</v>
      </c>
      <c r="D746" s="5"/>
      <c r="E746" s="11"/>
      <c r="F746" s="10"/>
      <c r="G746" s="144"/>
      <c r="H746" s="144"/>
      <c r="I746" s="9"/>
      <c r="J746" s="9"/>
      <c r="K746" s="9"/>
      <c r="L746" s="27"/>
      <c r="M746" s="27"/>
      <c r="N746" s="27"/>
      <c r="O746" s="145"/>
      <c r="P746" s="145"/>
      <c r="Q746" s="146"/>
      <c r="R746" s="146"/>
      <c r="S746" s="91"/>
      <c r="T746" s="91"/>
      <c r="U746" s="147"/>
    </row>
    <row r="747" spans="2:21">
      <c r="B747" s="292"/>
      <c r="C747" s="19">
        <v>0.58333333333333304</v>
      </c>
      <c r="D747" s="5"/>
      <c r="E747" s="11"/>
      <c r="F747" s="10"/>
      <c r="G747" s="144"/>
      <c r="H747" s="144"/>
      <c r="I747" s="9"/>
      <c r="J747" s="9"/>
      <c r="K747" s="9"/>
      <c r="L747" s="27"/>
      <c r="M747" s="27"/>
      <c r="N747" s="27"/>
      <c r="O747" s="145"/>
      <c r="P747" s="145"/>
      <c r="Q747" s="146"/>
      <c r="R747" s="146"/>
      <c r="S747" s="91"/>
      <c r="T747" s="91"/>
      <c r="U747" s="149"/>
    </row>
    <row r="748" spans="2:21">
      <c r="B748" s="292"/>
      <c r="C748" s="19">
        <v>0.625</v>
      </c>
      <c r="D748" s="5"/>
      <c r="E748" s="11"/>
      <c r="F748" s="10"/>
      <c r="G748" s="144"/>
      <c r="H748" s="144"/>
      <c r="I748" s="9"/>
      <c r="J748" s="9"/>
      <c r="K748" s="9"/>
      <c r="L748" s="27"/>
      <c r="M748" s="27"/>
      <c r="N748" s="27"/>
      <c r="O748" s="145"/>
      <c r="P748" s="145"/>
      <c r="Q748" s="146"/>
      <c r="R748" s="146"/>
      <c r="S748" s="91"/>
      <c r="T748" s="91"/>
      <c r="U748" s="147"/>
    </row>
    <row r="749" spans="2:21">
      <c r="B749" s="292"/>
      <c r="C749" s="19">
        <v>0.66666666666666696</v>
      </c>
      <c r="D749" s="5"/>
      <c r="E749" s="11"/>
      <c r="F749" s="10"/>
      <c r="G749" s="144"/>
      <c r="H749" s="144"/>
      <c r="I749" s="9"/>
      <c r="J749" s="9"/>
      <c r="K749" s="9"/>
      <c r="L749" s="27"/>
      <c r="M749" s="27"/>
      <c r="N749" s="27"/>
      <c r="O749" s="145"/>
      <c r="P749" s="145"/>
      <c r="Q749" s="146"/>
      <c r="R749" s="146"/>
      <c r="S749" s="91"/>
      <c r="T749" s="91"/>
      <c r="U749" s="147"/>
    </row>
    <row r="750" spans="2:21">
      <c r="B750" s="292"/>
      <c r="C750" s="19">
        <v>0.70833333333333304</v>
      </c>
      <c r="D750" s="5"/>
      <c r="E750" s="11"/>
      <c r="F750" s="10"/>
      <c r="G750" s="144"/>
      <c r="H750" s="144"/>
      <c r="I750" s="9"/>
      <c r="J750" s="9"/>
      <c r="K750" s="9"/>
      <c r="L750" s="27"/>
      <c r="M750" s="27"/>
      <c r="N750" s="27"/>
      <c r="O750" s="145"/>
      <c r="P750" s="145"/>
      <c r="Q750" s="146"/>
      <c r="R750" s="146"/>
      <c r="S750" s="91"/>
      <c r="T750" s="91"/>
      <c r="U750" s="147"/>
    </row>
    <row r="751" spans="2:21">
      <c r="B751" s="292"/>
      <c r="C751" s="19">
        <v>0.75</v>
      </c>
      <c r="D751" s="5"/>
      <c r="E751" s="11"/>
      <c r="F751" s="10"/>
      <c r="G751" s="144"/>
      <c r="H751" s="144"/>
      <c r="I751" s="9"/>
      <c r="J751" s="9"/>
      <c r="K751" s="9"/>
      <c r="L751" s="27"/>
      <c r="M751" s="27"/>
      <c r="N751" s="27"/>
      <c r="O751" s="145"/>
      <c r="P751" s="145"/>
      <c r="Q751" s="146"/>
      <c r="R751" s="146"/>
      <c r="S751" s="91"/>
      <c r="T751" s="91"/>
      <c r="U751" s="147"/>
    </row>
    <row r="752" spans="2:21">
      <c r="B752" s="292"/>
      <c r="C752" s="19">
        <v>0.79166666666666696</v>
      </c>
      <c r="D752" s="5"/>
      <c r="E752" s="11"/>
      <c r="F752" s="10"/>
      <c r="G752" s="144"/>
      <c r="H752" s="144"/>
      <c r="I752" s="9"/>
      <c r="J752" s="9"/>
      <c r="K752" s="9"/>
      <c r="L752" s="27"/>
      <c r="M752" s="27"/>
      <c r="N752" s="27"/>
      <c r="O752" s="145"/>
      <c r="P752" s="145"/>
      <c r="Q752" s="146"/>
      <c r="R752" s="146"/>
      <c r="S752" s="91"/>
      <c r="T752" s="91"/>
      <c r="U752" s="147"/>
    </row>
    <row r="753" spans="2:21">
      <c r="B753" s="292"/>
      <c r="C753" s="19">
        <v>0.83333333333333304</v>
      </c>
      <c r="D753" s="5"/>
      <c r="E753" s="11"/>
      <c r="F753" s="10"/>
      <c r="G753" s="144"/>
      <c r="H753" s="144"/>
      <c r="I753" s="9"/>
      <c r="J753" s="9"/>
      <c r="K753" s="9"/>
      <c r="L753" s="27"/>
      <c r="M753" s="27"/>
      <c r="N753" s="27"/>
      <c r="O753" s="145"/>
      <c r="P753" s="145"/>
      <c r="Q753" s="146"/>
      <c r="R753" s="146"/>
      <c r="S753" s="91"/>
      <c r="T753" s="91"/>
      <c r="U753" s="147"/>
    </row>
    <row r="754" spans="2:21">
      <c r="B754" s="292"/>
      <c r="C754" s="19">
        <v>0.875</v>
      </c>
      <c r="D754" s="5"/>
      <c r="E754" s="11"/>
      <c r="F754" s="10"/>
      <c r="G754" s="144"/>
      <c r="H754" s="144"/>
      <c r="I754" s="9"/>
      <c r="J754" s="9"/>
      <c r="K754" s="9"/>
      <c r="L754" s="27"/>
      <c r="M754" s="27"/>
      <c r="N754" s="27"/>
      <c r="O754" s="145"/>
      <c r="P754" s="145"/>
      <c r="Q754" s="146"/>
      <c r="R754" s="146"/>
      <c r="S754" s="91"/>
      <c r="T754" s="91"/>
      <c r="U754" s="147"/>
    </row>
    <row r="755" spans="2:21">
      <c r="B755" s="292"/>
      <c r="C755" s="19">
        <v>0.91666666666666696</v>
      </c>
      <c r="D755" s="5"/>
      <c r="E755" s="11"/>
      <c r="F755" s="10"/>
      <c r="G755" s="10"/>
      <c r="H755" s="144"/>
      <c r="I755" s="9"/>
      <c r="J755" s="9"/>
      <c r="K755" s="9"/>
      <c r="L755" s="27"/>
      <c r="M755" s="27"/>
      <c r="N755" s="27"/>
      <c r="O755" s="145"/>
      <c r="P755" s="145"/>
      <c r="Q755" s="146"/>
      <c r="R755" s="146"/>
      <c r="S755" s="91"/>
      <c r="T755" s="91"/>
      <c r="U755" s="147"/>
    </row>
    <row r="756" spans="2:21">
      <c r="B756" s="292"/>
      <c r="C756" s="19">
        <v>0.95833333333333304</v>
      </c>
      <c r="D756" s="5"/>
      <c r="E756" s="11"/>
      <c r="F756" s="10"/>
      <c r="G756" s="10"/>
      <c r="H756" s="144"/>
      <c r="I756" s="9"/>
      <c r="J756" s="9"/>
      <c r="K756" s="9"/>
      <c r="L756" s="27"/>
      <c r="M756" s="27"/>
      <c r="N756" s="27"/>
      <c r="O756" s="145"/>
      <c r="P756" s="145"/>
      <c r="Q756" s="146"/>
      <c r="R756" s="146"/>
      <c r="S756" s="91"/>
      <c r="T756" s="91"/>
      <c r="U756" s="147"/>
    </row>
    <row r="757" spans="2:21">
      <c r="B757" s="292"/>
      <c r="C757" s="19">
        <v>1</v>
      </c>
      <c r="D757" s="5"/>
      <c r="E757" s="11"/>
      <c r="F757" s="10"/>
      <c r="G757" s="10"/>
      <c r="H757" s="144"/>
      <c r="I757" s="9"/>
      <c r="J757" s="9"/>
      <c r="K757" s="9"/>
      <c r="L757" s="27"/>
      <c r="M757" s="27"/>
      <c r="N757" s="27"/>
      <c r="O757" s="145"/>
      <c r="P757" s="145"/>
      <c r="Q757" s="146"/>
      <c r="R757" s="146"/>
      <c r="S757" s="91"/>
      <c r="T757" s="91"/>
      <c r="U757" s="147"/>
    </row>
    <row r="758" spans="2:21">
      <c r="B758" s="292"/>
      <c r="C758" s="19">
        <v>1.0416666666666701</v>
      </c>
      <c r="D758" s="5"/>
      <c r="E758" s="11"/>
      <c r="F758" s="10"/>
      <c r="G758" s="10"/>
      <c r="H758" s="144"/>
      <c r="I758" s="9"/>
      <c r="J758" s="9"/>
      <c r="K758" s="9"/>
      <c r="L758" s="27"/>
      <c r="M758" s="27"/>
      <c r="N758" s="27"/>
      <c r="O758" s="145"/>
      <c r="P758" s="145"/>
      <c r="Q758" s="146"/>
      <c r="R758" s="146"/>
      <c r="S758" s="91"/>
      <c r="T758" s="91"/>
      <c r="U758" s="147"/>
    </row>
    <row r="759" spans="2:21">
      <c r="B759" s="292"/>
      <c r="C759" s="19">
        <v>1.0833333333333299</v>
      </c>
      <c r="D759" s="5"/>
      <c r="E759" s="11"/>
      <c r="F759" s="10"/>
      <c r="G759" s="10"/>
      <c r="H759" s="144"/>
      <c r="I759" s="9"/>
      <c r="J759" s="9"/>
      <c r="K759" s="9"/>
      <c r="L759" s="27"/>
      <c r="M759" s="27"/>
      <c r="N759" s="27"/>
      <c r="O759" s="145"/>
      <c r="P759" s="145"/>
      <c r="Q759" s="146"/>
      <c r="R759" s="146"/>
      <c r="S759" s="91"/>
      <c r="T759" s="91"/>
      <c r="U759" s="147"/>
    </row>
    <row r="760" spans="2:21">
      <c r="B760" s="292"/>
      <c r="C760" s="19">
        <v>1.125</v>
      </c>
      <c r="D760" s="5"/>
      <c r="E760" s="11"/>
      <c r="F760" s="10"/>
      <c r="G760" s="10"/>
      <c r="H760" s="144"/>
      <c r="I760" s="9"/>
      <c r="J760" s="9"/>
      <c r="K760" s="9"/>
      <c r="L760" s="27"/>
      <c r="M760" s="27"/>
      <c r="N760" s="27"/>
      <c r="O760" s="145"/>
      <c r="P760" s="145"/>
      <c r="Q760" s="146"/>
      <c r="R760" s="146"/>
      <c r="S760" s="91"/>
      <c r="T760" s="91"/>
      <c r="U760" s="147"/>
    </row>
    <row r="761" spans="2:21">
      <c r="B761" s="292"/>
      <c r="C761" s="19">
        <v>1.1666666666666701</v>
      </c>
      <c r="D761" s="5"/>
      <c r="E761" s="11"/>
      <c r="F761" s="10"/>
      <c r="G761" s="10"/>
      <c r="H761" s="144"/>
      <c r="I761" s="9"/>
      <c r="J761" s="9"/>
      <c r="K761" s="9"/>
      <c r="L761" s="27"/>
      <c r="M761" s="27"/>
      <c r="N761" s="27"/>
      <c r="O761" s="145"/>
      <c r="P761" s="145"/>
      <c r="Q761" s="146"/>
      <c r="R761" s="146"/>
      <c r="S761" s="91"/>
      <c r="T761" s="91"/>
      <c r="U761" s="147"/>
    </row>
    <row r="762" spans="2:21">
      <c r="B762" s="292"/>
      <c r="C762" s="19">
        <v>1.2083333333333299</v>
      </c>
      <c r="D762" s="5"/>
      <c r="E762" s="11"/>
      <c r="F762" s="10"/>
      <c r="G762" s="10"/>
      <c r="H762" s="144"/>
      <c r="I762" s="9"/>
      <c r="J762" s="9"/>
      <c r="K762" s="9"/>
      <c r="L762" s="27"/>
      <c r="M762" s="27"/>
      <c r="N762" s="27"/>
      <c r="O762" s="145"/>
      <c r="P762" s="145"/>
      <c r="Q762" s="146"/>
      <c r="R762" s="146"/>
      <c r="S762" s="91"/>
      <c r="T762" s="91"/>
      <c r="U762" s="147"/>
    </row>
    <row r="763" spans="2:21">
      <c r="B763" s="292"/>
      <c r="C763" s="19">
        <v>1.25</v>
      </c>
      <c r="D763" s="5"/>
      <c r="E763" s="11"/>
      <c r="F763" s="10"/>
      <c r="G763" s="10"/>
      <c r="H763" s="144"/>
      <c r="I763" s="9"/>
      <c r="J763" s="9"/>
      <c r="K763" s="9"/>
      <c r="L763" s="27"/>
      <c r="M763" s="27"/>
      <c r="N763" s="27"/>
      <c r="O763" s="145"/>
      <c r="P763" s="145"/>
      <c r="Q763" s="146"/>
      <c r="R763" s="146"/>
      <c r="S763" s="91"/>
      <c r="T763" s="91"/>
      <c r="U763" s="147"/>
    </row>
    <row r="764" spans="2:21">
      <c r="B764" s="292"/>
      <c r="C764" s="19">
        <v>1.2916666666666701</v>
      </c>
      <c r="D764" s="5"/>
      <c r="E764" s="11"/>
      <c r="F764" s="10"/>
      <c r="G764" s="10"/>
      <c r="H764" s="144"/>
      <c r="I764" s="9"/>
      <c r="J764" s="9"/>
      <c r="K764" s="9"/>
      <c r="L764" s="27"/>
      <c r="M764" s="27"/>
      <c r="N764" s="27"/>
      <c r="O764" s="145"/>
      <c r="P764" s="145"/>
      <c r="Q764" s="146"/>
      <c r="R764" s="146"/>
      <c r="S764" s="91"/>
      <c r="T764" s="91"/>
      <c r="U764" s="147"/>
    </row>
    <row r="765" spans="2:21">
      <c r="B765" s="293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48">
        <f t="shared" ref="O765:T765" si="28">IFERROR(AVERAGE(O740:O764),0)</f>
        <v>0</v>
      </c>
      <c r="P765" s="148">
        <f t="shared" si="28"/>
        <v>0</v>
      </c>
      <c r="Q765" s="148">
        <f t="shared" si="28"/>
        <v>0</v>
      </c>
      <c r="R765" s="148">
        <f t="shared" si="28"/>
        <v>0</v>
      </c>
      <c r="S765" s="148">
        <f t="shared" si="28"/>
        <v>0</v>
      </c>
      <c r="T765" s="148">
        <f t="shared" si="28"/>
        <v>0</v>
      </c>
      <c r="U765" s="148">
        <f>COUNT(U740:U764)</f>
        <v>0</v>
      </c>
    </row>
    <row r="766" spans="2:21">
      <c r="B766" s="291">
        <f>'DATA B1'!B766</f>
        <v>46052</v>
      </c>
      <c r="C766" s="19">
        <v>0.29166666666666669</v>
      </c>
      <c r="D766" s="5"/>
      <c r="E766" s="11"/>
      <c r="F766" s="10"/>
      <c r="G766" s="144"/>
      <c r="H766" s="144"/>
      <c r="I766" s="9"/>
      <c r="J766" s="9"/>
      <c r="K766" s="9"/>
      <c r="L766" s="27"/>
      <c r="M766" s="27"/>
      <c r="N766" s="27"/>
      <c r="O766" s="145"/>
      <c r="P766" s="145"/>
      <c r="Q766" s="146"/>
      <c r="R766" s="146"/>
      <c r="S766" s="91"/>
      <c r="T766" s="91"/>
      <c r="U766" s="147"/>
    </row>
    <row r="767" spans="2:21">
      <c r="B767" s="292"/>
      <c r="C767" s="19">
        <v>0.33333333333333298</v>
      </c>
      <c r="D767" s="5"/>
      <c r="E767" s="11"/>
      <c r="F767" s="10"/>
      <c r="G767" s="144"/>
      <c r="H767" s="144"/>
      <c r="I767" s="9"/>
      <c r="J767" s="9"/>
      <c r="K767" s="9"/>
      <c r="L767" s="27"/>
      <c r="M767" s="27"/>
      <c r="N767" s="27"/>
      <c r="O767" s="145"/>
      <c r="P767" s="145"/>
      <c r="Q767" s="146"/>
      <c r="R767" s="146"/>
      <c r="S767" s="91"/>
      <c r="T767" s="91"/>
      <c r="U767" s="147"/>
    </row>
    <row r="768" spans="2:21">
      <c r="B768" s="292"/>
      <c r="C768" s="19">
        <v>0.375</v>
      </c>
      <c r="D768" s="5"/>
      <c r="E768" s="11"/>
      <c r="F768" s="10"/>
      <c r="G768" s="144"/>
      <c r="H768" s="144"/>
      <c r="I768" s="9"/>
      <c r="J768" s="9"/>
      <c r="K768" s="9"/>
      <c r="L768" s="27"/>
      <c r="M768" s="27"/>
      <c r="N768" s="27"/>
      <c r="O768" s="145"/>
      <c r="P768" s="145"/>
      <c r="Q768" s="146"/>
      <c r="R768" s="146"/>
      <c r="S768" s="91"/>
      <c r="T768" s="91"/>
      <c r="U768" s="147"/>
    </row>
    <row r="769" spans="2:21">
      <c r="B769" s="292"/>
      <c r="C769" s="19">
        <v>0.41666666666666702</v>
      </c>
      <c r="D769" s="5"/>
      <c r="E769" s="11"/>
      <c r="F769" s="10"/>
      <c r="G769" s="144"/>
      <c r="H769" s="144"/>
      <c r="I769" s="9"/>
      <c r="J769" s="9"/>
      <c r="K769" s="9"/>
      <c r="L769" s="27"/>
      <c r="M769" s="27"/>
      <c r="N769" s="27"/>
      <c r="O769" s="145"/>
      <c r="P769" s="145"/>
      <c r="Q769" s="146"/>
      <c r="R769" s="146"/>
      <c r="S769" s="91"/>
      <c r="T769" s="91"/>
      <c r="U769" s="147"/>
    </row>
    <row r="770" spans="2:21">
      <c r="B770" s="292"/>
      <c r="C770" s="19">
        <v>0.45833333333333298</v>
      </c>
      <c r="D770" s="5"/>
      <c r="E770" s="11"/>
      <c r="F770" s="10"/>
      <c r="G770" s="144"/>
      <c r="H770" s="144"/>
      <c r="I770" s="9"/>
      <c r="J770" s="9"/>
      <c r="K770" s="9"/>
      <c r="L770" s="27"/>
      <c r="M770" s="27"/>
      <c r="N770" s="27"/>
      <c r="O770" s="145"/>
      <c r="P770" s="145"/>
      <c r="Q770" s="146"/>
      <c r="R770" s="146"/>
      <c r="S770" s="91"/>
      <c r="T770" s="91"/>
      <c r="U770" s="147"/>
    </row>
    <row r="771" spans="2:21">
      <c r="B771" s="292"/>
      <c r="C771" s="19">
        <v>0.5</v>
      </c>
      <c r="D771" s="5"/>
      <c r="E771" s="11"/>
      <c r="F771" s="10"/>
      <c r="G771" s="144"/>
      <c r="H771" s="144"/>
      <c r="I771" s="9"/>
      <c r="J771" s="9"/>
      <c r="K771" s="9"/>
      <c r="L771" s="27"/>
      <c r="M771" s="27"/>
      <c r="N771" s="27"/>
      <c r="O771" s="145"/>
      <c r="P771" s="145"/>
      <c r="Q771" s="146"/>
      <c r="R771" s="146"/>
      <c r="S771" s="91"/>
      <c r="T771" s="91"/>
      <c r="U771" s="147"/>
    </row>
    <row r="772" spans="2:21">
      <c r="B772" s="292"/>
      <c r="C772" s="19">
        <v>0.54166666666666696</v>
      </c>
      <c r="D772" s="5"/>
      <c r="E772" s="11"/>
      <c r="F772" s="10"/>
      <c r="G772" s="144"/>
      <c r="H772" s="144"/>
      <c r="I772" s="9"/>
      <c r="J772" s="9"/>
      <c r="K772" s="9"/>
      <c r="L772" s="27"/>
      <c r="M772" s="27"/>
      <c r="N772" s="27"/>
      <c r="O772" s="145"/>
      <c r="P772" s="145"/>
      <c r="Q772" s="146"/>
      <c r="R772" s="146"/>
      <c r="S772" s="91"/>
      <c r="T772" s="91"/>
      <c r="U772" s="147"/>
    </row>
    <row r="773" spans="2:21">
      <c r="B773" s="292"/>
      <c r="C773" s="19">
        <v>0.58333333333333304</v>
      </c>
      <c r="D773" s="5"/>
      <c r="E773" s="11"/>
      <c r="F773" s="10"/>
      <c r="G773" s="144"/>
      <c r="H773" s="144"/>
      <c r="I773" s="9"/>
      <c r="J773" s="9"/>
      <c r="K773" s="9"/>
      <c r="L773" s="27"/>
      <c r="M773" s="27"/>
      <c r="N773" s="27"/>
      <c r="O773" s="145"/>
      <c r="P773" s="145"/>
      <c r="Q773" s="146"/>
      <c r="R773" s="146"/>
      <c r="S773" s="91"/>
      <c r="T773" s="91"/>
      <c r="U773" s="149"/>
    </row>
    <row r="774" spans="2:21">
      <c r="B774" s="292"/>
      <c r="C774" s="19">
        <v>0.625</v>
      </c>
      <c r="D774" s="5"/>
      <c r="E774" s="11"/>
      <c r="F774" s="10"/>
      <c r="G774" s="144"/>
      <c r="H774" s="144"/>
      <c r="I774" s="9"/>
      <c r="J774" s="9"/>
      <c r="K774" s="9"/>
      <c r="L774" s="27"/>
      <c r="M774" s="27"/>
      <c r="N774" s="27"/>
      <c r="O774" s="145"/>
      <c r="P774" s="145"/>
      <c r="Q774" s="146"/>
      <c r="R774" s="146"/>
      <c r="S774" s="91"/>
      <c r="T774" s="91"/>
      <c r="U774" s="147"/>
    </row>
    <row r="775" spans="2:21">
      <c r="B775" s="292"/>
      <c r="C775" s="19">
        <v>0.66666666666666696</v>
      </c>
      <c r="D775" s="5"/>
      <c r="E775" s="11"/>
      <c r="F775" s="10"/>
      <c r="G775" s="144"/>
      <c r="H775" s="144"/>
      <c r="I775" s="9"/>
      <c r="J775" s="9"/>
      <c r="K775" s="9"/>
      <c r="L775" s="27"/>
      <c r="M775" s="27"/>
      <c r="N775" s="27"/>
      <c r="O775" s="145"/>
      <c r="P775" s="145"/>
      <c r="Q775" s="146"/>
      <c r="R775" s="146"/>
      <c r="S775" s="91"/>
      <c r="T775" s="91"/>
      <c r="U775" s="147"/>
    </row>
    <row r="776" spans="2:21">
      <c r="B776" s="292"/>
      <c r="C776" s="19">
        <v>0.70833333333333304</v>
      </c>
      <c r="D776" s="5"/>
      <c r="E776" s="11"/>
      <c r="F776" s="10"/>
      <c r="G776" s="144"/>
      <c r="H776" s="144"/>
      <c r="I776" s="9"/>
      <c r="J776" s="9"/>
      <c r="K776" s="9"/>
      <c r="L776" s="27"/>
      <c r="M776" s="27"/>
      <c r="N776" s="27"/>
      <c r="O776" s="145"/>
      <c r="P776" s="145"/>
      <c r="Q776" s="146"/>
      <c r="R776" s="146"/>
      <c r="S776" s="91"/>
      <c r="T776" s="91"/>
      <c r="U776" s="147"/>
    </row>
    <row r="777" spans="2:21">
      <c r="B777" s="292"/>
      <c r="C777" s="19">
        <v>0.75</v>
      </c>
      <c r="D777" s="5"/>
      <c r="E777" s="11"/>
      <c r="F777" s="10"/>
      <c r="G777" s="144"/>
      <c r="H777" s="144"/>
      <c r="I777" s="9"/>
      <c r="J777" s="9"/>
      <c r="K777" s="9"/>
      <c r="L777" s="27"/>
      <c r="M777" s="27"/>
      <c r="N777" s="27"/>
      <c r="O777" s="145"/>
      <c r="P777" s="145"/>
      <c r="Q777" s="146"/>
      <c r="R777" s="146"/>
      <c r="S777" s="91"/>
      <c r="T777" s="91"/>
      <c r="U777" s="147"/>
    </row>
    <row r="778" spans="2:21">
      <c r="B778" s="292"/>
      <c r="C778" s="19">
        <v>0.79166666666666696</v>
      </c>
      <c r="D778" s="5"/>
      <c r="E778" s="11"/>
      <c r="F778" s="10"/>
      <c r="G778" s="144"/>
      <c r="H778" s="144"/>
      <c r="I778" s="9"/>
      <c r="J778" s="9"/>
      <c r="K778" s="9"/>
      <c r="L778" s="27"/>
      <c r="M778" s="27"/>
      <c r="N778" s="27"/>
      <c r="O778" s="145"/>
      <c r="P778" s="145"/>
      <c r="Q778" s="146"/>
      <c r="R778" s="146"/>
      <c r="S778" s="91"/>
      <c r="T778" s="91"/>
      <c r="U778" s="147"/>
    </row>
    <row r="779" spans="2:21">
      <c r="B779" s="292"/>
      <c r="C779" s="19">
        <v>0.83333333333333304</v>
      </c>
      <c r="D779" s="5"/>
      <c r="E779" s="11"/>
      <c r="F779" s="10"/>
      <c r="G779" s="144"/>
      <c r="H779" s="144"/>
      <c r="I779" s="9"/>
      <c r="J779" s="9"/>
      <c r="K779" s="9"/>
      <c r="L779" s="27"/>
      <c r="M779" s="27"/>
      <c r="N779" s="27"/>
      <c r="O779" s="145"/>
      <c r="P779" s="145"/>
      <c r="Q779" s="146"/>
      <c r="R779" s="146"/>
      <c r="S779" s="91"/>
      <c r="T779" s="91"/>
      <c r="U779" s="147"/>
    </row>
    <row r="780" spans="2:21">
      <c r="B780" s="292"/>
      <c r="C780" s="19">
        <v>0.875</v>
      </c>
      <c r="D780" s="5"/>
      <c r="E780" s="11"/>
      <c r="F780" s="10"/>
      <c r="G780" s="144"/>
      <c r="H780" s="144"/>
      <c r="I780" s="9"/>
      <c r="J780" s="9"/>
      <c r="K780" s="9"/>
      <c r="L780" s="27"/>
      <c r="M780" s="27"/>
      <c r="N780" s="27"/>
      <c r="O780" s="145"/>
      <c r="P780" s="145"/>
      <c r="Q780" s="146"/>
      <c r="R780" s="146"/>
      <c r="S780" s="91"/>
      <c r="T780" s="91"/>
      <c r="U780" s="147"/>
    </row>
    <row r="781" spans="2:21">
      <c r="B781" s="292"/>
      <c r="C781" s="19">
        <v>0.91666666666666696</v>
      </c>
      <c r="D781" s="5"/>
      <c r="E781" s="11"/>
      <c r="F781" s="10"/>
      <c r="G781" s="10"/>
      <c r="H781" s="144"/>
      <c r="I781" s="9"/>
      <c r="J781" s="9"/>
      <c r="K781" s="9"/>
      <c r="L781" s="27"/>
      <c r="M781" s="27"/>
      <c r="N781" s="27"/>
      <c r="O781" s="145"/>
      <c r="P781" s="145"/>
      <c r="Q781" s="146"/>
      <c r="R781" s="146"/>
      <c r="S781" s="91"/>
      <c r="T781" s="91"/>
      <c r="U781" s="147"/>
    </row>
    <row r="782" spans="2:21">
      <c r="B782" s="292"/>
      <c r="C782" s="19">
        <v>0.95833333333333304</v>
      </c>
      <c r="D782" s="5"/>
      <c r="E782" s="11"/>
      <c r="F782" s="10"/>
      <c r="G782" s="10"/>
      <c r="H782" s="144"/>
      <c r="I782" s="9"/>
      <c r="J782" s="9"/>
      <c r="K782" s="9"/>
      <c r="L782" s="27"/>
      <c r="M782" s="27"/>
      <c r="N782" s="27"/>
      <c r="O782" s="145"/>
      <c r="P782" s="145"/>
      <c r="Q782" s="146"/>
      <c r="R782" s="146"/>
      <c r="S782" s="91"/>
      <c r="T782" s="91"/>
      <c r="U782" s="147"/>
    </row>
    <row r="783" spans="2:21">
      <c r="B783" s="292"/>
      <c r="C783" s="19">
        <v>1</v>
      </c>
      <c r="D783" s="5"/>
      <c r="E783" s="11"/>
      <c r="F783" s="10"/>
      <c r="G783" s="10"/>
      <c r="H783" s="144"/>
      <c r="I783" s="9"/>
      <c r="J783" s="9"/>
      <c r="K783" s="9"/>
      <c r="L783" s="27"/>
      <c r="M783" s="27"/>
      <c r="N783" s="27"/>
      <c r="O783" s="145"/>
      <c r="P783" s="145"/>
      <c r="Q783" s="146"/>
      <c r="R783" s="146"/>
      <c r="S783" s="91"/>
      <c r="T783" s="91"/>
      <c r="U783" s="147"/>
    </row>
    <row r="784" spans="2:21">
      <c r="B784" s="292"/>
      <c r="C784" s="19">
        <v>1.0416666666666701</v>
      </c>
      <c r="D784" s="5"/>
      <c r="E784" s="11"/>
      <c r="F784" s="10"/>
      <c r="G784" s="10"/>
      <c r="H784" s="144"/>
      <c r="I784" s="9"/>
      <c r="J784" s="9"/>
      <c r="K784" s="9"/>
      <c r="L784" s="27"/>
      <c r="M784" s="27"/>
      <c r="N784" s="27"/>
      <c r="O784" s="145"/>
      <c r="P784" s="145"/>
      <c r="Q784" s="146"/>
      <c r="R784" s="146"/>
      <c r="S784" s="91"/>
      <c r="T784" s="91"/>
      <c r="U784" s="147"/>
    </row>
    <row r="785" spans="2:21">
      <c r="B785" s="292"/>
      <c r="C785" s="19">
        <v>1.0833333333333299</v>
      </c>
      <c r="D785" s="5"/>
      <c r="E785" s="11"/>
      <c r="F785" s="10"/>
      <c r="G785" s="10"/>
      <c r="H785" s="144"/>
      <c r="I785" s="9"/>
      <c r="J785" s="9"/>
      <c r="K785" s="9"/>
      <c r="L785" s="27"/>
      <c r="M785" s="27"/>
      <c r="N785" s="27"/>
      <c r="O785" s="145"/>
      <c r="P785" s="145"/>
      <c r="Q785" s="146"/>
      <c r="R785" s="146"/>
      <c r="S785" s="91"/>
      <c r="T785" s="91"/>
      <c r="U785" s="147"/>
    </row>
    <row r="786" spans="2:21">
      <c r="B786" s="292"/>
      <c r="C786" s="19">
        <v>1.125</v>
      </c>
      <c r="D786" s="5"/>
      <c r="E786" s="11"/>
      <c r="F786" s="10"/>
      <c r="G786" s="10"/>
      <c r="H786" s="144"/>
      <c r="I786" s="9"/>
      <c r="J786" s="9"/>
      <c r="K786" s="9"/>
      <c r="L786" s="27"/>
      <c r="M786" s="27"/>
      <c r="N786" s="27"/>
      <c r="O786" s="145"/>
      <c r="P786" s="145"/>
      <c r="Q786" s="146"/>
      <c r="R786" s="146"/>
      <c r="S786" s="91"/>
      <c r="T786" s="91"/>
      <c r="U786" s="147"/>
    </row>
    <row r="787" spans="2:21">
      <c r="B787" s="292"/>
      <c r="C787" s="19">
        <v>1.1666666666666701</v>
      </c>
      <c r="D787" s="5"/>
      <c r="E787" s="11"/>
      <c r="F787" s="10"/>
      <c r="G787" s="10"/>
      <c r="H787" s="144"/>
      <c r="I787" s="9"/>
      <c r="J787" s="9"/>
      <c r="K787" s="9"/>
      <c r="L787" s="27"/>
      <c r="M787" s="27"/>
      <c r="N787" s="27"/>
      <c r="O787" s="145"/>
      <c r="P787" s="145"/>
      <c r="Q787" s="146"/>
      <c r="R787" s="146"/>
      <c r="S787" s="91"/>
      <c r="T787" s="91"/>
      <c r="U787" s="147"/>
    </row>
    <row r="788" spans="2:21">
      <c r="B788" s="292"/>
      <c r="C788" s="19">
        <v>1.2083333333333299</v>
      </c>
      <c r="D788" s="5"/>
      <c r="E788" s="11"/>
      <c r="F788" s="10"/>
      <c r="G788" s="10"/>
      <c r="H788" s="144"/>
      <c r="I788" s="9"/>
      <c r="J788" s="9"/>
      <c r="K788" s="9"/>
      <c r="L788" s="27"/>
      <c r="M788" s="27"/>
      <c r="N788" s="27"/>
      <c r="O788" s="145"/>
      <c r="P788" s="145"/>
      <c r="Q788" s="146"/>
      <c r="R788" s="146"/>
      <c r="S788" s="91"/>
      <c r="T788" s="91"/>
      <c r="U788" s="147"/>
    </row>
    <row r="789" spans="2:21">
      <c r="B789" s="292"/>
      <c r="C789" s="19">
        <v>1.25</v>
      </c>
      <c r="D789" s="5"/>
      <c r="E789" s="11"/>
      <c r="F789" s="10"/>
      <c r="G789" s="10"/>
      <c r="H789" s="144"/>
      <c r="I789" s="9"/>
      <c r="J789" s="9"/>
      <c r="K789" s="9"/>
      <c r="L789" s="27"/>
      <c r="M789" s="27"/>
      <c r="N789" s="27"/>
      <c r="O789" s="145"/>
      <c r="P789" s="145"/>
      <c r="Q789" s="146"/>
      <c r="R789" s="146"/>
      <c r="S789" s="91"/>
      <c r="T789" s="91"/>
      <c r="U789" s="147"/>
    </row>
    <row r="790" spans="2:21">
      <c r="B790" s="292"/>
      <c r="C790" s="19">
        <v>1.2916666666666701</v>
      </c>
      <c r="D790" s="5"/>
      <c r="E790" s="11"/>
      <c r="F790" s="10"/>
      <c r="G790" s="10"/>
      <c r="H790" s="144"/>
      <c r="I790" s="9"/>
      <c r="J790" s="9"/>
      <c r="K790" s="9"/>
      <c r="L790" s="27"/>
      <c r="M790" s="27"/>
      <c r="N790" s="27"/>
      <c r="O790" s="145"/>
      <c r="P790" s="145"/>
      <c r="Q790" s="146"/>
      <c r="R790" s="146"/>
      <c r="S790" s="91"/>
      <c r="T790" s="91"/>
      <c r="U790" s="147"/>
    </row>
    <row r="791" spans="2:21">
      <c r="B791" s="293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48">
        <f t="shared" ref="O791:T791" si="29">IFERROR(AVERAGE(O766:O790),0)</f>
        <v>0</v>
      </c>
      <c r="P791" s="148">
        <f t="shared" si="29"/>
        <v>0</v>
      </c>
      <c r="Q791" s="148">
        <f t="shared" si="29"/>
        <v>0</v>
      </c>
      <c r="R791" s="148">
        <f t="shared" si="29"/>
        <v>0</v>
      </c>
      <c r="S791" s="148">
        <f t="shared" si="29"/>
        <v>0</v>
      </c>
      <c r="T791" s="148">
        <f t="shared" si="29"/>
        <v>0</v>
      </c>
      <c r="U791" s="148">
        <f>COUNT(U766:U790)</f>
        <v>0</v>
      </c>
    </row>
    <row r="792" spans="2:21">
      <c r="B792" s="291">
        <f>'DATA B1'!B792</f>
        <v>46053</v>
      </c>
      <c r="C792" s="19">
        <v>0.29166666666666669</v>
      </c>
      <c r="D792" s="5"/>
      <c r="E792" s="11"/>
      <c r="F792" s="10"/>
      <c r="G792" s="144"/>
      <c r="H792" s="144"/>
      <c r="I792" s="9"/>
      <c r="J792" s="9"/>
      <c r="K792" s="9"/>
      <c r="L792" s="27"/>
      <c r="M792" s="27"/>
      <c r="N792" s="27"/>
      <c r="O792" s="145"/>
      <c r="P792" s="145"/>
      <c r="Q792" s="146"/>
      <c r="R792" s="146"/>
      <c r="S792" s="91"/>
      <c r="T792" s="91"/>
      <c r="U792" s="147"/>
    </row>
    <row r="793" spans="2:21">
      <c r="B793" s="292"/>
      <c r="C793" s="19">
        <v>0.33333333333333298</v>
      </c>
      <c r="D793" s="5"/>
      <c r="E793" s="11"/>
      <c r="F793" s="10"/>
      <c r="G793" s="144"/>
      <c r="H793" s="144"/>
      <c r="I793" s="9"/>
      <c r="J793" s="9"/>
      <c r="K793" s="9"/>
      <c r="L793" s="27"/>
      <c r="M793" s="27"/>
      <c r="N793" s="27"/>
      <c r="O793" s="145"/>
      <c r="P793" s="145"/>
      <c r="Q793" s="146"/>
      <c r="R793" s="146"/>
      <c r="S793" s="91"/>
      <c r="T793" s="91"/>
      <c r="U793" s="147"/>
    </row>
    <row r="794" spans="2:21">
      <c r="B794" s="292"/>
      <c r="C794" s="19">
        <v>0.375</v>
      </c>
      <c r="D794" s="5"/>
      <c r="E794" s="11"/>
      <c r="F794" s="10"/>
      <c r="G794" s="144"/>
      <c r="H794" s="144"/>
      <c r="I794" s="9"/>
      <c r="J794" s="9"/>
      <c r="K794" s="9"/>
      <c r="L794" s="27"/>
      <c r="M794" s="27"/>
      <c r="N794" s="27"/>
      <c r="O794" s="145"/>
      <c r="P794" s="145"/>
      <c r="Q794" s="146"/>
      <c r="R794" s="146"/>
      <c r="S794" s="91"/>
      <c r="T794" s="91"/>
      <c r="U794" s="147"/>
    </row>
    <row r="795" spans="2:21">
      <c r="B795" s="292"/>
      <c r="C795" s="19">
        <v>0.41666666666666702</v>
      </c>
      <c r="D795" s="5"/>
      <c r="E795" s="11"/>
      <c r="F795" s="10"/>
      <c r="G795" s="144"/>
      <c r="H795" s="144"/>
      <c r="I795" s="9"/>
      <c r="J795" s="9"/>
      <c r="K795" s="9"/>
      <c r="L795" s="27"/>
      <c r="M795" s="27"/>
      <c r="N795" s="27"/>
      <c r="O795" s="145"/>
      <c r="P795" s="145"/>
      <c r="Q795" s="146"/>
      <c r="R795" s="146"/>
      <c r="S795" s="91"/>
      <c r="T795" s="91"/>
      <c r="U795" s="147"/>
    </row>
    <row r="796" spans="2:21">
      <c r="B796" s="292"/>
      <c r="C796" s="19">
        <v>0.45833333333333298</v>
      </c>
      <c r="D796" s="5"/>
      <c r="E796" s="11"/>
      <c r="F796" s="10"/>
      <c r="G796" s="144"/>
      <c r="H796" s="144"/>
      <c r="I796" s="9"/>
      <c r="J796" s="9"/>
      <c r="K796" s="9"/>
      <c r="L796" s="27"/>
      <c r="M796" s="27"/>
      <c r="N796" s="27"/>
      <c r="O796" s="145"/>
      <c r="P796" s="145"/>
      <c r="Q796" s="146"/>
      <c r="R796" s="146"/>
      <c r="S796" s="91"/>
      <c r="T796" s="91"/>
      <c r="U796" s="147"/>
    </row>
    <row r="797" spans="2:21">
      <c r="B797" s="292"/>
      <c r="C797" s="19">
        <v>0.5</v>
      </c>
      <c r="D797" s="5"/>
      <c r="E797" s="11"/>
      <c r="F797" s="10"/>
      <c r="G797" s="144"/>
      <c r="H797" s="144"/>
      <c r="I797" s="9"/>
      <c r="J797" s="9"/>
      <c r="K797" s="9"/>
      <c r="L797" s="27"/>
      <c r="M797" s="27"/>
      <c r="N797" s="27"/>
      <c r="O797" s="145"/>
      <c r="P797" s="145"/>
      <c r="Q797" s="146"/>
      <c r="R797" s="146"/>
      <c r="S797" s="91"/>
      <c r="T797" s="91"/>
      <c r="U797" s="147"/>
    </row>
    <row r="798" spans="2:21">
      <c r="B798" s="292"/>
      <c r="C798" s="19">
        <v>0.54166666666666696</v>
      </c>
      <c r="D798" s="5"/>
      <c r="E798" s="11"/>
      <c r="F798" s="10"/>
      <c r="G798" s="144"/>
      <c r="H798" s="144"/>
      <c r="I798" s="9"/>
      <c r="J798" s="9"/>
      <c r="K798" s="9"/>
      <c r="L798" s="27"/>
      <c r="M798" s="27"/>
      <c r="N798" s="27"/>
      <c r="O798" s="145"/>
      <c r="P798" s="145"/>
      <c r="Q798" s="146"/>
      <c r="R798" s="146"/>
      <c r="S798" s="91"/>
      <c r="T798" s="91"/>
      <c r="U798" s="147"/>
    </row>
    <row r="799" spans="2:21">
      <c r="B799" s="292"/>
      <c r="C799" s="19">
        <v>0.58333333333333304</v>
      </c>
      <c r="D799" s="5"/>
      <c r="E799" s="11"/>
      <c r="F799" s="10"/>
      <c r="G799" s="144"/>
      <c r="H799" s="144"/>
      <c r="I799" s="9"/>
      <c r="J799" s="9"/>
      <c r="K799" s="9"/>
      <c r="L799" s="27"/>
      <c r="M799" s="27"/>
      <c r="N799" s="27"/>
      <c r="O799" s="145"/>
      <c r="P799" s="145"/>
      <c r="Q799" s="146"/>
      <c r="R799" s="146"/>
      <c r="S799" s="91"/>
      <c r="T799" s="91"/>
      <c r="U799" s="149"/>
    </row>
    <row r="800" spans="2:21">
      <c r="B800" s="292"/>
      <c r="C800" s="19">
        <v>0.625</v>
      </c>
      <c r="D800" s="5"/>
      <c r="E800" s="11"/>
      <c r="F800" s="10"/>
      <c r="G800" s="144"/>
      <c r="H800" s="144"/>
      <c r="I800" s="9"/>
      <c r="J800" s="9"/>
      <c r="K800" s="9"/>
      <c r="L800" s="27"/>
      <c r="M800" s="27"/>
      <c r="N800" s="27"/>
      <c r="O800" s="145"/>
      <c r="P800" s="145"/>
      <c r="Q800" s="146"/>
      <c r="R800" s="146"/>
      <c r="S800" s="91"/>
      <c r="T800" s="91"/>
      <c r="U800" s="147"/>
    </row>
    <row r="801" spans="2:21">
      <c r="B801" s="292"/>
      <c r="C801" s="19">
        <v>0.66666666666666696</v>
      </c>
      <c r="D801" s="5"/>
      <c r="E801" s="11"/>
      <c r="F801" s="10"/>
      <c r="G801" s="144"/>
      <c r="H801" s="144"/>
      <c r="I801" s="9"/>
      <c r="J801" s="9"/>
      <c r="K801" s="9"/>
      <c r="L801" s="27"/>
      <c r="M801" s="27"/>
      <c r="N801" s="27"/>
      <c r="O801" s="145"/>
      <c r="P801" s="145"/>
      <c r="Q801" s="146"/>
      <c r="R801" s="146"/>
      <c r="S801" s="91"/>
      <c r="T801" s="91"/>
      <c r="U801" s="147"/>
    </row>
    <row r="802" spans="2:21">
      <c r="B802" s="292"/>
      <c r="C802" s="19">
        <v>0.70833333333333304</v>
      </c>
      <c r="D802" s="5"/>
      <c r="E802" s="11"/>
      <c r="F802" s="10"/>
      <c r="G802" s="144"/>
      <c r="H802" s="144"/>
      <c r="I802" s="9"/>
      <c r="J802" s="9"/>
      <c r="K802" s="9"/>
      <c r="L802" s="27"/>
      <c r="M802" s="27"/>
      <c r="N802" s="27"/>
      <c r="O802" s="145"/>
      <c r="P802" s="145"/>
      <c r="Q802" s="146"/>
      <c r="R802" s="146"/>
      <c r="S802" s="91"/>
      <c r="T802" s="91"/>
      <c r="U802" s="147"/>
    </row>
    <row r="803" spans="2:21">
      <c r="B803" s="292"/>
      <c r="C803" s="19">
        <v>0.75</v>
      </c>
      <c r="D803" s="5"/>
      <c r="E803" s="11"/>
      <c r="F803" s="10"/>
      <c r="G803" s="144"/>
      <c r="H803" s="144"/>
      <c r="I803" s="9"/>
      <c r="J803" s="9"/>
      <c r="K803" s="9"/>
      <c r="L803" s="27"/>
      <c r="M803" s="27"/>
      <c r="N803" s="27"/>
      <c r="O803" s="145"/>
      <c r="P803" s="145"/>
      <c r="Q803" s="146"/>
      <c r="R803" s="146"/>
      <c r="S803" s="91"/>
      <c r="T803" s="91"/>
      <c r="U803" s="147"/>
    </row>
    <row r="804" spans="2:21">
      <c r="B804" s="292"/>
      <c r="C804" s="19">
        <v>0.79166666666666696</v>
      </c>
      <c r="D804" s="5"/>
      <c r="E804" s="11"/>
      <c r="F804" s="10"/>
      <c r="G804" s="144"/>
      <c r="H804" s="144"/>
      <c r="I804" s="9"/>
      <c r="J804" s="9"/>
      <c r="K804" s="9"/>
      <c r="L804" s="27"/>
      <c r="M804" s="27"/>
      <c r="N804" s="27"/>
      <c r="O804" s="145"/>
      <c r="P804" s="145"/>
      <c r="Q804" s="146"/>
      <c r="R804" s="146"/>
      <c r="S804" s="91"/>
      <c r="T804" s="91"/>
      <c r="U804" s="147"/>
    </row>
    <row r="805" spans="2:21">
      <c r="B805" s="292"/>
      <c r="C805" s="19">
        <v>0.83333333333333304</v>
      </c>
      <c r="D805" s="5"/>
      <c r="E805" s="11"/>
      <c r="F805" s="10"/>
      <c r="G805" s="144"/>
      <c r="H805" s="144"/>
      <c r="I805" s="9"/>
      <c r="J805" s="9"/>
      <c r="K805" s="9"/>
      <c r="L805" s="27"/>
      <c r="M805" s="27"/>
      <c r="N805" s="27"/>
      <c r="O805" s="145"/>
      <c r="P805" s="145"/>
      <c r="Q805" s="146"/>
      <c r="R805" s="146"/>
      <c r="S805" s="91"/>
      <c r="T805" s="91"/>
      <c r="U805" s="147"/>
    </row>
    <row r="806" spans="2:21">
      <c r="B806" s="292"/>
      <c r="C806" s="19">
        <v>0.875</v>
      </c>
      <c r="D806" s="5"/>
      <c r="E806" s="11"/>
      <c r="F806" s="10"/>
      <c r="G806" s="144"/>
      <c r="H806" s="144"/>
      <c r="I806" s="9"/>
      <c r="J806" s="9"/>
      <c r="K806" s="9"/>
      <c r="L806" s="27"/>
      <c r="M806" s="27"/>
      <c r="N806" s="27"/>
      <c r="O806" s="145"/>
      <c r="P806" s="145"/>
      <c r="Q806" s="146"/>
      <c r="R806" s="146"/>
      <c r="S806" s="91"/>
      <c r="T806" s="91"/>
      <c r="U806" s="147"/>
    </row>
    <row r="807" spans="2:21">
      <c r="B807" s="292"/>
      <c r="C807" s="19">
        <v>0.91666666666666696</v>
      </c>
      <c r="D807" s="5"/>
      <c r="E807" s="11"/>
      <c r="F807" s="10"/>
      <c r="G807" s="10"/>
      <c r="H807" s="144"/>
      <c r="I807" s="9"/>
      <c r="J807" s="9"/>
      <c r="K807" s="9"/>
      <c r="L807" s="27"/>
      <c r="M807" s="27"/>
      <c r="N807" s="27"/>
      <c r="O807" s="145"/>
      <c r="P807" s="145"/>
      <c r="Q807" s="146"/>
      <c r="R807" s="146"/>
      <c r="S807" s="91"/>
      <c r="T807" s="91"/>
      <c r="U807" s="147"/>
    </row>
    <row r="808" spans="2:21">
      <c r="B808" s="292"/>
      <c r="C808" s="19">
        <v>0.95833333333333304</v>
      </c>
      <c r="D808" s="5"/>
      <c r="E808" s="11"/>
      <c r="F808" s="10"/>
      <c r="G808" s="10"/>
      <c r="H808" s="144"/>
      <c r="I808" s="9"/>
      <c r="J808" s="9"/>
      <c r="K808" s="9"/>
      <c r="L808" s="27"/>
      <c r="M808" s="27"/>
      <c r="N808" s="27"/>
      <c r="O808" s="145"/>
      <c r="P808" s="145"/>
      <c r="Q808" s="146"/>
      <c r="R808" s="146"/>
      <c r="S808" s="91"/>
      <c r="T808" s="91"/>
      <c r="U808" s="147"/>
    </row>
    <row r="809" spans="2:21">
      <c r="B809" s="292"/>
      <c r="C809" s="19">
        <v>1</v>
      </c>
      <c r="D809" s="5"/>
      <c r="E809" s="11"/>
      <c r="F809" s="10"/>
      <c r="G809" s="10"/>
      <c r="H809" s="144"/>
      <c r="I809" s="9"/>
      <c r="J809" s="9"/>
      <c r="K809" s="9"/>
      <c r="L809" s="27"/>
      <c r="M809" s="27"/>
      <c r="N809" s="27"/>
      <c r="O809" s="145"/>
      <c r="P809" s="145"/>
      <c r="Q809" s="146"/>
      <c r="R809" s="146"/>
      <c r="S809" s="91"/>
      <c r="T809" s="91"/>
      <c r="U809" s="147"/>
    </row>
    <row r="810" spans="2:21">
      <c r="B810" s="292"/>
      <c r="C810" s="19">
        <v>1.0416666666666701</v>
      </c>
      <c r="D810" s="5"/>
      <c r="E810" s="11"/>
      <c r="F810" s="10"/>
      <c r="G810" s="10"/>
      <c r="H810" s="144"/>
      <c r="I810" s="9"/>
      <c r="J810" s="9"/>
      <c r="K810" s="9"/>
      <c r="L810" s="27"/>
      <c r="M810" s="27"/>
      <c r="N810" s="27"/>
      <c r="O810" s="145"/>
      <c r="P810" s="145"/>
      <c r="Q810" s="146"/>
      <c r="R810" s="146"/>
      <c r="S810" s="91"/>
      <c r="T810" s="91"/>
      <c r="U810" s="147"/>
    </row>
    <row r="811" spans="2:21">
      <c r="B811" s="292"/>
      <c r="C811" s="19">
        <v>1.0833333333333299</v>
      </c>
      <c r="D811" s="5"/>
      <c r="E811" s="11"/>
      <c r="F811" s="10"/>
      <c r="G811" s="10"/>
      <c r="H811" s="144"/>
      <c r="I811" s="9"/>
      <c r="J811" s="9"/>
      <c r="K811" s="9"/>
      <c r="L811" s="27"/>
      <c r="M811" s="27"/>
      <c r="N811" s="27"/>
      <c r="O811" s="145"/>
      <c r="P811" s="145"/>
      <c r="Q811" s="146"/>
      <c r="R811" s="146"/>
      <c r="S811" s="91"/>
      <c r="T811" s="91"/>
      <c r="U811" s="147"/>
    </row>
    <row r="812" spans="2:21">
      <c r="B812" s="292"/>
      <c r="C812" s="19">
        <v>1.125</v>
      </c>
      <c r="D812" s="5"/>
      <c r="E812" s="11"/>
      <c r="F812" s="10"/>
      <c r="G812" s="10"/>
      <c r="H812" s="144"/>
      <c r="I812" s="9"/>
      <c r="J812" s="9"/>
      <c r="K812" s="9"/>
      <c r="L812" s="27"/>
      <c r="M812" s="27"/>
      <c r="N812" s="27"/>
      <c r="O812" s="145"/>
      <c r="P812" s="145"/>
      <c r="Q812" s="146"/>
      <c r="R812" s="146"/>
      <c r="S812" s="91"/>
      <c r="T812" s="91"/>
      <c r="U812" s="147"/>
    </row>
    <row r="813" spans="2:21">
      <c r="B813" s="292"/>
      <c r="C813" s="19">
        <v>1.1666666666666701</v>
      </c>
      <c r="D813" s="5"/>
      <c r="E813" s="11"/>
      <c r="F813" s="10"/>
      <c r="G813" s="10"/>
      <c r="H813" s="144"/>
      <c r="I813" s="9"/>
      <c r="J813" s="9"/>
      <c r="K813" s="9"/>
      <c r="L813" s="27"/>
      <c r="M813" s="27"/>
      <c r="N813" s="27"/>
      <c r="O813" s="145"/>
      <c r="P813" s="145"/>
      <c r="Q813" s="146"/>
      <c r="R813" s="146"/>
      <c r="S813" s="91"/>
      <c r="T813" s="91"/>
      <c r="U813" s="147"/>
    </row>
    <row r="814" spans="2:21">
      <c r="B814" s="292"/>
      <c r="C814" s="19">
        <v>1.2083333333333299</v>
      </c>
      <c r="D814" s="5"/>
      <c r="E814" s="11"/>
      <c r="F814" s="10"/>
      <c r="G814" s="10"/>
      <c r="H814" s="144"/>
      <c r="I814" s="9"/>
      <c r="J814" s="9"/>
      <c r="K814" s="9"/>
      <c r="L814" s="27"/>
      <c r="M814" s="27"/>
      <c r="N814" s="27"/>
      <c r="O814" s="145"/>
      <c r="P814" s="145"/>
      <c r="Q814" s="146"/>
      <c r="R814" s="146"/>
      <c r="S814" s="91"/>
      <c r="T814" s="91"/>
      <c r="U814" s="147"/>
    </row>
    <row r="815" spans="2:21">
      <c r="B815" s="292"/>
      <c r="C815" s="19">
        <v>1.25</v>
      </c>
      <c r="D815" s="5"/>
      <c r="E815" s="11"/>
      <c r="F815" s="10"/>
      <c r="G815" s="10"/>
      <c r="H815" s="144"/>
      <c r="I815" s="9"/>
      <c r="J815" s="9"/>
      <c r="K815" s="9"/>
      <c r="L815" s="27"/>
      <c r="M815" s="27"/>
      <c r="N815" s="27"/>
      <c r="O815" s="145"/>
      <c r="P815" s="145"/>
      <c r="Q815" s="146"/>
      <c r="R815" s="146"/>
      <c r="S815" s="91"/>
      <c r="T815" s="91"/>
      <c r="U815" s="147"/>
    </row>
    <row r="816" spans="2:21">
      <c r="B816" s="292"/>
      <c r="C816" s="19">
        <v>1.2916666666666701</v>
      </c>
      <c r="D816" s="5"/>
      <c r="E816" s="11"/>
      <c r="F816" s="10"/>
      <c r="G816" s="10"/>
      <c r="H816" s="144"/>
      <c r="I816" s="9"/>
      <c r="J816" s="9"/>
      <c r="K816" s="9"/>
      <c r="L816" s="27"/>
      <c r="M816" s="27"/>
      <c r="N816" s="27"/>
      <c r="O816" s="145"/>
      <c r="P816" s="145"/>
      <c r="Q816" s="146"/>
      <c r="R816" s="146"/>
      <c r="S816" s="91"/>
      <c r="T816" s="91"/>
      <c r="U816" s="147"/>
    </row>
    <row r="817" spans="2:21">
      <c r="B817" s="293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48">
        <f t="shared" ref="O817:T817" si="30">IFERROR(AVERAGE(O792:O816),0)</f>
        <v>0</v>
      </c>
      <c r="P817" s="148">
        <f t="shared" si="30"/>
        <v>0</v>
      </c>
      <c r="Q817" s="148">
        <f t="shared" si="30"/>
        <v>0</v>
      </c>
      <c r="R817" s="148">
        <f t="shared" si="30"/>
        <v>0</v>
      </c>
      <c r="S817" s="148">
        <f t="shared" si="30"/>
        <v>0</v>
      </c>
      <c r="T817" s="148">
        <f t="shared" si="30"/>
        <v>0</v>
      </c>
      <c r="U817" s="148">
        <f>COUNT(U792:U816)</f>
        <v>0</v>
      </c>
    </row>
  </sheetData>
  <mergeCells count="52">
    <mergeCell ref="B506:B531"/>
    <mergeCell ref="B532:B557"/>
    <mergeCell ref="B558:B583"/>
    <mergeCell ref="B584:B609"/>
    <mergeCell ref="B610:B635"/>
    <mergeCell ref="B766:B791"/>
    <mergeCell ref="B792:B817"/>
    <mergeCell ref="B636:B661"/>
    <mergeCell ref="B662:B687"/>
    <mergeCell ref="B688:B713"/>
    <mergeCell ref="B714:B739"/>
    <mergeCell ref="B740:B765"/>
    <mergeCell ref="B480:B505"/>
    <mergeCell ref="B246:B271"/>
    <mergeCell ref="B272:B297"/>
    <mergeCell ref="B298:B323"/>
    <mergeCell ref="B324:B349"/>
    <mergeCell ref="B350:B375"/>
    <mergeCell ref="B376:B401"/>
    <mergeCell ref="B402:B427"/>
    <mergeCell ref="B428:B453"/>
    <mergeCell ref="B142:B167"/>
    <mergeCell ref="B168:B193"/>
    <mergeCell ref="B194:B219"/>
    <mergeCell ref="B220:B245"/>
    <mergeCell ref="B454:B479"/>
    <mergeCell ref="B9:B11"/>
    <mergeCell ref="C9:C11"/>
    <mergeCell ref="F9:G10"/>
    <mergeCell ref="D9:E10"/>
    <mergeCell ref="B116:B141"/>
    <mergeCell ref="B38:B63"/>
    <mergeCell ref="B64:B89"/>
    <mergeCell ref="B90:B115"/>
    <mergeCell ref="B12:B37"/>
    <mergeCell ref="B3:D7"/>
    <mergeCell ref="E3:P5"/>
    <mergeCell ref="Q3:R5"/>
    <mergeCell ref="S3:U5"/>
    <mergeCell ref="E6:F7"/>
    <mergeCell ref="G6:J7"/>
    <mergeCell ref="K6:L7"/>
    <mergeCell ref="M6:P7"/>
    <mergeCell ref="Q6:R7"/>
    <mergeCell ref="S6:U7"/>
    <mergeCell ref="O9:P9"/>
    <mergeCell ref="Q9:R9"/>
    <mergeCell ref="S9:T9"/>
    <mergeCell ref="U9:U10"/>
    <mergeCell ref="I9:N9"/>
    <mergeCell ref="I10:K10"/>
    <mergeCell ref="L10:N10"/>
  </mergeCells>
  <phoneticPr fontId="13" type="noConversion"/>
  <pageMargins left="0" right="0" top="0.74803149606299213" bottom="0.74803149606299213" header="0.31496062992125984" footer="0.31496062992125984"/>
  <pageSetup paperSize="9" scale="68" fitToHeight="0" orientation="landscape" r:id="rId1"/>
  <rowBreaks count="30" manualBreakCount="30">
    <brk id="37" min="1" max="20" man="1"/>
    <brk id="63" min="1" max="20" man="1"/>
    <brk id="89" min="1" max="20" man="1"/>
    <brk id="122" min="1" max="20" man="1"/>
    <brk id="141" min="1" max="20" man="1"/>
    <brk id="167" min="1" max="20" man="1"/>
    <brk id="193" min="1" max="20" man="1"/>
    <brk id="219" min="1" max="20" man="1"/>
    <brk id="245" min="1" max="20" man="1"/>
    <brk id="271" min="1" max="20" man="1"/>
    <brk id="297" min="1" max="20" man="1"/>
    <brk id="323" min="1" max="20" man="1"/>
    <brk id="349" min="1" max="20" man="1"/>
    <brk id="375" min="1" max="20" man="1"/>
    <brk id="401" min="1" max="20" man="1"/>
    <brk id="427" min="1" max="20" man="1"/>
    <brk id="453" min="1" max="20" man="1"/>
    <brk id="479" min="1" max="20" man="1"/>
    <brk id="505" min="1" max="20" man="1"/>
    <brk id="531" min="1" max="20" man="1"/>
    <brk id="557" min="1" max="20" man="1"/>
    <brk id="583" min="1" max="20" man="1"/>
    <brk id="609" min="1" max="20" man="1"/>
    <brk id="635" min="1" max="20" man="1"/>
    <brk id="661" min="1" max="20" man="1"/>
    <brk id="687" min="1" max="20" man="1"/>
    <brk id="713" min="1" max="20" man="1"/>
    <brk id="739" min="1" max="20" man="1"/>
    <brk id="765" min="1" max="20" man="1"/>
    <brk id="791" min="1" max="20" man="1"/>
  </rowBreaks>
  <colBreaks count="1" manualBreakCount="1">
    <brk id="21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B788A-31B1-469F-9B8D-6A9CF5261F98}">
  <sheetPr>
    <tabColor theme="1"/>
  </sheetPr>
  <dimension ref="A3:U818"/>
  <sheetViews>
    <sheetView view="pageBreakPreview" zoomScale="130" zoomScaleNormal="120" zoomScaleSheetLayoutView="130" workbookViewId="0">
      <pane xSplit="2" ySplit="11" topLeftCell="C527" activePane="bottomRight" state="frozen"/>
      <selection pane="bottomRight" activeCell="H817" sqref="H817"/>
      <selection pane="bottomLeft" activeCell="D107" sqref="D107"/>
      <selection pane="topRight" activeCell="D107" sqref="D107"/>
    </sheetView>
  </sheetViews>
  <sheetFormatPr defaultRowHeight="14.45" customHeight="1"/>
  <cols>
    <col min="1" max="1" width="12" customWidth="1"/>
    <col min="2" max="2" width="11.7109375" customWidth="1"/>
    <col min="3" max="3" width="12.5703125" customWidth="1"/>
    <col min="4" max="4" width="13.140625" customWidth="1"/>
    <col min="5" max="7" width="11.85546875" customWidth="1"/>
    <col min="8" max="9" width="18.5703125" customWidth="1"/>
    <col min="10" max="10" width="10.7109375" style="7" customWidth="1"/>
    <col min="11" max="11" width="10.28515625" style="7" customWidth="1"/>
    <col min="12" max="14" width="10.140625" style="7" customWidth="1"/>
    <col min="15" max="15" width="10.7109375" style="7" customWidth="1"/>
    <col min="16" max="16" width="12.140625" customWidth="1"/>
  </cols>
  <sheetData>
    <row r="3" spans="1:21" ht="14.45" customHeight="1">
      <c r="A3" s="279"/>
      <c r="B3" s="279"/>
      <c r="C3" s="279"/>
      <c r="D3" s="279" t="s">
        <v>0</v>
      </c>
      <c r="E3" s="279"/>
      <c r="F3" s="279"/>
      <c r="G3" s="279"/>
      <c r="H3" s="279"/>
      <c r="I3" s="279"/>
      <c r="J3" s="279"/>
      <c r="K3" s="279"/>
      <c r="L3" s="280" t="s">
        <v>40</v>
      </c>
      <c r="M3" s="280"/>
      <c r="N3" s="280" t="s">
        <v>41</v>
      </c>
      <c r="O3" s="280"/>
      <c r="P3" s="280"/>
      <c r="Q3" s="66"/>
      <c r="R3" s="66"/>
      <c r="S3" s="66"/>
      <c r="T3" s="66"/>
      <c r="U3" s="66"/>
    </row>
    <row r="4" spans="1:21" ht="14.45" customHeight="1">
      <c r="A4" s="279"/>
      <c r="B4" s="279"/>
      <c r="C4" s="279"/>
      <c r="D4" s="279"/>
      <c r="E4" s="279"/>
      <c r="F4" s="279"/>
      <c r="G4" s="279"/>
      <c r="H4" s="279"/>
      <c r="I4" s="279"/>
      <c r="J4" s="279"/>
      <c r="K4" s="279"/>
      <c r="L4" s="280"/>
      <c r="M4" s="280"/>
      <c r="N4" s="280"/>
      <c r="O4" s="280"/>
      <c r="P4" s="280"/>
      <c r="Q4" s="66"/>
      <c r="R4" s="66"/>
      <c r="S4" s="66"/>
      <c r="T4" s="66"/>
      <c r="U4" s="66"/>
    </row>
    <row r="5" spans="1:21" ht="14.45" customHeight="1">
      <c r="A5" s="279"/>
      <c r="B5" s="279"/>
      <c r="C5" s="279"/>
      <c r="D5" s="279"/>
      <c r="E5" s="279"/>
      <c r="F5" s="279"/>
      <c r="G5" s="279"/>
      <c r="H5" s="279"/>
      <c r="I5" s="279"/>
      <c r="J5" s="279"/>
      <c r="K5" s="279"/>
      <c r="L5" s="280"/>
      <c r="M5" s="280"/>
      <c r="N5" s="282"/>
      <c r="O5" s="282"/>
      <c r="P5" s="282"/>
      <c r="Q5" s="66"/>
      <c r="R5" s="66"/>
      <c r="S5" s="66"/>
      <c r="T5" s="66"/>
      <c r="U5" s="66"/>
    </row>
    <row r="6" spans="1:21" ht="14.45" customHeight="1">
      <c r="A6" s="279"/>
      <c r="B6" s="279"/>
      <c r="C6" s="279"/>
      <c r="D6" s="283" t="s">
        <v>3</v>
      </c>
      <c r="E6" s="283" t="s">
        <v>4</v>
      </c>
      <c r="F6" s="283"/>
      <c r="G6" s="283" t="s">
        <v>5</v>
      </c>
      <c r="H6" s="283" t="s">
        <v>6</v>
      </c>
      <c r="I6" s="283"/>
      <c r="J6" s="283"/>
      <c r="K6" s="283"/>
      <c r="L6" s="279" t="s">
        <v>7</v>
      </c>
      <c r="M6" s="281"/>
      <c r="N6" s="322">
        <f>'DATA B2'!S6</f>
        <v>46023</v>
      </c>
      <c r="O6" s="323"/>
      <c r="P6" s="324"/>
      <c r="Q6" s="66"/>
      <c r="R6" s="66"/>
      <c r="S6" s="66"/>
      <c r="T6" s="66"/>
      <c r="U6" s="66"/>
    </row>
    <row r="7" spans="1:21" ht="14.45" customHeight="1">
      <c r="A7" s="279"/>
      <c r="B7" s="279"/>
      <c r="C7" s="279"/>
      <c r="D7" s="283"/>
      <c r="E7" s="283"/>
      <c r="F7" s="283"/>
      <c r="G7" s="283"/>
      <c r="H7" s="283"/>
      <c r="I7" s="283"/>
      <c r="J7" s="283"/>
      <c r="K7" s="283"/>
      <c r="L7" s="279"/>
      <c r="M7" s="281"/>
      <c r="N7" s="325"/>
      <c r="O7" s="326"/>
      <c r="P7" s="327"/>
      <c r="Q7" s="66"/>
      <c r="R7" s="66"/>
      <c r="S7" s="66"/>
      <c r="T7" s="66"/>
      <c r="U7" s="66"/>
    </row>
    <row r="8" spans="1:21" ht="14.45" customHeight="1">
      <c r="K8" s="202"/>
      <c r="L8" s="262"/>
      <c r="M8" s="262"/>
      <c r="N8" s="72"/>
      <c r="O8" s="72"/>
      <c r="P8" s="72"/>
    </row>
    <row r="9" spans="1:21" ht="9.75" customHeight="1">
      <c r="A9" s="315" t="s">
        <v>8</v>
      </c>
      <c r="B9" s="315" t="s">
        <v>9</v>
      </c>
      <c r="C9" s="328" t="s">
        <v>10</v>
      </c>
      <c r="D9" s="328"/>
      <c r="E9" s="329" t="s">
        <v>42</v>
      </c>
      <c r="F9" s="329"/>
      <c r="G9" s="257" t="s">
        <v>12</v>
      </c>
      <c r="H9" s="312" t="s">
        <v>13</v>
      </c>
      <c r="I9" s="312"/>
      <c r="J9" s="307" t="s">
        <v>14</v>
      </c>
      <c r="K9" s="307"/>
      <c r="L9" s="308" t="s">
        <v>15</v>
      </c>
      <c r="M9" s="308"/>
      <c r="N9" s="318" t="s">
        <v>16</v>
      </c>
      <c r="O9" s="319"/>
      <c r="P9" s="320" t="s">
        <v>17</v>
      </c>
    </row>
    <row r="10" spans="1:21" ht="14.25" hidden="1" customHeight="1">
      <c r="A10" s="315"/>
      <c r="B10" s="315"/>
      <c r="C10" s="328"/>
      <c r="D10" s="328"/>
      <c r="E10" s="329"/>
      <c r="F10" s="329"/>
      <c r="G10" s="257"/>
      <c r="H10" s="312" t="s">
        <v>18</v>
      </c>
      <c r="I10" s="312"/>
      <c r="J10" s="68" t="s">
        <v>20</v>
      </c>
      <c r="K10" s="68" t="s">
        <v>21</v>
      </c>
      <c r="L10" s="69" t="s">
        <v>22</v>
      </c>
      <c r="M10" s="69" t="s">
        <v>23</v>
      </c>
      <c r="N10" s="256" t="s">
        <v>22</v>
      </c>
      <c r="O10" s="256" t="s">
        <v>23</v>
      </c>
      <c r="P10" s="321"/>
    </row>
    <row r="11" spans="1:21" ht="14.45" customHeight="1">
      <c r="A11" s="315"/>
      <c r="B11" s="315"/>
      <c r="C11" s="203" t="s">
        <v>24</v>
      </c>
      <c r="D11" s="201" t="s">
        <v>25</v>
      </c>
      <c r="E11" s="258" t="s">
        <v>26</v>
      </c>
      <c r="F11" s="258" t="s">
        <v>27</v>
      </c>
      <c r="G11" s="258" t="s">
        <v>43</v>
      </c>
      <c r="H11" s="254" t="s">
        <v>44</v>
      </c>
      <c r="I11" s="254" t="s">
        <v>45</v>
      </c>
      <c r="J11" s="194" t="s">
        <v>31</v>
      </c>
      <c r="K11" s="253" t="s">
        <v>32</v>
      </c>
      <c r="L11" s="195" t="s">
        <v>33</v>
      </c>
      <c r="M11" s="195" t="s">
        <v>34</v>
      </c>
      <c r="N11" s="196" t="s">
        <v>33</v>
      </c>
      <c r="O11" s="196" t="s">
        <v>34</v>
      </c>
      <c r="P11" s="197" t="s">
        <v>39</v>
      </c>
    </row>
    <row r="12" spans="1:21" ht="15" customHeight="1">
      <c r="A12" s="292">
        <f>'DATA B1'!B12</f>
        <v>46023</v>
      </c>
      <c r="B12" s="35">
        <v>0.29166666666666669</v>
      </c>
      <c r="C12" s="38">
        <v>220418</v>
      </c>
      <c r="D12" s="39">
        <v>165135</v>
      </c>
      <c r="E12" s="241">
        <v>0</v>
      </c>
      <c r="F12" s="40">
        <v>255.02</v>
      </c>
      <c r="G12" s="40"/>
      <c r="H12" s="130">
        <v>688033</v>
      </c>
      <c r="I12" s="9"/>
      <c r="J12" s="145">
        <v>100.5</v>
      </c>
      <c r="K12" s="145">
        <v>17</v>
      </c>
      <c r="L12" s="146">
        <v>100.5</v>
      </c>
      <c r="M12" s="146">
        <v>112.6</v>
      </c>
      <c r="N12" s="91">
        <v>224.8</v>
      </c>
      <c r="O12" s="91">
        <v>186.9</v>
      </c>
      <c r="P12" s="61"/>
    </row>
    <row r="13" spans="1:21" ht="15" customHeight="1">
      <c r="A13" s="292"/>
      <c r="B13" s="34">
        <v>0.33333333333333298</v>
      </c>
      <c r="C13" s="38">
        <v>220429</v>
      </c>
      <c r="D13" s="39">
        <v>165142</v>
      </c>
      <c r="E13" s="40">
        <v>13.75</v>
      </c>
      <c r="F13" s="143">
        <v>290.85000000000002</v>
      </c>
      <c r="G13" s="143"/>
      <c r="H13" s="130">
        <v>688519</v>
      </c>
      <c r="I13" s="9"/>
      <c r="J13" s="145">
        <v>100.7</v>
      </c>
      <c r="K13" s="145">
        <v>17</v>
      </c>
      <c r="L13" s="146">
        <v>100.7</v>
      </c>
      <c r="M13" s="146">
        <v>111.9</v>
      </c>
      <c r="N13" s="91">
        <v>225.9</v>
      </c>
      <c r="O13" s="91">
        <v>198.9</v>
      </c>
      <c r="P13" s="61"/>
    </row>
    <row r="14" spans="1:21" ht="15" customHeight="1">
      <c r="A14" s="292"/>
      <c r="B14" s="34">
        <v>0.375</v>
      </c>
      <c r="C14" s="38">
        <v>220436</v>
      </c>
      <c r="D14" s="39">
        <v>165148</v>
      </c>
      <c r="E14" s="40">
        <v>45.04</v>
      </c>
      <c r="F14" s="143">
        <v>290.85000000000002</v>
      </c>
      <c r="G14" s="143"/>
      <c r="H14" s="130">
        <v>688846</v>
      </c>
      <c r="I14" s="9"/>
      <c r="J14" s="145">
        <v>100.7</v>
      </c>
      <c r="K14" s="145">
        <v>17</v>
      </c>
      <c r="L14" s="146">
        <v>100.7</v>
      </c>
      <c r="M14" s="146">
        <v>112.3</v>
      </c>
      <c r="N14" s="91">
        <v>235.4</v>
      </c>
      <c r="O14" s="91">
        <v>199.2</v>
      </c>
      <c r="P14" s="61"/>
    </row>
    <row r="15" spans="1:21" ht="15" customHeight="1">
      <c r="A15" s="292"/>
      <c r="B15" s="34">
        <v>0.41666666666666702</v>
      </c>
      <c r="C15" s="38">
        <v>220443</v>
      </c>
      <c r="D15" s="39">
        <v>165155</v>
      </c>
      <c r="E15" s="40">
        <v>76.33</v>
      </c>
      <c r="F15" s="143">
        <v>290.85000000000002</v>
      </c>
      <c r="G15" s="143"/>
      <c r="H15" s="130">
        <v>689176</v>
      </c>
      <c r="I15" s="9"/>
      <c r="J15" s="145">
        <v>100.4</v>
      </c>
      <c r="K15" s="145">
        <v>17</v>
      </c>
      <c r="L15" s="146">
        <v>100.4</v>
      </c>
      <c r="M15" s="146">
        <v>112.1</v>
      </c>
      <c r="N15" s="91">
        <v>237.2</v>
      </c>
      <c r="O15" s="91">
        <v>199.1</v>
      </c>
      <c r="P15" s="61"/>
    </row>
    <row r="16" spans="1:21" ht="15" customHeight="1">
      <c r="A16" s="292"/>
      <c r="B16" s="34">
        <v>0.45833333333333298</v>
      </c>
      <c r="C16" s="38">
        <v>220450</v>
      </c>
      <c r="D16" s="39">
        <v>165162</v>
      </c>
      <c r="E16" s="40">
        <v>107.62</v>
      </c>
      <c r="F16" s="143">
        <v>290.85000000000002</v>
      </c>
      <c r="G16" s="143"/>
      <c r="H16" s="130">
        <v>689515</v>
      </c>
      <c r="I16" s="9"/>
      <c r="J16" s="145">
        <v>100.5</v>
      </c>
      <c r="K16" s="145">
        <v>17</v>
      </c>
      <c r="L16" s="146">
        <v>100.5</v>
      </c>
      <c r="M16" s="146">
        <v>112.1</v>
      </c>
      <c r="N16" s="91">
        <v>230.4</v>
      </c>
      <c r="O16" s="91">
        <v>198.6</v>
      </c>
      <c r="P16" s="61"/>
    </row>
    <row r="17" spans="1:16" ht="15" customHeight="1">
      <c r="A17" s="292"/>
      <c r="B17" s="34">
        <v>0.5</v>
      </c>
      <c r="C17" s="38">
        <v>220459</v>
      </c>
      <c r="D17" s="39">
        <v>165169</v>
      </c>
      <c r="E17" s="40">
        <v>138.91</v>
      </c>
      <c r="F17" s="143">
        <v>290.85000000000002</v>
      </c>
      <c r="G17" s="143"/>
      <c r="H17" s="130">
        <v>689921</v>
      </c>
      <c r="I17" s="9"/>
      <c r="J17" s="145">
        <v>100.7</v>
      </c>
      <c r="K17" s="145">
        <v>17</v>
      </c>
      <c r="L17" s="146">
        <v>100.7</v>
      </c>
      <c r="M17" s="146">
        <v>111.9</v>
      </c>
      <c r="N17" s="91">
        <v>225.9</v>
      </c>
      <c r="O17" s="91">
        <v>198.9</v>
      </c>
      <c r="P17" s="61"/>
    </row>
    <row r="18" spans="1:16" ht="15" customHeight="1">
      <c r="A18" s="292"/>
      <c r="B18" s="34">
        <v>0.54166666666666696</v>
      </c>
      <c r="C18" s="38">
        <v>220468</v>
      </c>
      <c r="D18" s="39">
        <v>165176</v>
      </c>
      <c r="E18" s="40">
        <v>170.2</v>
      </c>
      <c r="F18" s="143">
        <v>290.85000000000002</v>
      </c>
      <c r="G18" s="143"/>
      <c r="H18" s="130">
        <v>690331</v>
      </c>
      <c r="I18" s="9"/>
      <c r="J18" s="145">
        <v>100.5</v>
      </c>
      <c r="K18" s="145">
        <v>17</v>
      </c>
      <c r="L18" s="146">
        <v>100.5</v>
      </c>
      <c r="M18" s="146">
        <v>112.3</v>
      </c>
      <c r="N18" s="91">
        <v>219.4</v>
      </c>
      <c r="O18" s="91">
        <v>197.4</v>
      </c>
      <c r="P18" s="61"/>
    </row>
    <row r="19" spans="1:16" ht="15" customHeight="1">
      <c r="A19" s="292"/>
      <c r="B19" s="34">
        <v>0.58333333333333304</v>
      </c>
      <c r="C19" s="38">
        <v>220477</v>
      </c>
      <c r="D19" s="39">
        <v>165183</v>
      </c>
      <c r="E19" s="40">
        <v>201.49</v>
      </c>
      <c r="F19" s="143">
        <v>290.85000000000002</v>
      </c>
      <c r="G19" s="143"/>
      <c r="H19" s="130">
        <v>690734</v>
      </c>
      <c r="I19" s="9"/>
      <c r="J19" s="145">
        <v>100.6</v>
      </c>
      <c r="K19" s="145">
        <v>17</v>
      </c>
      <c r="L19" s="146">
        <v>100.6</v>
      </c>
      <c r="M19" s="146">
        <v>113</v>
      </c>
      <c r="N19" s="91">
        <v>234.7</v>
      </c>
      <c r="O19" s="91">
        <v>199.1</v>
      </c>
      <c r="P19" s="65"/>
    </row>
    <row r="20" spans="1:16" ht="15" customHeight="1">
      <c r="A20" s="292"/>
      <c r="B20" s="34">
        <v>0.625</v>
      </c>
      <c r="C20" s="38">
        <v>220486</v>
      </c>
      <c r="D20" s="39">
        <v>165192</v>
      </c>
      <c r="E20" s="40">
        <v>260.45999999999998</v>
      </c>
      <c r="F20" s="143">
        <v>290.85000000000002</v>
      </c>
      <c r="G20" s="143"/>
      <c r="H20" s="130">
        <v>691149</v>
      </c>
      <c r="I20" s="9"/>
      <c r="J20" s="145">
        <v>100.3</v>
      </c>
      <c r="K20" s="145">
        <v>17</v>
      </c>
      <c r="L20" s="146">
        <v>100.3</v>
      </c>
      <c r="M20" s="146">
        <v>112.4</v>
      </c>
      <c r="N20" s="91">
        <v>226.9</v>
      </c>
      <c r="O20" s="91">
        <v>198.4</v>
      </c>
      <c r="P20" s="61"/>
    </row>
    <row r="21" spans="1:16" ht="15" customHeight="1">
      <c r="A21" s="292"/>
      <c r="B21" s="34">
        <v>0.66666666666666696</v>
      </c>
      <c r="C21" s="38">
        <v>220494</v>
      </c>
      <c r="D21" s="39">
        <v>165199</v>
      </c>
      <c r="E21" s="40">
        <v>319.43</v>
      </c>
      <c r="F21" s="143">
        <v>290.85000000000002</v>
      </c>
      <c r="G21" s="143"/>
      <c r="H21" s="130">
        <v>691524</v>
      </c>
      <c r="I21" s="9"/>
      <c r="J21" s="145">
        <v>100.7</v>
      </c>
      <c r="K21" s="145">
        <v>17</v>
      </c>
      <c r="L21" s="146">
        <v>100.7</v>
      </c>
      <c r="M21" s="146">
        <v>111.9</v>
      </c>
      <c r="N21" s="91">
        <v>225.9</v>
      </c>
      <c r="O21" s="91">
        <v>198.9</v>
      </c>
      <c r="P21" s="61"/>
    </row>
    <row r="22" spans="1:16" ht="15" customHeight="1">
      <c r="A22" s="292"/>
      <c r="B22" s="34">
        <v>0.70833333333333304</v>
      </c>
      <c r="C22" s="38">
        <v>220502</v>
      </c>
      <c r="D22" s="39">
        <v>165206</v>
      </c>
      <c r="E22" s="40">
        <v>378.4</v>
      </c>
      <c r="F22" s="143">
        <v>290.85000000000002</v>
      </c>
      <c r="G22" s="143"/>
      <c r="H22" s="130">
        <v>691903</v>
      </c>
      <c r="I22" s="9"/>
      <c r="J22" s="145">
        <v>100.9</v>
      </c>
      <c r="K22" s="145">
        <v>17</v>
      </c>
      <c r="L22" s="146">
        <v>100.9</v>
      </c>
      <c r="M22" s="146">
        <v>114.1</v>
      </c>
      <c r="N22" s="91">
        <v>235.4</v>
      </c>
      <c r="O22" s="91">
        <v>199.2</v>
      </c>
      <c r="P22" s="61"/>
    </row>
    <row r="23" spans="1:16" ht="15" customHeight="1">
      <c r="A23" s="292"/>
      <c r="B23" s="34">
        <v>0.75</v>
      </c>
      <c r="C23" s="38">
        <v>220510</v>
      </c>
      <c r="D23" s="39">
        <v>165213</v>
      </c>
      <c r="E23" s="40">
        <v>401.87</v>
      </c>
      <c r="F23" s="143">
        <v>290.85000000000002</v>
      </c>
      <c r="G23" s="143"/>
      <c r="H23" s="130">
        <v>692275</v>
      </c>
      <c r="I23" s="9"/>
      <c r="J23" s="145">
        <v>100.4</v>
      </c>
      <c r="K23" s="145">
        <v>17</v>
      </c>
      <c r="L23" s="146">
        <v>100.4</v>
      </c>
      <c r="M23" s="146">
        <v>111.8</v>
      </c>
      <c r="N23" s="91">
        <v>237.2</v>
      </c>
      <c r="O23" s="91">
        <v>201.4</v>
      </c>
      <c r="P23" s="61"/>
    </row>
    <row r="24" spans="1:16" ht="15" customHeight="1">
      <c r="A24" s="292"/>
      <c r="B24" s="34">
        <v>0.79166666666666696</v>
      </c>
      <c r="C24" s="38">
        <v>220519</v>
      </c>
      <c r="D24" s="39">
        <v>165220</v>
      </c>
      <c r="E24" s="40">
        <v>403.14</v>
      </c>
      <c r="F24" s="143">
        <v>290.85000000000002</v>
      </c>
      <c r="G24" s="143"/>
      <c r="H24" s="130">
        <v>692659</v>
      </c>
      <c r="I24" s="9"/>
      <c r="J24" s="145">
        <v>99.7</v>
      </c>
      <c r="K24" s="145">
        <v>17</v>
      </c>
      <c r="L24" s="146">
        <v>99.7</v>
      </c>
      <c r="M24" s="146">
        <v>112.2</v>
      </c>
      <c r="N24" s="91">
        <v>222</v>
      </c>
      <c r="O24" s="91">
        <v>199.5</v>
      </c>
      <c r="P24" s="61"/>
    </row>
    <row r="25" spans="1:16" ht="15" customHeight="1">
      <c r="A25" s="292"/>
      <c r="B25" s="34">
        <v>0.83333333333333304</v>
      </c>
      <c r="C25" s="38">
        <v>220528</v>
      </c>
      <c r="D25" s="39">
        <v>165227</v>
      </c>
      <c r="E25" s="40">
        <v>445.53</v>
      </c>
      <c r="F25" s="143">
        <v>290.85000000000002</v>
      </c>
      <c r="G25" s="143"/>
      <c r="H25" s="130">
        <v>693086</v>
      </c>
      <c r="I25" s="9"/>
      <c r="J25" s="145">
        <v>100.1</v>
      </c>
      <c r="K25" s="145">
        <v>17</v>
      </c>
      <c r="L25" s="146">
        <v>100.1</v>
      </c>
      <c r="M25" s="146">
        <v>110.8</v>
      </c>
      <c r="N25" s="91">
        <v>227.2</v>
      </c>
      <c r="O25" s="91">
        <v>200.7</v>
      </c>
      <c r="P25" s="61"/>
    </row>
    <row r="26" spans="1:16" ht="15" customHeight="1">
      <c r="A26" s="292"/>
      <c r="B26" s="34">
        <v>0.875</v>
      </c>
      <c r="C26" s="38">
        <v>220534</v>
      </c>
      <c r="D26" s="39">
        <v>165232</v>
      </c>
      <c r="E26" s="40">
        <v>473.18</v>
      </c>
      <c r="F26" s="143">
        <v>290.85000000000002</v>
      </c>
      <c r="G26" s="143"/>
      <c r="H26" s="130">
        <v>693367</v>
      </c>
      <c r="I26" s="9"/>
      <c r="J26" s="145">
        <v>100.7</v>
      </c>
      <c r="K26" s="145">
        <v>17</v>
      </c>
      <c r="L26" s="146">
        <v>100.7</v>
      </c>
      <c r="M26" s="146">
        <v>111.9</v>
      </c>
      <c r="N26" s="91">
        <v>225.9</v>
      </c>
      <c r="O26" s="91">
        <v>198.9</v>
      </c>
      <c r="P26" s="61"/>
    </row>
    <row r="27" spans="1:16" ht="15" customHeight="1">
      <c r="A27" s="292"/>
      <c r="B27" s="34">
        <v>0.91666666666666696</v>
      </c>
      <c r="C27" s="38">
        <v>220540</v>
      </c>
      <c r="D27" s="39">
        <v>165238</v>
      </c>
      <c r="E27" s="143">
        <v>501.5</v>
      </c>
      <c r="F27" s="143">
        <v>290.85000000000002</v>
      </c>
      <c r="G27" s="143"/>
      <c r="H27" s="130">
        <v>693674</v>
      </c>
      <c r="I27" s="9"/>
      <c r="J27" s="145">
        <v>100.2</v>
      </c>
      <c r="K27" s="145">
        <v>17</v>
      </c>
      <c r="L27" s="146">
        <v>100.2</v>
      </c>
      <c r="M27" s="146">
        <v>114.3</v>
      </c>
      <c r="N27" s="91">
        <v>228.7</v>
      </c>
      <c r="O27" s="91">
        <v>195.7</v>
      </c>
      <c r="P27" s="61"/>
    </row>
    <row r="28" spans="1:16" ht="15" customHeight="1">
      <c r="A28" s="292"/>
      <c r="B28" s="34">
        <v>0.95833333333333304</v>
      </c>
      <c r="C28" s="38">
        <v>220546</v>
      </c>
      <c r="D28" s="39">
        <v>165243</v>
      </c>
      <c r="E28" s="143">
        <v>501.5</v>
      </c>
      <c r="F28" s="143">
        <v>322.58</v>
      </c>
      <c r="G28" s="143"/>
      <c r="H28" s="130">
        <v>693980</v>
      </c>
      <c r="I28" s="9"/>
      <c r="J28" s="145">
        <v>100.4</v>
      </c>
      <c r="K28" s="145">
        <v>17</v>
      </c>
      <c r="L28" s="146">
        <v>100.4</v>
      </c>
      <c r="M28" s="146">
        <v>113.1</v>
      </c>
      <c r="N28" s="91">
        <v>220.8</v>
      </c>
      <c r="O28" s="91">
        <v>185.7</v>
      </c>
      <c r="P28" s="61"/>
    </row>
    <row r="29" spans="1:16" ht="15" customHeight="1">
      <c r="A29" s="292"/>
      <c r="B29" s="34">
        <v>1</v>
      </c>
      <c r="C29" s="38">
        <v>220552</v>
      </c>
      <c r="D29" s="39">
        <v>165249</v>
      </c>
      <c r="E29" s="143">
        <v>501.5</v>
      </c>
      <c r="F29" s="143">
        <v>354.31</v>
      </c>
      <c r="G29" s="143"/>
      <c r="H29" s="130">
        <v>694332</v>
      </c>
      <c r="I29" s="9"/>
      <c r="J29" s="145">
        <v>100.9</v>
      </c>
      <c r="K29" s="145">
        <v>17</v>
      </c>
      <c r="L29" s="146">
        <v>100.9</v>
      </c>
      <c r="M29" s="146">
        <v>114.1</v>
      </c>
      <c r="N29" s="91">
        <v>235.4</v>
      </c>
      <c r="O29" s="91">
        <v>199.2</v>
      </c>
      <c r="P29" s="61"/>
    </row>
    <row r="30" spans="1:16" ht="15" customHeight="1">
      <c r="A30" s="292"/>
      <c r="B30" s="34">
        <v>1.0416666666666701</v>
      </c>
      <c r="C30" s="38">
        <v>220558</v>
      </c>
      <c r="D30" s="39">
        <v>165255</v>
      </c>
      <c r="E30" s="143">
        <v>501.5</v>
      </c>
      <c r="F30" s="143">
        <v>386.04</v>
      </c>
      <c r="G30" s="143"/>
      <c r="H30" s="130">
        <v>694691</v>
      </c>
      <c r="I30" s="9"/>
      <c r="J30" s="145">
        <v>100.4</v>
      </c>
      <c r="K30" s="145">
        <v>17</v>
      </c>
      <c r="L30" s="146">
        <v>100.4</v>
      </c>
      <c r="M30" s="146">
        <v>111.8</v>
      </c>
      <c r="N30" s="91">
        <v>237.2</v>
      </c>
      <c r="O30" s="91">
        <v>201.4</v>
      </c>
      <c r="P30" s="61"/>
    </row>
    <row r="31" spans="1:16" ht="15" customHeight="1">
      <c r="A31" s="292"/>
      <c r="B31" s="34">
        <v>1.0833333333333299</v>
      </c>
      <c r="C31" s="38">
        <v>220565</v>
      </c>
      <c r="D31" s="39">
        <v>165262</v>
      </c>
      <c r="E31" s="143">
        <v>501.5</v>
      </c>
      <c r="F31" s="143">
        <v>417.77</v>
      </c>
      <c r="G31" s="143"/>
      <c r="H31" s="130">
        <v>695060</v>
      </c>
      <c r="I31" s="9"/>
      <c r="J31" s="145">
        <v>99.7</v>
      </c>
      <c r="K31" s="145">
        <v>17</v>
      </c>
      <c r="L31" s="146">
        <v>99.7</v>
      </c>
      <c r="M31" s="146">
        <v>112.2</v>
      </c>
      <c r="N31" s="91">
        <v>222</v>
      </c>
      <c r="O31" s="91">
        <v>199.5</v>
      </c>
      <c r="P31" s="61"/>
    </row>
    <row r="32" spans="1:16" ht="15" customHeight="1">
      <c r="A32" s="292"/>
      <c r="B32" s="34">
        <v>1.125</v>
      </c>
      <c r="C32" s="38">
        <v>220573</v>
      </c>
      <c r="D32" s="39">
        <v>165270</v>
      </c>
      <c r="E32" s="143">
        <v>501.5</v>
      </c>
      <c r="F32" s="143">
        <v>472.41</v>
      </c>
      <c r="G32" s="143"/>
      <c r="H32" s="130">
        <v>695446</v>
      </c>
      <c r="I32" s="9"/>
      <c r="J32" s="145">
        <v>99.5</v>
      </c>
      <c r="K32" s="145">
        <v>17</v>
      </c>
      <c r="L32" s="146">
        <v>99.5</v>
      </c>
      <c r="M32" s="146">
        <v>110.2</v>
      </c>
      <c r="N32" s="91">
        <v>224.1</v>
      </c>
      <c r="O32" s="91">
        <v>200.4</v>
      </c>
      <c r="P32" s="61"/>
    </row>
    <row r="33" spans="1:16" ht="15" customHeight="1">
      <c r="A33" s="292"/>
      <c r="B33" s="34">
        <v>1.1666666666666701</v>
      </c>
      <c r="C33" s="38">
        <v>220580</v>
      </c>
      <c r="D33" s="39">
        <v>165275</v>
      </c>
      <c r="E33" s="143">
        <v>501.5</v>
      </c>
      <c r="F33" s="143">
        <v>503.29</v>
      </c>
      <c r="G33" s="143"/>
      <c r="H33" s="130">
        <v>695734</v>
      </c>
      <c r="I33" s="9"/>
      <c r="J33" s="145">
        <v>100.7</v>
      </c>
      <c r="K33" s="145">
        <v>17</v>
      </c>
      <c r="L33" s="146">
        <v>100.7</v>
      </c>
      <c r="M33" s="146">
        <v>112.3</v>
      </c>
      <c r="N33" s="91">
        <v>235.4</v>
      </c>
      <c r="O33" s="91">
        <v>199.2</v>
      </c>
      <c r="P33" s="61"/>
    </row>
    <row r="34" spans="1:16" ht="15" customHeight="1">
      <c r="A34" s="292"/>
      <c r="B34" s="34">
        <v>1.2083333333333299</v>
      </c>
      <c r="C34" s="38">
        <v>220588</v>
      </c>
      <c r="D34" s="39">
        <v>165281</v>
      </c>
      <c r="E34" s="143">
        <v>501.5</v>
      </c>
      <c r="F34" s="143">
        <v>534.69000000000005</v>
      </c>
      <c r="G34" s="143"/>
      <c r="H34" s="130">
        <v>696057</v>
      </c>
      <c r="I34" s="9"/>
      <c r="J34" s="145">
        <v>100.2</v>
      </c>
      <c r="K34" s="145">
        <v>17</v>
      </c>
      <c r="L34" s="146">
        <v>100.2</v>
      </c>
      <c r="M34" s="146">
        <v>111.1</v>
      </c>
      <c r="N34" s="91">
        <v>233.7</v>
      </c>
      <c r="O34" s="91">
        <v>186.7</v>
      </c>
      <c r="P34" s="61"/>
    </row>
    <row r="35" spans="1:16" ht="15" customHeight="1">
      <c r="A35" s="292"/>
      <c r="B35" s="34">
        <v>1.25</v>
      </c>
      <c r="C35" s="38">
        <v>220596</v>
      </c>
      <c r="D35" s="39">
        <v>165287</v>
      </c>
      <c r="E35" s="143">
        <v>501.5</v>
      </c>
      <c r="F35" s="143">
        <v>566.11</v>
      </c>
      <c r="G35" s="143"/>
      <c r="H35" s="130">
        <v>696380</v>
      </c>
      <c r="I35" s="9"/>
      <c r="J35" s="145">
        <v>100.5</v>
      </c>
      <c r="K35" s="145">
        <v>17</v>
      </c>
      <c r="L35" s="146">
        <v>100.5</v>
      </c>
      <c r="M35" s="146">
        <v>112.1</v>
      </c>
      <c r="N35" s="91">
        <v>230.4</v>
      </c>
      <c r="O35" s="91">
        <v>198.6</v>
      </c>
      <c r="P35" s="61"/>
    </row>
    <row r="36" spans="1:16" ht="15" customHeight="1">
      <c r="A36" s="292"/>
      <c r="B36" s="36">
        <v>1.2916666666666701</v>
      </c>
      <c r="C36" s="38">
        <v>220604</v>
      </c>
      <c r="D36" s="39">
        <v>165293</v>
      </c>
      <c r="E36" s="143">
        <v>501.5</v>
      </c>
      <c r="F36" s="143">
        <v>597.25</v>
      </c>
      <c r="G36" s="143"/>
      <c r="H36" s="130">
        <v>696696</v>
      </c>
      <c r="I36" s="9"/>
      <c r="J36" s="145">
        <v>100.3</v>
      </c>
      <c r="K36" s="145">
        <v>17</v>
      </c>
      <c r="L36" s="146">
        <v>100.3</v>
      </c>
      <c r="M36" s="146">
        <v>112.3</v>
      </c>
      <c r="N36" s="91">
        <v>221.5</v>
      </c>
      <c r="O36" s="91">
        <v>189.7</v>
      </c>
      <c r="P36" s="61"/>
    </row>
    <row r="37" spans="1:16" ht="15" customHeight="1">
      <c r="A37" s="293"/>
      <c r="B37" s="37"/>
      <c r="C37" s="204" cm="1">
        <f t="array" ref="C37">IFERROR(LOOKUP(2,1/(C12:C36&gt;0),C12:C36-C12),0)</f>
        <v>186</v>
      </c>
      <c r="D37" s="204" cm="1">
        <f t="array" ref="D37">IFERROR(LOOKUP(2,1/(D12:D36&gt;0),D12:D36-D12),0)</f>
        <v>158</v>
      </c>
      <c r="E37" s="207" cm="1">
        <f t="array" ref="E37">IFERROR(LOOKUP(2,1/(E12:E36&gt;0),E12:E36-E12),0)</f>
        <v>501.5</v>
      </c>
      <c r="F37" s="207" cm="1">
        <f t="array" ref="F37">IFERROR(LOOKUP(2,1/(F12:F36&gt;0),F12:F36-F12),0)</f>
        <v>342.23</v>
      </c>
      <c r="G37" s="41">
        <f>E37+F37</f>
        <v>843.73</v>
      </c>
      <c r="H37" s="205" cm="1">
        <f t="array" ref="H37">IFERROR(LOOKUP(2,1/(H12:H36&gt;0),H12:H36-H12),0)</f>
        <v>8663</v>
      </c>
      <c r="I37" s="204" cm="1">
        <f t="array" ref="I37">IFERROR(LOOKUP(2,1/(I12:I36&gt;0),I12:I36-I12),0)</f>
        <v>0</v>
      </c>
      <c r="J37" s="242">
        <f t="shared" ref="J37:O37" si="0">IFERROR(AVERAGE(J12:J36),0)</f>
        <v>100.40800000000002</v>
      </c>
      <c r="K37" s="242">
        <f t="shared" si="0"/>
        <v>17</v>
      </c>
      <c r="L37" s="242">
        <f t="shared" si="0"/>
        <v>100.40800000000002</v>
      </c>
      <c r="M37" s="242">
        <f t="shared" si="0"/>
        <v>112.27199999999999</v>
      </c>
      <c r="N37" s="242">
        <f t="shared" si="0"/>
        <v>228.93599999999998</v>
      </c>
      <c r="O37" s="242">
        <f t="shared" si="0"/>
        <v>197.24799999999999</v>
      </c>
      <c r="P37" s="206">
        <f>COUNT(P12:P36)</f>
        <v>0</v>
      </c>
    </row>
    <row r="38" spans="1:16" ht="15" customHeight="1">
      <c r="A38" s="291">
        <f>'DATA B1'!B38</f>
        <v>46024</v>
      </c>
      <c r="B38" s="35">
        <v>0.29166666666666669</v>
      </c>
      <c r="C38" s="38">
        <v>220604</v>
      </c>
      <c r="D38" s="39">
        <v>165293</v>
      </c>
      <c r="E38" s="143">
        <v>501.5</v>
      </c>
      <c r="F38" s="143">
        <v>597.25</v>
      </c>
      <c r="G38" s="143"/>
      <c r="H38" s="130">
        <v>696696</v>
      </c>
      <c r="I38" s="9"/>
      <c r="J38" s="145">
        <v>100.3</v>
      </c>
      <c r="K38" s="145">
        <v>17</v>
      </c>
      <c r="L38" s="146">
        <v>100.3</v>
      </c>
      <c r="M38" s="146">
        <v>112.3</v>
      </c>
      <c r="N38" s="91">
        <v>221.5</v>
      </c>
      <c r="O38" s="91">
        <v>189.7</v>
      </c>
      <c r="P38" s="61"/>
    </row>
    <row r="39" spans="1:16" ht="15" customHeight="1">
      <c r="A39" s="292"/>
      <c r="B39" s="34">
        <v>0.33333333333333298</v>
      </c>
      <c r="C39" s="38">
        <v>220612</v>
      </c>
      <c r="D39" s="39">
        <v>165301</v>
      </c>
      <c r="E39" s="40">
        <v>514.41</v>
      </c>
      <c r="F39" s="143">
        <v>632.73</v>
      </c>
      <c r="G39" s="143"/>
      <c r="H39" s="130">
        <v>697154</v>
      </c>
      <c r="I39" s="9"/>
      <c r="J39" s="145">
        <v>99.8</v>
      </c>
      <c r="K39" s="145">
        <v>17</v>
      </c>
      <c r="L39" s="146">
        <v>99.8</v>
      </c>
      <c r="M39" s="146">
        <v>110.3</v>
      </c>
      <c r="N39" s="91">
        <v>231.3</v>
      </c>
      <c r="O39" s="91">
        <v>198.8</v>
      </c>
      <c r="P39" s="61"/>
    </row>
    <row r="40" spans="1:16" ht="15" customHeight="1">
      <c r="A40" s="292"/>
      <c r="B40" s="34">
        <v>0.375</v>
      </c>
      <c r="C40" s="38">
        <v>220617</v>
      </c>
      <c r="D40" s="39">
        <v>165305</v>
      </c>
      <c r="E40" s="143">
        <v>527.32000000000005</v>
      </c>
      <c r="F40" s="143">
        <v>632.73</v>
      </c>
      <c r="G40" s="143"/>
      <c r="H40" s="130">
        <v>697389</v>
      </c>
      <c r="I40" s="9"/>
      <c r="J40" s="145">
        <v>100.4</v>
      </c>
      <c r="K40" s="145">
        <v>17</v>
      </c>
      <c r="L40" s="146">
        <v>100.4</v>
      </c>
      <c r="M40" s="146">
        <v>112.1</v>
      </c>
      <c r="N40" s="91">
        <v>237.2</v>
      </c>
      <c r="O40" s="91">
        <v>199.1</v>
      </c>
      <c r="P40" s="61"/>
    </row>
    <row r="41" spans="1:16" ht="15" customHeight="1">
      <c r="A41" s="292"/>
      <c r="B41" s="34">
        <v>0.41666666666666702</v>
      </c>
      <c r="C41" s="38">
        <v>220622</v>
      </c>
      <c r="D41" s="39">
        <v>165309</v>
      </c>
      <c r="E41" s="40">
        <v>540.23</v>
      </c>
      <c r="F41" s="143">
        <v>632.73</v>
      </c>
      <c r="G41" s="143"/>
      <c r="H41" s="130">
        <v>697619</v>
      </c>
      <c r="I41" s="9"/>
      <c r="J41" s="145">
        <v>100.5</v>
      </c>
      <c r="K41" s="145">
        <v>17</v>
      </c>
      <c r="L41" s="146">
        <v>100.5</v>
      </c>
      <c r="M41" s="146">
        <v>112.1</v>
      </c>
      <c r="N41" s="91">
        <v>230.4</v>
      </c>
      <c r="O41" s="91">
        <v>198.6</v>
      </c>
      <c r="P41" s="61"/>
    </row>
    <row r="42" spans="1:16" ht="15" customHeight="1">
      <c r="A42" s="292"/>
      <c r="B42" s="34">
        <v>0.45833333333333298</v>
      </c>
      <c r="C42" s="38">
        <v>220634</v>
      </c>
      <c r="D42" s="39">
        <v>165319</v>
      </c>
      <c r="E42" s="40">
        <v>608.11</v>
      </c>
      <c r="F42" s="143">
        <v>632.73</v>
      </c>
      <c r="G42" s="143"/>
      <c r="H42" s="130">
        <v>698095</v>
      </c>
      <c r="I42" s="9"/>
      <c r="J42" s="145">
        <v>100.2</v>
      </c>
      <c r="K42" s="145">
        <v>17</v>
      </c>
      <c r="L42" s="146">
        <v>100.2</v>
      </c>
      <c r="M42" s="146">
        <v>110.2</v>
      </c>
      <c r="N42" s="91">
        <v>226.5</v>
      </c>
      <c r="O42" s="91">
        <v>198.3</v>
      </c>
      <c r="P42" s="61"/>
    </row>
    <row r="43" spans="1:16" ht="15" customHeight="1">
      <c r="A43" s="292"/>
      <c r="B43" s="34">
        <v>0.5</v>
      </c>
      <c r="C43" s="38">
        <v>220642</v>
      </c>
      <c r="D43" s="39">
        <v>165325</v>
      </c>
      <c r="E43" s="143">
        <v>643</v>
      </c>
      <c r="F43" s="143">
        <v>632.73</v>
      </c>
      <c r="G43" s="143"/>
      <c r="H43" s="130">
        <v>698436</v>
      </c>
      <c r="I43" s="9"/>
      <c r="J43" s="145">
        <v>100.2</v>
      </c>
      <c r="K43" s="145">
        <v>17</v>
      </c>
      <c r="L43" s="146">
        <v>100.2</v>
      </c>
      <c r="M43" s="146">
        <v>114.3</v>
      </c>
      <c r="N43" s="91">
        <v>228.7</v>
      </c>
      <c r="O43" s="91">
        <v>195.7</v>
      </c>
      <c r="P43" s="61"/>
    </row>
    <row r="44" spans="1:16" ht="15" customHeight="1">
      <c r="A44" s="292"/>
      <c r="B44" s="34">
        <v>0.54166666666666696</v>
      </c>
      <c r="C44" s="38">
        <v>220650</v>
      </c>
      <c r="D44" s="39">
        <v>165331</v>
      </c>
      <c r="E44" s="40">
        <v>677.89</v>
      </c>
      <c r="F44" s="143">
        <v>632.73</v>
      </c>
      <c r="G44" s="143"/>
      <c r="H44" s="130">
        <v>698792</v>
      </c>
      <c r="I44" s="9"/>
      <c r="J44" s="145">
        <v>100.4</v>
      </c>
      <c r="K44" s="145">
        <v>17</v>
      </c>
      <c r="L44" s="146">
        <v>100.4</v>
      </c>
      <c r="M44" s="146">
        <v>113.1</v>
      </c>
      <c r="N44" s="91">
        <v>220.8</v>
      </c>
      <c r="O44" s="91">
        <v>185.7</v>
      </c>
      <c r="P44" s="61"/>
    </row>
    <row r="45" spans="1:16" ht="15" customHeight="1">
      <c r="A45" s="292"/>
      <c r="B45" s="34">
        <v>0.58333333333333304</v>
      </c>
      <c r="C45" s="38">
        <v>220659</v>
      </c>
      <c r="D45" s="39">
        <v>165338</v>
      </c>
      <c r="E45" s="143">
        <v>712.78</v>
      </c>
      <c r="F45" s="143">
        <v>632.73</v>
      </c>
      <c r="G45" s="143"/>
      <c r="H45" s="130">
        <v>699168</v>
      </c>
      <c r="I45" s="9"/>
      <c r="J45" s="145">
        <v>100.4</v>
      </c>
      <c r="K45" s="145">
        <v>17</v>
      </c>
      <c r="L45" s="146">
        <v>100.4</v>
      </c>
      <c r="M45" s="146">
        <v>112.1</v>
      </c>
      <c r="N45" s="91">
        <v>237.2</v>
      </c>
      <c r="O45" s="91">
        <v>199.1</v>
      </c>
      <c r="P45" s="65"/>
    </row>
    <row r="46" spans="1:16" ht="15" customHeight="1">
      <c r="A46" s="292"/>
      <c r="B46" s="34">
        <v>0.625</v>
      </c>
      <c r="C46" s="38">
        <v>220668</v>
      </c>
      <c r="D46" s="39">
        <v>165345</v>
      </c>
      <c r="E46" s="40">
        <v>749.52</v>
      </c>
      <c r="F46" s="143">
        <v>632.73</v>
      </c>
      <c r="G46" s="143"/>
      <c r="H46" s="130">
        <v>699540</v>
      </c>
      <c r="I46" s="9"/>
      <c r="J46" s="145">
        <v>100.2</v>
      </c>
      <c r="K46" s="145">
        <v>17</v>
      </c>
      <c r="L46" s="146">
        <v>100.2</v>
      </c>
      <c r="M46" s="146">
        <v>113.7</v>
      </c>
      <c r="N46" s="91">
        <v>220.5</v>
      </c>
      <c r="O46" s="91">
        <v>198.1</v>
      </c>
      <c r="P46" s="61"/>
    </row>
    <row r="47" spans="1:16" ht="15" customHeight="1">
      <c r="A47" s="292"/>
      <c r="B47" s="34">
        <v>0.66666666666666696</v>
      </c>
      <c r="C47" s="38">
        <v>220674</v>
      </c>
      <c r="D47" s="39">
        <v>165348</v>
      </c>
      <c r="E47" s="143">
        <v>782</v>
      </c>
      <c r="F47" s="143">
        <v>632.73</v>
      </c>
      <c r="G47" s="143"/>
      <c r="H47" s="130">
        <v>699859</v>
      </c>
      <c r="I47" s="9"/>
      <c r="J47" s="145">
        <v>100.4</v>
      </c>
      <c r="K47" s="145">
        <v>17</v>
      </c>
      <c r="L47" s="146">
        <v>100.4</v>
      </c>
      <c r="M47" s="146">
        <v>112.1</v>
      </c>
      <c r="N47" s="91">
        <v>237.2</v>
      </c>
      <c r="O47" s="91">
        <v>199.1</v>
      </c>
      <c r="P47" s="61"/>
    </row>
    <row r="48" spans="1:16" ht="15" customHeight="1">
      <c r="A48" s="292"/>
      <c r="B48" s="34">
        <v>0.70833333333333304</v>
      </c>
      <c r="C48" s="38">
        <v>220680</v>
      </c>
      <c r="D48" s="39">
        <v>165351</v>
      </c>
      <c r="E48" s="40">
        <v>814.48</v>
      </c>
      <c r="F48" s="143">
        <v>632.73</v>
      </c>
      <c r="G48" s="143"/>
      <c r="H48" s="130">
        <v>700184</v>
      </c>
      <c r="I48" s="9"/>
      <c r="J48" s="145">
        <v>100.5</v>
      </c>
      <c r="K48" s="145">
        <v>17</v>
      </c>
      <c r="L48" s="146">
        <v>100.5</v>
      </c>
      <c r="M48" s="146">
        <v>112.1</v>
      </c>
      <c r="N48" s="91">
        <v>230.4</v>
      </c>
      <c r="O48" s="91">
        <v>198.6</v>
      </c>
      <c r="P48" s="61"/>
    </row>
    <row r="49" spans="1:16" ht="15" customHeight="1">
      <c r="A49" s="292"/>
      <c r="B49" s="34">
        <v>0.75</v>
      </c>
      <c r="C49" s="38">
        <v>220687</v>
      </c>
      <c r="D49" s="39">
        <v>165355</v>
      </c>
      <c r="E49" s="40">
        <v>846.96</v>
      </c>
      <c r="F49" s="143">
        <v>632.73</v>
      </c>
      <c r="G49" s="143"/>
      <c r="H49" s="130">
        <v>700524</v>
      </c>
      <c r="I49" s="9"/>
      <c r="J49" s="145">
        <v>100.7</v>
      </c>
      <c r="K49" s="145">
        <v>17</v>
      </c>
      <c r="L49" s="146">
        <v>100.7</v>
      </c>
      <c r="M49" s="146">
        <v>111.9</v>
      </c>
      <c r="N49" s="91">
        <v>225.9</v>
      </c>
      <c r="O49" s="91">
        <v>198.9</v>
      </c>
      <c r="P49" s="61"/>
    </row>
    <row r="50" spans="1:16" ht="15" customHeight="1">
      <c r="A50" s="292"/>
      <c r="B50" s="34">
        <v>0.79166666666666696</v>
      </c>
      <c r="C50" s="38">
        <v>220694</v>
      </c>
      <c r="D50" s="39">
        <v>165359</v>
      </c>
      <c r="E50" s="40">
        <v>880.34</v>
      </c>
      <c r="F50" s="143">
        <v>632.73</v>
      </c>
      <c r="G50" s="143"/>
      <c r="H50" s="130">
        <v>700870</v>
      </c>
      <c r="I50" s="9"/>
      <c r="J50" s="145">
        <v>100.4</v>
      </c>
      <c r="K50" s="145">
        <v>17</v>
      </c>
      <c r="L50" s="146">
        <v>100.4</v>
      </c>
      <c r="M50" s="146">
        <v>109.9</v>
      </c>
      <c r="N50" s="91">
        <v>229.8</v>
      </c>
      <c r="O50" s="91">
        <v>199.1</v>
      </c>
      <c r="P50" s="61"/>
    </row>
    <row r="51" spans="1:16" ht="15" customHeight="1">
      <c r="A51" s="292"/>
      <c r="B51" s="34">
        <v>0.83333333333333304</v>
      </c>
      <c r="C51" s="38">
        <v>220705</v>
      </c>
      <c r="D51" s="39">
        <v>165378</v>
      </c>
      <c r="E51" s="40">
        <v>927.09</v>
      </c>
      <c r="F51" s="143">
        <v>632.73</v>
      </c>
      <c r="G51" s="143"/>
      <c r="H51" s="130">
        <v>701355</v>
      </c>
      <c r="I51" s="9"/>
      <c r="J51" s="145">
        <v>100.2</v>
      </c>
      <c r="K51" s="145">
        <v>17</v>
      </c>
      <c r="L51" s="146">
        <v>100.2</v>
      </c>
      <c r="M51" s="146">
        <v>110.7</v>
      </c>
      <c r="N51" s="91">
        <v>229.8</v>
      </c>
      <c r="O51" s="91">
        <v>200.4</v>
      </c>
      <c r="P51" s="61"/>
    </row>
    <row r="52" spans="1:16" ht="15" customHeight="1">
      <c r="A52" s="292"/>
      <c r="B52" s="34">
        <v>0.875</v>
      </c>
      <c r="C52" s="38">
        <v>220711</v>
      </c>
      <c r="D52" s="39">
        <v>165383</v>
      </c>
      <c r="E52" s="40">
        <v>956.62</v>
      </c>
      <c r="F52" s="143">
        <v>632.73</v>
      </c>
      <c r="G52" s="143"/>
      <c r="H52" s="130">
        <v>701643</v>
      </c>
      <c r="I52" s="9"/>
      <c r="J52" s="145">
        <v>100.5</v>
      </c>
      <c r="K52" s="145">
        <v>17</v>
      </c>
      <c r="L52" s="146">
        <v>100.5</v>
      </c>
      <c r="M52" s="146">
        <v>112.1</v>
      </c>
      <c r="N52" s="91">
        <v>230.4</v>
      </c>
      <c r="O52" s="91">
        <v>198.6</v>
      </c>
      <c r="P52" s="61"/>
    </row>
    <row r="53" spans="1:16" ht="15" customHeight="1">
      <c r="A53" s="292"/>
      <c r="B53" s="34">
        <v>0.91666666666666696</v>
      </c>
      <c r="C53" s="38">
        <v>220718</v>
      </c>
      <c r="D53" s="39">
        <v>165389</v>
      </c>
      <c r="E53" s="40">
        <v>986.18</v>
      </c>
      <c r="F53" s="143">
        <v>632.73</v>
      </c>
      <c r="G53" s="143"/>
      <c r="H53" s="130">
        <v>701971</v>
      </c>
      <c r="I53" s="9"/>
      <c r="J53" s="145">
        <v>100.2</v>
      </c>
      <c r="K53" s="145">
        <v>17</v>
      </c>
      <c r="L53" s="146">
        <v>100.2</v>
      </c>
      <c r="M53" s="146">
        <v>110.2</v>
      </c>
      <c r="N53" s="91">
        <v>226.5</v>
      </c>
      <c r="O53" s="91">
        <v>198.3</v>
      </c>
      <c r="P53" s="61"/>
    </row>
    <row r="54" spans="1:16" ht="15" customHeight="1">
      <c r="A54" s="292"/>
      <c r="B54" s="34">
        <v>0.95833333333333304</v>
      </c>
      <c r="C54" s="38">
        <v>220725</v>
      </c>
      <c r="D54" s="39">
        <v>165395</v>
      </c>
      <c r="E54" s="40">
        <v>986.18</v>
      </c>
      <c r="F54" s="143">
        <v>668.01</v>
      </c>
      <c r="G54" s="143"/>
      <c r="H54" s="130">
        <v>702307</v>
      </c>
      <c r="I54" s="9"/>
      <c r="J54" s="145">
        <v>100.4</v>
      </c>
      <c r="K54" s="145">
        <v>17</v>
      </c>
      <c r="L54" s="146">
        <v>100.4</v>
      </c>
      <c r="M54" s="146">
        <v>110.5</v>
      </c>
      <c r="N54" s="91">
        <v>221.6</v>
      </c>
      <c r="O54" s="91">
        <v>193.7</v>
      </c>
      <c r="P54" s="61"/>
    </row>
    <row r="55" spans="1:16" ht="15" customHeight="1">
      <c r="A55" s="292"/>
      <c r="B55" s="34">
        <v>1</v>
      </c>
      <c r="C55" s="38">
        <v>220732</v>
      </c>
      <c r="D55" s="39">
        <v>165401</v>
      </c>
      <c r="E55" s="40">
        <v>986.18</v>
      </c>
      <c r="F55" s="143">
        <v>703.29</v>
      </c>
      <c r="G55" s="143"/>
      <c r="H55" s="130">
        <v>702654</v>
      </c>
      <c r="I55" s="9"/>
      <c r="J55" s="145">
        <v>100.4</v>
      </c>
      <c r="K55" s="145">
        <v>17</v>
      </c>
      <c r="L55" s="146">
        <v>100.4</v>
      </c>
      <c r="M55" s="146">
        <v>112.1</v>
      </c>
      <c r="N55" s="91">
        <v>237.2</v>
      </c>
      <c r="O55" s="91">
        <v>199.1</v>
      </c>
      <c r="P55" s="61"/>
    </row>
    <row r="56" spans="1:16" ht="15" customHeight="1">
      <c r="A56" s="292"/>
      <c r="B56" s="34">
        <v>1.0416666666666701</v>
      </c>
      <c r="C56" s="38">
        <v>220739</v>
      </c>
      <c r="D56" s="39">
        <v>165407</v>
      </c>
      <c r="E56" s="40">
        <v>986.18</v>
      </c>
      <c r="F56" s="143">
        <v>738.57</v>
      </c>
      <c r="G56" s="143"/>
      <c r="H56" s="130">
        <v>702985</v>
      </c>
      <c r="I56" s="9"/>
      <c r="J56" s="145">
        <v>100.5</v>
      </c>
      <c r="K56" s="145">
        <v>17</v>
      </c>
      <c r="L56" s="146">
        <v>100.5</v>
      </c>
      <c r="M56" s="146">
        <v>112.1</v>
      </c>
      <c r="N56" s="91">
        <v>230.4</v>
      </c>
      <c r="O56" s="91">
        <v>198.6</v>
      </c>
      <c r="P56" s="61"/>
    </row>
    <row r="57" spans="1:16" ht="15" customHeight="1">
      <c r="A57" s="292"/>
      <c r="B57" s="34">
        <v>1.0833333333333299</v>
      </c>
      <c r="C57" s="38">
        <v>220747</v>
      </c>
      <c r="D57" s="39">
        <v>165413</v>
      </c>
      <c r="E57" s="40">
        <v>986.18</v>
      </c>
      <c r="F57" s="143">
        <v>773.85</v>
      </c>
      <c r="G57" s="143"/>
      <c r="H57" s="130">
        <v>703339</v>
      </c>
      <c r="I57" s="9"/>
      <c r="J57" s="145">
        <v>100.7</v>
      </c>
      <c r="K57" s="145">
        <v>17</v>
      </c>
      <c r="L57" s="146">
        <v>100.7</v>
      </c>
      <c r="M57" s="146">
        <v>111.9</v>
      </c>
      <c r="N57" s="91">
        <v>225.9</v>
      </c>
      <c r="O57" s="91">
        <v>198.9</v>
      </c>
      <c r="P57" s="61"/>
    </row>
    <row r="58" spans="1:16" ht="15" customHeight="1">
      <c r="A58" s="292"/>
      <c r="B58" s="34">
        <v>1.125</v>
      </c>
      <c r="C58" s="38">
        <v>220755</v>
      </c>
      <c r="D58" s="39">
        <v>165421</v>
      </c>
      <c r="E58" s="40">
        <v>986.18</v>
      </c>
      <c r="F58" s="143">
        <v>809.33</v>
      </c>
      <c r="G58" s="143"/>
      <c r="H58" s="130">
        <v>703696</v>
      </c>
      <c r="I58" s="9"/>
      <c r="J58" s="145">
        <v>100.3</v>
      </c>
      <c r="K58" s="145">
        <v>17</v>
      </c>
      <c r="L58" s="146">
        <v>100.3</v>
      </c>
      <c r="M58" s="146">
        <v>110.6</v>
      </c>
      <c r="N58" s="91">
        <v>231.4</v>
      </c>
      <c r="O58" s="247">
        <v>200</v>
      </c>
      <c r="P58" s="61"/>
    </row>
    <row r="59" spans="1:16" ht="15" customHeight="1">
      <c r="A59" s="292"/>
      <c r="B59" s="34">
        <v>1.1666666666666701</v>
      </c>
      <c r="C59" s="38">
        <v>220761</v>
      </c>
      <c r="D59" s="39">
        <v>165427</v>
      </c>
      <c r="E59" s="40">
        <v>986.18</v>
      </c>
      <c r="F59" s="143">
        <v>842.14</v>
      </c>
      <c r="G59" s="143"/>
      <c r="H59" s="130">
        <v>704001</v>
      </c>
      <c r="I59" s="9"/>
      <c r="J59" s="145">
        <v>100.5</v>
      </c>
      <c r="K59" s="145">
        <v>17</v>
      </c>
      <c r="L59" s="146">
        <v>100.5</v>
      </c>
      <c r="M59" s="146">
        <v>112.6</v>
      </c>
      <c r="N59" s="91">
        <v>224.8</v>
      </c>
      <c r="O59" s="91">
        <v>186.9</v>
      </c>
      <c r="P59" s="61"/>
    </row>
    <row r="60" spans="1:16" ht="15" customHeight="1">
      <c r="A60" s="292"/>
      <c r="B60" s="34">
        <v>1.2083333333333299</v>
      </c>
      <c r="C60" s="38">
        <v>220768</v>
      </c>
      <c r="D60" s="39">
        <v>165433</v>
      </c>
      <c r="E60" s="40">
        <v>986.18</v>
      </c>
      <c r="F60" s="143">
        <v>875.04</v>
      </c>
      <c r="G60" s="143"/>
      <c r="H60" s="130">
        <v>704340</v>
      </c>
      <c r="I60" s="9"/>
      <c r="J60" s="145">
        <v>100.7</v>
      </c>
      <c r="K60" s="145">
        <v>17</v>
      </c>
      <c r="L60" s="146">
        <v>100.7</v>
      </c>
      <c r="M60" s="146">
        <v>111.9</v>
      </c>
      <c r="N60" s="91">
        <v>225.9</v>
      </c>
      <c r="O60" s="91">
        <v>198.9</v>
      </c>
      <c r="P60" s="61"/>
    </row>
    <row r="61" spans="1:16" ht="15" customHeight="1">
      <c r="A61" s="292"/>
      <c r="B61" s="34">
        <v>1.25</v>
      </c>
      <c r="C61" s="38">
        <v>220775</v>
      </c>
      <c r="D61" s="39">
        <v>165439</v>
      </c>
      <c r="E61" s="40">
        <v>986.18</v>
      </c>
      <c r="F61" s="143">
        <v>908.12</v>
      </c>
      <c r="G61" s="143"/>
      <c r="H61" s="130">
        <v>704669</v>
      </c>
      <c r="I61" s="9"/>
      <c r="J61" s="145">
        <v>100.7</v>
      </c>
      <c r="K61" s="145">
        <v>17</v>
      </c>
      <c r="L61" s="146">
        <v>100.7</v>
      </c>
      <c r="M61" s="146">
        <v>112.3</v>
      </c>
      <c r="N61" s="91">
        <v>235.4</v>
      </c>
      <c r="O61" s="91">
        <v>199.2</v>
      </c>
      <c r="P61" s="61"/>
    </row>
    <row r="62" spans="1:16" ht="15" customHeight="1">
      <c r="A62" s="292"/>
      <c r="B62" s="34">
        <v>1.2916666666666701</v>
      </c>
      <c r="C62" s="38">
        <v>220782</v>
      </c>
      <c r="D62" s="39">
        <v>165445</v>
      </c>
      <c r="E62" s="40">
        <v>986.18</v>
      </c>
      <c r="F62" s="143">
        <v>940.94</v>
      </c>
      <c r="G62" s="143"/>
      <c r="H62" s="130">
        <v>705007</v>
      </c>
      <c r="I62" s="9"/>
      <c r="J62" s="145">
        <v>100.5</v>
      </c>
      <c r="K62" s="145">
        <v>17</v>
      </c>
      <c r="L62" s="146">
        <v>100.5</v>
      </c>
      <c r="M62" s="146">
        <v>110.9</v>
      </c>
      <c r="N62" s="91">
        <v>227.4</v>
      </c>
      <c r="O62" s="91">
        <v>196.3</v>
      </c>
      <c r="P62" s="61"/>
    </row>
    <row r="63" spans="1:16" ht="15" customHeight="1">
      <c r="A63" s="293"/>
      <c r="B63" s="37"/>
      <c r="C63" s="204" cm="1">
        <f t="array" ref="C63">IFERROR(LOOKUP(2,1/(C38:C62&gt;0),C38:C62-C38),0)</f>
        <v>178</v>
      </c>
      <c r="D63" s="204" cm="1">
        <f t="array" ref="D63">IFERROR(LOOKUP(2,1/(D38:D62&gt;0),D38:D62-D38),0)</f>
        <v>152</v>
      </c>
      <c r="E63" s="207" cm="1">
        <f t="array" ref="E63">IFERROR(LOOKUP(2,1/(E38:E62&gt;0),E38:E62-E38),0)</f>
        <v>484.67999999999995</v>
      </c>
      <c r="F63" s="207" cm="1">
        <f t="array" ref="F63">IFERROR(LOOKUP(2,1/(F38:F62&gt;0),F38:F62-F38),0)</f>
        <v>343.69000000000005</v>
      </c>
      <c r="G63" s="41">
        <f>E63+F63</f>
        <v>828.37</v>
      </c>
      <c r="H63" s="205" cm="1">
        <f t="array" ref="H63">IFERROR(LOOKUP(2,1/(H38:H62&gt;0),H38:H62-H38),0)</f>
        <v>8311</v>
      </c>
      <c r="I63" s="204" cm="1">
        <f t="array" ref="I63">IFERROR(LOOKUP(2,1/(I38:I62&gt;0),I38:I62-I38),0)</f>
        <v>0</v>
      </c>
      <c r="J63" s="242">
        <f t="shared" ref="J63:O63" si="1">IFERROR(AVERAGE(J38:J62),0)</f>
        <v>100.4</v>
      </c>
      <c r="K63" s="242">
        <f t="shared" si="1"/>
        <v>17</v>
      </c>
      <c r="L63" s="242">
        <f t="shared" si="1"/>
        <v>100.4</v>
      </c>
      <c r="M63" s="242">
        <f t="shared" si="1"/>
        <v>111.76400000000001</v>
      </c>
      <c r="N63" s="242">
        <f t="shared" si="1"/>
        <v>228.96399999999994</v>
      </c>
      <c r="O63" s="242">
        <f t="shared" si="1"/>
        <v>197.10799999999995</v>
      </c>
      <c r="P63" s="206">
        <f>COUNT(P38:P62)</f>
        <v>0</v>
      </c>
    </row>
    <row r="64" spans="1:16" ht="15" customHeight="1">
      <c r="A64" s="291">
        <f>'DATA B1'!B64</f>
        <v>46025</v>
      </c>
      <c r="B64" s="34">
        <v>0.29166666666666669</v>
      </c>
      <c r="C64" s="38">
        <v>220782</v>
      </c>
      <c r="D64" s="39">
        <v>165445</v>
      </c>
      <c r="E64" s="40">
        <v>986.18</v>
      </c>
      <c r="F64" s="143">
        <v>940.94</v>
      </c>
      <c r="G64" s="143"/>
      <c r="H64" s="130">
        <v>705007</v>
      </c>
      <c r="I64" s="9"/>
      <c r="J64" s="145">
        <v>100.5</v>
      </c>
      <c r="K64" s="145">
        <v>17</v>
      </c>
      <c r="L64" s="146">
        <v>100.5</v>
      </c>
      <c r="M64" s="146">
        <v>110.9</v>
      </c>
      <c r="N64" s="91">
        <v>227.4</v>
      </c>
      <c r="O64" s="91">
        <v>196.3</v>
      </c>
      <c r="P64" s="61"/>
    </row>
    <row r="65" spans="1:16" ht="15" customHeight="1">
      <c r="A65" s="292"/>
      <c r="B65" s="34">
        <v>0.33333333333333298</v>
      </c>
      <c r="C65" s="38">
        <v>220792</v>
      </c>
      <c r="D65" s="39">
        <v>165452</v>
      </c>
      <c r="E65" s="40">
        <v>998.13</v>
      </c>
      <c r="F65" s="143">
        <v>974.76</v>
      </c>
      <c r="G65" s="143"/>
      <c r="H65" s="130">
        <v>705432</v>
      </c>
      <c r="I65" s="9"/>
      <c r="J65" s="145">
        <v>100.1</v>
      </c>
      <c r="K65" s="145">
        <v>17</v>
      </c>
      <c r="L65" s="146">
        <v>100.1</v>
      </c>
      <c r="M65" s="146">
        <v>111.3</v>
      </c>
      <c r="N65" s="91">
        <v>223.8</v>
      </c>
      <c r="O65" s="91">
        <v>200.5</v>
      </c>
      <c r="P65" s="61"/>
    </row>
    <row r="66" spans="1:16" ht="15" customHeight="1">
      <c r="A66" s="292"/>
      <c r="B66" s="34">
        <v>0.375</v>
      </c>
      <c r="C66" s="38">
        <v>220798</v>
      </c>
      <c r="D66" s="39">
        <v>165457</v>
      </c>
      <c r="E66" s="40">
        <v>1010.08</v>
      </c>
      <c r="F66" s="143">
        <v>974.76</v>
      </c>
      <c r="G66" s="143"/>
      <c r="H66" s="130">
        <v>705723</v>
      </c>
      <c r="I66" s="9"/>
      <c r="J66" s="145">
        <v>100.7</v>
      </c>
      <c r="K66" s="145">
        <v>17</v>
      </c>
      <c r="L66" s="146">
        <v>100.7</v>
      </c>
      <c r="M66" s="146">
        <v>114.1</v>
      </c>
      <c r="N66" s="91">
        <v>234.7</v>
      </c>
      <c r="O66" s="91">
        <v>200.9</v>
      </c>
      <c r="P66" s="61"/>
    </row>
    <row r="67" spans="1:16" ht="15" customHeight="1">
      <c r="A67" s="292"/>
      <c r="B67" s="34">
        <v>0.41666666666666702</v>
      </c>
      <c r="C67" s="38">
        <v>220804</v>
      </c>
      <c r="D67" s="39">
        <v>165462</v>
      </c>
      <c r="E67" s="40">
        <v>1022.03</v>
      </c>
      <c r="F67" s="143">
        <v>974.76</v>
      </c>
      <c r="G67" s="143"/>
      <c r="H67" s="130">
        <v>706009</v>
      </c>
      <c r="I67" s="9"/>
      <c r="J67" s="145">
        <v>100.4</v>
      </c>
      <c r="K67" s="145">
        <v>17</v>
      </c>
      <c r="L67" s="146">
        <v>100.4</v>
      </c>
      <c r="M67" s="146">
        <v>111.8</v>
      </c>
      <c r="N67" s="91">
        <v>237.2</v>
      </c>
      <c r="O67" s="91">
        <v>201.4</v>
      </c>
      <c r="P67" s="61"/>
    </row>
    <row r="68" spans="1:16" ht="15" customHeight="1">
      <c r="A68" s="292"/>
      <c r="B68" s="34">
        <v>0.45833333333333298</v>
      </c>
      <c r="C68" s="38">
        <v>220811</v>
      </c>
      <c r="D68" s="39">
        <v>165468</v>
      </c>
      <c r="E68" s="40">
        <v>1086.6600000000001</v>
      </c>
      <c r="F68" s="143">
        <v>974.76</v>
      </c>
      <c r="G68" s="143"/>
      <c r="H68" s="130">
        <v>706306</v>
      </c>
      <c r="I68" s="9"/>
      <c r="J68" s="145">
        <v>100.3</v>
      </c>
      <c r="K68" s="145">
        <v>17</v>
      </c>
      <c r="L68" s="146">
        <v>100.3</v>
      </c>
      <c r="M68" s="146">
        <v>110.1</v>
      </c>
      <c r="N68" s="91">
        <v>228.3</v>
      </c>
      <c r="O68" s="91">
        <v>200.4</v>
      </c>
      <c r="P68" s="61"/>
    </row>
    <row r="69" spans="1:16" ht="15" customHeight="1">
      <c r="A69" s="292"/>
      <c r="B69" s="34">
        <v>0.5</v>
      </c>
      <c r="C69" s="38">
        <v>220818</v>
      </c>
      <c r="D69" s="39">
        <v>165474</v>
      </c>
      <c r="E69" s="143">
        <v>1122</v>
      </c>
      <c r="F69" s="143">
        <v>974.76</v>
      </c>
      <c r="G69" s="143"/>
      <c r="H69" s="130">
        <v>706647</v>
      </c>
      <c r="I69" s="9"/>
      <c r="J69" s="145">
        <v>100.2</v>
      </c>
      <c r="K69" s="145">
        <v>17</v>
      </c>
      <c r="L69" s="146">
        <v>100.2</v>
      </c>
      <c r="M69" s="146">
        <v>110.2</v>
      </c>
      <c r="N69" s="91">
        <v>226.5</v>
      </c>
      <c r="O69" s="91">
        <v>198.3</v>
      </c>
      <c r="P69" s="61"/>
    </row>
    <row r="70" spans="1:16" ht="15" customHeight="1">
      <c r="A70" s="292"/>
      <c r="B70" s="34">
        <v>0.54166666666666696</v>
      </c>
      <c r="C70" s="38">
        <v>220828</v>
      </c>
      <c r="D70" s="39">
        <v>165481</v>
      </c>
      <c r="E70" s="40">
        <v>1157.3399999999999</v>
      </c>
      <c r="F70" s="143">
        <v>974.76</v>
      </c>
      <c r="G70" s="143"/>
      <c r="H70" s="130">
        <v>707010</v>
      </c>
      <c r="I70" s="9"/>
      <c r="J70" s="145">
        <v>100.2</v>
      </c>
      <c r="K70" s="145">
        <v>17</v>
      </c>
      <c r="L70" s="146">
        <v>100.2</v>
      </c>
      <c r="M70" s="146">
        <v>114.3</v>
      </c>
      <c r="N70" s="91">
        <v>228.7</v>
      </c>
      <c r="O70" s="91">
        <v>195.7</v>
      </c>
      <c r="P70" s="61"/>
    </row>
    <row r="71" spans="1:16" ht="15" customHeight="1">
      <c r="A71" s="292"/>
      <c r="B71" s="34">
        <v>0.58333333333333304</v>
      </c>
      <c r="C71" s="38">
        <v>220834</v>
      </c>
      <c r="D71" s="39">
        <v>165488</v>
      </c>
      <c r="E71" s="143">
        <v>1192.68</v>
      </c>
      <c r="F71" s="143">
        <v>974.76</v>
      </c>
      <c r="G71" s="143"/>
      <c r="H71" s="130">
        <v>707379</v>
      </c>
      <c r="I71" s="9"/>
      <c r="J71" s="145">
        <v>100.4</v>
      </c>
      <c r="K71" s="145">
        <v>17</v>
      </c>
      <c r="L71" s="146">
        <v>100.4</v>
      </c>
      <c r="M71" s="146">
        <v>113.1</v>
      </c>
      <c r="N71" s="91">
        <v>220.8</v>
      </c>
      <c r="O71" s="91">
        <v>185.7</v>
      </c>
      <c r="P71" s="65"/>
    </row>
    <row r="72" spans="1:16" ht="15" customHeight="1">
      <c r="A72" s="292"/>
      <c r="B72" s="34">
        <v>0.625</v>
      </c>
      <c r="C72" s="38">
        <v>220842</v>
      </c>
      <c r="D72" s="39">
        <v>165495</v>
      </c>
      <c r="E72" s="40">
        <v>1231.22</v>
      </c>
      <c r="F72" s="143">
        <v>974.76</v>
      </c>
      <c r="G72" s="143"/>
      <c r="H72" s="130">
        <v>707753</v>
      </c>
      <c r="I72" s="9"/>
      <c r="J72" s="145">
        <v>100.3</v>
      </c>
      <c r="K72" s="145">
        <v>17</v>
      </c>
      <c r="L72" s="146">
        <v>100.4</v>
      </c>
      <c r="M72" s="146">
        <v>110.3</v>
      </c>
      <c r="N72" s="91">
        <v>231.1</v>
      </c>
      <c r="O72" s="91">
        <v>198.6</v>
      </c>
      <c r="P72" s="61"/>
    </row>
    <row r="73" spans="1:16" ht="15" customHeight="1">
      <c r="A73" s="292"/>
      <c r="B73" s="34">
        <v>0.66666666666666696</v>
      </c>
      <c r="C73" s="38">
        <v>220849</v>
      </c>
      <c r="D73" s="39">
        <v>165501</v>
      </c>
      <c r="E73" s="143">
        <v>1263</v>
      </c>
      <c r="F73" s="143">
        <v>974.76</v>
      </c>
      <c r="G73" s="143"/>
      <c r="H73" s="130">
        <v>708082</v>
      </c>
      <c r="I73" s="9"/>
      <c r="J73" s="145">
        <v>100.4</v>
      </c>
      <c r="K73" s="145">
        <v>17</v>
      </c>
      <c r="L73" s="146">
        <v>100.4</v>
      </c>
      <c r="M73" s="146">
        <v>112.1</v>
      </c>
      <c r="N73" s="91">
        <v>237.2</v>
      </c>
      <c r="O73" s="91">
        <v>199.1</v>
      </c>
      <c r="P73" s="61"/>
    </row>
    <row r="74" spans="1:16" ht="15" customHeight="1">
      <c r="A74" s="292"/>
      <c r="B74" s="34">
        <v>0.70833333333333304</v>
      </c>
      <c r="C74" s="38">
        <v>220856</v>
      </c>
      <c r="D74" s="39">
        <v>165507</v>
      </c>
      <c r="E74" s="40">
        <v>1294.78</v>
      </c>
      <c r="F74" s="143">
        <v>974.76</v>
      </c>
      <c r="G74" s="143"/>
      <c r="H74" s="130">
        <v>708421</v>
      </c>
      <c r="I74" s="9"/>
      <c r="J74" s="145">
        <v>100.5</v>
      </c>
      <c r="K74" s="145">
        <v>17</v>
      </c>
      <c r="L74" s="146">
        <v>100.5</v>
      </c>
      <c r="M74" s="146">
        <v>112.1</v>
      </c>
      <c r="N74" s="91">
        <v>230.4</v>
      </c>
      <c r="O74" s="91">
        <v>198.6</v>
      </c>
      <c r="P74" s="61"/>
    </row>
    <row r="75" spans="1:16" ht="15" customHeight="1">
      <c r="A75" s="292"/>
      <c r="B75" s="34">
        <v>0.75</v>
      </c>
      <c r="C75" s="38">
        <v>220863</v>
      </c>
      <c r="D75" s="39">
        <v>165513</v>
      </c>
      <c r="E75" s="143">
        <v>1326.56</v>
      </c>
      <c r="F75" s="143">
        <v>974.76</v>
      </c>
      <c r="G75" s="143"/>
      <c r="H75" s="130">
        <v>708751</v>
      </c>
      <c r="I75" s="9"/>
      <c r="J75" s="145">
        <v>100.7</v>
      </c>
      <c r="K75" s="145">
        <v>17</v>
      </c>
      <c r="L75" s="146">
        <v>100.7</v>
      </c>
      <c r="M75" s="146">
        <v>111.9</v>
      </c>
      <c r="N75" s="91">
        <v>225.9</v>
      </c>
      <c r="O75" s="91">
        <v>198.9</v>
      </c>
      <c r="P75" s="61"/>
    </row>
    <row r="76" spans="1:16" ht="15" customHeight="1">
      <c r="A76" s="292"/>
      <c r="B76" s="34">
        <v>0.79166666666666696</v>
      </c>
      <c r="C76" s="38">
        <v>220870</v>
      </c>
      <c r="D76" s="39">
        <v>165519</v>
      </c>
      <c r="E76" s="40">
        <v>1362.12</v>
      </c>
      <c r="F76" s="143">
        <v>974.76</v>
      </c>
      <c r="G76" s="143"/>
      <c r="H76" s="130">
        <v>709089</v>
      </c>
      <c r="I76" s="9"/>
      <c r="J76" s="145">
        <v>100.1</v>
      </c>
      <c r="K76" s="145">
        <v>17</v>
      </c>
      <c r="L76" s="146">
        <v>100.1</v>
      </c>
      <c r="M76" s="146">
        <v>1098</v>
      </c>
      <c r="N76" s="91">
        <v>231.6</v>
      </c>
      <c r="O76" s="91">
        <v>199.2</v>
      </c>
      <c r="P76" s="61"/>
    </row>
    <row r="77" spans="1:16" ht="15" customHeight="1">
      <c r="A77" s="292"/>
      <c r="B77" s="34">
        <v>0.83333333333333304</v>
      </c>
      <c r="C77" s="38">
        <v>220881</v>
      </c>
      <c r="D77" s="39">
        <v>165528</v>
      </c>
      <c r="E77" s="40">
        <v>1411.02</v>
      </c>
      <c r="F77" s="143">
        <v>974.76</v>
      </c>
      <c r="G77" s="143"/>
      <c r="H77" s="130">
        <v>709545</v>
      </c>
      <c r="I77" s="9"/>
      <c r="J77" s="145">
        <v>100.6</v>
      </c>
      <c r="K77" s="145">
        <v>17</v>
      </c>
      <c r="L77" s="146">
        <v>100.6</v>
      </c>
      <c r="M77" s="146">
        <v>110.4</v>
      </c>
      <c r="N77" s="91">
        <v>227.3</v>
      </c>
      <c r="O77" s="91">
        <v>198.2</v>
      </c>
      <c r="P77" s="61"/>
    </row>
    <row r="78" spans="1:16" ht="15" customHeight="1">
      <c r="A78" s="292"/>
      <c r="B78" s="34">
        <v>0.875</v>
      </c>
      <c r="C78" s="38">
        <v>220887</v>
      </c>
      <c r="D78" s="39">
        <v>165533</v>
      </c>
      <c r="E78" s="40">
        <v>1466.7</v>
      </c>
      <c r="F78" s="143">
        <v>986.7</v>
      </c>
      <c r="G78" s="143"/>
      <c r="H78" s="130">
        <v>709832</v>
      </c>
      <c r="I78" s="9"/>
      <c r="J78" s="145">
        <v>100.7</v>
      </c>
      <c r="K78" s="145">
        <v>17</v>
      </c>
      <c r="L78" s="146">
        <v>100.7</v>
      </c>
      <c r="M78" s="146">
        <v>111.9</v>
      </c>
      <c r="N78" s="91">
        <v>225.9</v>
      </c>
      <c r="O78" s="91">
        <v>198.9</v>
      </c>
      <c r="P78" s="61"/>
    </row>
    <row r="79" spans="1:16" ht="15" customHeight="1">
      <c r="A79" s="292"/>
      <c r="B79" s="34">
        <v>0.91666666666666696</v>
      </c>
      <c r="C79" s="38">
        <v>220893</v>
      </c>
      <c r="D79" s="39">
        <v>165538</v>
      </c>
      <c r="E79" s="40">
        <v>1466.7</v>
      </c>
      <c r="F79" s="143">
        <v>998.64</v>
      </c>
      <c r="G79" s="143"/>
      <c r="H79" s="130">
        <v>710130</v>
      </c>
      <c r="I79" s="9"/>
      <c r="J79" s="145">
        <v>100.3</v>
      </c>
      <c r="K79" s="145">
        <v>17</v>
      </c>
      <c r="L79" s="146">
        <v>100.3</v>
      </c>
      <c r="M79" s="146">
        <v>110.6</v>
      </c>
      <c r="N79" s="91">
        <v>231.4</v>
      </c>
      <c r="O79" s="247">
        <v>200</v>
      </c>
      <c r="P79" s="61"/>
    </row>
    <row r="80" spans="1:16" ht="15" customHeight="1">
      <c r="A80" s="292"/>
      <c r="B80" s="34">
        <v>0.95833333333333304</v>
      </c>
      <c r="C80" s="38">
        <v>220900</v>
      </c>
      <c r="D80" s="39">
        <v>165544</v>
      </c>
      <c r="E80" s="40">
        <v>1466.7</v>
      </c>
      <c r="F80" s="143">
        <v>1010.59</v>
      </c>
      <c r="G80" s="143"/>
      <c r="H80" s="130">
        <v>710468</v>
      </c>
      <c r="I80" s="9"/>
      <c r="J80" s="145">
        <v>100.1</v>
      </c>
      <c r="K80" s="145">
        <v>17</v>
      </c>
      <c r="L80" s="146">
        <v>100.1</v>
      </c>
      <c r="M80" s="146">
        <v>111.3</v>
      </c>
      <c r="N80" s="91">
        <v>221.7</v>
      </c>
      <c r="O80" s="91">
        <v>200.7</v>
      </c>
      <c r="P80" s="61"/>
    </row>
    <row r="81" spans="1:16" ht="15" customHeight="1">
      <c r="A81" s="292"/>
      <c r="B81" s="34">
        <v>1</v>
      </c>
      <c r="C81" s="38">
        <v>220907</v>
      </c>
      <c r="D81" s="39">
        <v>165550</v>
      </c>
      <c r="E81" s="40">
        <v>1466.7</v>
      </c>
      <c r="F81" s="143">
        <v>1021.64</v>
      </c>
      <c r="G81" s="143"/>
      <c r="H81" s="130">
        <v>710800</v>
      </c>
      <c r="I81" s="9"/>
      <c r="J81" s="145">
        <v>100.4</v>
      </c>
      <c r="K81" s="145">
        <v>17</v>
      </c>
      <c r="L81" s="146">
        <v>100.4</v>
      </c>
      <c r="M81" s="146">
        <v>112.1</v>
      </c>
      <c r="N81" s="91">
        <v>237.2</v>
      </c>
      <c r="O81" s="91">
        <v>199.1</v>
      </c>
      <c r="P81" s="61"/>
    </row>
    <row r="82" spans="1:16" ht="15" customHeight="1">
      <c r="A82" s="292"/>
      <c r="B82" s="34">
        <v>1.0416666666666701</v>
      </c>
      <c r="C82" s="38">
        <v>220914</v>
      </c>
      <c r="D82" s="39">
        <v>165556</v>
      </c>
      <c r="E82" s="40">
        <v>1466.7</v>
      </c>
      <c r="F82" s="143">
        <v>1032.69</v>
      </c>
      <c r="G82" s="143"/>
      <c r="H82" s="130">
        <v>711134</v>
      </c>
      <c r="I82" s="9"/>
      <c r="J82" s="145">
        <v>100.5</v>
      </c>
      <c r="K82" s="145">
        <v>17</v>
      </c>
      <c r="L82" s="146">
        <v>100.5</v>
      </c>
      <c r="M82" s="146">
        <v>112.1</v>
      </c>
      <c r="N82" s="91">
        <v>230.4</v>
      </c>
      <c r="O82" s="91">
        <v>198.6</v>
      </c>
      <c r="P82" s="61"/>
    </row>
    <row r="83" spans="1:16" ht="15" customHeight="1">
      <c r="A83" s="292"/>
      <c r="B83" s="34">
        <v>1.0833333333333299</v>
      </c>
      <c r="C83" s="38">
        <v>220921</v>
      </c>
      <c r="D83" s="39">
        <v>165562</v>
      </c>
      <c r="E83" s="40">
        <v>1466.7</v>
      </c>
      <c r="F83" s="143">
        <v>1043.74</v>
      </c>
      <c r="G83" s="143"/>
      <c r="H83" s="130">
        <v>711470</v>
      </c>
      <c r="I83" s="9"/>
      <c r="J83" s="145">
        <v>100.7</v>
      </c>
      <c r="K83" s="145">
        <v>17</v>
      </c>
      <c r="L83" s="146">
        <v>100.7</v>
      </c>
      <c r="M83" s="146">
        <v>111.9</v>
      </c>
      <c r="N83" s="91">
        <v>225.9</v>
      </c>
      <c r="O83" s="91">
        <v>198.9</v>
      </c>
      <c r="P83" s="61"/>
    </row>
    <row r="84" spans="1:16" ht="15" customHeight="1">
      <c r="A84" s="292"/>
      <c r="B84" s="34">
        <v>1.125</v>
      </c>
      <c r="C84" s="38">
        <v>220929</v>
      </c>
      <c r="D84" s="39">
        <v>165569</v>
      </c>
      <c r="E84" s="40">
        <v>1466.7</v>
      </c>
      <c r="F84" s="143">
        <v>1054.79</v>
      </c>
      <c r="G84" s="143"/>
      <c r="H84" s="130">
        <v>711839</v>
      </c>
      <c r="I84" s="9"/>
      <c r="J84" s="145">
        <v>100.3</v>
      </c>
      <c r="K84" s="145">
        <v>17</v>
      </c>
      <c r="L84" s="146">
        <v>100.3</v>
      </c>
      <c r="M84" s="146">
        <v>110.6</v>
      </c>
      <c r="N84" s="91">
        <v>231.4</v>
      </c>
      <c r="O84" s="247">
        <v>200</v>
      </c>
      <c r="P84" s="61"/>
    </row>
    <row r="85" spans="1:16" ht="15" customHeight="1">
      <c r="A85" s="292"/>
      <c r="B85" s="34">
        <v>1.1666666666666701</v>
      </c>
      <c r="C85" s="38">
        <v>220935</v>
      </c>
      <c r="D85" s="39">
        <v>165574</v>
      </c>
      <c r="E85" s="40">
        <v>1466.7</v>
      </c>
      <c r="F85" s="143">
        <v>1110.76</v>
      </c>
      <c r="G85" s="143"/>
      <c r="H85" s="130">
        <v>712135</v>
      </c>
      <c r="I85" s="9"/>
      <c r="J85" s="145">
        <v>100.7</v>
      </c>
      <c r="K85" s="145">
        <v>17</v>
      </c>
      <c r="L85" s="146">
        <v>100.7</v>
      </c>
      <c r="M85" s="146">
        <v>111.9</v>
      </c>
      <c r="N85" s="91">
        <v>225.9</v>
      </c>
      <c r="O85" s="91">
        <v>198.9</v>
      </c>
      <c r="P85" s="61"/>
    </row>
    <row r="86" spans="1:16" ht="15" customHeight="1">
      <c r="A86" s="292"/>
      <c r="B86" s="34">
        <v>1.2083333333333299</v>
      </c>
      <c r="C86" s="38">
        <v>220941</v>
      </c>
      <c r="D86" s="39">
        <v>165580</v>
      </c>
      <c r="E86" s="40">
        <v>1466.7</v>
      </c>
      <c r="F86" s="143">
        <v>1166.73</v>
      </c>
      <c r="G86" s="143"/>
      <c r="H86" s="130">
        <v>712430</v>
      </c>
      <c r="I86" s="9"/>
      <c r="J86" s="145">
        <v>100.7</v>
      </c>
      <c r="K86" s="145">
        <v>17</v>
      </c>
      <c r="L86" s="146">
        <v>100.7</v>
      </c>
      <c r="M86" s="146">
        <v>112.3</v>
      </c>
      <c r="N86" s="91">
        <v>235.4</v>
      </c>
      <c r="O86" s="91">
        <v>199.2</v>
      </c>
      <c r="P86" s="61"/>
    </row>
    <row r="87" spans="1:16" ht="15" customHeight="1">
      <c r="A87" s="292"/>
      <c r="B87" s="34">
        <v>1.25</v>
      </c>
      <c r="C87" s="38">
        <v>220947</v>
      </c>
      <c r="D87" s="39">
        <v>165586</v>
      </c>
      <c r="E87" s="40">
        <v>1466.7</v>
      </c>
      <c r="F87" s="143">
        <v>1222.7</v>
      </c>
      <c r="G87" s="143"/>
      <c r="H87" s="130">
        <v>712726</v>
      </c>
      <c r="I87" s="9"/>
      <c r="J87" s="145">
        <v>100.5</v>
      </c>
      <c r="K87" s="145">
        <v>17</v>
      </c>
      <c r="L87" s="146">
        <v>100.5</v>
      </c>
      <c r="M87" s="146">
        <v>110.9</v>
      </c>
      <c r="N87" s="91">
        <v>227.4</v>
      </c>
      <c r="O87" s="91">
        <v>196.3</v>
      </c>
      <c r="P87" s="61"/>
    </row>
    <row r="88" spans="1:16" ht="15" customHeight="1">
      <c r="A88" s="292"/>
      <c r="B88" s="34">
        <v>1.2916666666666701</v>
      </c>
      <c r="C88" s="38">
        <v>220954</v>
      </c>
      <c r="D88" s="39">
        <v>165592</v>
      </c>
      <c r="E88" s="40">
        <v>1466.7</v>
      </c>
      <c r="F88" s="143">
        <v>1278.68</v>
      </c>
      <c r="G88" s="143"/>
      <c r="H88" s="130">
        <v>713065</v>
      </c>
      <c r="I88" s="9"/>
      <c r="J88" s="145">
        <v>100.1</v>
      </c>
      <c r="K88" s="145">
        <v>17</v>
      </c>
      <c r="L88" s="146">
        <v>100.1</v>
      </c>
      <c r="M88" s="146">
        <v>111.7</v>
      </c>
      <c r="N88" s="91">
        <v>223.2</v>
      </c>
      <c r="O88" s="91">
        <v>200.4</v>
      </c>
      <c r="P88" s="61"/>
    </row>
    <row r="89" spans="1:16" ht="15" customHeight="1">
      <c r="A89" s="293"/>
      <c r="B89" s="37"/>
      <c r="C89" s="204" cm="1">
        <f t="array" ref="C89">IFERROR(LOOKUP(2,1/(C64:C88&gt;0),C64:C88-C64),0)</f>
        <v>172</v>
      </c>
      <c r="D89" s="204" cm="1">
        <f t="array" ref="D89">IFERROR(LOOKUP(2,1/(D64:D88&gt;0),D64:D88-D64),0)</f>
        <v>147</v>
      </c>
      <c r="E89" s="207" cm="1">
        <f t="array" ref="E89">IFERROR(LOOKUP(2,1/(E64:E88&gt;0),E64:E88-E64),0)</f>
        <v>480.5200000000001</v>
      </c>
      <c r="F89" s="207" cm="1">
        <f t="array" ref="F89">IFERROR(LOOKUP(2,1/(F64:F88&gt;0),F64:F88-F64),0)</f>
        <v>337.74</v>
      </c>
      <c r="G89" s="41">
        <f>E89+F89</f>
        <v>818.2600000000001</v>
      </c>
      <c r="H89" s="205" cm="1">
        <f t="array" ref="H89">IFERROR(LOOKUP(2,1/(H64:H88&gt;0),H64:H88-H64),0)</f>
        <v>8058</v>
      </c>
      <c r="I89" s="204" cm="1">
        <f t="array" ref="I89">IFERROR(LOOKUP(2,1/(I64:I88&gt;0),I64:I88-I64),0)</f>
        <v>0</v>
      </c>
      <c r="J89" s="242">
        <f t="shared" ref="J89:O89" si="2">IFERROR(AVERAGE(J64:J88),0)</f>
        <v>100.41599999999998</v>
      </c>
      <c r="K89" s="242">
        <f t="shared" si="2"/>
        <v>17</v>
      </c>
      <c r="L89" s="242">
        <f t="shared" si="2"/>
        <v>100.41999999999999</v>
      </c>
      <c r="M89" s="242">
        <f t="shared" si="2"/>
        <v>151.11600000000001</v>
      </c>
      <c r="N89" s="242">
        <f t="shared" si="2"/>
        <v>229.06799999999993</v>
      </c>
      <c r="O89" s="242">
        <f t="shared" si="2"/>
        <v>198.51199999999997</v>
      </c>
      <c r="P89" s="206">
        <f>COUNT(P64:P88)</f>
        <v>0</v>
      </c>
    </row>
    <row r="90" spans="1:16" ht="15" customHeight="1">
      <c r="A90" s="291">
        <f>'DATA B1'!B90</f>
        <v>46026</v>
      </c>
      <c r="B90" s="34">
        <v>0.29166666666666669</v>
      </c>
      <c r="C90" s="38">
        <v>220954</v>
      </c>
      <c r="D90" s="39">
        <v>165592</v>
      </c>
      <c r="E90" s="40">
        <v>1466.7</v>
      </c>
      <c r="F90" s="143">
        <v>1278.68</v>
      </c>
      <c r="G90" s="143"/>
      <c r="H90" s="130">
        <v>713065</v>
      </c>
      <c r="I90" s="9"/>
      <c r="J90" s="145">
        <v>100.1</v>
      </c>
      <c r="K90" s="145">
        <v>17</v>
      </c>
      <c r="L90" s="146">
        <v>100.1</v>
      </c>
      <c r="M90" s="146">
        <v>111.7</v>
      </c>
      <c r="N90" s="91">
        <v>223.2</v>
      </c>
      <c r="O90" s="91">
        <v>200.4</v>
      </c>
      <c r="P90" s="61"/>
    </row>
    <row r="91" spans="1:16" ht="15" customHeight="1">
      <c r="A91" s="292"/>
      <c r="B91" s="34">
        <v>0.33333333333333298</v>
      </c>
      <c r="C91" s="38">
        <v>220963</v>
      </c>
      <c r="D91" s="39">
        <v>165599</v>
      </c>
      <c r="E91" s="40">
        <v>1474.84</v>
      </c>
      <c r="F91" s="143">
        <v>1311.93</v>
      </c>
      <c r="G91" s="143"/>
      <c r="H91" s="130">
        <v>713430</v>
      </c>
      <c r="I91" s="9"/>
      <c r="J91" s="145">
        <v>100.5</v>
      </c>
      <c r="K91" s="145">
        <v>17</v>
      </c>
      <c r="L91" s="146">
        <v>100.5</v>
      </c>
      <c r="M91" s="146">
        <v>111.2</v>
      </c>
      <c r="N91" s="91">
        <v>217.1</v>
      </c>
      <c r="O91" s="91">
        <v>198.2</v>
      </c>
      <c r="P91" s="61"/>
    </row>
    <row r="92" spans="1:16" ht="15" customHeight="1">
      <c r="A92" s="292"/>
      <c r="B92" s="34">
        <v>0.375</v>
      </c>
      <c r="C92" s="38">
        <v>220969</v>
      </c>
      <c r="D92" s="39">
        <v>165604</v>
      </c>
      <c r="E92" s="40">
        <v>1504.76</v>
      </c>
      <c r="F92" s="143">
        <v>1311.93</v>
      </c>
      <c r="G92" s="143"/>
      <c r="H92" s="130">
        <v>713710</v>
      </c>
      <c r="I92" s="9"/>
      <c r="J92" s="145">
        <v>100.5</v>
      </c>
      <c r="K92" s="145">
        <v>17</v>
      </c>
      <c r="L92" s="146">
        <v>100.5</v>
      </c>
      <c r="M92" s="146">
        <v>110.9</v>
      </c>
      <c r="N92" s="91">
        <v>227.4</v>
      </c>
      <c r="O92" s="91">
        <v>196.3</v>
      </c>
      <c r="P92" s="61"/>
    </row>
    <row r="93" spans="1:16" ht="15" customHeight="1">
      <c r="A93" s="292"/>
      <c r="B93" s="34">
        <v>0.41666666666666702</v>
      </c>
      <c r="C93" s="38">
        <v>220975</v>
      </c>
      <c r="D93" s="39">
        <v>165609</v>
      </c>
      <c r="E93" s="40">
        <v>1534.68</v>
      </c>
      <c r="F93" s="143">
        <v>1311.93</v>
      </c>
      <c r="G93" s="143"/>
      <c r="H93" s="130">
        <v>713994</v>
      </c>
      <c r="I93" s="9"/>
      <c r="J93" s="145">
        <v>100.1</v>
      </c>
      <c r="K93" s="145">
        <v>17</v>
      </c>
      <c r="L93" s="146">
        <v>100.1</v>
      </c>
      <c r="M93" s="146">
        <v>111.3</v>
      </c>
      <c r="N93" s="91">
        <v>223.8</v>
      </c>
      <c r="O93" s="91">
        <v>200.5</v>
      </c>
      <c r="P93" s="61"/>
    </row>
    <row r="94" spans="1:16" ht="15" customHeight="1">
      <c r="A94" s="292"/>
      <c r="B94" s="34">
        <v>0.45833333333333298</v>
      </c>
      <c r="C94" s="38">
        <v>220981</v>
      </c>
      <c r="D94" s="39">
        <v>165614</v>
      </c>
      <c r="E94" s="40">
        <v>1564.59</v>
      </c>
      <c r="F94" s="143">
        <v>1311.93</v>
      </c>
      <c r="G94" s="143"/>
      <c r="H94" s="130">
        <v>714272</v>
      </c>
      <c r="I94" s="9"/>
      <c r="J94" s="145">
        <v>99.9</v>
      </c>
      <c r="K94" s="145">
        <v>17</v>
      </c>
      <c r="L94" s="146">
        <v>99.9</v>
      </c>
      <c r="M94" s="146">
        <v>112.1</v>
      </c>
      <c r="N94" s="91">
        <v>227</v>
      </c>
      <c r="O94" s="91">
        <v>198.8</v>
      </c>
      <c r="P94" s="61"/>
    </row>
    <row r="95" spans="1:16" ht="15" customHeight="1">
      <c r="A95" s="292"/>
      <c r="B95" s="34">
        <v>0.5</v>
      </c>
      <c r="C95" s="38">
        <v>220987</v>
      </c>
      <c r="D95" s="39">
        <v>165619</v>
      </c>
      <c r="E95" s="40">
        <v>1594.5</v>
      </c>
      <c r="F95" s="143">
        <v>1311.93</v>
      </c>
      <c r="G95" s="143"/>
      <c r="H95" s="130">
        <v>714575</v>
      </c>
      <c r="I95" s="9"/>
      <c r="J95" s="145">
        <v>100.7</v>
      </c>
      <c r="K95" s="145">
        <v>17</v>
      </c>
      <c r="L95" s="146">
        <v>100.7</v>
      </c>
      <c r="M95" s="146">
        <v>112.3</v>
      </c>
      <c r="N95" s="91">
        <v>235.4</v>
      </c>
      <c r="O95" s="91">
        <v>199.2</v>
      </c>
      <c r="P95" s="61"/>
    </row>
    <row r="96" spans="1:16" ht="15" customHeight="1">
      <c r="A96" s="292"/>
      <c r="B96" s="34">
        <v>0.54166666666666696</v>
      </c>
      <c r="C96" s="38">
        <v>220994</v>
      </c>
      <c r="D96" s="39">
        <v>165624</v>
      </c>
      <c r="E96" s="40">
        <v>1624.41</v>
      </c>
      <c r="F96" s="143">
        <v>1311.93</v>
      </c>
      <c r="G96" s="143"/>
      <c r="H96" s="130">
        <v>714882</v>
      </c>
      <c r="I96" s="9"/>
      <c r="J96" s="145">
        <v>100.2</v>
      </c>
      <c r="K96" s="145">
        <v>17</v>
      </c>
      <c r="L96" s="146">
        <v>100.2</v>
      </c>
      <c r="M96" s="146">
        <v>111.1</v>
      </c>
      <c r="N96" s="91">
        <v>233.7</v>
      </c>
      <c r="O96" s="91">
        <v>186.7</v>
      </c>
      <c r="P96" s="61"/>
    </row>
    <row r="97" spans="1:16" ht="15" customHeight="1">
      <c r="A97" s="292"/>
      <c r="B97" s="34">
        <v>0.58333333333333304</v>
      </c>
      <c r="C97" s="38">
        <v>221000</v>
      </c>
      <c r="D97" s="39">
        <v>165629</v>
      </c>
      <c r="E97" s="40">
        <v>1654.32</v>
      </c>
      <c r="F97" s="143">
        <v>1311.93</v>
      </c>
      <c r="G97" s="143"/>
      <c r="H97" s="130">
        <v>715182</v>
      </c>
      <c r="I97" s="9"/>
      <c r="J97" s="145">
        <v>100.5</v>
      </c>
      <c r="K97" s="145">
        <v>17</v>
      </c>
      <c r="L97" s="146">
        <v>100.5</v>
      </c>
      <c r="M97" s="146">
        <v>112.1</v>
      </c>
      <c r="N97" s="91">
        <v>230.4</v>
      </c>
      <c r="O97" s="91">
        <v>198.6</v>
      </c>
      <c r="P97" s="65"/>
    </row>
    <row r="98" spans="1:16" ht="15" customHeight="1">
      <c r="A98" s="292"/>
      <c r="B98" s="34">
        <v>0.625</v>
      </c>
      <c r="C98" s="38">
        <v>221007</v>
      </c>
      <c r="D98" s="39">
        <v>165636</v>
      </c>
      <c r="E98" s="40">
        <v>1694.08</v>
      </c>
      <c r="F98" s="143">
        <v>1311.93</v>
      </c>
      <c r="G98" s="143"/>
      <c r="H98" s="130">
        <v>715495</v>
      </c>
      <c r="I98" s="9"/>
      <c r="J98" s="145">
        <v>100</v>
      </c>
      <c r="K98" s="145">
        <v>17</v>
      </c>
      <c r="L98" s="146">
        <v>100</v>
      </c>
      <c r="M98" s="146">
        <v>110</v>
      </c>
      <c r="N98" s="91">
        <v>226.4</v>
      </c>
      <c r="O98" s="91">
        <v>199.8</v>
      </c>
      <c r="P98" s="61"/>
    </row>
    <row r="99" spans="1:16" ht="15" customHeight="1">
      <c r="A99" s="292"/>
      <c r="B99" s="34">
        <v>0.66666666666666696</v>
      </c>
      <c r="C99" s="38">
        <v>221013</v>
      </c>
      <c r="D99" s="39">
        <v>165642</v>
      </c>
      <c r="E99" s="40">
        <v>1733.84</v>
      </c>
      <c r="F99" s="143">
        <v>1311.93</v>
      </c>
      <c r="G99" s="143"/>
      <c r="H99" s="130">
        <v>715780</v>
      </c>
      <c r="I99" s="9"/>
      <c r="J99" s="145">
        <v>100.4</v>
      </c>
      <c r="K99" s="145">
        <v>17</v>
      </c>
      <c r="L99" s="146">
        <v>100.4</v>
      </c>
      <c r="M99" s="146">
        <v>112.1</v>
      </c>
      <c r="N99" s="91">
        <v>237.2</v>
      </c>
      <c r="O99" s="91">
        <v>199.1</v>
      </c>
      <c r="P99" s="61"/>
    </row>
    <row r="100" spans="1:16" ht="15" customHeight="1">
      <c r="A100" s="292"/>
      <c r="B100" s="34">
        <v>0.70833333333333304</v>
      </c>
      <c r="C100" s="38">
        <v>221018</v>
      </c>
      <c r="D100" s="39">
        <v>165647</v>
      </c>
      <c r="E100" s="40">
        <v>1773.6</v>
      </c>
      <c r="F100" s="143">
        <v>1311.93</v>
      </c>
      <c r="G100" s="143"/>
      <c r="H100" s="130">
        <v>716069</v>
      </c>
      <c r="I100" s="9"/>
      <c r="J100" s="145">
        <v>100.5</v>
      </c>
      <c r="K100" s="145">
        <v>17</v>
      </c>
      <c r="L100" s="146">
        <v>100.5</v>
      </c>
      <c r="M100" s="146">
        <v>112.1</v>
      </c>
      <c r="N100" s="91">
        <v>230.4</v>
      </c>
      <c r="O100" s="91">
        <v>198.6</v>
      </c>
      <c r="P100" s="61"/>
    </row>
    <row r="101" spans="1:16" ht="15" customHeight="1">
      <c r="A101" s="292"/>
      <c r="B101" s="34">
        <v>0.75</v>
      </c>
      <c r="C101" s="38">
        <v>221024</v>
      </c>
      <c r="D101" s="39">
        <v>165652</v>
      </c>
      <c r="E101" s="40">
        <v>1813.36</v>
      </c>
      <c r="F101" s="143">
        <v>1311.93</v>
      </c>
      <c r="G101" s="143"/>
      <c r="H101" s="130">
        <v>716351</v>
      </c>
      <c r="I101" s="9"/>
      <c r="J101" s="145">
        <v>100.2</v>
      </c>
      <c r="K101" s="145">
        <v>17</v>
      </c>
      <c r="L101" s="146">
        <v>100.2</v>
      </c>
      <c r="M101" s="146">
        <v>110.2</v>
      </c>
      <c r="N101" s="91">
        <v>226.5</v>
      </c>
      <c r="O101" s="91">
        <v>198.3</v>
      </c>
      <c r="P101" s="61"/>
    </row>
    <row r="102" spans="1:16" ht="15" customHeight="1">
      <c r="A102" s="292"/>
      <c r="B102" s="34">
        <v>0.79166666666666696</v>
      </c>
      <c r="C102" s="38">
        <v>221029</v>
      </c>
      <c r="D102" s="39">
        <v>165657</v>
      </c>
      <c r="E102" s="40">
        <v>1817.12</v>
      </c>
      <c r="F102" s="143">
        <v>1311.93</v>
      </c>
      <c r="G102" s="143"/>
      <c r="H102" s="130">
        <v>716643</v>
      </c>
      <c r="I102" s="9"/>
      <c r="J102" s="145">
        <v>100.3</v>
      </c>
      <c r="K102" s="145">
        <v>17</v>
      </c>
      <c r="L102" s="146">
        <v>100.3</v>
      </c>
      <c r="M102" s="146">
        <v>111.5</v>
      </c>
      <c r="N102" s="91">
        <v>217.8</v>
      </c>
      <c r="O102" s="91">
        <v>199.7</v>
      </c>
      <c r="P102" s="61"/>
    </row>
    <row r="103" spans="1:16" ht="15" customHeight="1">
      <c r="A103" s="292"/>
      <c r="B103" s="34">
        <v>0.83333333333333304</v>
      </c>
      <c r="C103" s="38">
        <v>221038</v>
      </c>
      <c r="D103" s="39">
        <v>165664</v>
      </c>
      <c r="E103" s="40">
        <v>1862.76</v>
      </c>
      <c r="F103" s="143">
        <v>1311.93</v>
      </c>
      <c r="G103" s="143"/>
      <c r="H103" s="130">
        <v>717053</v>
      </c>
      <c r="I103" s="9"/>
      <c r="J103" s="145">
        <v>100.1</v>
      </c>
      <c r="K103" s="145">
        <v>17</v>
      </c>
      <c r="L103" s="146">
        <v>100.1</v>
      </c>
      <c r="M103" s="146">
        <v>112.7</v>
      </c>
      <c r="N103" s="91">
        <v>218.2</v>
      </c>
      <c r="O103" s="91">
        <v>189.9</v>
      </c>
      <c r="P103" s="61"/>
    </row>
    <row r="104" spans="1:16" ht="15" customHeight="1">
      <c r="A104" s="292"/>
      <c r="B104" s="34">
        <v>0.875</v>
      </c>
      <c r="C104" s="38">
        <v>221044</v>
      </c>
      <c r="D104" s="39">
        <v>165668</v>
      </c>
      <c r="E104" s="40">
        <v>1919.61</v>
      </c>
      <c r="F104" s="143">
        <v>1319.23</v>
      </c>
      <c r="G104" s="143"/>
      <c r="H104" s="130">
        <v>717298</v>
      </c>
      <c r="I104" s="9"/>
      <c r="J104" s="145">
        <v>100.3</v>
      </c>
      <c r="K104" s="145">
        <v>17</v>
      </c>
      <c r="L104" s="146">
        <v>100.3</v>
      </c>
      <c r="M104" s="146">
        <v>110.6</v>
      </c>
      <c r="N104" s="91">
        <v>231.4</v>
      </c>
      <c r="O104" s="247">
        <v>200</v>
      </c>
      <c r="P104" s="61"/>
    </row>
    <row r="105" spans="1:16" ht="15" customHeight="1">
      <c r="A105" s="292"/>
      <c r="B105" s="34">
        <v>0.91666666666666696</v>
      </c>
      <c r="C105" s="38">
        <v>221050</v>
      </c>
      <c r="D105" s="39">
        <v>165673</v>
      </c>
      <c r="E105" s="40">
        <v>1919.61</v>
      </c>
      <c r="F105" s="143">
        <v>1326.53</v>
      </c>
      <c r="G105" s="143"/>
      <c r="H105" s="130">
        <v>717541</v>
      </c>
      <c r="I105" s="9"/>
      <c r="J105" s="145">
        <v>100.1</v>
      </c>
      <c r="K105" s="145">
        <v>17</v>
      </c>
      <c r="L105" s="146">
        <v>100.1</v>
      </c>
      <c r="M105" s="146">
        <v>111.3</v>
      </c>
      <c r="N105" s="91">
        <v>221.7</v>
      </c>
      <c r="O105" s="91">
        <v>200.7</v>
      </c>
      <c r="P105" s="61"/>
    </row>
    <row r="106" spans="1:16" ht="15" customHeight="1">
      <c r="A106" s="292"/>
      <c r="B106" s="34">
        <v>0.95833333333333304</v>
      </c>
      <c r="C106" s="38">
        <v>221056</v>
      </c>
      <c r="D106" s="39">
        <v>165678</v>
      </c>
      <c r="E106" s="40">
        <v>1919.61</v>
      </c>
      <c r="F106" s="143">
        <v>1334.12</v>
      </c>
      <c r="G106" s="143"/>
      <c r="H106" s="130">
        <v>717789</v>
      </c>
      <c r="I106" s="9"/>
      <c r="J106" s="145">
        <v>100.6</v>
      </c>
      <c r="K106" s="145">
        <v>17</v>
      </c>
      <c r="L106" s="146">
        <v>100.6</v>
      </c>
      <c r="M106" s="146">
        <v>112.6</v>
      </c>
      <c r="N106" s="91">
        <v>217.7</v>
      </c>
      <c r="O106" s="91">
        <v>198.1</v>
      </c>
      <c r="P106" s="61"/>
    </row>
    <row r="107" spans="1:16" ht="15" customHeight="1">
      <c r="A107" s="292"/>
      <c r="B107" s="34">
        <v>1</v>
      </c>
      <c r="C107" s="38">
        <v>221062</v>
      </c>
      <c r="D107" s="39">
        <v>165683</v>
      </c>
      <c r="E107" s="40">
        <v>1919.61</v>
      </c>
      <c r="F107" s="143">
        <v>1345.3</v>
      </c>
      <c r="G107" s="143"/>
      <c r="H107" s="130">
        <v>718057</v>
      </c>
      <c r="I107" s="9"/>
      <c r="J107" s="145">
        <v>100.4</v>
      </c>
      <c r="K107" s="145">
        <v>17</v>
      </c>
      <c r="L107" s="146">
        <v>100.4</v>
      </c>
      <c r="M107" s="146">
        <v>112.1</v>
      </c>
      <c r="N107" s="91">
        <v>237.2</v>
      </c>
      <c r="O107" s="91">
        <v>199.1</v>
      </c>
      <c r="P107" s="61"/>
    </row>
    <row r="108" spans="1:16" ht="15" customHeight="1">
      <c r="A108" s="292"/>
      <c r="B108" s="34">
        <v>1.0416666666666701</v>
      </c>
      <c r="C108" s="38">
        <v>221068</v>
      </c>
      <c r="D108" s="39">
        <v>165688</v>
      </c>
      <c r="E108" s="40">
        <v>1919.61</v>
      </c>
      <c r="F108" s="143">
        <v>1356.48</v>
      </c>
      <c r="G108" s="143"/>
      <c r="H108" s="130">
        <v>718322</v>
      </c>
      <c r="I108" s="9"/>
      <c r="J108" s="145">
        <v>100.5</v>
      </c>
      <c r="K108" s="145">
        <v>17</v>
      </c>
      <c r="L108" s="146">
        <v>100.5</v>
      </c>
      <c r="M108" s="146">
        <v>112.1</v>
      </c>
      <c r="N108" s="91">
        <v>230.4</v>
      </c>
      <c r="O108" s="91">
        <v>198.6</v>
      </c>
      <c r="P108" s="61"/>
    </row>
    <row r="109" spans="1:16" ht="15" customHeight="1">
      <c r="A109" s="292"/>
      <c r="B109" s="34">
        <v>1.0833333333333299</v>
      </c>
      <c r="C109" s="38">
        <v>221074</v>
      </c>
      <c r="D109" s="39">
        <v>165693</v>
      </c>
      <c r="E109" s="40">
        <v>1919.61</v>
      </c>
      <c r="F109" s="143">
        <v>1367.66</v>
      </c>
      <c r="G109" s="143"/>
      <c r="H109" s="130">
        <v>718584</v>
      </c>
      <c r="I109" s="9"/>
      <c r="J109" s="145">
        <v>100.7</v>
      </c>
      <c r="K109" s="145">
        <v>17</v>
      </c>
      <c r="L109" s="146">
        <v>100.7</v>
      </c>
      <c r="M109" s="146">
        <v>111.9</v>
      </c>
      <c r="N109" s="91">
        <v>225.9</v>
      </c>
      <c r="O109" s="91">
        <v>198.9</v>
      </c>
      <c r="P109" s="61"/>
    </row>
    <row r="110" spans="1:16" ht="15" customHeight="1">
      <c r="A110" s="292"/>
      <c r="B110" s="34">
        <v>1.125</v>
      </c>
      <c r="C110" s="38">
        <v>221081</v>
      </c>
      <c r="D110" s="39">
        <v>165699</v>
      </c>
      <c r="E110" s="40">
        <v>1919.61</v>
      </c>
      <c r="F110" s="143">
        <v>1378.84</v>
      </c>
      <c r="G110" s="143"/>
      <c r="H110" s="130">
        <v>718888</v>
      </c>
      <c r="I110" s="9"/>
      <c r="J110" s="145">
        <v>100.1</v>
      </c>
      <c r="K110" s="145">
        <v>17</v>
      </c>
      <c r="L110" s="146">
        <v>100.1</v>
      </c>
      <c r="M110" s="146">
        <v>109.8</v>
      </c>
      <c r="N110" s="91">
        <v>231.6</v>
      </c>
      <c r="O110" s="91">
        <v>199.2</v>
      </c>
      <c r="P110" s="61"/>
    </row>
    <row r="111" spans="1:16" ht="15" customHeight="1">
      <c r="A111" s="292"/>
      <c r="B111" s="34">
        <v>1.1666666666666701</v>
      </c>
      <c r="C111" s="38">
        <v>221086</v>
      </c>
      <c r="D111" s="39">
        <v>165704</v>
      </c>
      <c r="E111" s="40">
        <v>1919.61</v>
      </c>
      <c r="F111" s="143">
        <v>1434.84</v>
      </c>
      <c r="G111" s="143"/>
      <c r="H111" s="130">
        <v>719228</v>
      </c>
      <c r="I111" s="9"/>
      <c r="J111" s="145">
        <v>100.7</v>
      </c>
      <c r="K111" s="145">
        <v>17</v>
      </c>
      <c r="L111" s="146">
        <v>100.7</v>
      </c>
      <c r="M111" s="146">
        <v>111.9</v>
      </c>
      <c r="N111" s="91">
        <v>225.9</v>
      </c>
      <c r="O111" s="91">
        <v>198.9</v>
      </c>
      <c r="P111" s="61"/>
    </row>
    <row r="112" spans="1:16" ht="15" customHeight="1">
      <c r="A112" s="292"/>
      <c r="B112" s="34">
        <v>1.2083333333333299</v>
      </c>
      <c r="C112" s="38">
        <v>221092</v>
      </c>
      <c r="D112" s="39">
        <v>165709</v>
      </c>
      <c r="E112" s="40">
        <v>1919.61</v>
      </c>
      <c r="F112" s="143">
        <v>1490.84</v>
      </c>
      <c r="G112" s="143"/>
      <c r="H112" s="130">
        <v>719551</v>
      </c>
      <c r="I112" s="9"/>
      <c r="J112" s="145">
        <v>100.4</v>
      </c>
      <c r="K112" s="145">
        <v>17</v>
      </c>
      <c r="L112" s="146">
        <v>100.4</v>
      </c>
      <c r="M112" s="146">
        <v>109.9</v>
      </c>
      <c r="N112" s="91">
        <v>229.8</v>
      </c>
      <c r="O112" s="91">
        <v>199.1</v>
      </c>
      <c r="P112" s="61"/>
    </row>
    <row r="113" spans="1:16" ht="15" customHeight="1">
      <c r="A113" s="292"/>
      <c r="B113" s="34">
        <v>1.25</v>
      </c>
      <c r="C113" s="38">
        <v>221098</v>
      </c>
      <c r="D113" s="39">
        <v>165715</v>
      </c>
      <c r="E113" s="40">
        <v>1919.61</v>
      </c>
      <c r="F113" s="143">
        <v>1546.84</v>
      </c>
      <c r="G113" s="143"/>
      <c r="H113" s="130">
        <v>719910</v>
      </c>
      <c r="I113" s="9"/>
      <c r="J113" s="145">
        <v>100.2</v>
      </c>
      <c r="K113" s="145">
        <v>17</v>
      </c>
      <c r="L113" s="146">
        <v>100.2</v>
      </c>
      <c r="M113" s="146">
        <v>110.7</v>
      </c>
      <c r="N113" s="91">
        <v>229.8</v>
      </c>
      <c r="O113" s="91">
        <v>200.4</v>
      </c>
      <c r="P113" s="61"/>
    </row>
    <row r="114" spans="1:16" ht="15" customHeight="1">
      <c r="A114" s="292"/>
      <c r="B114" s="34">
        <v>1.2916666666666701</v>
      </c>
      <c r="C114" s="38">
        <v>221104</v>
      </c>
      <c r="D114" s="39">
        <v>165722</v>
      </c>
      <c r="E114" s="40">
        <v>1919.61</v>
      </c>
      <c r="F114" s="143">
        <v>1605.07</v>
      </c>
      <c r="G114" s="143"/>
      <c r="H114" s="130">
        <v>720275</v>
      </c>
      <c r="I114" s="9"/>
      <c r="J114" s="145">
        <v>99.7</v>
      </c>
      <c r="K114" s="145">
        <v>17</v>
      </c>
      <c r="L114" s="146">
        <v>99.7</v>
      </c>
      <c r="M114" s="146">
        <v>111.7</v>
      </c>
      <c r="N114" s="91">
        <v>219.5</v>
      </c>
      <c r="O114" s="91">
        <v>200.1</v>
      </c>
      <c r="P114" s="61"/>
    </row>
    <row r="115" spans="1:16" ht="15" customHeight="1">
      <c r="A115" s="293"/>
      <c r="B115" s="37"/>
      <c r="C115" s="204" cm="1">
        <f t="array" ref="C115">IFERROR(LOOKUP(2,1/(C90:C114&gt;0),C90:C114-C90),0)</f>
        <v>150</v>
      </c>
      <c r="D115" s="204" cm="1">
        <f t="array" ref="D115">IFERROR(LOOKUP(2,1/(D90:D114&gt;0),D90:D114-D90),0)</f>
        <v>130</v>
      </c>
      <c r="E115" s="207" cm="1">
        <f t="array" ref="E115">IFERROR(LOOKUP(2,1/(E90:E114&gt;0),E90:E114-E90),0)</f>
        <v>452.90999999999985</v>
      </c>
      <c r="F115" s="207" cm="1">
        <f t="array" ref="F115">IFERROR(LOOKUP(2,1/(F90:F114&gt;0),F90:F114-F90),0)</f>
        <v>326.38999999999987</v>
      </c>
      <c r="G115" s="41">
        <f>E115+F115</f>
        <v>779.29999999999973</v>
      </c>
      <c r="H115" s="205" cm="1">
        <f t="array" ref="H115">IFERROR(LOOKUP(2,1/(H90:H114&gt;0),H90:H114-H90),0)</f>
        <v>7210</v>
      </c>
      <c r="I115" s="204" cm="1">
        <f t="array" ref="I115">IFERROR(LOOKUP(2,1/(I90:I114&gt;0),I90:I114-I90),0)</f>
        <v>0</v>
      </c>
      <c r="J115" s="242">
        <f t="shared" ref="J115:O115" si="3">IFERROR(AVERAGE(J90:J114),0)</f>
        <v>100.30799999999998</v>
      </c>
      <c r="K115" s="242">
        <f t="shared" si="3"/>
        <v>17</v>
      </c>
      <c r="L115" s="242">
        <f t="shared" si="3"/>
        <v>100.30799999999998</v>
      </c>
      <c r="M115" s="242">
        <f t="shared" si="3"/>
        <v>111.43599999999998</v>
      </c>
      <c r="N115" s="242">
        <f t="shared" si="3"/>
        <v>227.01599999999999</v>
      </c>
      <c r="O115" s="242">
        <f t="shared" si="3"/>
        <v>198.28799999999998</v>
      </c>
      <c r="P115" s="206">
        <f>COUNT(P90:P114)</f>
        <v>0</v>
      </c>
    </row>
    <row r="116" spans="1:16" ht="15" customHeight="1">
      <c r="A116" s="291">
        <f>'DATA B1'!B116</f>
        <v>46027</v>
      </c>
      <c r="B116" s="34">
        <v>0.29166666666666669</v>
      </c>
      <c r="C116" s="38">
        <v>221104</v>
      </c>
      <c r="D116" s="39">
        <v>165722</v>
      </c>
      <c r="E116" s="40">
        <v>1919.61</v>
      </c>
      <c r="F116" s="143">
        <v>1605.07</v>
      </c>
      <c r="G116" s="143"/>
      <c r="H116" s="130">
        <v>720275</v>
      </c>
      <c r="I116" s="9"/>
      <c r="J116" s="145">
        <v>99.7</v>
      </c>
      <c r="K116" s="145">
        <v>17</v>
      </c>
      <c r="L116" s="146">
        <v>99.7</v>
      </c>
      <c r="M116" s="146">
        <v>111.7</v>
      </c>
      <c r="N116" s="91">
        <v>219.5</v>
      </c>
      <c r="O116" s="91">
        <v>200.1</v>
      </c>
      <c r="P116" s="61"/>
    </row>
    <row r="117" spans="1:16" ht="15" customHeight="1">
      <c r="A117" s="292"/>
      <c r="B117" s="34">
        <v>0.33333333333333298</v>
      </c>
      <c r="C117" s="38">
        <v>221112</v>
      </c>
      <c r="D117" s="39">
        <v>165729</v>
      </c>
      <c r="E117" s="40">
        <v>1931.05</v>
      </c>
      <c r="F117" s="143">
        <v>1636.44</v>
      </c>
      <c r="G117" s="143"/>
      <c r="H117" s="130">
        <v>720671</v>
      </c>
      <c r="I117" s="9"/>
      <c r="J117" s="145">
        <v>100.7</v>
      </c>
      <c r="K117" s="145">
        <v>17</v>
      </c>
      <c r="L117" s="146">
        <v>100.7</v>
      </c>
      <c r="M117" s="146">
        <v>112.5</v>
      </c>
      <c r="N117" s="91">
        <v>216</v>
      </c>
      <c r="O117" s="91">
        <v>198.9</v>
      </c>
      <c r="P117" s="61"/>
    </row>
    <row r="118" spans="1:16" ht="15" customHeight="1">
      <c r="A118" s="292"/>
      <c r="B118" s="34">
        <v>0.375</v>
      </c>
      <c r="C118" s="38">
        <v>221117</v>
      </c>
      <c r="D118" s="39">
        <v>165734</v>
      </c>
      <c r="E118" s="40">
        <v>1958.96</v>
      </c>
      <c r="F118" s="143">
        <v>1636.44</v>
      </c>
      <c r="G118" s="143"/>
      <c r="H118" s="130">
        <v>720924</v>
      </c>
      <c r="I118" s="9"/>
      <c r="J118" s="145">
        <v>100.2</v>
      </c>
      <c r="K118" s="145">
        <v>17</v>
      </c>
      <c r="L118" s="146">
        <v>100.2</v>
      </c>
      <c r="M118" s="146">
        <v>111.1</v>
      </c>
      <c r="N118" s="91">
        <v>233.7</v>
      </c>
      <c r="O118" s="91">
        <v>186.7</v>
      </c>
      <c r="P118" s="61"/>
    </row>
    <row r="119" spans="1:16" ht="15" customHeight="1">
      <c r="A119" s="292"/>
      <c r="B119" s="34">
        <v>0.41666666666666702</v>
      </c>
      <c r="C119" s="38">
        <v>221123</v>
      </c>
      <c r="D119" s="39">
        <v>165739</v>
      </c>
      <c r="E119" s="40">
        <v>1988.06</v>
      </c>
      <c r="F119" s="143">
        <v>1636.44</v>
      </c>
      <c r="G119" s="143"/>
      <c r="H119" s="130">
        <v>721214</v>
      </c>
      <c r="I119" s="9"/>
      <c r="J119" s="145">
        <v>100.5</v>
      </c>
      <c r="K119" s="145">
        <v>17</v>
      </c>
      <c r="L119" s="146">
        <v>100.5</v>
      </c>
      <c r="M119" s="146">
        <v>112.1</v>
      </c>
      <c r="N119" s="91">
        <v>230.4</v>
      </c>
      <c r="O119" s="91">
        <v>198.6</v>
      </c>
      <c r="P119" s="61"/>
    </row>
    <row r="120" spans="1:16" ht="15" customHeight="1">
      <c r="A120" s="292"/>
      <c r="B120" s="34">
        <v>0.45833333333333298</v>
      </c>
      <c r="C120" s="38">
        <v>221129</v>
      </c>
      <c r="D120" s="39">
        <v>165744</v>
      </c>
      <c r="E120" s="40">
        <v>2017.95</v>
      </c>
      <c r="F120" s="143">
        <v>1636.44</v>
      </c>
      <c r="G120" s="143"/>
      <c r="H120" s="130">
        <v>721502</v>
      </c>
      <c r="I120" s="9"/>
      <c r="J120" s="145">
        <v>99.9</v>
      </c>
      <c r="K120" s="145">
        <v>17</v>
      </c>
      <c r="L120" s="146">
        <v>99.9</v>
      </c>
      <c r="M120" s="146">
        <v>107.7</v>
      </c>
      <c r="N120" s="91">
        <v>227.3</v>
      </c>
      <c r="O120" s="91">
        <v>192.5</v>
      </c>
      <c r="P120" s="61"/>
    </row>
    <row r="121" spans="1:16" ht="15" customHeight="1">
      <c r="A121" s="292"/>
      <c r="B121" s="34">
        <v>0.5</v>
      </c>
      <c r="C121" s="38">
        <v>221135</v>
      </c>
      <c r="D121" s="39">
        <v>165749</v>
      </c>
      <c r="E121" s="40">
        <v>2047.84</v>
      </c>
      <c r="F121" s="143">
        <v>1636.44</v>
      </c>
      <c r="G121" s="143"/>
      <c r="H121" s="130">
        <v>721818</v>
      </c>
      <c r="I121" s="9"/>
      <c r="J121" s="145">
        <v>100.2</v>
      </c>
      <c r="K121" s="145">
        <v>17</v>
      </c>
      <c r="L121" s="146">
        <v>100.2</v>
      </c>
      <c r="M121" s="146">
        <v>110.7</v>
      </c>
      <c r="N121" s="91">
        <v>229.8</v>
      </c>
      <c r="O121" s="91">
        <v>200.4</v>
      </c>
      <c r="P121" s="61"/>
    </row>
    <row r="122" spans="1:16" ht="15" customHeight="1">
      <c r="A122" s="292"/>
      <c r="B122" s="34">
        <v>0.54166666666666696</v>
      </c>
      <c r="C122" s="38">
        <v>221141</v>
      </c>
      <c r="D122" s="39">
        <v>165754</v>
      </c>
      <c r="E122" s="40">
        <v>2077.73</v>
      </c>
      <c r="F122" s="143">
        <v>1636.44</v>
      </c>
      <c r="G122" s="143"/>
      <c r="H122" s="130">
        <v>722138</v>
      </c>
      <c r="I122" s="9"/>
      <c r="J122" s="145">
        <v>100.5</v>
      </c>
      <c r="K122" s="145">
        <v>17</v>
      </c>
      <c r="L122" s="146">
        <v>100.5</v>
      </c>
      <c r="M122" s="146">
        <v>112.1</v>
      </c>
      <c r="N122" s="91">
        <v>230.4</v>
      </c>
      <c r="O122" s="91">
        <v>198.6</v>
      </c>
      <c r="P122" s="61"/>
    </row>
    <row r="123" spans="1:16" ht="15" customHeight="1">
      <c r="A123" s="292"/>
      <c r="B123" s="34">
        <v>0.58333333333333304</v>
      </c>
      <c r="C123" s="38">
        <v>221147</v>
      </c>
      <c r="D123" s="39">
        <v>165759</v>
      </c>
      <c r="E123" s="40">
        <v>2107.62</v>
      </c>
      <c r="F123" s="143">
        <v>1636.44</v>
      </c>
      <c r="G123" s="143"/>
      <c r="H123" s="130">
        <v>722451</v>
      </c>
      <c r="I123" s="9"/>
      <c r="J123" s="145">
        <v>100.2</v>
      </c>
      <c r="K123" s="145">
        <v>17</v>
      </c>
      <c r="L123" s="146">
        <v>100.2</v>
      </c>
      <c r="M123" s="146">
        <v>110.2</v>
      </c>
      <c r="N123" s="91">
        <v>226.5</v>
      </c>
      <c r="O123" s="91">
        <v>198.3</v>
      </c>
      <c r="P123" s="65"/>
    </row>
    <row r="124" spans="1:16" ht="15" customHeight="1">
      <c r="A124" s="292"/>
      <c r="B124" s="34">
        <v>0.625</v>
      </c>
      <c r="C124" s="38">
        <v>221155</v>
      </c>
      <c r="D124" s="39">
        <v>165767</v>
      </c>
      <c r="E124" s="40">
        <v>2152.8200000000002</v>
      </c>
      <c r="F124" s="143">
        <v>1636.44</v>
      </c>
      <c r="G124" s="143"/>
      <c r="H124" s="130">
        <v>722776</v>
      </c>
      <c r="I124" s="9"/>
      <c r="J124" s="145">
        <v>100</v>
      </c>
      <c r="K124" s="145">
        <v>17</v>
      </c>
      <c r="L124" s="146">
        <v>100</v>
      </c>
      <c r="M124" s="146">
        <v>109.8</v>
      </c>
      <c r="N124" s="91">
        <v>223.6</v>
      </c>
      <c r="O124" s="91">
        <v>199.8</v>
      </c>
      <c r="P124" s="61"/>
    </row>
    <row r="125" spans="1:16" ht="15" customHeight="1">
      <c r="A125" s="292"/>
      <c r="B125" s="34">
        <v>0.66666666666666696</v>
      </c>
      <c r="C125" s="38">
        <v>221160</v>
      </c>
      <c r="D125" s="39">
        <v>165772</v>
      </c>
      <c r="E125" s="40">
        <v>2183.0300000000002</v>
      </c>
      <c r="F125" s="143">
        <v>1636.44</v>
      </c>
      <c r="G125" s="143"/>
      <c r="H125" s="130">
        <v>723025</v>
      </c>
      <c r="I125" s="9"/>
      <c r="J125" s="145">
        <v>100.3</v>
      </c>
      <c r="K125" s="145">
        <v>17</v>
      </c>
      <c r="L125" s="146">
        <v>100.3</v>
      </c>
      <c r="M125" s="146">
        <v>110.1</v>
      </c>
      <c r="N125" s="91">
        <v>228.3</v>
      </c>
      <c r="O125" s="91">
        <v>200.4</v>
      </c>
      <c r="P125" s="61"/>
    </row>
    <row r="126" spans="1:16" ht="15" customHeight="1">
      <c r="A126" s="292"/>
      <c r="B126" s="34">
        <v>0.70833333333333304</v>
      </c>
      <c r="C126" s="38">
        <v>221165</v>
      </c>
      <c r="D126" s="39">
        <v>165777</v>
      </c>
      <c r="E126" s="40">
        <v>2211.9699999999998</v>
      </c>
      <c r="F126" s="143">
        <v>1636.44</v>
      </c>
      <c r="G126" s="143"/>
      <c r="H126" s="130">
        <v>723285</v>
      </c>
      <c r="I126" s="9"/>
      <c r="J126" s="145">
        <v>100.2</v>
      </c>
      <c r="K126" s="145">
        <v>17</v>
      </c>
      <c r="L126" s="146">
        <v>100.2</v>
      </c>
      <c r="M126" s="146">
        <v>110.2</v>
      </c>
      <c r="N126" s="91">
        <v>226.5</v>
      </c>
      <c r="O126" s="91">
        <v>198.3</v>
      </c>
      <c r="P126" s="61"/>
    </row>
    <row r="127" spans="1:16" ht="15" customHeight="1">
      <c r="A127" s="292"/>
      <c r="B127" s="34">
        <v>0.75</v>
      </c>
      <c r="C127" s="38">
        <v>221171</v>
      </c>
      <c r="D127" s="39">
        <v>165782</v>
      </c>
      <c r="E127" s="40">
        <v>2242.38</v>
      </c>
      <c r="F127" s="143">
        <v>1636.44</v>
      </c>
      <c r="G127" s="143"/>
      <c r="H127" s="130">
        <v>723603</v>
      </c>
      <c r="I127" s="9"/>
      <c r="J127" s="145">
        <v>100.2</v>
      </c>
      <c r="K127" s="145">
        <v>17</v>
      </c>
      <c r="L127" s="146">
        <v>100.2</v>
      </c>
      <c r="M127" s="146">
        <v>114.3</v>
      </c>
      <c r="N127" s="91">
        <v>228.7</v>
      </c>
      <c r="O127" s="91">
        <v>195.7</v>
      </c>
      <c r="P127" s="61"/>
    </row>
    <row r="128" spans="1:16" ht="15" customHeight="1">
      <c r="A128" s="292"/>
      <c r="B128" s="34">
        <v>0.79166666666666696</v>
      </c>
      <c r="C128" s="38">
        <v>221177</v>
      </c>
      <c r="D128" s="39">
        <v>165787</v>
      </c>
      <c r="E128" s="40">
        <v>2274.13</v>
      </c>
      <c r="F128" s="143">
        <v>1636.44</v>
      </c>
      <c r="G128" s="143"/>
      <c r="H128" s="130">
        <v>723914</v>
      </c>
      <c r="I128" s="9"/>
      <c r="J128" s="145">
        <v>99.9</v>
      </c>
      <c r="K128" s="145">
        <v>17</v>
      </c>
      <c r="L128" s="146">
        <v>99.9</v>
      </c>
      <c r="M128" s="146">
        <v>108.1</v>
      </c>
      <c r="N128" s="91">
        <v>222.3</v>
      </c>
      <c r="O128" s="91">
        <v>189.7</v>
      </c>
      <c r="P128" s="61"/>
    </row>
    <row r="129" spans="1:16" ht="15" customHeight="1">
      <c r="A129" s="292"/>
      <c r="B129" s="34">
        <v>0.83333333333333304</v>
      </c>
      <c r="C129" s="38">
        <v>221185</v>
      </c>
      <c r="D129" s="39">
        <v>165794</v>
      </c>
      <c r="E129" s="40">
        <v>2310.9899999999998</v>
      </c>
      <c r="F129" s="143">
        <v>1636.44</v>
      </c>
      <c r="G129" s="143"/>
      <c r="H129" s="130">
        <v>724234</v>
      </c>
      <c r="I129" s="9"/>
      <c r="J129" s="145">
        <v>100.3</v>
      </c>
      <c r="K129" s="145">
        <v>17</v>
      </c>
      <c r="L129" s="146">
        <v>100.3</v>
      </c>
      <c r="M129" s="146">
        <v>109.3</v>
      </c>
      <c r="N129" s="91">
        <v>225.6</v>
      </c>
      <c r="O129" s="91">
        <v>198.8</v>
      </c>
      <c r="P129" s="61"/>
    </row>
    <row r="130" spans="1:16" ht="15" customHeight="1">
      <c r="A130" s="292"/>
      <c r="B130" s="34">
        <v>0.875</v>
      </c>
      <c r="C130" s="38">
        <v>221191</v>
      </c>
      <c r="D130" s="39">
        <v>165799</v>
      </c>
      <c r="E130" s="40">
        <v>2331.06</v>
      </c>
      <c r="F130" s="143">
        <v>1647.8</v>
      </c>
      <c r="G130" s="143"/>
      <c r="H130" s="130">
        <v>724514</v>
      </c>
      <c r="I130" s="9"/>
      <c r="J130" s="145">
        <v>100.2</v>
      </c>
      <c r="K130" s="145">
        <v>17</v>
      </c>
      <c r="L130" s="146">
        <v>100.2</v>
      </c>
      <c r="M130" s="146">
        <v>110.2</v>
      </c>
      <c r="N130" s="91">
        <v>226.5</v>
      </c>
      <c r="O130" s="91">
        <v>198.3</v>
      </c>
      <c r="P130" s="61"/>
    </row>
    <row r="131" spans="1:16" ht="15" customHeight="1">
      <c r="A131" s="292"/>
      <c r="B131" s="34">
        <v>0.91666666666666696</v>
      </c>
      <c r="C131" s="38">
        <v>221197</v>
      </c>
      <c r="D131" s="39">
        <v>165804</v>
      </c>
      <c r="E131" s="40">
        <v>2351.13</v>
      </c>
      <c r="F131" s="143">
        <v>1659.16</v>
      </c>
      <c r="G131" s="143"/>
      <c r="H131" s="130">
        <v>724800</v>
      </c>
      <c r="I131" s="9"/>
      <c r="J131" s="145">
        <v>100.3</v>
      </c>
      <c r="K131" s="145">
        <v>17</v>
      </c>
      <c r="L131" s="146">
        <v>100.3</v>
      </c>
      <c r="M131" s="146">
        <v>111.5</v>
      </c>
      <c r="N131" s="91">
        <v>217.8</v>
      </c>
      <c r="O131" s="91">
        <v>199.7</v>
      </c>
      <c r="P131" s="61"/>
    </row>
    <row r="132" spans="1:16" ht="15" customHeight="1">
      <c r="A132" s="292"/>
      <c r="B132" s="34">
        <v>0.95833333333333304</v>
      </c>
      <c r="C132" s="38">
        <v>221204</v>
      </c>
      <c r="D132" s="39">
        <v>165809</v>
      </c>
      <c r="E132" s="40">
        <v>2371.21</v>
      </c>
      <c r="F132" s="143">
        <v>1670.53</v>
      </c>
      <c r="G132" s="143"/>
      <c r="H132" s="130">
        <v>725104</v>
      </c>
      <c r="I132" s="9"/>
      <c r="J132" s="145">
        <v>100.1</v>
      </c>
      <c r="K132" s="145">
        <v>17</v>
      </c>
      <c r="L132" s="146">
        <v>100.1</v>
      </c>
      <c r="M132" s="146">
        <v>109.9</v>
      </c>
      <c r="N132" s="91">
        <v>218.1</v>
      </c>
      <c r="O132" s="91">
        <v>198.1</v>
      </c>
      <c r="P132" s="61"/>
    </row>
    <row r="133" spans="1:16" ht="15" customHeight="1">
      <c r="A133" s="292"/>
      <c r="B133" s="34">
        <v>1</v>
      </c>
      <c r="C133" s="38">
        <v>221206</v>
      </c>
      <c r="D133" s="39">
        <v>165812</v>
      </c>
      <c r="E133" s="40">
        <v>2371.21</v>
      </c>
      <c r="F133" s="143">
        <v>1693.09</v>
      </c>
      <c r="G133" s="143"/>
      <c r="H133" s="130">
        <v>725246</v>
      </c>
      <c r="I133" s="9"/>
      <c r="J133" s="145"/>
      <c r="K133" s="145"/>
      <c r="L133" s="146"/>
      <c r="M133" s="146"/>
      <c r="N133" s="91"/>
      <c r="O133" s="91"/>
      <c r="P133" s="61"/>
    </row>
    <row r="134" spans="1:16" ht="15" customHeight="1">
      <c r="A134" s="292"/>
      <c r="B134" s="34">
        <v>1.0416666666666701</v>
      </c>
      <c r="C134" s="38">
        <v>221206</v>
      </c>
      <c r="D134" s="39">
        <v>165812</v>
      </c>
      <c r="E134" s="40">
        <v>2371.21</v>
      </c>
      <c r="F134" s="143">
        <v>1693.09</v>
      </c>
      <c r="G134" s="143"/>
      <c r="H134" s="130">
        <v>725246</v>
      </c>
      <c r="I134" s="9"/>
      <c r="J134" s="145"/>
      <c r="K134" s="145"/>
      <c r="L134" s="146"/>
      <c r="M134" s="146"/>
      <c r="N134" s="91"/>
      <c r="O134" s="91"/>
      <c r="P134" s="61"/>
    </row>
    <row r="135" spans="1:16" ht="15" customHeight="1">
      <c r="A135" s="292"/>
      <c r="B135" s="34">
        <v>1.0833333333333299</v>
      </c>
      <c r="C135" s="38">
        <v>221206</v>
      </c>
      <c r="D135" s="39">
        <v>165812</v>
      </c>
      <c r="E135" s="40">
        <v>2371.21</v>
      </c>
      <c r="F135" s="143">
        <v>1693.09</v>
      </c>
      <c r="G135" s="143"/>
      <c r="H135" s="130">
        <v>725246</v>
      </c>
      <c r="I135" s="9"/>
      <c r="J135" s="145"/>
      <c r="K135" s="145"/>
      <c r="L135" s="146"/>
      <c r="M135" s="146"/>
      <c r="N135" s="91"/>
      <c r="O135" s="91"/>
      <c r="P135" s="61"/>
    </row>
    <row r="136" spans="1:16" ht="15" customHeight="1">
      <c r="A136" s="292"/>
      <c r="B136" s="34">
        <v>1.125</v>
      </c>
      <c r="C136" s="38">
        <v>221206</v>
      </c>
      <c r="D136" s="39">
        <v>165812</v>
      </c>
      <c r="E136" s="40">
        <v>2371.21</v>
      </c>
      <c r="F136" s="143">
        <v>1693.09</v>
      </c>
      <c r="G136" s="143"/>
      <c r="H136" s="130">
        <v>725246</v>
      </c>
      <c r="I136" s="9"/>
      <c r="J136" s="145"/>
      <c r="K136" s="145"/>
      <c r="L136" s="146"/>
      <c r="M136" s="146"/>
      <c r="N136" s="91"/>
      <c r="O136" s="91"/>
      <c r="P136" s="61"/>
    </row>
    <row r="137" spans="1:16" ht="15" customHeight="1">
      <c r="A137" s="292"/>
      <c r="B137" s="34">
        <v>1.1666666666666701</v>
      </c>
      <c r="C137" s="38">
        <v>221206</v>
      </c>
      <c r="D137" s="39">
        <v>165812</v>
      </c>
      <c r="E137" s="40">
        <v>2371.21</v>
      </c>
      <c r="F137" s="143">
        <v>1693.09</v>
      </c>
      <c r="G137" s="143"/>
      <c r="H137" s="130">
        <v>725246</v>
      </c>
      <c r="I137" s="9"/>
      <c r="J137" s="145"/>
      <c r="K137" s="145"/>
      <c r="L137" s="146"/>
      <c r="M137" s="146"/>
      <c r="N137" s="91"/>
      <c r="O137" s="91"/>
      <c r="P137" s="61"/>
    </row>
    <row r="138" spans="1:16" ht="15" customHeight="1">
      <c r="A138" s="292"/>
      <c r="B138" s="34">
        <v>1.2083333333333299</v>
      </c>
      <c r="C138" s="38">
        <v>221206</v>
      </c>
      <c r="D138" s="39">
        <v>165812</v>
      </c>
      <c r="E138" s="40">
        <v>2371.21</v>
      </c>
      <c r="F138" s="143">
        <v>1693.09</v>
      </c>
      <c r="G138" s="143"/>
      <c r="H138" s="130">
        <v>725246</v>
      </c>
      <c r="I138" s="9"/>
      <c r="J138" s="145"/>
      <c r="K138" s="145"/>
      <c r="L138" s="146"/>
      <c r="M138" s="146"/>
      <c r="N138" s="91"/>
      <c r="O138" s="91"/>
      <c r="P138" s="61"/>
    </row>
    <row r="139" spans="1:16" ht="15" customHeight="1">
      <c r="A139" s="292"/>
      <c r="B139" s="34">
        <v>1.25</v>
      </c>
      <c r="C139" s="38">
        <v>221206</v>
      </c>
      <c r="D139" s="39">
        <v>165812</v>
      </c>
      <c r="E139" s="40">
        <v>2371.21</v>
      </c>
      <c r="F139" s="143">
        <v>1693.09</v>
      </c>
      <c r="G139" s="143"/>
      <c r="H139" s="130">
        <v>725246</v>
      </c>
      <c r="I139" s="9"/>
      <c r="J139" s="145"/>
      <c r="K139" s="145"/>
      <c r="L139" s="146"/>
      <c r="M139" s="146"/>
      <c r="N139" s="91"/>
      <c r="O139" s="91"/>
      <c r="P139" s="61"/>
    </row>
    <row r="140" spans="1:16" ht="15" customHeight="1">
      <c r="A140" s="292"/>
      <c r="B140" s="34">
        <v>1.2916666666666701</v>
      </c>
      <c r="C140" s="38">
        <v>221206</v>
      </c>
      <c r="D140" s="39">
        <v>165812</v>
      </c>
      <c r="E140" s="40">
        <v>2371.21</v>
      </c>
      <c r="F140" s="143">
        <v>1693.09</v>
      </c>
      <c r="G140" s="143"/>
      <c r="H140" s="130">
        <v>725246</v>
      </c>
      <c r="I140" s="9"/>
      <c r="J140" s="145"/>
      <c r="K140" s="145"/>
      <c r="L140" s="146"/>
      <c r="M140" s="146"/>
      <c r="N140" s="91"/>
      <c r="O140" s="91"/>
      <c r="P140" s="61"/>
    </row>
    <row r="141" spans="1:16" ht="15" customHeight="1">
      <c r="A141" s="293"/>
      <c r="B141" s="37"/>
      <c r="C141" s="204" cm="1">
        <f t="array" ref="C141">IFERROR(LOOKUP(2,1/(C116:C140&gt;0),C116:C140-C116),0)</f>
        <v>102</v>
      </c>
      <c r="D141" s="204" cm="1">
        <f t="array" ref="D141">IFERROR(LOOKUP(2,1/(D116:D140&gt;0),D116:D140-D116),0)</f>
        <v>90</v>
      </c>
      <c r="E141" s="207" cm="1">
        <f t="array" ref="E141">IFERROR(LOOKUP(2,1/(E116:E140&gt;0),E116:E140-E116),0)</f>
        <v>451.60000000000014</v>
      </c>
      <c r="F141" s="207" cm="1">
        <f t="array" ref="F141">IFERROR(LOOKUP(2,1/(F116:F140&gt;0),F116:F140-F116),0)</f>
        <v>88.019999999999982</v>
      </c>
      <c r="G141" s="41">
        <f>E141+F141</f>
        <v>539.62000000000012</v>
      </c>
      <c r="H141" s="205" cm="1">
        <f t="array" ref="H141">IFERROR(LOOKUP(2,1/(H116:H140&gt;0),H116:H140-H116),0)</f>
        <v>4971</v>
      </c>
      <c r="I141" s="204" cm="1">
        <f t="array" ref="I141">IFERROR(LOOKUP(2,1/(I116:I140&gt;0),I116:I140-I116),0)</f>
        <v>0</v>
      </c>
      <c r="J141" s="242">
        <f t="shared" ref="J141:O141" si="4">IFERROR(AVERAGE(J116:J140),0)</f>
        <v>100.2</v>
      </c>
      <c r="K141" s="242">
        <f t="shared" si="4"/>
        <v>17</v>
      </c>
      <c r="L141" s="242">
        <f t="shared" si="4"/>
        <v>100.2</v>
      </c>
      <c r="M141" s="242">
        <f t="shared" si="4"/>
        <v>110.67647058823529</v>
      </c>
      <c r="N141" s="242">
        <f t="shared" si="4"/>
        <v>225.35294117647058</v>
      </c>
      <c r="O141" s="242">
        <f t="shared" si="4"/>
        <v>197.22941176470587</v>
      </c>
      <c r="P141" s="206">
        <f>COUNT(P116:P140)</f>
        <v>0</v>
      </c>
    </row>
    <row r="142" spans="1:16" ht="15" customHeight="1">
      <c r="A142" s="291">
        <f>'DATA B1'!B142</f>
        <v>46028</v>
      </c>
      <c r="B142" s="34">
        <v>0.29166666666666669</v>
      </c>
      <c r="C142" s="38">
        <v>221206</v>
      </c>
      <c r="D142" s="39">
        <v>165812</v>
      </c>
      <c r="E142" s="40">
        <v>2371.21</v>
      </c>
      <c r="F142" s="143">
        <v>1693.09</v>
      </c>
      <c r="G142" s="143"/>
      <c r="H142" s="130">
        <v>725246</v>
      </c>
      <c r="I142" s="9"/>
      <c r="J142" s="145"/>
      <c r="K142" s="145"/>
      <c r="L142" s="146"/>
      <c r="M142" s="146"/>
      <c r="N142" s="91"/>
      <c r="O142" s="91"/>
      <c r="P142" s="61"/>
    </row>
    <row r="143" spans="1:16" ht="15" customHeight="1">
      <c r="A143" s="292"/>
      <c r="B143" s="34">
        <v>0.33333333333333298</v>
      </c>
      <c r="C143" s="38">
        <v>221206</v>
      </c>
      <c r="D143" s="39">
        <v>165812</v>
      </c>
      <c r="E143" s="40">
        <v>2371.21</v>
      </c>
      <c r="F143" s="143">
        <v>1693.09</v>
      </c>
      <c r="G143" s="143"/>
      <c r="H143" s="130">
        <v>725246</v>
      </c>
      <c r="I143" s="9"/>
      <c r="J143" s="145"/>
      <c r="K143" s="145"/>
      <c r="L143" s="146"/>
      <c r="M143" s="146"/>
      <c r="N143" s="91"/>
      <c r="O143" s="91"/>
      <c r="P143" s="61"/>
    </row>
    <row r="144" spans="1:16" ht="15" customHeight="1">
      <c r="A144" s="292"/>
      <c r="B144" s="34">
        <v>0.375</v>
      </c>
      <c r="C144" s="38">
        <v>221206</v>
      </c>
      <c r="D144" s="39">
        <v>165812</v>
      </c>
      <c r="E144" s="40">
        <v>2371.21</v>
      </c>
      <c r="F144" s="143">
        <v>1693.09</v>
      </c>
      <c r="G144" s="143"/>
      <c r="H144" s="130">
        <v>725246</v>
      </c>
      <c r="I144" s="9"/>
      <c r="J144" s="145"/>
      <c r="K144" s="145"/>
      <c r="L144" s="146"/>
      <c r="M144" s="146"/>
      <c r="N144" s="91"/>
      <c r="O144" s="91"/>
      <c r="P144" s="61"/>
    </row>
    <row r="145" spans="1:16" ht="15" customHeight="1">
      <c r="A145" s="292"/>
      <c r="B145" s="34">
        <v>0.41666666666666702</v>
      </c>
      <c r="C145" s="38">
        <v>221206</v>
      </c>
      <c r="D145" s="39">
        <v>165812</v>
      </c>
      <c r="E145" s="40">
        <v>2371.21</v>
      </c>
      <c r="F145" s="143">
        <v>1693.09</v>
      </c>
      <c r="G145" s="143"/>
      <c r="H145" s="130">
        <v>725246</v>
      </c>
      <c r="I145" s="9"/>
      <c r="J145" s="145"/>
      <c r="K145" s="145"/>
      <c r="L145" s="146"/>
      <c r="M145" s="146"/>
      <c r="N145" s="91"/>
      <c r="O145" s="91"/>
      <c r="P145" s="61"/>
    </row>
    <row r="146" spans="1:16" ht="15" customHeight="1">
      <c r="A146" s="292"/>
      <c r="B146" s="34">
        <v>0.45833333333333298</v>
      </c>
      <c r="C146" s="38">
        <v>221206</v>
      </c>
      <c r="D146" s="39">
        <v>165812</v>
      </c>
      <c r="E146" s="40">
        <v>2371.21</v>
      </c>
      <c r="F146" s="143">
        <v>1693.09</v>
      </c>
      <c r="G146" s="143"/>
      <c r="H146" s="130">
        <v>725246</v>
      </c>
      <c r="I146" s="9"/>
      <c r="J146" s="145"/>
      <c r="K146" s="145"/>
      <c r="L146" s="146"/>
      <c r="M146" s="146"/>
      <c r="N146" s="91"/>
      <c r="O146" s="91"/>
      <c r="P146" s="61"/>
    </row>
    <row r="147" spans="1:16" ht="15" customHeight="1">
      <c r="A147" s="292"/>
      <c r="B147" s="34">
        <v>0.5</v>
      </c>
      <c r="C147" s="38">
        <v>221206</v>
      </c>
      <c r="D147" s="39">
        <v>165812</v>
      </c>
      <c r="E147" s="40">
        <v>2371.21</v>
      </c>
      <c r="F147" s="143">
        <v>1693.09</v>
      </c>
      <c r="G147" s="143"/>
      <c r="H147" s="130">
        <v>725246</v>
      </c>
      <c r="I147" s="9"/>
      <c r="J147" s="145"/>
      <c r="K147" s="145"/>
      <c r="L147" s="146"/>
      <c r="M147" s="146"/>
      <c r="N147" s="91"/>
      <c r="O147" s="91"/>
      <c r="P147" s="61"/>
    </row>
    <row r="148" spans="1:16" ht="15" customHeight="1">
      <c r="A148" s="292"/>
      <c r="B148" s="34">
        <v>0.54166666666666696</v>
      </c>
      <c r="C148" s="38">
        <v>221206</v>
      </c>
      <c r="D148" s="39">
        <v>165812</v>
      </c>
      <c r="E148" s="40">
        <v>2371.21</v>
      </c>
      <c r="F148" s="143">
        <v>1693.09</v>
      </c>
      <c r="G148" s="143"/>
      <c r="H148" s="130">
        <v>725246</v>
      </c>
      <c r="I148" s="9"/>
      <c r="J148" s="145"/>
      <c r="K148" s="145"/>
      <c r="L148" s="146"/>
      <c r="M148" s="146"/>
      <c r="N148" s="91"/>
      <c r="O148" s="91"/>
      <c r="P148" s="61"/>
    </row>
    <row r="149" spans="1:16" ht="15" customHeight="1">
      <c r="A149" s="292"/>
      <c r="B149" s="34">
        <v>0.58333333333333304</v>
      </c>
      <c r="C149" s="38">
        <v>221206</v>
      </c>
      <c r="D149" s="39">
        <v>165812</v>
      </c>
      <c r="E149" s="40">
        <v>2371.21</v>
      </c>
      <c r="F149" s="143">
        <v>1693.09</v>
      </c>
      <c r="G149" s="143"/>
      <c r="H149" s="130">
        <v>725246</v>
      </c>
      <c r="I149" s="9"/>
      <c r="J149" s="145"/>
      <c r="K149" s="145"/>
      <c r="L149" s="146"/>
      <c r="M149" s="146"/>
      <c r="N149" s="91"/>
      <c r="O149" s="91"/>
      <c r="P149" s="65"/>
    </row>
    <row r="150" spans="1:16" ht="15" customHeight="1">
      <c r="A150" s="292"/>
      <c r="B150" s="34">
        <v>0.625</v>
      </c>
      <c r="C150" s="38">
        <v>221206</v>
      </c>
      <c r="D150" s="39">
        <v>165812</v>
      </c>
      <c r="E150" s="40">
        <v>2371.21</v>
      </c>
      <c r="F150" s="143">
        <v>1693.09</v>
      </c>
      <c r="G150" s="143"/>
      <c r="H150" s="130">
        <v>725246</v>
      </c>
      <c r="I150" s="9"/>
      <c r="J150" s="145"/>
      <c r="K150" s="145"/>
      <c r="L150" s="146"/>
      <c r="M150" s="146"/>
      <c r="N150" s="91"/>
      <c r="O150" s="91"/>
      <c r="P150" s="61"/>
    </row>
    <row r="151" spans="1:16" ht="15" customHeight="1">
      <c r="A151" s="292"/>
      <c r="B151" s="34">
        <v>0.66666666666666696</v>
      </c>
      <c r="C151" s="38">
        <v>221206</v>
      </c>
      <c r="D151" s="39">
        <v>165812</v>
      </c>
      <c r="E151" s="40">
        <v>2371.21</v>
      </c>
      <c r="F151" s="143">
        <v>1693.09</v>
      </c>
      <c r="G151" s="143"/>
      <c r="H151" s="130">
        <v>725246</v>
      </c>
      <c r="I151" s="9"/>
      <c r="J151" s="145"/>
      <c r="K151" s="145"/>
      <c r="L151" s="146"/>
      <c r="M151" s="146"/>
      <c r="N151" s="91"/>
      <c r="O151" s="91"/>
      <c r="P151" s="61"/>
    </row>
    <row r="152" spans="1:16" ht="15" customHeight="1">
      <c r="A152" s="292"/>
      <c r="B152" s="34">
        <v>0.70833333333333304</v>
      </c>
      <c r="C152" s="38">
        <v>221206</v>
      </c>
      <c r="D152" s="39">
        <v>165812</v>
      </c>
      <c r="E152" s="40">
        <v>2371.21</v>
      </c>
      <c r="F152" s="143">
        <v>1693.09</v>
      </c>
      <c r="G152" s="143"/>
      <c r="H152" s="130">
        <v>725246</v>
      </c>
      <c r="I152" s="9"/>
      <c r="J152" s="145"/>
      <c r="K152" s="145"/>
      <c r="L152" s="146"/>
      <c r="M152" s="146"/>
      <c r="N152" s="91"/>
      <c r="O152" s="91"/>
      <c r="P152" s="61"/>
    </row>
    <row r="153" spans="1:16" ht="15" customHeight="1">
      <c r="A153" s="292"/>
      <c r="B153" s="34">
        <v>0.75</v>
      </c>
      <c r="C153" s="38">
        <v>221206</v>
      </c>
      <c r="D153" s="39">
        <v>165812</v>
      </c>
      <c r="E153" s="40">
        <v>2371.21</v>
      </c>
      <c r="F153" s="143">
        <v>1693.09</v>
      </c>
      <c r="G153" s="143"/>
      <c r="H153" s="130">
        <v>725246</v>
      </c>
      <c r="I153" s="9"/>
      <c r="J153" s="145"/>
      <c r="K153" s="145"/>
      <c r="L153" s="146"/>
      <c r="M153" s="146"/>
      <c r="N153" s="91"/>
      <c r="O153" s="91"/>
      <c r="P153" s="61"/>
    </row>
    <row r="154" spans="1:16" ht="15" customHeight="1">
      <c r="A154" s="292"/>
      <c r="B154" s="34">
        <v>0.79166666666666696</v>
      </c>
      <c r="C154" s="38">
        <v>221206</v>
      </c>
      <c r="D154" s="39">
        <v>165812</v>
      </c>
      <c r="E154" s="40">
        <v>2371.21</v>
      </c>
      <c r="F154" s="143">
        <v>1693.09</v>
      </c>
      <c r="G154" s="143"/>
      <c r="H154" s="130">
        <v>725246</v>
      </c>
      <c r="I154" s="9"/>
      <c r="J154" s="145"/>
      <c r="K154" s="145"/>
      <c r="L154" s="146"/>
      <c r="M154" s="146"/>
      <c r="N154" s="91"/>
      <c r="O154" s="91"/>
      <c r="P154" s="61"/>
    </row>
    <row r="155" spans="1:16" ht="15" customHeight="1">
      <c r="A155" s="292"/>
      <c r="B155" s="34">
        <v>0.83333333333333304</v>
      </c>
      <c r="C155" s="38">
        <v>221206</v>
      </c>
      <c r="D155" s="39">
        <v>165812</v>
      </c>
      <c r="E155" s="40">
        <v>2371.21</v>
      </c>
      <c r="F155" s="143">
        <v>1693.09</v>
      </c>
      <c r="G155" s="143"/>
      <c r="H155" s="130">
        <v>725246</v>
      </c>
      <c r="I155" s="9"/>
      <c r="J155" s="145"/>
      <c r="K155" s="145"/>
      <c r="L155" s="146"/>
      <c r="M155" s="146"/>
      <c r="N155" s="91"/>
      <c r="O155" s="91"/>
      <c r="P155" s="61"/>
    </row>
    <row r="156" spans="1:16" ht="15" customHeight="1">
      <c r="A156" s="292"/>
      <c r="B156" s="34">
        <v>0.875</v>
      </c>
      <c r="C156" s="38">
        <v>221206</v>
      </c>
      <c r="D156" s="39">
        <v>165812</v>
      </c>
      <c r="E156" s="40">
        <v>2371.21</v>
      </c>
      <c r="F156" s="143">
        <v>1693.09</v>
      </c>
      <c r="G156" s="143"/>
      <c r="H156" s="130">
        <v>725246</v>
      </c>
      <c r="I156" s="9"/>
      <c r="J156" s="145"/>
      <c r="K156" s="145"/>
      <c r="L156" s="146"/>
      <c r="M156" s="146"/>
      <c r="N156" s="91"/>
      <c r="O156" s="91"/>
      <c r="P156" s="61"/>
    </row>
    <row r="157" spans="1:16" ht="15" customHeight="1">
      <c r="A157" s="292"/>
      <c r="B157" s="34">
        <v>0.91666666666666696</v>
      </c>
      <c r="C157" s="38">
        <v>221206</v>
      </c>
      <c r="D157" s="39">
        <v>165812</v>
      </c>
      <c r="E157" s="40">
        <v>2371.21</v>
      </c>
      <c r="F157" s="143">
        <v>1693.09</v>
      </c>
      <c r="G157" s="143"/>
      <c r="H157" s="130">
        <v>725246</v>
      </c>
      <c r="I157" s="9"/>
      <c r="J157" s="145"/>
      <c r="K157" s="145"/>
      <c r="L157" s="146"/>
      <c r="M157" s="146"/>
      <c r="N157" s="91"/>
      <c r="O157" s="91"/>
      <c r="P157" s="61"/>
    </row>
    <row r="158" spans="1:16" ht="15" customHeight="1">
      <c r="A158" s="292"/>
      <c r="B158" s="34">
        <v>0.95833333333333304</v>
      </c>
      <c r="C158" s="38">
        <v>221206</v>
      </c>
      <c r="D158" s="39">
        <v>165812</v>
      </c>
      <c r="E158" s="40">
        <v>2371.21</v>
      </c>
      <c r="F158" s="143">
        <v>1693.09</v>
      </c>
      <c r="G158" s="143"/>
      <c r="H158" s="130">
        <v>725246</v>
      </c>
      <c r="I158" s="9"/>
      <c r="J158" s="145"/>
      <c r="K158" s="145"/>
      <c r="L158" s="146"/>
      <c r="M158" s="146"/>
      <c r="N158" s="91"/>
      <c r="O158" s="91"/>
      <c r="P158" s="61"/>
    </row>
    <row r="159" spans="1:16" ht="15" customHeight="1">
      <c r="A159" s="292"/>
      <c r="B159" s="34">
        <v>1</v>
      </c>
      <c r="C159" s="38">
        <v>221206</v>
      </c>
      <c r="D159" s="39">
        <v>165812</v>
      </c>
      <c r="E159" s="40">
        <v>2371.21</v>
      </c>
      <c r="F159" s="143">
        <v>1693.09</v>
      </c>
      <c r="G159" s="143"/>
      <c r="H159" s="130">
        <v>725246</v>
      </c>
      <c r="I159" s="9"/>
      <c r="J159" s="145"/>
      <c r="K159" s="145"/>
      <c r="L159" s="146"/>
      <c r="M159" s="146"/>
      <c r="N159" s="91"/>
      <c r="O159" s="91"/>
      <c r="P159" s="61"/>
    </row>
    <row r="160" spans="1:16" ht="15" customHeight="1">
      <c r="A160" s="292"/>
      <c r="B160" s="34">
        <v>1.0416666666666701</v>
      </c>
      <c r="C160" s="38">
        <v>221206</v>
      </c>
      <c r="D160" s="39">
        <v>165812</v>
      </c>
      <c r="E160" s="40">
        <v>2371.21</v>
      </c>
      <c r="F160" s="143">
        <v>1693.09</v>
      </c>
      <c r="G160" s="143"/>
      <c r="H160" s="130">
        <v>725246</v>
      </c>
      <c r="I160" s="9"/>
      <c r="J160" s="145"/>
      <c r="K160" s="145"/>
      <c r="L160" s="146"/>
      <c r="M160" s="146"/>
      <c r="N160" s="91"/>
      <c r="O160" s="91"/>
      <c r="P160" s="61"/>
    </row>
    <row r="161" spans="1:16" ht="15" customHeight="1">
      <c r="A161" s="292"/>
      <c r="B161" s="34">
        <v>1.0833333333333299</v>
      </c>
      <c r="C161" s="38">
        <v>221206</v>
      </c>
      <c r="D161" s="39">
        <v>165812</v>
      </c>
      <c r="E161" s="40">
        <v>2371.21</v>
      </c>
      <c r="F161" s="143">
        <v>1693.09</v>
      </c>
      <c r="G161" s="143"/>
      <c r="H161" s="130">
        <v>725246</v>
      </c>
      <c r="I161" s="9"/>
      <c r="J161" s="145"/>
      <c r="K161" s="145"/>
      <c r="L161" s="146"/>
      <c r="M161" s="146"/>
      <c r="N161" s="91"/>
      <c r="O161" s="91"/>
      <c r="P161" s="61"/>
    </row>
    <row r="162" spans="1:16" ht="15" customHeight="1">
      <c r="A162" s="292"/>
      <c r="B162" s="34">
        <v>1.125</v>
      </c>
      <c r="C162" s="38">
        <v>221206</v>
      </c>
      <c r="D162" s="39">
        <v>165812</v>
      </c>
      <c r="E162" s="40">
        <v>2371.21</v>
      </c>
      <c r="F162" s="143">
        <v>1693.09</v>
      </c>
      <c r="G162" s="143"/>
      <c r="H162" s="130">
        <v>725246</v>
      </c>
      <c r="I162" s="9"/>
      <c r="J162" s="145"/>
      <c r="K162" s="145"/>
      <c r="L162" s="146"/>
      <c r="M162" s="146"/>
      <c r="N162" s="91"/>
      <c r="O162" s="91"/>
      <c r="P162" s="61"/>
    </row>
    <row r="163" spans="1:16" ht="15" customHeight="1">
      <c r="A163" s="292"/>
      <c r="B163" s="34">
        <v>1.1666666666666701</v>
      </c>
      <c r="C163" s="38">
        <v>221206</v>
      </c>
      <c r="D163" s="39">
        <v>165812</v>
      </c>
      <c r="E163" s="40">
        <v>2371.21</v>
      </c>
      <c r="F163" s="143">
        <v>1693.09</v>
      </c>
      <c r="G163" s="143"/>
      <c r="H163" s="130">
        <v>725246</v>
      </c>
      <c r="I163" s="9"/>
      <c r="J163" s="145"/>
      <c r="K163" s="145"/>
      <c r="L163" s="146"/>
      <c r="M163" s="146"/>
      <c r="N163" s="91"/>
      <c r="O163" s="91"/>
      <c r="P163" s="61"/>
    </row>
    <row r="164" spans="1:16" ht="15" customHeight="1">
      <c r="A164" s="292"/>
      <c r="B164" s="34">
        <v>1.2083333333333299</v>
      </c>
      <c r="C164" s="38">
        <v>221206</v>
      </c>
      <c r="D164" s="39">
        <v>165812</v>
      </c>
      <c r="E164" s="40">
        <v>2371.21</v>
      </c>
      <c r="F164" s="143">
        <v>1693.09</v>
      </c>
      <c r="G164" s="143"/>
      <c r="H164" s="130">
        <v>725246</v>
      </c>
      <c r="I164" s="9"/>
      <c r="J164" s="145"/>
      <c r="K164" s="145"/>
      <c r="L164" s="146"/>
      <c r="M164" s="146"/>
      <c r="N164" s="91"/>
      <c r="O164" s="91"/>
      <c r="P164" s="61"/>
    </row>
    <row r="165" spans="1:16" ht="15" customHeight="1">
      <c r="A165" s="292"/>
      <c r="B165" s="34">
        <v>1.25</v>
      </c>
      <c r="C165" s="38">
        <v>221206</v>
      </c>
      <c r="D165" s="39">
        <v>165812</v>
      </c>
      <c r="E165" s="40">
        <v>2371.21</v>
      </c>
      <c r="F165" s="143">
        <v>1693.09</v>
      </c>
      <c r="G165" s="143"/>
      <c r="H165" s="130">
        <v>725246</v>
      </c>
      <c r="I165" s="9"/>
      <c r="J165" s="145"/>
      <c r="K165" s="145"/>
      <c r="L165" s="146"/>
      <c r="M165" s="146"/>
      <c r="N165" s="91"/>
      <c r="O165" s="91"/>
      <c r="P165" s="61"/>
    </row>
    <row r="166" spans="1:16" ht="15" customHeight="1">
      <c r="A166" s="292"/>
      <c r="B166" s="34">
        <v>1.2916666666666701</v>
      </c>
      <c r="C166" s="38">
        <v>221206</v>
      </c>
      <c r="D166" s="39">
        <v>165812</v>
      </c>
      <c r="E166" s="40">
        <v>2371.21</v>
      </c>
      <c r="F166" s="143">
        <v>1693.09</v>
      </c>
      <c r="G166" s="143"/>
      <c r="H166" s="130">
        <v>725246</v>
      </c>
      <c r="I166" s="9"/>
      <c r="J166" s="145"/>
      <c r="K166" s="145"/>
      <c r="L166" s="146"/>
      <c r="M166" s="146"/>
      <c r="N166" s="91"/>
      <c r="O166" s="91"/>
      <c r="P166" s="61"/>
    </row>
    <row r="167" spans="1:16" ht="15" customHeight="1">
      <c r="A167" s="293"/>
      <c r="B167" s="37"/>
      <c r="C167" s="204" cm="1">
        <f t="array" ref="C167">IFERROR(LOOKUP(2,1/(C142:C166&gt;0),C142:C166-C142),0)</f>
        <v>0</v>
      </c>
      <c r="D167" s="204" cm="1">
        <f t="array" ref="D167">IFERROR(LOOKUP(2,1/(D142:D166&gt;0),D142:D166-D142),0)</f>
        <v>0</v>
      </c>
      <c r="E167" s="207" cm="1">
        <f t="array" ref="E167">IFERROR(LOOKUP(2,1/(E142:E166&gt;0),E142:E166-E142),0)</f>
        <v>0</v>
      </c>
      <c r="F167" s="207" cm="1">
        <f t="array" ref="F167">IFERROR(LOOKUP(2,1/(F142:F166&gt;0),F142:F166-F142),0)</f>
        <v>0</v>
      </c>
      <c r="G167" s="41">
        <f>E167+F167</f>
        <v>0</v>
      </c>
      <c r="H167" s="205" cm="1">
        <f t="array" ref="H167">IFERROR(LOOKUP(2,1/(H142:H166&gt;0),H142:H166-H142),0)</f>
        <v>0</v>
      </c>
      <c r="I167" s="204" cm="1">
        <f t="array" ref="I167">IFERROR(LOOKUP(2,1/(I142:I166&gt;0),I142:I166-I142),0)</f>
        <v>0</v>
      </c>
      <c r="J167" s="242">
        <f t="shared" ref="J167:O167" si="5">IFERROR(AVERAGE(J142:J166),0)</f>
        <v>0</v>
      </c>
      <c r="K167" s="242">
        <f t="shared" si="5"/>
        <v>0</v>
      </c>
      <c r="L167" s="242">
        <f t="shared" si="5"/>
        <v>0</v>
      </c>
      <c r="M167" s="242">
        <f t="shared" si="5"/>
        <v>0</v>
      </c>
      <c r="N167" s="242">
        <f t="shared" si="5"/>
        <v>0</v>
      </c>
      <c r="O167" s="242">
        <f t="shared" si="5"/>
        <v>0</v>
      </c>
      <c r="P167" s="206">
        <f>COUNT(P142:P166)</f>
        <v>0</v>
      </c>
    </row>
    <row r="168" spans="1:16" ht="15" customHeight="1">
      <c r="A168" s="291">
        <f>'DATA B1'!B168</f>
        <v>46029</v>
      </c>
      <c r="B168" s="34">
        <v>0.29166666666666669</v>
      </c>
      <c r="C168" s="38">
        <v>221206</v>
      </c>
      <c r="D168" s="39">
        <v>165812</v>
      </c>
      <c r="E168" s="40">
        <v>2371.21</v>
      </c>
      <c r="F168" s="143">
        <v>1693.09</v>
      </c>
      <c r="G168" s="143"/>
      <c r="H168" s="130">
        <v>725246</v>
      </c>
      <c r="I168" s="9"/>
      <c r="J168" s="145"/>
      <c r="K168" s="145"/>
      <c r="L168" s="146"/>
      <c r="M168" s="146"/>
      <c r="N168" s="91"/>
      <c r="O168" s="91"/>
      <c r="P168" s="61"/>
    </row>
    <row r="169" spans="1:16" ht="15" customHeight="1">
      <c r="A169" s="292"/>
      <c r="B169" s="34">
        <v>0.33333333333333298</v>
      </c>
      <c r="C169" s="38">
        <v>221206</v>
      </c>
      <c r="D169" s="39">
        <v>165812</v>
      </c>
      <c r="E169" s="40">
        <v>2371.21</v>
      </c>
      <c r="F169" s="143">
        <v>1693.09</v>
      </c>
      <c r="G169" s="143"/>
      <c r="H169" s="130">
        <v>725246</v>
      </c>
      <c r="I169" s="9"/>
      <c r="J169" s="145"/>
      <c r="K169" s="145"/>
      <c r="L169" s="146"/>
      <c r="M169" s="146"/>
      <c r="N169" s="91"/>
      <c r="O169" s="91"/>
      <c r="P169" s="61"/>
    </row>
    <row r="170" spans="1:16" ht="15" customHeight="1">
      <c r="A170" s="292"/>
      <c r="B170" s="34">
        <v>0.375</v>
      </c>
      <c r="C170" s="38">
        <v>221206</v>
      </c>
      <c r="D170" s="39">
        <v>165812</v>
      </c>
      <c r="E170" s="40">
        <v>2371.21</v>
      </c>
      <c r="F170" s="143">
        <v>1693.09</v>
      </c>
      <c r="G170" s="143"/>
      <c r="H170" s="130">
        <v>725246</v>
      </c>
      <c r="I170" s="9"/>
      <c r="J170" s="145"/>
      <c r="K170" s="145"/>
      <c r="L170" s="146"/>
      <c r="M170" s="146"/>
      <c r="N170" s="91"/>
      <c r="O170" s="91"/>
      <c r="P170" s="61"/>
    </row>
    <row r="171" spans="1:16" ht="15" customHeight="1">
      <c r="A171" s="292"/>
      <c r="B171" s="34">
        <v>0.41666666666666702</v>
      </c>
      <c r="C171" s="38">
        <v>221206</v>
      </c>
      <c r="D171" s="39">
        <v>165812</v>
      </c>
      <c r="E171" s="40">
        <v>2371.21</v>
      </c>
      <c r="F171" s="143">
        <v>1693.09</v>
      </c>
      <c r="G171" s="143"/>
      <c r="H171" s="130">
        <v>725246</v>
      </c>
      <c r="I171" s="9"/>
      <c r="J171" s="145"/>
      <c r="K171" s="145"/>
      <c r="L171" s="146"/>
      <c r="M171" s="146"/>
      <c r="N171" s="91"/>
      <c r="O171" s="91"/>
      <c r="P171" s="61"/>
    </row>
    <row r="172" spans="1:16" ht="15" customHeight="1">
      <c r="A172" s="292"/>
      <c r="B172" s="34">
        <v>0.45833333333333298</v>
      </c>
      <c r="C172" s="38">
        <v>221206</v>
      </c>
      <c r="D172" s="39">
        <v>165812</v>
      </c>
      <c r="E172" s="40">
        <v>2371.21</v>
      </c>
      <c r="F172" s="143">
        <v>1693.09</v>
      </c>
      <c r="G172" s="143"/>
      <c r="H172" s="130">
        <v>725246</v>
      </c>
      <c r="I172" s="9"/>
      <c r="J172" s="145"/>
      <c r="K172" s="145"/>
      <c r="L172" s="146"/>
      <c r="M172" s="146"/>
      <c r="N172" s="91"/>
      <c r="O172" s="91"/>
      <c r="P172" s="61"/>
    </row>
    <row r="173" spans="1:16" ht="15" customHeight="1">
      <c r="A173" s="292"/>
      <c r="B173" s="34">
        <v>0.5</v>
      </c>
      <c r="C173" s="38">
        <v>221206</v>
      </c>
      <c r="D173" s="39">
        <v>165812</v>
      </c>
      <c r="E173" s="40">
        <v>2371.21</v>
      </c>
      <c r="F173" s="143">
        <v>1693.09</v>
      </c>
      <c r="G173" s="143"/>
      <c r="H173" s="130">
        <v>725246</v>
      </c>
      <c r="I173" s="9"/>
      <c r="J173" s="145"/>
      <c r="K173" s="145"/>
      <c r="L173" s="146"/>
      <c r="M173" s="146"/>
      <c r="N173" s="91"/>
      <c r="O173" s="91"/>
      <c r="P173" s="61"/>
    </row>
    <row r="174" spans="1:16" ht="15" customHeight="1">
      <c r="A174" s="292"/>
      <c r="B174" s="34">
        <v>0.54166666666666696</v>
      </c>
      <c r="C174" s="38">
        <v>221206</v>
      </c>
      <c r="D174" s="39">
        <v>165812</v>
      </c>
      <c r="E174" s="40">
        <v>2371.21</v>
      </c>
      <c r="F174" s="143">
        <v>1693.09</v>
      </c>
      <c r="G174" s="143"/>
      <c r="H174" s="130">
        <v>725246</v>
      </c>
      <c r="I174" s="9"/>
      <c r="J174" s="145"/>
      <c r="K174" s="145"/>
      <c r="L174" s="146"/>
      <c r="M174" s="146"/>
      <c r="N174" s="91"/>
      <c r="O174" s="91"/>
      <c r="P174" s="61"/>
    </row>
    <row r="175" spans="1:16" ht="15" customHeight="1">
      <c r="A175" s="292"/>
      <c r="B175" s="34">
        <v>0.58333333333333304</v>
      </c>
      <c r="C175" s="38">
        <v>221206</v>
      </c>
      <c r="D175" s="39">
        <v>165812</v>
      </c>
      <c r="E175" s="40">
        <v>2371.21</v>
      </c>
      <c r="F175" s="143">
        <v>1693.09</v>
      </c>
      <c r="G175" s="143"/>
      <c r="H175" s="130">
        <v>725246</v>
      </c>
      <c r="I175" s="9"/>
      <c r="J175" s="145"/>
      <c r="K175" s="145"/>
      <c r="L175" s="146"/>
      <c r="M175" s="146"/>
      <c r="N175" s="91"/>
      <c r="O175" s="91"/>
      <c r="P175" s="65"/>
    </row>
    <row r="176" spans="1:16" ht="15" customHeight="1">
      <c r="A176" s="292"/>
      <c r="B176" s="34">
        <v>0.625</v>
      </c>
      <c r="C176" s="38">
        <v>221206</v>
      </c>
      <c r="D176" s="39">
        <v>165812</v>
      </c>
      <c r="E176" s="40">
        <v>2371.21</v>
      </c>
      <c r="F176" s="143">
        <v>1693.09</v>
      </c>
      <c r="G176" s="143"/>
      <c r="H176" s="130">
        <v>725246</v>
      </c>
      <c r="I176" s="9"/>
      <c r="J176" s="145"/>
      <c r="K176" s="145"/>
      <c r="L176" s="146"/>
      <c r="M176" s="146"/>
      <c r="N176" s="91"/>
      <c r="O176" s="91"/>
      <c r="P176" s="61"/>
    </row>
    <row r="177" spans="1:16" ht="15" customHeight="1">
      <c r="A177" s="292"/>
      <c r="B177" s="34">
        <v>0.66666666666666696</v>
      </c>
      <c r="C177" s="38">
        <v>221206</v>
      </c>
      <c r="D177" s="39">
        <v>165812</v>
      </c>
      <c r="E177" s="40">
        <v>2371.21</v>
      </c>
      <c r="F177" s="143">
        <v>1693.09</v>
      </c>
      <c r="G177" s="143"/>
      <c r="H177" s="130">
        <v>725246</v>
      </c>
      <c r="I177" s="9"/>
      <c r="J177" s="145"/>
      <c r="K177" s="145"/>
      <c r="L177" s="146"/>
      <c r="M177" s="146"/>
      <c r="N177" s="91"/>
      <c r="O177" s="91"/>
      <c r="P177" s="61"/>
    </row>
    <row r="178" spans="1:16" ht="15" customHeight="1">
      <c r="A178" s="292"/>
      <c r="B178" s="34">
        <v>0.70833333333333304</v>
      </c>
      <c r="C178" s="38">
        <v>221206</v>
      </c>
      <c r="D178" s="39">
        <v>165812</v>
      </c>
      <c r="E178" s="40">
        <v>2371.21</v>
      </c>
      <c r="F178" s="143">
        <v>1693.09</v>
      </c>
      <c r="G178" s="143"/>
      <c r="H178" s="130">
        <v>725246</v>
      </c>
      <c r="I178" s="9"/>
      <c r="J178" s="145"/>
      <c r="K178" s="145"/>
      <c r="L178" s="146"/>
      <c r="M178" s="146"/>
      <c r="N178" s="91"/>
      <c r="O178" s="91"/>
      <c r="P178" s="61"/>
    </row>
    <row r="179" spans="1:16" ht="15" customHeight="1">
      <c r="A179" s="292"/>
      <c r="B179" s="34">
        <v>0.75</v>
      </c>
      <c r="C179" s="38">
        <v>221206</v>
      </c>
      <c r="D179" s="39">
        <v>165812</v>
      </c>
      <c r="E179" s="40">
        <v>2371.21</v>
      </c>
      <c r="F179" s="143">
        <v>1693.09</v>
      </c>
      <c r="G179" s="143"/>
      <c r="H179" s="130">
        <v>725246</v>
      </c>
      <c r="I179" s="9"/>
      <c r="J179" s="145"/>
      <c r="K179" s="145"/>
      <c r="L179" s="146"/>
      <c r="M179" s="146"/>
      <c r="N179" s="91"/>
      <c r="O179" s="91"/>
      <c r="P179" s="61"/>
    </row>
    <row r="180" spans="1:16" ht="15" customHeight="1">
      <c r="A180" s="292"/>
      <c r="B180" s="34">
        <v>0.79166666666666696</v>
      </c>
      <c r="C180" s="38">
        <v>221206</v>
      </c>
      <c r="D180" s="39">
        <v>165812</v>
      </c>
      <c r="E180" s="40">
        <v>2371.21</v>
      </c>
      <c r="F180" s="143">
        <v>1693.09</v>
      </c>
      <c r="G180" s="143"/>
      <c r="H180" s="130">
        <v>725246</v>
      </c>
      <c r="I180" s="9"/>
      <c r="J180" s="145"/>
      <c r="K180" s="145"/>
      <c r="L180" s="146"/>
      <c r="M180" s="146"/>
      <c r="N180" s="91"/>
      <c r="O180" s="91"/>
      <c r="P180" s="61"/>
    </row>
    <row r="181" spans="1:16" ht="15" customHeight="1">
      <c r="A181" s="292"/>
      <c r="B181" s="34">
        <v>0.83333333333333304</v>
      </c>
      <c r="C181" s="38">
        <v>221206</v>
      </c>
      <c r="D181" s="39">
        <v>165812</v>
      </c>
      <c r="E181" s="40">
        <v>2371.21</v>
      </c>
      <c r="F181" s="143">
        <v>1693.09</v>
      </c>
      <c r="G181" s="143"/>
      <c r="H181" s="130">
        <v>725246</v>
      </c>
      <c r="I181" s="9"/>
      <c r="J181" s="145"/>
      <c r="K181" s="145"/>
      <c r="L181" s="146"/>
      <c r="M181" s="146"/>
      <c r="N181" s="91"/>
      <c r="O181" s="91"/>
      <c r="P181" s="61"/>
    </row>
    <row r="182" spans="1:16" ht="15" customHeight="1">
      <c r="A182" s="292"/>
      <c r="B182" s="34">
        <v>0.875</v>
      </c>
      <c r="C182" s="38">
        <v>221206</v>
      </c>
      <c r="D182" s="39">
        <v>165812</v>
      </c>
      <c r="E182" s="40">
        <v>2371.21</v>
      </c>
      <c r="F182" s="143">
        <v>1693.09</v>
      </c>
      <c r="G182" s="143"/>
      <c r="H182" s="130">
        <v>725246</v>
      </c>
      <c r="I182" s="9"/>
      <c r="J182" s="145"/>
      <c r="K182" s="145"/>
      <c r="L182" s="146"/>
      <c r="M182" s="146"/>
      <c r="N182" s="91"/>
      <c r="O182" s="91"/>
      <c r="P182" s="61"/>
    </row>
    <row r="183" spans="1:16" ht="15" customHeight="1">
      <c r="A183" s="292"/>
      <c r="B183" s="34">
        <v>0.91666666666666696</v>
      </c>
      <c r="C183" s="38">
        <v>221206</v>
      </c>
      <c r="D183" s="39">
        <v>165812</v>
      </c>
      <c r="E183" s="40">
        <v>2371.21</v>
      </c>
      <c r="F183" s="143">
        <v>1693.09</v>
      </c>
      <c r="G183" s="143"/>
      <c r="H183" s="130">
        <v>725246</v>
      </c>
      <c r="I183" s="9"/>
      <c r="J183" s="145"/>
      <c r="K183" s="145"/>
      <c r="L183" s="146"/>
      <c r="M183" s="146"/>
      <c r="N183" s="91"/>
      <c r="O183" s="91"/>
      <c r="P183" s="61"/>
    </row>
    <row r="184" spans="1:16" ht="15" customHeight="1">
      <c r="A184" s="292"/>
      <c r="B184" s="34">
        <v>0.95833333333333304</v>
      </c>
      <c r="C184" s="38">
        <v>221206</v>
      </c>
      <c r="D184" s="39">
        <v>165812</v>
      </c>
      <c r="E184" s="40">
        <v>2371.21</v>
      </c>
      <c r="F184" s="143">
        <v>1693.09</v>
      </c>
      <c r="G184" s="143"/>
      <c r="H184" s="130">
        <v>725246</v>
      </c>
      <c r="I184" s="9"/>
      <c r="J184" s="145"/>
      <c r="K184" s="145"/>
      <c r="L184" s="146"/>
      <c r="M184" s="146"/>
      <c r="N184" s="91"/>
      <c r="O184" s="91"/>
      <c r="P184" s="61"/>
    </row>
    <row r="185" spans="1:16" ht="15" customHeight="1">
      <c r="A185" s="292"/>
      <c r="B185" s="34">
        <v>1</v>
      </c>
      <c r="C185" s="38">
        <v>221206</v>
      </c>
      <c r="D185" s="39">
        <v>165812</v>
      </c>
      <c r="E185" s="40">
        <v>2371.21</v>
      </c>
      <c r="F185" s="143">
        <v>1693.09</v>
      </c>
      <c r="G185" s="143"/>
      <c r="H185" s="130">
        <v>725246</v>
      </c>
      <c r="I185" s="9"/>
      <c r="J185" s="145"/>
      <c r="K185" s="145"/>
      <c r="L185" s="146"/>
      <c r="M185" s="146"/>
      <c r="N185" s="91"/>
      <c r="O185" s="91"/>
      <c r="P185" s="61"/>
    </row>
    <row r="186" spans="1:16" ht="15" customHeight="1">
      <c r="A186" s="292"/>
      <c r="B186" s="34">
        <v>1.0416666666666701</v>
      </c>
      <c r="C186" s="38">
        <v>221206</v>
      </c>
      <c r="D186" s="39">
        <v>165812</v>
      </c>
      <c r="E186" s="40">
        <v>2371.21</v>
      </c>
      <c r="F186" s="143">
        <v>1693.09</v>
      </c>
      <c r="G186" s="143"/>
      <c r="H186" s="130">
        <v>725246</v>
      </c>
      <c r="I186" s="9"/>
      <c r="J186" s="145"/>
      <c r="K186" s="145"/>
      <c r="L186" s="146"/>
      <c r="M186" s="146"/>
      <c r="N186" s="91"/>
      <c r="O186" s="91"/>
      <c r="P186" s="61"/>
    </row>
    <row r="187" spans="1:16" ht="15" customHeight="1">
      <c r="A187" s="292"/>
      <c r="B187" s="34">
        <v>1.0833333333333299</v>
      </c>
      <c r="C187" s="38">
        <v>221206</v>
      </c>
      <c r="D187" s="39">
        <v>165812</v>
      </c>
      <c r="E187" s="40">
        <v>2371.21</v>
      </c>
      <c r="F187" s="143">
        <v>1693.09</v>
      </c>
      <c r="G187" s="143"/>
      <c r="H187" s="130">
        <v>725246</v>
      </c>
      <c r="I187" s="9"/>
      <c r="J187" s="145"/>
      <c r="K187" s="145"/>
      <c r="L187" s="146"/>
      <c r="M187" s="146"/>
      <c r="N187" s="91"/>
      <c r="O187" s="91"/>
      <c r="P187" s="61"/>
    </row>
    <row r="188" spans="1:16" ht="15" customHeight="1">
      <c r="A188" s="292"/>
      <c r="B188" s="34">
        <v>1.125</v>
      </c>
      <c r="C188" s="38">
        <v>221206</v>
      </c>
      <c r="D188" s="39">
        <v>165812</v>
      </c>
      <c r="E188" s="40">
        <v>2371.21</v>
      </c>
      <c r="F188" s="143">
        <v>1693.09</v>
      </c>
      <c r="G188" s="143"/>
      <c r="H188" s="130">
        <v>725246</v>
      </c>
      <c r="I188" s="9"/>
      <c r="J188" s="145"/>
      <c r="K188" s="145"/>
      <c r="L188" s="146"/>
      <c r="M188" s="146"/>
      <c r="N188" s="91"/>
      <c r="O188" s="91"/>
      <c r="P188" s="61"/>
    </row>
    <row r="189" spans="1:16" ht="15" customHeight="1">
      <c r="A189" s="292"/>
      <c r="B189" s="34">
        <v>1.1666666666666701</v>
      </c>
      <c r="C189" s="38">
        <v>221206</v>
      </c>
      <c r="D189" s="39">
        <v>165812</v>
      </c>
      <c r="E189" s="40">
        <v>2371.21</v>
      </c>
      <c r="F189" s="143">
        <v>1693.09</v>
      </c>
      <c r="G189" s="143"/>
      <c r="H189" s="130">
        <v>725246</v>
      </c>
      <c r="I189" s="9"/>
      <c r="J189" s="145"/>
      <c r="K189" s="145"/>
      <c r="L189" s="146"/>
      <c r="M189" s="146"/>
      <c r="N189" s="91"/>
      <c r="O189" s="91"/>
      <c r="P189" s="61"/>
    </row>
    <row r="190" spans="1:16" ht="15" customHeight="1">
      <c r="A190" s="292"/>
      <c r="B190" s="34">
        <v>1.2083333333333299</v>
      </c>
      <c r="C190" s="38">
        <v>221206</v>
      </c>
      <c r="D190" s="39">
        <v>165812</v>
      </c>
      <c r="E190" s="40">
        <v>2371.21</v>
      </c>
      <c r="F190" s="143">
        <v>1693.09</v>
      </c>
      <c r="G190" s="143"/>
      <c r="H190" s="130">
        <v>725246</v>
      </c>
      <c r="I190" s="9"/>
      <c r="J190" s="145"/>
      <c r="K190" s="145"/>
      <c r="L190" s="146"/>
      <c r="M190" s="146"/>
      <c r="N190" s="91"/>
      <c r="O190" s="91"/>
      <c r="P190" s="61"/>
    </row>
    <row r="191" spans="1:16" ht="15" customHeight="1">
      <c r="A191" s="292"/>
      <c r="B191" s="34">
        <v>1.25</v>
      </c>
      <c r="C191" s="38">
        <v>221206</v>
      </c>
      <c r="D191" s="39">
        <v>165812</v>
      </c>
      <c r="E191" s="40">
        <v>2371.21</v>
      </c>
      <c r="F191" s="143">
        <v>1693.09</v>
      </c>
      <c r="G191" s="143"/>
      <c r="H191" s="130">
        <v>725246</v>
      </c>
      <c r="I191" s="9"/>
      <c r="J191" s="145"/>
      <c r="K191" s="145"/>
      <c r="L191" s="146"/>
      <c r="M191" s="146"/>
      <c r="N191" s="91"/>
      <c r="O191" s="91"/>
      <c r="P191" s="61"/>
    </row>
    <row r="192" spans="1:16" ht="15" customHeight="1">
      <c r="A192" s="292"/>
      <c r="B192" s="34">
        <v>1.2916666666666701</v>
      </c>
      <c r="C192" s="38">
        <v>221206</v>
      </c>
      <c r="D192" s="39">
        <v>165812</v>
      </c>
      <c r="E192" s="40">
        <v>2371.21</v>
      </c>
      <c r="F192" s="143">
        <v>1693.09</v>
      </c>
      <c r="G192" s="143"/>
      <c r="H192" s="130">
        <v>725246</v>
      </c>
      <c r="I192" s="9"/>
      <c r="J192" s="145"/>
      <c r="K192" s="145"/>
      <c r="L192" s="146"/>
      <c r="M192" s="146"/>
      <c r="N192" s="91"/>
      <c r="O192" s="91"/>
      <c r="P192" s="61"/>
    </row>
    <row r="193" spans="1:16" ht="15" customHeight="1">
      <c r="A193" s="293"/>
      <c r="B193" s="37"/>
      <c r="C193" s="204" cm="1">
        <f t="array" ref="C193">IFERROR(LOOKUP(2,1/(C168:C192&gt;0),C168:C192-C168),0)</f>
        <v>0</v>
      </c>
      <c r="D193" s="204" cm="1">
        <f t="array" ref="D193">IFERROR(LOOKUP(2,1/(D168:D192&gt;0),D168:D192-D168),0)</f>
        <v>0</v>
      </c>
      <c r="E193" s="207" cm="1">
        <f t="array" ref="E193">IFERROR(LOOKUP(2,1/(E168:E192&gt;0),E168:E192-E168),0)</f>
        <v>0</v>
      </c>
      <c r="F193" s="207" cm="1">
        <f t="array" ref="F193">IFERROR(LOOKUP(2,1/(F168:F192&gt;0),F168:F192-F168),0)</f>
        <v>0</v>
      </c>
      <c r="G193" s="41">
        <f>E193+F193</f>
        <v>0</v>
      </c>
      <c r="H193" s="205" cm="1">
        <f t="array" ref="H193">IFERROR(LOOKUP(2,1/(H168:H192&gt;0),H168:H192-H168),0)</f>
        <v>0</v>
      </c>
      <c r="I193" s="204" cm="1">
        <f t="array" ref="I193">IFERROR(LOOKUP(2,1/(I168:I192&gt;0),I168:I192-I168),0)</f>
        <v>0</v>
      </c>
      <c r="J193" s="242">
        <f t="shared" ref="J193:O193" si="6">IFERROR(AVERAGE(J168:J192),0)</f>
        <v>0</v>
      </c>
      <c r="K193" s="242">
        <f t="shared" si="6"/>
        <v>0</v>
      </c>
      <c r="L193" s="242">
        <f t="shared" si="6"/>
        <v>0</v>
      </c>
      <c r="M193" s="242">
        <f t="shared" si="6"/>
        <v>0</v>
      </c>
      <c r="N193" s="242">
        <f t="shared" si="6"/>
        <v>0</v>
      </c>
      <c r="O193" s="242">
        <f t="shared" si="6"/>
        <v>0</v>
      </c>
      <c r="P193" s="206">
        <f>COUNT(P168:P192)</f>
        <v>0</v>
      </c>
    </row>
    <row r="194" spans="1:16" ht="15" customHeight="1">
      <c r="A194" s="291">
        <f>'DATA B1'!B194</f>
        <v>46030</v>
      </c>
      <c r="B194" s="34">
        <v>0.29166666666666669</v>
      </c>
      <c r="C194" s="38">
        <v>221206</v>
      </c>
      <c r="D194" s="39">
        <v>165812</v>
      </c>
      <c r="E194" s="40">
        <v>2371.21</v>
      </c>
      <c r="F194" s="143">
        <v>1693.09</v>
      </c>
      <c r="G194" s="143"/>
      <c r="H194" s="130">
        <v>725246</v>
      </c>
      <c r="I194" s="9"/>
      <c r="J194" s="145"/>
      <c r="K194" s="145"/>
      <c r="L194" s="146"/>
      <c r="M194" s="146"/>
      <c r="N194" s="91"/>
      <c r="O194" s="91"/>
      <c r="P194" s="61"/>
    </row>
    <row r="195" spans="1:16" ht="15" customHeight="1">
      <c r="A195" s="292"/>
      <c r="B195" s="34">
        <v>0.33333333333333298</v>
      </c>
      <c r="C195" s="38">
        <v>221206</v>
      </c>
      <c r="D195" s="39">
        <v>165812</v>
      </c>
      <c r="E195" s="40">
        <v>2371.21</v>
      </c>
      <c r="F195" s="143">
        <v>1693.09</v>
      </c>
      <c r="G195" s="143"/>
      <c r="H195" s="130">
        <v>725246</v>
      </c>
      <c r="I195" s="9"/>
      <c r="J195" s="145"/>
      <c r="K195" s="145"/>
      <c r="L195" s="146"/>
      <c r="M195" s="146"/>
      <c r="N195" s="91"/>
      <c r="O195" s="91"/>
      <c r="P195" s="61"/>
    </row>
    <row r="196" spans="1:16" ht="15" customHeight="1">
      <c r="A196" s="292"/>
      <c r="B196" s="34">
        <v>0.375</v>
      </c>
      <c r="C196" s="38">
        <v>221206</v>
      </c>
      <c r="D196" s="39">
        <v>165812</v>
      </c>
      <c r="E196" s="40">
        <v>2371.21</v>
      </c>
      <c r="F196" s="143">
        <v>1693.09</v>
      </c>
      <c r="G196" s="143"/>
      <c r="H196" s="130">
        <v>725246</v>
      </c>
      <c r="I196" s="9"/>
      <c r="J196" s="145"/>
      <c r="K196" s="145"/>
      <c r="L196" s="146"/>
      <c r="M196" s="146"/>
      <c r="N196" s="91"/>
      <c r="O196" s="91"/>
      <c r="P196" s="61"/>
    </row>
    <row r="197" spans="1:16" ht="15" customHeight="1">
      <c r="A197" s="292"/>
      <c r="B197" s="34">
        <v>0.41666666666666702</v>
      </c>
      <c r="C197" s="38">
        <v>221206</v>
      </c>
      <c r="D197" s="39">
        <v>165812</v>
      </c>
      <c r="E197" s="40">
        <v>2371.21</v>
      </c>
      <c r="F197" s="143">
        <v>1693.09</v>
      </c>
      <c r="G197" s="143"/>
      <c r="H197" s="130">
        <v>725246</v>
      </c>
      <c r="I197" s="9"/>
      <c r="J197" s="145"/>
      <c r="K197" s="145"/>
      <c r="L197" s="146"/>
      <c r="M197" s="146"/>
      <c r="N197" s="91"/>
      <c r="O197" s="91"/>
      <c r="P197" s="61"/>
    </row>
    <row r="198" spans="1:16" ht="15" customHeight="1">
      <c r="A198" s="292"/>
      <c r="B198" s="34">
        <v>0.45833333333333298</v>
      </c>
      <c r="C198" s="38">
        <v>221206</v>
      </c>
      <c r="D198" s="39">
        <v>165812</v>
      </c>
      <c r="E198" s="40">
        <v>2371.21</v>
      </c>
      <c r="F198" s="143">
        <v>1693.09</v>
      </c>
      <c r="G198" s="143"/>
      <c r="H198" s="130">
        <v>725246</v>
      </c>
      <c r="I198" s="9"/>
      <c r="J198" s="145"/>
      <c r="K198" s="145"/>
      <c r="L198" s="146"/>
      <c r="M198" s="146"/>
      <c r="N198" s="91"/>
      <c r="O198" s="91"/>
      <c r="P198" s="61"/>
    </row>
    <row r="199" spans="1:16" ht="15" customHeight="1">
      <c r="A199" s="292"/>
      <c r="B199" s="34">
        <v>0.5</v>
      </c>
      <c r="C199" s="38">
        <v>221206</v>
      </c>
      <c r="D199" s="39">
        <v>165812</v>
      </c>
      <c r="E199" s="40">
        <v>2371.21</v>
      </c>
      <c r="F199" s="143">
        <v>1693.09</v>
      </c>
      <c r="G199" s="143"/>
      <c r="H199" s="130">
        <v>725246</v>
      </c>
      <c r="I199" s="9"/>
      <c r="J199" s="145"/>
      <c r="K199" s="145"/>
      <c r="L199" s="146"/>
      <c r="M199" s="146"/>
      <c r="N199" s="91"/>
      <c r="O199" s="91"/>
      <c r="P199" s="61"/>
    </row>
    <row r="200" spans="1:16" ht="15" customHeight="1">
      <c r="A200" s="292"/>
      <c r="B200" s="34">
        <v>0.54166666666666696</v>
      </c>
      <c r="C200" s="38">
        <v>221206</v>
      </c>
      <c r="D200" s="39">
        <v>165812</v>
      </c>
      <c r="E200" s="40">
        <v>2371.21</v>
      </c>
      <c r="F200" s="143">
        <v>1693.09</v>
      </c>
      <c r="G200" s="143"/>
      <c r="H200" s="130">
        <v>725246</v>
      </c>
      <c r="I200" s="9"/>
      <c r="J200" s="145"/>
      <c r="K200" s="145"/>
      <c r="L200" s="146"/>
      <c r="M200" s="146"/>
      <c r="N200" s="91"/>
      <c r="O200" s="91"/>
      <c r="P200" s="61"/>
    </row>
    <row r="201" spans="1:16" ht="15" customHeight="1">
      <c r="A201" s="292"/>
      <c r="B201" s="34">
        <v>0.58333333333333304</v>
      </c>
      <c r="C201" s="38">
        <v>221206</v>
      </c>
      <c r="D201" s="39">
        <v>165812</v>
      </c>
      <c r="E201" s="40">
        <v>2371.21</v>
      </c>
      <c r="F201" s="143">
        <v>1693.09</v>
      </c>
      <c r="G201" s="143"/>
      <c r="H201" s="130">
        <v>725246</v>
      </c>
      <c r="I201" s="9"/>
      <c r="J201" s="145"/>
      <c r="K201" s="145"/>
      <c r="L201" s="146"/>
      <c r="M201" s="146"/>
      <c r="N201" s="91"/>
      <c r="O201" s="91"/>
      <c r="P201" s="65"/>
    </row>
    <row r="202" spans="1:16" ht="15" customHeight="1">
      <c r="A202" s="292"/>
      <c r="B202" s="34">
        <v>0.625</v>
      </c>
      <c r="C202" s="38">
        <v>221206</v>
      </c>
      <c r="D202" s="39">
        <v>165812</v>
      </c>
      <c r="E202" s="40">
        <v>2371.21</v>
      </c>
      <c r="F202" s="143">
        <v>1693.09</v>
      </c>
      <c r="G202" s="143"/>
      <c r="H202" s="130">
        <v>725246</v>
      </c>
      <c r="I202" s="9"/>
      <c r="J202" s="145"/>
      <c r="K202" s="145"/>
      <c r="L202" s="146"/>
      <c r="M202" s="146"/>
      <c r="N202" s="91"/>
      <c r="O202" s="91"/>
      <c r="P202" s="61"/>
    </row>
    <row r="203" spans="1:16" ht="15" customHeight="1">
      <c r="A203" s="292"/>
      <c r="B203" s="34">
        <v>0.66666666666666696</v>
      </c>
      <c r="C203" s="38">
        <v>221206</v>
      </c>
      <c r="D203" s="39">
        <v>165812</v>
      </c>
      <c r="E203" s="40">
        <v>2371.21</v>
      </c>
      <c r="F203" s="143">
        <v>1693.09</v>
      </c>
      <c r="G203" s="143"/>
      <c r="H203" s="130">
        <v>725246</v>
      </c>
      <c r="I203" s="9"/>
      <c r="J203" s="145"/>
      <c r="K203" s="145"/>
      <c r="L203" s="146"/>
      <c r="M203" s="146"/>
      <c r="N203" s="91"/>
      <c r="O203" s="91"/>
      <c r="P203" s="61"/>
    </row>
    <row r="204" spans="1:16" ht="15" customHeight="1">
      <c r="A204" s="292"/>
      <c r="B204" s="34">
        <v>0.70833333333333304</v>
      </c>
      <c r="C204" s="38">
        <v>221206</v>
      </c>
      <c r="D204" s="39">
        <v>165812</v>
      </c>
      <c r="E204" s="40">
        <v>2371.21</v>
      </c>
      <c r="F204" s="143">
        <v>1693.09</v>
      </c>
      <c r="G204" s="143"/>
      <c r="H204" s="130">
        <v>725246</v>
      </c>
      <c r="I204" s="9"/>
      <c r="J204" s="145"/>
      <c r="K204" s="145"/>
      <c r="L204" s="146"/>
      <c r="M204" s="146"/>
      <c r="N204" s="91"/>
      <c r="O204" s="91"/>
      <c r="P204" s="61"/>
    </row>
    <row r="205" spans="1:16" ht="15" customHeight="1">
      <c r="A205" s="292"/>
      <c r="B205" s="34">
        <v>0.75</v>
      </c>
      <c r="C205" s="38">
        <v>221206</v>
      </c>
      <c r="D205" s="39">
        <v>165812</v>
      </c>
      <c r="E205" s="40">
        <v>2371.21</v>
      </c>
      <c r="F205" s="143">
        <v>1693.09</v>
      </c>
      <c r="G205" s="143"/>
      <c r="H205" s="130">
        <v>725246</v>
      </c>
      <c r="I205" s="9"/>
      <c r="J205" s="145"/>
      <c r="K205" s="145"/>
      <c r="L205" s="146"/>
      <c r="M205" s="146"/>
      <c r="N205" s="91"/>
      <c r="O205" s="91"/>
      <c r="P205" s="61"/>
    </row>
    <row r="206" spans="1:16" ht="15" customHeight="1">
      <c r="A206" s="292"/>
      <c r="B206" s="34">
        <v>0.79166666666666696</v>
      </c>
      <c r="C206" s="38">
        <v>221206</v>
      </c>
      <c r="D206" s="39">
        <v>165812</v>
      </c>
      <c r="E206" s="40">
        <v>2371.21</v>
      </c>
      <c r="F206" s="143">
        <v>1693.09</v>
      </c>
      <c r="G206" s="143"/>
      <c r="H206" s="130">
        <v>725246</v>
      </c>
      <c r="I206" s="9"/>
      <c r="J206" s="145"/>
      <c r="K206" s="145"/>
      <c r="L206" s="146"/>
      <c r="M206" s="146"/>
      <c r="N206" s="91"/>
      <c r="O206" s="91"/>
      <c r="P206" s="61"/>
    </row>
    <row r="207" spans="1:16" ht="15" customHeight="1">
      <c r="A207" s="292"/>
      <c r="B207" s="34">
        <v>0.83333333333333304</v>
      </c>
      <c r="C207" s="38">
        <v>221206</v>
      </c>
      <c r="D207" s="39">
        <v>165812</v>
      </c>
      <c r="E207" s="40">
        <v>2371.21</v>
      </c>
      <c r="F207" s="143">
        <v>1693.09</v>
      </c>
      <c r="G207" s="143"/>
      <c r="H207" s="130">
        <v>725246</v>
      </c>
      <c r="I207" s="9"/>
      <c r="J207" s="145"/>
      <c r="K207" s="145"/>
      <c r="L207" s="146"/>
      <c r="M207" s="146"/>
      <c r="N207" s="91"/>
      <c r="O207" s="91"/>
      <c r="P207" s="61"/>
    </row>
    <row r="208" spans="1:16" ht="15" customHeight="1">
      <c r="A208" s="292"/>
      <c r="B208" s="34">
        <v>0.875</v>
      </c>
      <c r="C208" s="38">
        <v>221206</v>
      </c>
      <c r="D208" s="39">
        <v>165812</v>
      </c>
      <c r="E208" s="40">
        <v>2371.21</v>
      </c>
      <c r="F208" s="143">
        <v>1693.09</v>
      </c>
      <c r="G208" s="143"/>
      <c r="H208" s="130">
        <v>725246</v>
      </c>
      <c r="I208" s="9"/>
      <c r="J208" s="145"/>
      <c r="K208" s="145"/>
      <c r="L208" s="146"/>
      <c r="M208" s="146"/>
      <c r="N208" s="91"/>
      <c r="O208" s="91"/>
      <c r="P208" s="61"/>
    </row>
    <row r="209" spans="1:16" ht="15" customHeight="1">
      <c r="A209" s="292"/>
      <c r="B209" s="34">
        <v>0.91666666666666696</v>
      </c>
      <c r="C209" s="38">
        <v>221206</v>
      </c>
      <c r="D209" s="39">
        <v>165812</v>
      </c>
      <c r="E209" s="40">
        <v>2371.21</v>
      </c>
      <c r="F209" s="143">
        <v>1693.09</v>
      </c>
      <c r="G209" s="143"/>
      <c r="H209" s="130">
        <v>725246</v>
      </c>
      <c r="I209" s="9"/>
      <c r="J209" s="145"/>
      <c r="K209" s="145"/>
      <c r="L209" s="146"/>
      <c r="M209" s="146"/>
      <c r="N209" s="91"/>
      <c r="O209" s="91"/>
      <c r="P209" s="61"/>
    </row>
    <row r="210" spans="1:16" ht="15" customHeight="1">
      <c r="A210" s="292"/>
      <c r="B210" s="34">
        <v>0.95833333333333304</v>
      </c>
      <c r="C210" s="38">
        <v>221206</v>
      </c>
      <c r="D210" s="39">
        <v>165812</v>
      </c>
      <c r="E210" s="40">
        <v>2371.21</v>
      </c>
      <c r="F210" s="143">
        <v>1693.09</v>
      </c>
      <c r="G210" s="143"/>
      <c r="H210" s="130">
        <v>725246</v>
      </c>
      <c r="I210" s="9"/>
      <c r="J210" s="145"/>
      <c r="K210" s="145"/>
      <c r="L210" s="146"/>
      <c r="M210" s="146"/>
      <c r="N210" s="91"/>
      <c r="O210" s="91"/>
      <c r="P210" s="61"/>
    </row>
    <row r="211" spans="1:16" ht="15" customHeight="1">
      <c r="A211" s="292"/>
      <c r="B211" s="34">
        <v>1</v>
      </c>
      <c r="C211" s="38">
        <v>221206</v>
      </c>
      <c r="D211" s="39">
        <v>165812</v>
      </c>
      <c r="E211" s="40">
        <v>2371.21</v>
      </c>
      <c r="F211" s="143">
        <v>1693.09</v>
      </c>
      <c r="G211" s="143"/>
      <c r="H211" s="130">
        <v>725246</v>
      </c>
      <c r="I211" s="9"/>
      <c r="J211" s="145"/>
      <c r="K211" s="145"/>
      <c r="L211" s="146"/>
      <c r="M211" s="146"/>
      <c r="N211" s="91"/>
      <c r="O211" s="91"/>
      <c r="P211" s="61"/>
    </row>
    <row r="212" spans="1:16" ht="15" customHeight="1">
      <c r="A212" s="292"/>
      <c r="B212" s="34">
        <v>1.0416666666666701</v>
      </c>
      <c r="C212" s="38">
        <v>221206</v>
      </c>
      <c r="D212" s="39">
        <v>165812</v>
      </c>
      <c r="E212" s="40">
        <v>2371.21</v>
      </c>
      <c r="F212" s="143">
        <v>1693.09</v>
      </c>
      <c r="G212" s="143"/>
      <c r="H212" s="130">
        <v>725246</v>
      </c>
      <c r="I212" s="9"/>
      <c r="J212" s="145"/>
      <c r="K212" s="145"/>
      <c r="L212" s="146"/>
      <c r="M212" s="146"/>
      <c r="N212" s="91"/>
      <c r="O212" s="91"/>
      <c r="P212" s="61"/>
    </row>
    <row r="213" spans="1:16" ht="15" customHeight="1">
      <c r="A213" s="292"/>
      <c r="B213" s="34">
        <v>1.0833333333333299</v>
      </c>
      <c r="C213" s="38">
        <v>221206</v>
      </c>
      <c r="D213" s="39">
        <v>165812</v>
      </c>
      <c r="E213" s="40">
        <v>2371.21</v>
      </c>
      <c r="F213" s="143">
        <v>1693.09</v>
      </c>
      <c r="G213" s="143"/>
      <c r="H213" s="130">
        <v>725246</v>
      </c>
      <c r="I213" s="9"/>
      <c r="J213" s="145"/>
      <c r="K213" s="145"/>
      <c r="L213" s="146"/>
      <c r="M213" s="146"/>
      <c r="N213" s="91"/>
      <c r="O213" s="91"/>
      <c r="P213" s="61"/>
    </row>
    <row r="214" spans="1:16" ht="15" customHeight="1">
      <c r="A214" s="292"/>
      <c r="B214" s="34">
        <v>1.125</v>
      </c>
      <c r="C214" s="38">
        <v>221206</v>
      </c>
      <c r="D214" s="39">
        <v>165812</v>
      </c>
      <c r="E214" s="40">
        <v>2371.21</v>
      </c>
      <c r="F214" s="143">
        <v>1693.09</v>
      </c>
      <c r="G214" s="143"/>
      <c r="H214" s="130">
        <v>725246</v>
      </c>
      <c r="I214" s="9"/>
      <c r="J214" s="145"/>
      <c r="K214" s="145"/>
      <c r="L214" s="146"/>
      <c r="M214" s="146"/>
      <c r="N214" s="91"/>
      <c r="O214" s="91"/>
      <c r="P214" s="61"/>
    </row>
    <row r="215" spans="1:16" ht="15" customHeight="1">
      <c r="A215" s="292"/>
      <c r="B215" s="34">
        <v>1.1666666666666701</v>
      </c>
      <c r="C215" s="38">
        <v>221206</v>
      </c>
      <c r="D215" s="39">
        <v>165812</v>
      </c>
      <c r="E215" s="40">
        <v>2371.21</v>
      </c>
      <c r="F215" s="143">
        <v>1693.09</v>
      </c>
      <c r="G215" s="143"/>
      <c r="H215" s="130">
        <v>725246</v>
      </c>
      <c r="I215" s="9"/>
      <c r="J215" s="145"/>
      <c r="K215" s="145"/>
      <c r="L215" s="146"/>
      <c r="M215" s="146"/>
      <c r="N215" s="91"/>
      <c r="O215" s="91"/>
      <c r="P215" s="61"/>
    </row>
    <row r="216" spans="1:16" ht="15" customHeight="1">
      <c r="A216" s="292"/>
      <c r="B216" s="34">
        <v>1.2083333333333299</v>
      </c>
      <c r="C216" s="38">
        <v>221206</v>
      </c>
      <c r="D216" s="39">
        <v>165812</v>
      </c>
      <c r="E216" s="40">
        <v>2371.21</v>
      </c>
      <c r="F216" s="143">
        <v>1693.09</v>
      </c>
      <c r="G216" s="143"/>
      <c r="H216" s="130">
        <v>725246</v>
      </c>
      <c r="I216" s="9"/>
      <c r="J216" s="145"/>
      <c r="K216" s="145"/>
      <c r="L216" s="146"/>
      <c r="M216" s="146"/>
      <c r="N216" s="91"/>
      <c r="O216" s="91"/>
      <c r="P216" s="61"/>
    </row>
    <row r="217" spans="1:16" ht="15" customHeight="1">
      <c r="A217" s="292"/>
      <c r="B217" s="34">
        <v>1.25</v>
      </c>
      <c r="C217" s="38">
        <v>221206</v>
      </c>
      <c r="D217" s="39">
        <v>165812</v>
      </c>
      <c r="E217" s="40">
        <v>2371.21</v>
      </c>
      <c r="F217" s="143">
        <v>1693.09</v>
      </c>
      <c r="G217" s="143"/>
      <c r="H217" s="130">
        <v>725246</v>
      </c>
      <c r="I217" s="9"/>
      <c r="J217" s="145"/>
      <c r="K217" s="145"/>
      <c r="L217" s="146"/>
      <c r="M217" s="146"/>
      <c r="N217" s="91"/>
      <c r="O217" s="91"/>
      <c r="P217" s="61"/>
    </row>
    <row r="218" spans="1:16" ht="15" customHeight="1">
      <c r="A218" s="292"/>
      <c r="B218" s="34">
        <v>1.2916666666666701</v>
      </c>
      <c r="C218" s="38">
        <v>221206</v>
      </c>
      <c r="D218" s="39">
        <v>165812</v>
      </c>
      <c r="E218" s="40">
        <v>2371.21</v>
      </c>
      <c r="F218" s="143">
        <v>1693.09</v>
      </c>
      <c r="G218" s="143"/>
      <c r="H218" s="130">
        <v>725246</v>
      </c>
      <c r="I218" s="9"/>
      <c r="J218" s="145"/>
      <c r="K218" s="145"/>
      <c r="L218" s="146"/>
      <c r="M218" s="146"/>
      <c r="N218" s="91"/>
      <c r="O218" s="91"/>
      <c r="P218" s="61"/>
    </row>
    <row r="219" spans="1:16" ht="15" customHeight="1">
      <c r="A219" s="293"/>
      <c r="B219" s="37"/>
      <c r="C219" s="204" cm="1">
        <f t="array" ref="C219">IFERROR(LOOKUP(2,1/(C194:C218&gt;0),C194:C218-C194),0)</f>
        <v>0</v>
      </c>
      <c r="D219" s="204" cm="1">
        <f t="array" ref="D219">IFERROR(LOOKUP(2,1/(D194:D218&gt;0),D194:D218-D194),0)</f>
        <v>0</v>
      </c>
      <c r="E219" s="207" cm="1">
        <f t="array" ref="E219">IFERROR(LOOKUP(2,1/(E194:E218&gt;0),E194:E218-E194),0)</f>
        <v>0</v>
      </c>
      <c r="F219" s="207" cm="1">
        <f t="array" ref="F219">IFERROR(LOOKUP(2,1/(F194:F218&gt;0),F194:F218-F194),0)</f>
        <v>0</v>
      </c>
      <c r="G219" s="41">
        <f>E219+F219</f>
        <v>0</v>
      </c>
      <c r="H219" s="205" cm="1">
        <f t="array" ref="H219">IFERROR(LOOKUP(2,1/(H194:H218&gt;0),H194:H218-H194),0)</f>
        <v>0</v>
      </c>
      <c r="I219" s="204" cm="1">
        <f t="array" ref="I219">IFERROR(LOOKUP(2,1/(I194:I218&gt;0),I194:I218-I194),0)</f>
        <v>0</v>
      </c>
      <c r="J219" s="242">
        <f t="shared" ref="J219:O219" si="7">IFERROR(AVERAGE(J194:J218),0)</f>
        <v>0</v>
      </c>
      <c r="K219" s="242">
        <f t="shared" si="7"/>
        <v>0</v>
      </c>
      <c r="L219" s="242">
        <f t="shared" si="7"/>
        <v>0</v>
      </c>
      <c r="M219" s="242">
        <f t="shared" si="7"/>
        <v>0</v>
      </c>
      <c r="N219" s="242">
        <f t="shared" si="7"/>
        <v>0</v>
      </c>
      <c r="O219" s="242">
        <f t="shared" si="7"/>
        <v>0</v>
      </c>
      <c r="P219" s="206">
        <f>COUNT(P194:P218)</f>
        <v>0</v>
      </c>
    </row>
    <row r="220" spans="1:16" ht="15" customHeight="1">
      <c r="A220" s="291">
        <f>'DATA B1'!B220</f>
        <v>46031</v>
      </c>
      <c r="B220" s="34">
        <v>0.29166666666666669</v>
      </c>
      <c r="C220" s="38">
        <v>221206</v>
      </c>
      <c r="D220" s="39">
        <v>165812</v>
      </c>
      <c r="E220" s="40">
        <v>2371.21</v>
      </c>
      <c r="F220" s="143">
        <v>1693.09</v>
      </c>
      <c r="G220" s="143"/>
      <c r="H220" s="130">
        <v>725246</v>
      </c>
      <c r="I220" s="9"/>
      <c r="J220" s="145"/>
      <c r="K220" s="145"/>
      <c r="L220" s="146"/>
      <c r="M220" s="146"/>
      <c r="N220" s="91"/>
      <c r="O220" s="91"/>
      <c r="P220" s="61"/>
    </row>
    <row r="221" spans="1:16" ht="15" customHeight="1">
      <c r="A221" s="292"/>
      <c r="B221" s="34">
        <v>0.33333333333333298</v>
      </c>
      <c r="C221" s="38">
        <v>221206</v>
      </c>
      <c r="D221" s="39">
        <v>165812</v>
      </c>
      <c r="E221" s="40">
        <v>2371.21</v>
      </c>
      <c r="F221" s="143">
        <v>1693.09</v>
      </c>
      <c r="G221" s="143"/>
      <c r="H221" s="130">
        <v>725246</v>
      </c>
      <c r="I221" s="9"/>
      <c r="J221" s="145"/>
      <c r="K221" s="145"/>
      <c r="L221" s="146"/>
      <c r="M221" s="146"/>
      <c r="N221" s="91"/>
      <c r="O221" s="91"/>
      <c r="P221" s="61"/>
    </row>
    <row r="222" spans="1:16" ht="15" customHeight="1">
      <c r="A222" s="292"/>
      <c r="B222" s="34">
        <v>0.375</v>
      </c>
      <c r="C222" s="38">
        <v>221206</v>
      </c>
      <c r="D222" s="39">
        <v>165812</v>
      </c>
      <c r="E222" s="40">
        <v>2371.21</v>
      </c>
      <c r="F222" s="143">
        <v>1693.09</v>
      </c>
      <c r="G222" s="143"/>
      <c r="H222" s="130">
        <v>725246</v>
      </c>
      <c r="I222" s="9"/>
      <c r="J222" s="145"/>
      <c r="K222" s="145"/>
      <c r="L222" s="146"/>
      <c r="M222" s="146"/>
      <c r="N222" s="91"/>
      <c r="O222" s="91"/>
      <c r="P222" s="61"/>
    </row>
    <row r="223" spans="1:16" ht="15" customHeight="1">
      <c r="A223" s="292"/>
      <c r="B223" s="34">
        <v>0.41666666666666702</v>
      </c>
      <c r="C223" s="38">
        <v>221206</v>
      </c>
      <c r="D223" s="39">
        <v>165812</v>
      </c>
      <c r="E223" s="40">
        <v>2371.21</v>
      </c>
      <c r="F223" s="143">
        <v>1693.09</v>
      </c>
      <c r="G223" s="143"/>
      <c r="H223" s="130">
        <v>725246</v>
      </c>
      <c r="I223" s="9"/>
      <c r="J223" s="145"/>
      <c r="K223" s="145"/>
      <c r="L223" s="146"/>
      <c r="M223" s="146"/>
      <c r="N223" s="91"/>
      <c r="O223" s="91"/>
      <c r="P223" s="61"/>
    </row>
    <row r="224" spans="1:16" ht="15" customHeight="1">
      <c r="A224" s="292"/>
      <c r="B224" s="34">
        <v>0.45833333333333298</v>
      </c>
      <c r="C224" s="38">
        <v>221206</v>
      </c>
      <c r="D224" s="39">
        <v>165812</v>
      </c>
      <c r="E224" s="40">
        <v>2371.21</v>
      </c>
      <c r="F224" s="143">
        <v>1693.09</v>
      </c>
      <c r="G224" s="143"/>
      <c r="H224" s="130">
        <v>725246</v>
      </c>
      <c r="I224" s="9"/>
      <c r="J224" s="145"/>
      <c r="K224" s="145"/>
      <c r="L224" s="146"/>
      <c r="M224" s="146"/>
      <c r="N224" s="91"/>
      <c r="O224" s="91"/>
      <c r="P224" s="61"/>
    </row>
    <row r="225" spans="1:16" ht="15" customHeight="1">
      <c r="A225" s="292"/>
      <c r="B225" s="34">
        <v>0.5</v>
      </c>
      <c r="C225" s="38">
        <v>221206</v>
      </c>
      <c r="D225" s="39">
        <v>165812</v>
      </c>
      <c r="E225" s="40">
        <v>2371.21</v>
      </c>
      <c r="F225" s="143">
        <v>1693.09</v>
      </c>
      <c r="G225" s="143"/>
      <c r="H225" s="130">
        <v>725246</v>
      </c>
      <c r="I225" s="9"/>
      <c r="J225" s="145"/>
      <c r="K225" s="145"/>
      <c r="L225" s="146"/>
      <c r="M225" s="146"/>
      <c r="N225" s="91"/>
      <c r="O225" s="91"/>
      <c r="P225" s="61"/>
    </row>
    <row r="226" spans="1:16" ht="15" customHeight="1">
      <c r="A226" s="292"/>
      <c r="B226" s="34">
        <v>0.54166666666666696</v>
      </c>
      <c r="C226" s="38">
        <v>221206</v>
      </c>
      <c r="D226" s="39">
        <v>165812</v>
      </c>
      <c r="E226" s="40">
        <v>2371.21</v>
      </c>
      <c r="F226" s="143">
        <v>1693.09</v>
      </c>
      <c r="G226" s="143"/>
      <c r="H226" s="130">
        <v>725246</v>
      </c>
      <c r="I226" s="9"/>
      <c r="J226" s="145"/>
      <c r="K226" s="145"/>
      <c r="L226" s="146"/>
      <c r="M226" s="146"/>
      <c r="N226" s="91"/>
      <c r="O226" s="91"/>
      <c r="P226" s="61"/>
    </row>
    <row r="227" spans="1:16" ht="15" customHeight="1">
      <c r="A227" s="292"/>
      <c r="B227" s="34">
        <v>0.58333333333333304</v>
      </c>
      <c r="C227" s="38">
        <v>221206</v>
      </c>
      <c r="D227" s="39">
        <v>165812</v>
      </c>
      <c r="E227" s="40">
        <v>2371.21</v>
      </c>
      <c r="F227" s="143">
        <v>1693.09</v>
      </c>
      <c r="G227" s="143"/>
      <c r="H227" s="130">
        <v>725246</v>
      </c>
      <c r="I227" s="9"/>
      <c r="J227" s="145"/>
      <c r="K227" s="145"/>
      <c r="L227" s="146"/>
      <c r="M227" s="146"/>
      <c r="N227" s="91"/>
      <c r="O227" s="91"/>
      <c r="P227" s="65"/>
    </row>
    <row r="228" spans="1:16" ht="15" customHeight="1">
      <c r="A228" s="292"/>
      <c r="B228" s="34">
        <v>0.625</v>
      </c>
      <c r="C228" s="38">
        <v>221206</v>
      </c>
      <c r="D228" s="39">
        <v>165812</v>
      </c>
      <c r="E228" s="40">
        <v>2371.21</v>
      </c>
      <c r="F228" s="143">
        <v>1693.09</v>
      </c>
      <c r="G228" s="143"/>
      <c r="H228" s="130">
        <v>725246</v>
      </c>
      <c r="I228" s="9"/>
      <c r="J228" s="145"/>
      <c r="K228" s="145"/>
      <c r="L228" s="146"/>
      <c r="M228" s="146"/>
      <c r="N228" s="91"/>
      <c r="O228" s="91"/>
      <c r="P228" s="61"/>
    </row>
    <row r="229" spans="1:16" ht="15" customHeight="1">
      <c r="A229" s="292"/>
      <c r="B229" s="34">
        <v>0.66666666666666696</v>
      </c>
      <c r="C229" s="38">
        <v>221206</v>
      </c>
      <c r="D229" s="39">
        <v>165812</v>
      </c>
      <c r="E229" s="40">
        <v>2371.21</v>
      </c>
      <c r="F229" s="143">
        <v>1693.09</v>
      </c>
      <c r="G229" s="143"/>
      <c r="H229" s="130">
        <v>725246</v>
      </c>
      <c r="I229" s="9"/>
      <c r="J229" s="145"/>
      <c r="K229" s="145"/>
      <c r="L229" s="146"/>
      <c r="M229" s="146"/>
      <c r="N229" s="91"/>
      <c r="O229" s="91"/>
      <c r="P229" s="61"/>
    </row>
    <row r="230" spans="1:16" ht="15" customHeight="1">
      <c r="A230" s="292"/>
      <c r="B230" s="34">
        <v>0.70833333333333304</v>
      </c>
      <c r="C230" s="38">
        <v>221206</v>
      </c>
      <c r="D230" s="39">
        <v>165812</v>
      </c>
      <c r="E230" s="40">
        <v>2371.21</v>
      </c>
      <c r="F230" s="143">
        <v>1693.09</v>
      </c>
      <c r="G230" s="143"/>
      <c r="H230" s="130">
        <v>725246</v>
      </c>
      <c r="I230" s="9"/>
      <c r="J230" s="145"/>
      <c r="K230" s="145"/>
      <c r="L230" s="146"/>
      <c r="M230" s="146"/>
      <c r="N230" s="91"/>
      <c r="O230" s="91"/>
      <c r="P230" s="61"/>
    </row>
    <row r="231" spans="1:16" ht="15" customHeight="1">
      <c r="A231" s="292"/>
      <c r="B231" s="34">
        <v>0.75</v>
      </c>
      <c r="C231" s="38">
        <v>221206</v>
      </c>
      <c r="D231" s="39">
        <v>165812</v>
      </c>
      <c r="E231" s="40">
        <v>2371.21</v>
      </c>
      <c r="F231" s="143">
        <v>1693.09</v>
      </c>
      <c r="G231" s="143"/>
      <c r="H231" s="130">
        <v>725246</v>
      </c>
      <c r="I231" s="9"/>
      <c r="J231" s="145"/>
      <c r="K231" s="145"/>
      <c r="L231" s="146"/>
      <c r="M231" s="146"/>
      <c r="N231" s="91"/>
      <c r="O231" s="91"/>
      <c r="P231" s="61"/>
    </row>
    <row r="232" spans="1:16" ht="15" customHeight="1">
      <c r="A232" s="292"/>
      <c r="B232" s="34">
        <v>0.79166666666666696</v>
      </c>
      <c r="C232" s="38">
        <v>221206</v>
      </c>
      <c r="D232" s="39">
        <v>165812</v>
      </c>
      <c r="E232" s="40">
        <v>2371.21</v>
      </c>
      <c r="F232" s="143">
        <v>1693.09</v>
      </c>
      <c r="G232" s="143"/>
      <c r="H232" s="130">
        <v>725246</v>
      </c>
      <c r="I232" s="9"/>
      <c r="J232" s="145"/>
      <c r="K232" s="145"/>
      <c r="L232" s="146"/>
      <c r="M232" s="146"/>
      <c r="N232" s="91"/>
      <c r="O232" s="91"/>
      <c r="P232" s="61"/>
    </row>
    <row r="233" spans="1:16" ht="15" customHeight="1">
      <c r="A233" s="292"/>
      <c r="B233" s="34">
        <v>0.83333333333333304</v>
      </c>
      <c r="C233" s="38">
        <v>221206</v>
      </c>
      <c r="D233" s="39">
        <v>165812</v>
      </c>
      <c r="E233" s="40">
        <v>2371.21</v>
      </c>
      <c r="F233" s="143">
        <v>1693.09</v>
      </c>
      <c r="G233" s="143"/>
      <c r="H233" s="130">
        <v>725246</v>
      </c>
      <c r="I233" s="9"/>
      <c r="J233" s="145"/>
      <c r="K233" s="145"/>
      <c r="L233" s="146"/>
      <c r="M233" s="146"/>
      <c r="N233" s="91"/>
      <c r="O233" s="91"/>
      <c r="P233" s="61"/>
    </row>
    <row r="234" spans="1:16" ht="15" customHeight="1">
      <c r="A234" s="292"/>
      <c r="B234" s="34">
        <v>0.875</v>
      </c>
      <c r="C234" s="38">
        <v>221206</v>
      </c>
      <c r="D234" s="39">
        <v>165812</v>
      </c>
      <c r="E234" s="40">
        <v>2371.21</v>
      </c>
      <c r="F234" s="143">
        <v>1693.09</v>
      </c>
      <c r="G234" s="143"/>
      <c r="H234" s="130">
        <v>725246</v>
      </c>
      <c r="I234" s="9"/>
      <c r="J234" s="145"/>
      <c r="K234" s="145"/>
      <c r="L234" s="146"/>
      <c r="M234" s="146"/>
      <c r="N234" s="91"/>
      <c r="O234" s="91"/>
      <c r="P234" s="61"/>
    </row>
    <row r="235" spans="1:16" ht="15" customHeight="1">
      <c r="A235" s="292"/>
      <c r="B235" s="34">
        <v>0.91666666666666696</v>
      </c>
      <c r="C235" s="38">
        <v>221206</v>
      </c>
      <c r="D235" s="39">
        <v>165812</v>
      </c>
      <c r="E235" s="40">
        <v>2371.21</v>
      </c>
      <c r="F235" s="143">
        <v>1693.09</v>
      </c>
      <c r="G235" s="143"/>
      <c r="H235" s="130">
        <v>725246</v>
      </c>
      <c r="I235" s="9"/>
      <c r="J235" s="145"/>
      <c r="K235" s="145"/>
      <c r="L235" s="146"/>
      <c r="M235" s="146"/>
      <c r="N235" s="91"/>
      <c r="O235" s="91"/>
      <c r="P235" s="61"/>
    </row>
    <row r="236" spans="1:16" ht="15" customHeight="1">
      <c r="A236" s="292"/>
      <c r="B236" s="34">
        <v>0.95833333333333304</v>
      </c>
      <c r="C236" s="38">
        <v>221206</v>
      </c>
      <c r="D236" s="39">
        <v>165812</v>
      </c>
      <c r="E236" s="40">
        <v>2371.21</v>
      </c>
      <c r="F236" s="143">
        <v>1693.09</v>
      </c>
      <c r="G236" s="143"/>
      <c r="H236" s="130">
        <v>725246</v>
      </c>
      <c r="I236" s="9"/>
      <c r="J236" s="145"/>
      <c r="K236" s="145"/>
      <c r="L236" s="146"/>
      <c r="M236" s="146"/>
      <c r="N236" s="91"/>
      <c r="O236" s="91"/>
      <c r="P236" s="61"/>
    </row>
    <row r="237" spans="1:16" ht="15" customHeight="1">
      <c r="A237" s="292"/>
      <c r="B237" s="34">
        <v>1</v>
      </c>
      <c r="C237" s="38">
        <v>221206</v>
      </c>
      <c r="D237" s="39">
        <v>165812</v>
      </c>
      <c r="E237" s="40">
        <v>2371.21</v>
      </c>
      <c r="F237" s="143">
        <v>1693.09</v>
      </c>
      <c r="G237" s="143"/>
      <c r="H237" s="130">
        <v>725246</v>
      </c>
      <c r="I237" s="9"/>
      <c r="J237" s="145"/>
      <c r="K237" s="145"/>
      <c r="L237" s="146"/>
      <c r="M237" s="146"/>
      <c r="N237" s="91"/>
      <c r="O237" s="91"/>
      <c r="P237" s="61"/>
    </row>
    <row r="238" spans="1:16" ht="15" customHeight="1">
      <c r="A238" s="292"/>
      <c r="B238" s="34">
        <v>1.0416666666666701</v>
      </c>
      <c r="C238" s="38">
        <v>221206</v>
      </c>
      <c r="D238" s="39">
        <v>165812</v>
      </c>
      <c r="E238" s="40">
        <v>2371.21</v>
      </c>
      <c r="F238" s="143">
        <v>1693.09</v>
      </c>
      <c r="G238" s="143"/>
      <c r="H238" s="130">
        <v>725246</v>
      </c>
      <c r="I238" s="9"/>
      <c r="J238" s="145"/>
      <c r="K238" s="145"/>
      <c r="L238" s="146"/>
      <c r="M238" s="146"/>
      <c r="N238" s="91"/>
      <c r="O238" s="91"/>
      <c r="P238" s="61"/>
    </row>
    <row r="239" spans="1:16" ht="15" customHeight="1">
      <c r="A239" s="292"/>
      <c r="B239" s="34">
        <v>1.0833333333333299</v>
      </c>
      <c r="C239" s="38">
        <v>221206</v>
      </c>
      <c r="D239" s="39">
        <v>165812</v>
      </c>
      <c r="E239" s="40">
        <v>2371.21</v>
      </c>
      <c r="F239" s="143">
        <v>1693.09</v>
      </c>
      <c r="G239" s="143"/>
      <c r="H239" s="130">
        <v>725246</v>
      </c>
      <c r="I239" s="9"/>
      <c r="J239" s="145"/>
      <c r="K239" s="145"/>
      <c r="L239" s="146"/>
      <c r="M239" s="146"/>
      <c r="N239" s="91"/>
      <c r="O239" s="91"/>
      <c r="P239" s="61"/>
    </row>
    <row r="240" spans="1:16" ht="15" customHeight="1">
      <c r="A240" s="292"/>
      <c r="B240" s="34">
        <v>1.125</v>
      </c>
      <c r="C240" s="38">
        <v>221206</v>
      </c>
      <c r="D240" s="39">
        <v>165812</v>
      </c>
      <c r="E240" s="40">
        <v>2371.21</v>
      </c>
      <c r="F240" s="143">
        <v>1693.09</v>
      </c>
      <c r="G240" s="143"/>
      <c r="H240" s="130">
        <v>725246</v>
      </c>
      <c r="I240" s="9"/>
      <c r="J240" s="145"/>
      <c r="K240" s="145"/>
      <c r="L240" s="146"/>
      <c r="M240" s="146"/>
      <c r="N240" s="91"/>
      <c r="O240" s="91"/>
      <c r="P240" s="61"/>
    </row>
    <row r="241" spans="1:16" ht="15" customHeight="1">
      <c r="A241" s="292"/>
      <c r="B241" s="34">
        <v>1.1666666666666701</v>
      </c>
      <c r="C241" s="38">
        <v>221206</v>
      </c>
      <c r="D241" s="39">
        <v>165812</v>
      </c>
      <c r="E241" s="40">
        <v>2371.21</v>
      </c>
      <c r="F241" s="143">
        <v>1693.09</v>
      </c>
      <c r="G241" s="143"/>
      <c r="H241" s="130">
        <v>725246</v>
      </c>
      <c r="I241" s="9"/>
      <c r="J241" s="145"/>
      <c r="K241" s="145"/>
      <c r="L241" s="146"/>
      <c r="M241" s="146"/>
      <c r="N241" s="91"/>
      <c r="O241" s="91"/>
      <c r="P241" s="61"/>
    </row>
    <row r="242" spans="1:16" ht="15" customHeight="1">
      <c r="A242" s="292"/>
      <c r="B242" s="34">
        <v>1.2083333333333299</v>
      </c>
      <c r="C242" s="38">
        <v>221206</v>
      </c>
      <c r="D242" s="39">
        <v>165812</v>
      </c>
      <c r="E242" s="40">
        <v>2371.21</v>
      </c>
      <c r="F242" s="143">
        <v>1693.09</v>
      </c>
      <c r="G242" s="143"/>
      <c r="H242" s="130">
        <v>725246</v>
      </c>
      <c r="I242" s="9"/>
      <c r="J242" s="145"/>
      <c r="K242" s="145"/>
      <c r="L242" s="146"/>
      <c r="M242" s="146"/>
      <c r="N242" s="91"/>
      <c r="O242" s="91"/>
      <c r="P242" s="61"/>
    </row>
    <row r="243" spans="1:16" ht="15" customHeight="1">
      <c r="A243" s="292"/>
      <c r="B243" s="34">
        <v>1.25</v>
      </c>
      <c r="C243" s="38">
        <v>221206</v>
      </c>
      <c r="D243" s="39">
        <v>165812</v>
      </c>
      <c r="E243" s="40">
        <v>2371.21</v>
      </c>
      <c r="F243" s="143">
        <v>1693.09</v>
      </c>
      <c r="G243" s="143"/>
      <c r="H243" s="130">
        <v>725246</v>
      </c>
      <c r="I243" s="9"/>
      <c r="J243" s="145"/>
      <c r="K243" s="145"/>
      <c r="L243" s="146"/>
      <c r="M243" s="146"/>
      <c r="N243" s="91"/>
      <c r="O243" s="91"/>
      <c r="P243" s="61"/>
    </row>
    <row r="244" spans="1:16" ht="15" customHeight="1">
      <c r="A244" s="292"/>
      <c r="B244" s="34">
        <v>1.2916666666666701</v>
      </c>
      <c r="C244" s="38">
        <v>221206</v>
      </c>
      <c r="D244" s="39">
        <v>165812</v>
      </c>
      <c r="E244" s="40">
        <v>2371.21</v>
      </c>
      <c r="F244" s="143">
        <v>1693.09</v>
      </c>
      <c r="G244" s="143"/>
      <c r="H244" s="130">
        <v>725246</v>
      </c>
      <c r="I244" s="9"/>
      <c r="J244" s="145"/>
      <c r="K244" s="145"/>
      <c r="L244" s="146"/>
      <c r="M244" s="146"/>
      <c r="N244" s="91"/>
      <c r="O244" s="91"/>
      <c r="P244" s="61"/>
    </row>
    <row r="245" spans="1:16" ht="15" customHeight="1">
      <c r="A245" s="293"/>
      <c r="B245" s="37"/>
      <c r="C245" s="204" cm="1">
        <f t="array" ref="C245">IFERROR(LOOKUP(2,1/(C220:C244&gt;0),C220:C244-C220),0)</f>
        <v>0</v>
      </c>
      <c r="D245" s="204" cm="1">
        <f t="array" ref="D245">IFERROR(LOOKUP(2,1/(D220:D244&gt;0),D220:D244-D220),0)</f>
        <v>0</v>
      </c>
      <c r="E245" s="207" cm="1">
        <f t="array" ref="E245">IFERROR(LOOKUP(2,1/(E220:E244&gt;0),E220:E244-E220),0)</f>
        <v>0</v>
      </c>
      <c r="F245" s="207" cm="1">
        <f t="array" ref="F245">IFERROR(LOOKUP(2,1/(F220:F244&gt;0),F220:F244-F220),0)</f>
        <v>0</v>
      </c>
      <c r="G245" s="41">
        <f>E245+F245</f>
        <v>0</v>
      </c>
      <c r="H245" s="205" cm="1">
        <f t="array" ref="H245">IFERROR(LOOKUP(2,1/(H220:H244&gt;0),H220:H244-H220),0)</f>
        <v>0</v>
      </c>
      <c r="I245" s="204" cm="1">
        <f t="array" ref="I245">IFERROR(LOOKUP(2,1/(I220:I244&gt;0),I220:I244-I220),0)</f>
        <v>0</v>
      </c>
      <c r="J245" s="242">
        <f t="shared" ref="J245:O245" si="8">IFERROR(AVERAGE(J220:J244),0)</f>
        <v>0</v>
      </c>
      <c r="K245" s="242">
        <f t="shared" si="8"/>
        <v>0</v>
      </c>
      <c r="L245" s="242">
        <f t="shared" si="8"/>
        <v>0</v>
      </c>
      <c r="M245" s="242">
        <f t="shared" si="8"/>
        <v>0</v>
      </c>
      <c r="N245" s="242">
        <f t="shared" si="8"/>
        <v>0</v>
      </c>
      <c r="O245" s="242">
        <f t="shared" si="8"/>
        <v>0</v>
      </c>
      <c r="P245" s="206">
        <f>COUNT(P220:P244)</f>
        <v>0</v>
      </c>
    </row>
    <row r="246" spans="1:16" ht="15" customHeight="1">
      <c r="A246" s="291">
        <f>'DATA B1'!B246</f>
        <v>46032</v>
      </c>
      <c r="B246" s="34">
        <v>0.29166666666666669</v>
      </c>
      <c r="C246" s="38">
        <v>221206</v>
      </c>
      <c r="D246" s="39">
        <v>165812</v>
      </c>
      <c r="E246" s="40">
        <v>2371.21</v>
      </c>
      <c r="F246" s="143">
        <v>1693.09</v>
      </c>
      <c r="G246" s="143"/>
      <c r="H246" s="130">
        <v>725246</v>
      </c>
      <c r="I246" s="9"/>
      <c r="J246" s="145"/>
      <c r="K246" s="145"/>
      <c r="L246" s="146"/>
      <c r="M246" s="146"/>
      <c r="N246" s="91"/>
      <c r="O246" s="91"/>
      <c r="P246" s="61"/>
    </row>
    <row r="247" spans="1:16" ht="15" customHeight="1">
      <c r="A247" s="292"/>
      <c r="B247" s="34">
        <v>0.33333333333333298</v>
      </c>
      <c r="C247" s="38">
        <v>221206</v>
      </c>
      <c r="D247" s="39">
        <v>165812</v>
      </c>
      <c r="E247" s="40">
        <v>2371.21</v>
      </c>
      <c r="F247" s="143">
        <v>1693.09</v>
      </c>
      <c r="G247" s="143"/>
      <c r="H247" s="130">
        <v>725246</v>
      </c>
      <c r="I247" s="9"/>
      <c r="J247" s="145"/>
      <c r="K247" s="145"/>
      <c r="L247" s="146"/>
      <c r="M247" s="146"/>
      <c r="N247" s="91"/>
      <c r="O247" s="91"/>
      <c r="P247" s="61"/>
    </row>
    <row r="248" spans="1:16" ht="15" customHeight="1">
      <c r="A248" s="292"/>
      <c r="B248" s="34">
        <v>0.375</v>
      </c>
      <c r="C248" s="38">
        <v>221206</v>
      </c>
      <c r="D248" s="39">
        <v>165812</v>
      </c>
      <c r="E248" s="40">
        <v>2371.21</v>
      </c>
      <c r="F248" s="143">
        <v>1693.09</v>
      </c>
      <c r="G248" s="143"/>
      <c r="H248" s="130">
        <v>725246</v>
      </c>
      <c r="I248" s="9"/>
      <c r="J248" s="145"/>
      <c r="K248" s="145"/>
      <c r="L248" s="146"/>
      <c r="M248" s="146"/>
      <c r="N248" s="91"/>
      <c r="O248" s="91"/>
      <c r="P248" s="61"/>
    </row>
    <row r="249" spans="1:16" ht="15" customHeight="1">
      <c r="A249" s="292"/>
      <c r="B249" s="34">
        <v>0.41666666666666702</v>
      </c>
      <c r="C249" s="38">
        <v>221206</v>
      </c>
      <c r="D249" s="39">
        <v>165812</v>
      </c>
      <c r="E249" s="40">
        <v>2371.21</v>
      </c>
      <c r="F249" s="143">
        <v>1693.09</v>
      </c>
      <c r="G249" s="143"/>
      <c r="H249" s="130">
        <v>725246</v>
      </c>
      <c r="I249" s="9"/>
      <c r="J249" s="145"/>
      <c r="K249" s="145"/>
      <c r="L249" s="146"/>
      <c r="M249" s="146"/>
      <c r="N249" s="91"/>
      <c r="O249" s="91"/>
      <c r="P249" s="61"/>
    </row>
    <row r="250" spans="1:16" ht="15" customHeight="1">
      <c r="A250" s="292"/>
      <c r="B250" s="34">
        <v>0.45833333333333298</v>
      </c>
      <c r="C250" s="38">
        <v>221206</v>
      </c>
      <c r="D250" s="39">
        <v>165812</v>
      </c>
      <c r="E250" s="40">
        <v>2371.21</v>
      </c>
      <c r="F250" s="143">
        <v>1693.09</v>
      </c>
      <c r="G250" s="143"/>
      <c r="H250" s="130">
        <v>725246</v>
      </c>
      <c r="I250" s="9"/>
      <c r="J250" s="145"/>
      <c r="K250" s="145"/>
      <c r="L250" s="146"/>
      <c r="M250" s="146"/>
      <c r="N250" s="91"/>
      <c r="O250" s="91"/>
      <c r="P250" s="61"/>
    </row>
    <row r="251" spans="1:16" ht="15" customHeight="1">
      <c r="A251" s="292"/>
      <c r="B251" s="34">
        <v>0.5</v>
      </c>
      <c r="C251" s="38">
        <v>221206</v>
      </c>
      <c r="D251" s="39">
        <v>165812</v>
      </c>
      <c r="E251" s="40">
        <v>2371.21</v>
      </c>
      <c r="F251" s="143">
        <v>1693.09</v>
      </c>
      <c r="G251" s="143"/>
      <c r="H251" s="130">
        <v>725246</v>
      </c>
      <c r="I251" s="9"/>
      <c r="J251" s="145"/>
      <c r="K251" s="145"/>
      <c r="L251" s="146"/>
      <c r="M251" s="146"/>
      <c r="N251" s="91"/>
      <c r="O251" s="91"/>
      <c r="P251" s="61"/>
    </row>
    <row r="252" spans="1:16" ht="15" customHeight="1">
      <c r="A252" s="292"/>
      <c r="B252" s="34">
        <v>0.54166666666666696</v>
      </c>
      <c r="C252" s="38">
        <v>221206</v>
      </c>
      <c r="D252" s="39">
        <v>165812</v>
      </c>
      <c r="E252" s="40">
        <v>2371.21</v>
      </c>
      <c r="F252" s="143">
        <v>1693.09</v>
      </c>
      <c r="G252" s="143"/>
      <c r="H252" s="130">
        <v>725246</v>
      </c>
      <c r="I252" s="9"/>
      <c r="J252" s="145"/>
      <c r="K252" s="145"/>
      <c r="L252" s="146"/>
      <c r="M252" s="146"/>
      <c r="N252" s="91"/>
      <c r="O252" s="91"/>
      <c r="P252" s="61"/>
    </row>
    <row r="253" spans="1:16" ht="15" customHeight="1">
      <c r="A253" s="292"/>
      <c r="B253" s="34">
        <v>0.58333333333333304</v>
      </c>
      <c r="C253" s="38">
        <v>221206</v>
      </c>
      <c r="D253" s="39">
        <v>165812</v>
      </c>
      <c r="E253" s="40">
        <v>2371.21</v>
      </c>
      <c r="F253" s="143">
        <v>1693.09</v>
      </c>
      <c r="G253" s="143"/>
      <c r="H253" s="130">
        <v>725246</v>
      </c>
      <c r="I253" s="9"/>
      <c r="J253" s="145"/>
      <c r="K253" s="145"/>
      <c r="L253" s="146"/>
      <c r="M253" s="146"/>
      <c r="N253" s="91"/>
      <c r="O253" s="91"/>
      <c r="P253" s="65"/>
    </row>
    <row r="254" spans="1:16" ht="15" customHeight="1">
      <c r="A254" s="292"/>
      <c r="B254" s="34">
        <v>0.625</v>
      </c>
      <c r="C254" s="38">
        <v>221206</v>
      </c>
      <c r="D254" s="39">
        <v>165812</v>
      </c>
      <c r="E254" s="40">
        <v>2371.21</v>
      </c>
      <c r="F254" s="143">
        <v>1693.09</v>
      </c>
      <c r="G254" s="143"/>
      <c r="H254" s="130">
        <v>725246</v>
      </c>
      <c r="I254" s="9"/>
      <c r="J254" s="145"/>
      <c r="K254" s="145"/>
      <c r="L254" s="146"/>
      <c r="M254" s="146"/>
      <c r="N254" s="91"/>
      <c r="O254" s="91"/>
      <c r="P254" s="61"/>
    </row>
    <row r="255" spans="1:16" ht="15" customHeight="1">
      <c r="A255" s="292"/>
      <c r="B255" s="34">
        <v>0.66666666666666696</v>
      </c>
      <c r="C255" s="38">
        <v>221206</v>
      </c>
      <c r="D255" s="39">
        <v>165812</v>
      </c>
      <c r="E255" s="40">
        <v>2371.21</v>
      </c>
      <c r="F255" s="143">
        <v>1693.09</v>
      </c>
      <c r="G255" s="143"/>
      <c r="H255" s="130">
        <v>725246</v>
      </c>
      <c r="I255" s="9"/>
      <c r="J255" s="145"/>
      <c r="K255" s="145"/>
      <c r="L255" s="146"/>
      <c r="M255" s="146"/>
      <c r="N255" s="91"/>
      <c r="O255" s="91"/>
      <c r="P255" s="61"/>
    </row>
    <row r="256" spans="1:16" ht="15" customHeight="1">
      <c r="A256" s="292"/>
      <c r="B256" s="34">
        <v>0.70833333333333304</v>
      </c>
      <c r="C256" s="38">
        <v>221206</v>
      </c>
      <c r="D256" s="39">
        <v>165812</v>
      </c>
      <c r="E256" s="40">
        <v>2371.21</v>
      </c>
      <c r="F256" s="143">
        <v>1693.09</v>
      </c>
      <c r="G256" s="143"/>
      <c r="H256" s="130">
        <v>725246</v>
      </c>
      <c r="I256" s="9"/>
      <c r="J256" s="145"/>
      <c r="K256" s="145"/>
      <c r="L256" s="146"/>
      <c r="M256" s="146"/>
      <c r="N256" s="91"/>
      <c r="O256" s="91"/>
      <c r="P256" s="61"/>
    </row>
    <row r="257" spans="1:16" ht="15" customHeight="1">
      <c r="A257" s="292"/>
      <c r="B257" s="34">
        <v>0.75</v>
      </c>
      <c r="C257" s="38">
        <v>221206</v>
      </c>
      <c r="D257" s="39">
        <v>165812</v>
      </c>
      <c r="E257" s="40">
        <v>2371.21</v>
      </c>
      <c r="F257" s="143">
        <v>1693.09</v>
      </c>
      <c r="G257" s="143"/>
      <c r="H257" s="130">
        <v>725246</v>
      </c>
      <c r="I257" s="9"/>
      <c r="J257" s="145"/>
      <c r="K257" s="145"/>
      <c r="L257" s="146"/>
      <c r="M257" s="146"/>
      <c r="N257" s="91"/>
      <c r="O257" s="91"/>
      <c r="P257" s="61"/>
    </row>
    <row r="258" spans="1:16" ht="15" customHeight="1">
      <c r="A258" s="292"/>
      <c r="B258" s="34">
        <v>0.79166666666666696</v>
      </c>
      <c r="C258" s="38">
        <v>221206</v>
      </c>
      <c r="D258" s="39">
        <v>165812</v>
      </c>
      <c r="E258" s="40">
        <v>2371.21</v>
      </c>
      <c r="F258" s="143">
        <v>1693.09</v>
      </c>
      <c r="G258" s="143"/>
      <c r="H258" s="130">
        <v>725246</v>
      </c>
      <c r="I258" s="9"/>
      <c r="J258" s="145"/>
      <c r="K258" s="145"/>
      <c r="L258" s="146"/>
      <c r="M258" s="146"/>
      <c r="N258" s="91"/>
      <c r="O258" s="91"/>
      <c r="P258" s="61"/>
    </row>
    <row r="259" spans="1:16" ht="15" customHeight="1">
      <c r="A259" s="292"/>
      <c r="B259" s="34">
        <v>0.83333333333333304</v>
      </c>
      <c r="C259" s="38">
        <v>221206</v>
      </c>
      <c r="D259" s="39">
        <v>165812</v>
      </c>
      <c r="E259" s="40">
        <v>2371.21</v>
      </c>
      <c r="F259" s="143">
        <v>1693.09</v>
      </c>
      <c r="G259" s="143"/>
      <c r="H259" s="130">
        <v>725246</v>
      </c>
      <c r="I259" s="9"/>
      <c r="J259" s="145"/>
      <c r="K259" s="145"/>
      <c r="L259" s="146"/>
      <c r="M259" s="146"/>
      <c r="N259" s="91"/>
      <c r="O259" s="91"/>
      <c r="P259" s="61"/>
    </row>
    <row r="260" spans="1:16" ht="15" customHeight="1">
      <c r="A260" s="292"/>
      <c r="B260" s="34">
        <v>0.875</v>
      </c>
      <c r="C260" s="38">
        <v>221206</v>
      </c>
      <c r="D260" s="39">
        <v>165812</v>
      </c>
      <c r="E260" s="40">
        <v>2371.21</v>
      </c>
      <c r="F260" s="143">
        <v>1693.09</v>
      </c>
      <c r="G260" s="143"/>
      <c r="H260" s="130">
        <v>725246</v>
      </c>
      <c r="I260" s="9"/>
      <c r="J260" s="145"/>
      <c r="K260" s="145"/>
      <c r="L260" s="146"/>
      <c r="M260" s="146"/>
      <c r="N260" s="91"/>
      <c r="O260" s="91"/>
      <c r="P260" s="61"/>
    </row>
    <row r="261" spans="1:16" ht="15" customHeight="1">
      <c r="A261" s="292"/>
      <c r="B261" s="34">
        <v>0.91666666666666696</v>
      </c>
      <c r="C261" s="38">
        <v>221206</v>
      </c>
      <c r="D261" s="39">
        <v>165812</v>
      </c>
      <c r="E261" s="40">
        <v>2371.21</v>
      </c>
      <c r="F261" s="143">
        <v>1693.09</v>
      </c>
      <c r="G261" s="143"/>
      <c r="H261" s="130">
        <v>725246</v>
      </c>
      <c r="I261" s="9"/>
      <c r="J261" s="145"/>
      <c r="K261" s="145"/>
      <c r="L261" s="146"/>
      <c r="M261" s="146"/>
      <c r="N261" s="91"/>
      <c r="O261" s="91"/>
      <c r="P261" s="61"/>
    </row>
    <row r="262" spans="1:16" ht="15" customHeight="1">
      <c r="A262" s="292"/>
      <c r="B262" s="34">
        <v>0.95833333333333304</v>
      </c>
      <c r="C262" s="38">
        <v>221206</v>
      </c>
      <c r="D262" s="39">
        <v>165812</v>
      </c>
      <c r="E262" s="40">
        <v>2371.21</v>
      </c>
      <c r="F262" s="143">
        <v>1693.09</v>
      </c>
      <c r="G262" s="143"/>
      <c r="H262" s="130">
        <v>725246</v>
      </c>
      <c r="I262" s="9"/>
      <c r="J262" s="145"/>
      <c r="K262" s="145"/>
      <c r="L262" s="146"/>
      <c r="M262" s="146"/>
      <c r="N262" s="91"/>
      <c r="O262" s="91"/>
      <c r="P262" s="61"/>
    </row>
    <row r="263" spans="1:16" ht="15" customHeight="1">
      <c r="A263" s="292"/>
      <c r="B263" s="34">
        <v>1</v>
      </c>
      <c r="C263" s="38">
        <v>221206</v>
      </c>
      <c r="D263" s="39">
        <v>165812</v>
      </c>
      <c r="E263" s="40">
        <v>2371.21</v>
      </c>
      <c r="F263" s="143">
        <v>1693.09</v>
      </c>
      <c r="G263" s="143"/>
      <c r="H263" s="130">
        <v>725246</v>
      </c>
      <c r="I263" s="9"/>
      <c r="J263" s="145"/>
      <c r="K263" s="145"/>
      <c r="L263" s="146"/>
      <c r="M263" s="146"/>
      <c r="N263" s="91"/>
      <c r="O263" s="91"/>
      <c r="P263" s="61"/>
    </row>
    <row r="264" spans="1:16" ht="15" customHeight="1">
      <c r="A264" s="292"/>
      <c r="B264" s="34">
        <v>1.0416666666666701</v>
      </c>
      <c r="C264" s="38">
        <v>221206</v>
      </c>
      <c r="D264" s="39">
        <v>165812</v>
      </c>
      <c r="E264" s="40">
        <v>2371.21</v>
      </c>
      <c r="F264" s="143">
        <v>1693.09</v>
      </c>
      <c r="G264" s="143"/>
      <c r="H264" s="130">
        <v>725246</v>
      </c>
      <c r="I264" s="9"/>
      <c r="J264" s="145"/>
      <c r="K264" s="145"/>
      <c r="L264" s="146"/>
      <c r="M264" s="146"/>
      <c r="N264" s="91"/>
      <c r="O264" s="91"/>
      <c r="P264" s="61"/>
    </row>
    <row r="265" spans="1:16" ht="15" customHeight="1">
      <c r="A265" s="292"/>
      <c r="B265" s="34">
        <v>1.0833333333333299</v>
      </c>
      <c r="C265" s="38">
        <v>221206</v>
      </c>
      <c r="D265" s="39">
        <v>165812</v>
      </c>
      <c r="E265" s="40">
        <v>2371.21</v>
      </c>
      <c r="F265" s="143">
        <v>1693.09</v>
      </c>
      <c r="G265" s="143"/>
      <c r="H265" s="130">
        <v>725246</v>
      </c>
      <c r="I265" s="9"/>
      <c r="J265" s="145"/>
      <c r="K265" s="145"/>
      <c r="L265" s="146"/>
      <c r="M265" s="146"/>
      <c r="N265" s="91"/>
      <c r="O265" s="91"/>
      <c r="P265" s="61"/>
    </row>
    <row r="266" spans="1:16" ht="15" customHeight="1">
      <c r="A266" s="292"/>
      <c r="B266" s="34">
        <v>1.125</v>
      </c>
      <c r="C266" s="38">
        <v>221206</v>
      </c>
      <c r="D266" s="39">
        <v>165812</v>
      </c>
      <c r="E266" s="40">
        <v>2371.21</v>
      </c>
      <c r="F266" s="143">
        <v>1693.09</v>
      </c>
      <c r="G266" s="143"/>
      <c r="H266" s="130">
        <v>725246</v>
      </c>
      <c r="I266" s="9"/>
      <c r="J266" s="145"/>
      <c r="K266" s="145"/>
      <c r="L266" s="146"/>
      <c r="M266" s="146"/>
      <c r="N266" s="91"/>
      <c r="O266" s="91"/>
      <c r="P266" s="61"/>
    </row>
    <row r="267" spans="1:16" ht="15" customHeight="1">
      <c r="A267" s="292"/>
      <c r="B267" s="34">
        <v>1.1666666666666701</v>
      </c>
      <c r="C267" s="38">
        <v>221206</v>
      </c>
      <c r="D267" s="39">
        <v>165812</v>
      </c>
      <c r="E267" s="40">
        <v>2371.21</v>
      </c>
      <c r="F267" s="143">
        <v>1693.09</v>
      </c>
      <c r="G267" s="143"/>
      <c r="H267" s="130">
        <v>725246</v>
      </c>
      <c r="I267" s="9"/>
      <c r="J267" s="145"/>
      <c r="K267" s="145"/>
      <c r="L267" s="146"/>
      <c r="M267" s="146"/>
      <c r="N267" s="91"/>
      <c r="O267" s="91"/>
      <c r="P267" s="61"/>
    </row>
    <row r="268" spans="1:16" ht="15" customHeight="1">
      <c r="A268" s="292"/>
      <c r="B268" s="34">
        <v>1.2083333333333299</v>
      </c>
      <c r="C268" s="38">
        <v>221206</v>
      </c>
      <c r="D268" s="39">
        <v>165812</v>
      </c>
      <c r="E268" s="40">
        <v>2371.21</v>
      </c>
      <c r="F268" s="143">
        <v>1693.09</v>
      </c>
      <c r="G268" s="143"/>
      <c r="H268" s="130">
        <v>725246</v>
      </c>
      <c r="I268" s="9"/>
      <c r="J268" s="145"/>
      <c r="K268" s="145"/>
      <c r="L268" s="146"/>
      <c r="M268" s="146"/>
      <c r="N268" s="91"/>
      <c r="O268" s="91"/>
      <c r="P268" s="61"/>
    </row>
    <row r="269" spans="1:16" ht="15" customHeight="1">
      <c r="A269" s="292"/>
      <c r="B269" s="34">
        <v>1.25</v>
      </c>
      <c r="C269" s="38">
        <v>221206</v>
      </c>
      <c r="D269" s="39">
        <v>165812</v>
      </c>
      <c r="E269" s="40">
        <v>2371.21</v>
      </c>
      <c r="F269" s="143">
        <v>1693.09</v>
      </c>
      <c r="G269" s="143"/>
      <c r="H269" s="130">
        <v>725246</v>
      </c>
      <c r="I269" s="9"/>
      <c r="J269" s="145"/>
      <c r="K269" s="145"/>
      <c r="L269" s="146"/>
      <c r="M269" s="146"/>
      <c r="N269" s="91"/>
      <c r="O269" s="91"/>
      <c r="P269" s="61"/>
    </row>
    <row r="270" spans="1:16" ht="15" customHeight="1">
      <c r="A270" s="292"/>
      <c r="B270" s="34">
        <v>1.2916666666666701</v>
      </c>
      <c r="C270" s="38">
        <v>221206</v>
      </c>
      <c r="D270" s="39">
        <v>165812</v>
      </c>
      <c r="E270" s="40">
        <v>2371.21</v>
      </c>
      <c r="F270" s="143">
        <v>1693.09</v>
      </c>
      <c r="G270" s="143"/>
      <c r="H270" s="130">
        <v>725246</v>
      </c>
      <c r="I270" s="9"/>
      <c r="J270" s="145"/>
      <c r="K270" s="145"/>
      <c r="L270" s="146"/>
      <c r="M270" s="146"/>
      <c r="N270" s="91"/>
      <c r="O270" s="91"/>
      <c r="P270" s="61"/>
    </row>
    <row r="271" spans="1:16" ht="15" customHeight="1">
      <c r="A271" s="293"/>
      <c r="B271" s="37"/>
      <c r="C271" s="204" cm="1">
        <f t="array" ref="C271">IFERROR(LOOKUP(2,1/(C246:C270&gt;0),C246:C270-C246),0)</f>
        <v>0</v>
      </c>
      <c r="D271" s="204" cm="1">
        <f t="array" ref="D271">IFERROR(LOOKUP(2,1/(D246:D270&gt;0),D246:D270-D246),0)</f>
        <v>0</v>
      </c>
      <c r="E271" s="207" cm="1">
        <f t="array" ref="E271">IFERROR(LOOKUP(2,1/(E246:E270&gt;0),E246:E270-E246),0)</f>
        <v>0</v>
      </c>
      <c r="F271" s="207" cm="1">
        <f t="array" ref="F271">IFERROR(LOOKUP(2,1/(F246:F270&gt;0),F246:F270-F246),0)</f>
        <v>0</v>
      </c>
      <c r="G271" s="41">
        <f>E271+F271</f>
        <v>0</v>
      </c>
      <c r="H271" s="205" cm="1">
        <f t="array" ref="H271">IFERROR(LOOKUP(2,1/(H246:H270&gt;0),H246:H270-H246),0)</f>
        <v>0</v>
      </c>
      <c r="I271" s="204" cm="1">
        <f t="array" ref="I271">IFERROR(LOOKUP(2,1/(I246:I270&gt;0),I246:I270-I246),0)</f>
        <v>0</v>
      </c>
      <c r="J271" s="242">
        <f t="shared" ref="J271:O271" si="9">IFERROR(AVERAGE(J246:J270),0)</f>
        <v>0</v>
      </c>
      <c r="K271" s="242">
        <f t="shared" si="9"/>
        <v>0</v>
      </c>
      <c r="L271" s="242">
        <f t="shared" si="9"/>
        <v>0</v>
      </c>
      <c r="M271" s="242">
        <f t="shared" si="9"/>
        <v>0</v>
      </c>
      <c r="N271" s="242">
        <f t="shared" si="9"/>
        <v>0</v>
      </c>
      <c r="O271" s="242">
        <f t="shared" si="9"/>
        <v>0</v>
      </c>
      <c r="P271" s="206">
        <f>COUNT(P246:P270)</f>
        <v>0</v>
      </c>
    </row>
    <row r="272" spans="1:16" ht="15" customHeight="1">
      <c r="A272" s="291">
        <f>'DATA B1'!B272</f>
        <v>46033</v>
      </c>
      <c r="B272" s="34">
        <v>0.29166666666666669</v>
      </c>
      <c r="C272" s="38">
        <v>221206</v>
      </c>
      <c r="D272" s="39">
        <v>165812</v>
      </c>
      <c r="E272" s="40">
        <v>2371.21</v>
      </c>
      <c r="F272" s="143">
        <v>1693.09</v>
      </c>
      <c r="G272" s="143"/>
      <c r="H272" s="130">
        <v>725246</v>
      </c>
      <c r="I272" s="9"/>
      <c r="J272" s="145"/>
      <c r="K272" s="145"/>
      <c r="L272" s="146"/>
      <c r="M272" s="146"/>
      <c r="N272" s="91"/>
      <c r="O272" s="91"/>
      <c r="P272" s="61"/>
    </row>
    <row r="273" spans="1:16" ht="15" customHeight="1">
      <c r="A273" s="292"/>
      <c r="B273" s="34">
        <v>0.33333333333333298</v>
      </c>
      <c r="C273" s="38">
        <v>221206</v>
      </c>
      <c r="D273" s="39">
        <v>165812</v>
      </c>
      <c r="E273" s="40">
        <v>2371.21</v>
      </c>
      <c r="F273" s="143">
        <v>1693.09</v>
      </c>
      <c r="G273" s="143"/>
      <c r="H273" s="130">
        <v>725246</v>
      </c>
      <c r="I273" s="9"/>
      <c r="J273" s="145"/>
      <c r="K273" s="145"/>
      <c r="L273" s="146"/>
      <c r="M273" s="146"/>
      <c r="N273" s="91"/>
      <c r="O273" s="91"/>
      <c r="P273" s="61"/>
    </row>
    <row r="274" spans="1:16" ht="15" customHeight="1">
      <c r="A274" s="292"/>
      <c r="B274" s="34">
        <v>0.375</v>
      </c>
      <c r="C274" s="38">
        <v>221206</v>
      </c>
      <c r="D274" s="39">
        <v>165812</v>
      </c>
      <c r="E274" s="40">
        <v>2371.21</v>
      </c>
      <c r="F274" s="143">
        <v>1693.09</v>
      </c>
      <c r="G274" s="143"/>
      <c r="H274" s="130">
        <v>725246</v>
      </c>
      <c r="I274" s="9"/>
      <c r="J274" s="145"/>
      <c r="K274" s="145"/>
      <c r="L274" s="146"/>
      <c r="M274" s="146"/>
      <c r="N274" s="91"/>
      <c r="O274" s="91"/>
      <c r="P274" s="61"/>
    </row>
    <row r="275" spans="1:16" ht="15" customHeight="1">
      <c r="A275" s="292"/>
      <c r="B275" s="34">
        <v>0.41666666666666702</v>
      </c>
      <c r="C275" s="38">
        <v>221206</v>
      </c>
      <c r="D275" s="39">
        <v>165812</v>
      </c>
      <c r="E275" s="40">
        <v>2371.21</v>
      </c>
      <c r="F275" s="143">
        <v>1693.09</v>
      </c>
      <c r="G275" s="143"/>
      <c r="H275" s="130">
        <v>725246</v>
      </c>
      <c r="I275" s="9"/>
      <c r="J275" s="145"/>
      <c r="K275" s="145"/>
      <c r="L275" s="146"/>
      <c r="M275" s="146"/>
      <c r="N275" s="91"/>
      <c r="O275" s="91"/>
      <c r="P275" s="61"/>
    </row>
    <row r="276" spans="1:16" ht="15" customHeight="1">
      <c r="A276" s="292"/>
      <c r="B276" s="34">
        <v>0.45833333333333298</v>
      </c>
      <c r="C276" s="38">
        <v>221206</v>
      </c>
      <c r="D276" s="39">
        <v>165812</v>
      </c>
      <c r="E276" s="40">
        <v>2371.21</v>
      </c>
      <c r="F276" s="143">
        <v>1693.09</v>
      </c>
      <c r="G276" s="143"/>
      <c r="H276" s="130">
        <v>725246</v>
      </c>
      <c r="I276" s="9"/>
      <c r="J276" s="145"/>
      <c r="K276" s="145"/>
      <c r="L276" s="146"/>
      <c r="M276" s="146"/>
      <c r="N276" s="91"/>
      <c r="O276" s="91"/>
      <c r="P276" s="61"/>
    </row>
    <row r="277" spans="1:16" ht="15" customHeight="1">
      <c r="A277" s="292"/>
      <c r="B277" s="34">
        <v>0.5</v>
      </c>
      <c r="C277" s="38">
        <v>221206</v>
      </c>
      <c r="D277" s="39">
        <v>165812</v>
      </c>
      <c r="E277" s="40">
        <v>2371.21</v>
      </c>
      <c r="F277" s="143">
        <v>1693.09</v>
      </c>
      <c r="G277" s="143"/>
      <c r="H277" s="130">
        <v>725246</v>
      </c>
      <c r="I277" s="9"/>
      <c r="J277" s="145"/>
      <c r="K277" s="145"/>
      <c r="L277" s="146"/>
      <c r="M277" s="146"/>
      <c r="N277" s="91"/>
      <c r="O277" s="91"/>
      <c r="P277" s="61"/>
    </row>
    <row r="278" spans="1:16" ht="15" customHeight="1">
      <c r="A278" s="292"/>
      <c r="B278" s="34">
        <v>0.54166666666666696</v>
      </c>
      <c r="C278" s="38">
        <v>221206</v>
      </c>
      <c r="D278" s="39">
        <v>165812</v>
      </c>
      <c r="E278" s="40">
        <v>2371.21</v>
      </c>
      <c r="F278" s="143">
        <v>1693.09</v>
      </c>
      <c r="G278" s="143"/>
      <c r="H278" s="130">
        <v>725246</v>
      </c>
      <c r="I278" s="9"/>
      <c r="J278" s="145"/>
      <c r="K278" s="145"/>
      <c r="L278" s="146"/>
      <c r="M278" s="146"/>
      <c r="N278" s="91"/>
      <c r="O278" s="91"/>
      <c r="P278" s="61"/>
    </row>
    <row r="279" spans="1:16" ht="15" customHeight="1">
      <c r="A279" s="292"/>
      <c r="B279" s="34">
        <v>0.58333333333333304</v>
      </c>
      <c r="C279" s="38">
        <v>221206</v>
      </c>
      <c r="D279" s="39">
        <v>165812</v>
      </c>
      <c r="E279" s="40">
        <v>2371.21</v>
      </c>
      <c r="F279" s="143">
        <v>1693.09</v>
      </c>
      <c r="G279" s="143"/>
      <c r="H279" s="130">
        <v>725246</v>
      </c>
      <c r="I279" s="9"/>
      <c r="J279" s="145"/>
      <c r="K279" s="145"/>
      <c r="L279" s="146"/>
      <c r="M279" s="146"/>
      <c r="N279" s="91"/>
      <c r="O279" s="91"/>
      <c r="P279" s="65"/>
    </row>
    <row r="280" spans="1:16" ht="15" customHeight="1">
      <c r="A280" s="292"/>
      <c r="B280" s="34">
        <v>0.625</v>
      </c>
      <c r="C280" s="38">
        <v>221206</v>
      </c>
      <c r="D280" s="39">
        <v>165812</v>
      </c>
      <c r="E280" s="40">
        <v>2371.21</v>
      </c>
      <c r="F280" s="143">
        <v>1693.09</v>
      </c>
      <c r="G280" s="143"/>
      <c r="H280" s="130">
        <v>725246</v>
      </c>
      <c r="I280" s="9"/>
      <c r="J280" s="145"/>
      <c r="K280" s="145"/>
      <c r="L280" s="146"/>
      <c r="M280" s="146"/>
      <c r="N280" s="91"/>
      <c r="O280" s="91"/>
      <c r="P280" s="61"/>
    </row>
    <row r="281" spans="1:16" ht="15" customHeight="1">
      <c r="A281" s="292"/>
      <c r="B281" s="34">
        <v>0.66666666666666696</v>
      </c>
      <c r="C281" s="38">
        <v>221206</v>
      </c>
      <c r="D281" s="39">
        <v>165812</v>
      </c>
      <c r="E281" s="40">
        <v>2371.21</v>
      </c>
      <c r="F281" s="143">
        <v>1693.09</v>
      </c>
      <c r="G281" s="143"/>
      <c r="H281" s="130">
        <v>725246</v>
      </c>
      <c r="I281" s="9"/>
      <c r="J281" s="145"/>
      <c r="K281" s="145"/>
      <c r="L281" s="146"/>
      <c r="M281" s="146"/>
      <c r="N281" s="91"/>
      <c r="O281" s="91"/>
      <c r="P281" s="61"/>
    </row>
    <row r="282" spans="1:16" ht="15" customHeight="1">
      <c r="A282" s="292"/>
      <c r="B282" s="34">
        <v>0.70833333333333304</v>
      </c>
      <c r="C282" s="38">
        <v>221206</v>
      </c>
      <c r="D282" s="39">
        <v>165812</v>
      </c>
      <c r="E282" s="40">
        <v>2371.21</v>
      </c>
      <c r="F282" s="143">
        <v>1693.09</v>
      </c>
      <c r="G282" s="143"/>
      <c r="H282" s="130">
        <v>725246</v>
      </c>
      <c r="I282" s="9"/>
      <c r="J282" s="145"/>
      <c r="K282" s="145"/>
      <c r="L282" s="146"/>
      <c r="M282" s="146"/>
      <c r="N282" s="91"/>
      <c r="O282" s="91"/>
      <c r="P282" s="61"/>
    </row>
    <row r="283" spans="1:16" ht="15" customHeight="1">
      <c r="A283" s="292"/>
      <c r="B283" s="34">
        <v>0.75</v>
      </c>
      <c r="C283" s="38">
        <v>221206</v>
      </c>
      <c r="D283" s="39">
        <v>165812</v>
      </c>
      <c r="E283" s="40">
        <v>2371.21</v>
      </c>
      <c r="F283" s="143">
        <v>1693.09</v>
      </c>
      <c r="G283" s="143"/>
      <c r="H283" s="130">
        <v>725246</v>
      </c>
      <c r="I283" s="9"/>
      <c r="J283" s="145"/>
      <c r="K283" s="145"/>
      <c r="L283" s="146"/>
      <c r="M283" s="146"/>
      <c r="N283" s="91"/>
      <c r="O283" s="91"/>
      <c r="P283" s="61"/>
    </row>
    <row r="284" spans="1:16" ht="15" customHeight="1">
      <c r="A284" s="292"/>
      <c r="B284" s="34">
        <v>0.79166666666666696</v>
      </c>
      <c r="C284" s="38">
        <v>221206</v>
      </c>
      <c r="D284" s="39">
        <v>165812</v>
      </c>
      <c r="E284" s="40">
        <v>2371.21</v>
      </c>
      <c r="F284" s="143">
        <v>1693.09</v>
      </c>
      <c r="G284" s="143"/>
      <c r="H284" s="130">
        <v>725246</v>
      </c>
      <c r="I284" s="9"/>
      <c r="J284" s="145"/>
      <c r="K284" s="145"/>
      <c r="L284" s="146"/>
      <c r="M284" s="146"/>
      <c r="N284" s="91"/>
      <c r="O284" s="91"/>
      <c r="P284" s="61"/>
    </row>
    <row r="285" spans="1:16" ht="15" customHeight="1">
      <c r="A285" s="292"/>
      <c r="B285" s="34">
        <v>0.83333333333333304</v>
      </c>
      <c r="C285" s="38">
        <v>221206</v>
      </c>
      <c r="D285" s="39">
        <v>165812</v>
      </c>
      <c r="E285" s="40">
        <v>2371.21</v>
      </c>
      <c r="F285" s="143">
        <v>1693.09</v>
      </c>
      <c r="G285" s="143"/>
      <c r="H285" s="130">
        <v>725246</v>
      </c>
      <c r="I285" s="9"/>
      <c r="J285" s="145"/>
      <c r="K285" s="145"/>
      <c r="L285" s="146"/>
      <c r="M285" s="146"/>
      <c r="N285" s="91"/>
      <c r="O285" s="91"/>
      <c r="P285" s="61"/>
    </row>
    <row r="286" spans="1:16" ht="15" customHeight="1">
      <c r="A286" s="292"/>
      <c r="B286" s="34">
        <v>0.875</v>
      </c>
      <c r="C286" s="38">
        <v>221206</v>
      </c>
      <c r="D286" s="39">
        <v>165812</v>
      </c>
      <c r="E286" s="40">
        <v>2371.21</v>
      </c>
      <c r="F286" s="143">
        <v>1693.09</v>
      </c>
      <c r="G286" s="143"/>
      <c r="H286" s="130">
        <v>725246</v>
      </c>
      <c r="I286" s="9"/>
      <c r="J286" s="145"/>
      <c r="K286" s="145"/>
      <c r="L286" s="146"/>
      <c r="M286" s="146"/>
      <c r="N286" s="91"/>
      <c r="O286" s="91"/>
      <c r="P286" s="61"/>
    </row>
    <row r="287" spans="1:16" ht="15" customHeight="1">
      <c r="A287" s="292"/>
      <c r="B287" s="34">
        <v>0.91666666666666696</v>
      </c>
      <c r="C287" s="38">
        <v>221206</v>
      </c>
      <c r="D287" s="39">
        <v>165812</v>
      </c>
      <c r="E287" s="40">
        <v>2371.21</v>
      </c>
      <c r="F287" s="143">
        <v>1693.09</v>
      </c>
      <c r="G287" s="143"/>
      <c r="H287" s="130">
        <v>725246</v>
      </c>
      <c r="I287" s="9"/>
      <c r="J287" s="145"/>
      <c r="K287" s="145"/>
      <c r="L287" s="146"/>
      <c r="M287" s="146"/>
      <c r="N287" s="91"/>
      <c r="O287" s="91"/>
      <c r="P287" s="61"/>
    </row>
    <row r="288" spans="1:16" ht="15" customHeight="1">
      <c r="A288" s="292"/>
      <c r="B288" s="34">
        <v>0.95833333333333304</v>
      </c>
      <c r="C288" s="38">
        <v>221206</v>
      </c>
      <c r="D288" s="39">
        <v>165812</v>
      </c>
      <c r="E288" s="40">
        <v>2371.21</v>
      </c>
      <c r="F288" s="143">
        <v>1693.09</v>
      </c>
      <c r="G288" s="143"/>
      <c r="H288" s="130">
        <v>725246</v>
      </c>
      <c r="I288" s="9"/>
      <c r="J288" s="145"/>
      <c r="K288" s="145"/>
      <c r="L288" s="146"/>
      <c r="M288" s="146"/>
      <c r="N288" s="91"/>
      <c r="O288" s="91"/>
      <c r="P288" s="61"/>
    </row>
    <row r="289" spans="1:16" ht="15" customHeight="1">
      <c r="A289" s="292"/>
      <c r="B289" s="34">
        <v>1</v>
      </c>
      <c r="C289" s="38">
        <v>221206</v>
      </c>
      <c r="D289" s="39">
        <v>165812</v>
      </c>
      <c r="E289" s="40">
        <v>2371.21</v>
      </c>
      <c r="F289" s="143">
        <v>1693.09</v>
      </c>
      <c r="G289" s="143"/>
      <c r="H289" s="130">
        <v>725246</v>
      </c>
      <c r="I289" s="9"/>
      <c r="J289" s="145"/>
      <c r="K289" s="145"/>
      <c r="L289" s="146"/>
      <c r="M289" s="146"/>
      <c r="N289" s="91"/>
      <c r="O289" s="91"/>
      <c r="P289" s="61"/>
    </row>
    <row r="290" spans="1:16" ht="15" customHeight="1">
      <c r="A290" s="292"/>
      <c r="B290" s="34">
        <v>1.0416666666666701</v>
      </c>
      <c r="C290" s="38">
        <v>221206</v>
      </c>
      <c r="D290" s="39">
        <v>165812</v>
      </c>
      <c r="E290" s="40">
        <v>2371.21</v>
      </c>
      <c r="F290" s="143">
        <v>1693.09</v>
      </c>
      <c r="G290" s="143"/>
      <c r="H290" s="130">
        <v>725246</v>
      </c>
      <c r="I290" s="9"/>
      <c r="J290" s="145"/>
      <c r="K290" s="145"/>
      <c r="L290" s="146"/>
      <c r="M290" s="146"/>
      <c r="N290" s="91"/>
      <c r="O290" s="91"/>
      <c r="P290" s="61"/>
    </row>
    <row r="291" spans="1:16" ht="15" customHeight="1">
      <c r="A291" s="292"/>
      <c r="B291" s="34">
        <v>1.0833333333333299</v>
      </c>
      <c r="C291" s="38">
        <v>221206</v>
      </c>
      <c r="D291" s="39">
        <v>165812</v>
      </c>
      <c r="E291" s="40">
        <v>2371.21</v>
      </c>
      <c r="F291" s="143">
        <v>1693.09</v>
      </c>
      <c r="G291" s="143"/>
      <c r="H291" s="130">
        <v>725246</v>
      </c>
      <c r="I291" s="9"/>
      <c r="J291" s="145"/>
      <c r="K291" s="145"/>
      <c r="L291" s="146"/>
      <c r="M291" s="146"/>
      <c r="N291" s="91"/>
      <c r="O291" s="91"/>
      <c r="P291" s="61"/>
    </row>
    <row r="292" spans="1:16" ht="15" customHeight="1">
      <c r="A292" s="292"/>
      <c r="B292" s="34">
        <v>1.125</v>
      </c>
      <c r="C292" s="38">
        <v>221206</v>
      </c>
      <c r="D292" s="39">
        <v>165812</v>
      </c>
      <c r="E292" s="40">
        <v>2371.21</v>
      </c>
      <c r="F292" s="143">
        <v>1693.09</v>
      </c>
      <c r="G292" s="143"/>
      <c r="H292" s="130">
        <v>725246</v>
      </c>
      <c r="I292" s="9"/>
      <c r="J292" s="145"/>
      <c r="K292" s="145"/>
      <c r="L292" s="146"/>
      <c r="M292" s="146"/>
      <c r="N292" s="91"/>
      <c r="O292" s="91"/>
      <c r="P292" s="61"/>
    </row>
    <row r="293" spans="1:16" ht="15" customHeight="1">
      <c r="A293" s="292"/>
      <c r="B293" s="34">
        <v>1.1666666666666701</v>
      </c>
      <c r="C293" s="38">
        <v>221206</v>
      </c>
      <c r="D293" s="39">
        <v>165812</v>
      </c>
      <c r="E293" s="40">
        <v>2371.21</v>
      </c>
      <c r="F293" s="143">
        <v>1693.09</v>
      </c>
      <c r="G293" s="143"/>
      <c r="H293" s="130">
        <v>725246</v>
      </c>
      <c r="I293" s="9"/>
      <c r="J293" s="145"/>
      <c r="K293" s="145"/>
      <c r="L293" s="146"/>
      <c r="M293" s="146"/>
      <c r="N293" s="91"/>
      <c r="O293" s="91"/>
      <c r="P293" s="61"/>
    </row>
    <row r="294" spans="1:16" ht="15" customHeight="1">
      <c r="A294" s="292"/>
      <c r="B294" s="34">
        <v>1.2083333333333299</v>
      </c>
      <c r="C294" s="38">
        <v>221206</v>
      </c>
      <c r="D294" s="39">
        <v>165812</v>
      </c>
      <c r="E294" s="40">
        <v>2371.21</v>
      </c>
      <c r="F294" s="143">
        <v>1693.09</v>
      </c>
      <c r="G294" s="143"/>
      <c r="H294" s="130">
        <v>725246</v>
      </c>
      <c r="I294" s="9"/>
      <c r="J294" s="145"/>
      <c r="K294" s="145"/>
      <c r="L294" s="146"/>
      <c r="M294" s="146"/>
      <c r="N294" s="91"/>
      <c r="O294" s="91"/>
      <c r="P294" s="61"/>
    </row>
    <row r="295" spans="1:16" ht="15" customHeight="1">
      <c r="A295" s="292"/>
      <c r="B295" s="34">
        <v>1.25</v>
      </c>
      <c r="C295" s="38">
        <v>221206</v>
      </c>
      <c r="D295" s="39">
        <v>165812</v>
      </c>
      <c r="E295" s="40">
        <v>2371.21</v>
      </c>
      <c r="F295" s="143">
        <v>1693.09</v>
      </c>
      <c r="G295" s="143"/>
      <c r="H295" s="130">
        <v>725246</v>
      </c>
      <c r="I295" s="9"/>
      <c r="J295" s="145"/>
      <c r="K295" s="145"/>
      <c r="L295" s="146"/>
      <c r="M295" s="146"/>
      <c r="N295" s="91"/>
      <c r="O295" s="91"/>
      <c r="P295" s="61"/>
    </row>
    <row r="296" spans="1:16" ht="15" customHeight="1">
      <c r="A296" s="292"/>
      <c r="B296" s="34">
        <v>1.2916666666666701</v>
      </c>
      <c r="C296" s="38">
        <v>221206</v>
      </c>
      <c r="D296" s="39">
        <v>165812</v>
      </c>
      <c r="E296" s="40">
        <v>2371.21</v>
      </c>
      <c r="F296" s="143">
        <v>1693.09</v>
      </c>
      <c r="G296" s="143"/>
      <c r="H296" s="130">
        <v>725246</v>
      </c>
      <c r="I296" s="9"/>
      <c r="J296" s="145"/>
      <c r="K296" s="145"/>
      <c r="L296" s="146"/>
      <c r="M296" s="146"/>
      <c r="N296" s="91"/>
      <c r="O296" s="91"/>
      <c r="P296" s="61"/>
    </row>
    <row r="297" spans="1:16" ht="15" customHeight="1">
      <c r="A297" s="293"/>
      <c r="B297" s="37"/>
      <c r="C297" s="204" cm="1">
        <f t="array" ref="C297">IFERROR(LOOKUP(2,1/(C272:C296&gt;0),C272:C296-C272),0)</f>
        <v>0</v>
      </c>
      <c r="D297" s="204" cm="1">
        <f t="array" ref="D297">IFERROR(LOOKUP(2,1/(D272:D296&gt;0),D272:D296-D272),0)</f>
        <v>0</v>
      </c>
      <c r="E297" s="207" cm="1">
        <f t="array" ref="E297">IFERROR(LOOKUP(2,1/(E272:E296&gt;0),E272:E296-E272),0)</f>
        <v>0</v>
      </c>
      <c r="F297" s="207" cm="1">
        <f t="array" ref="F297">IFERROR(LOOKUP(2,1/(F272:F296&gt;0),F272:F296-F272),0)</f>
        <v>0</v>
      </c>
      <c r="G297" s="41">
        <f>E297+F297</f>
        <v>0</v>
      </c>
      <c r="H297" s="205" cm="1">
        <f t="array" ref="H297">IFERROR(LOOKUP(2,1/(H272:H296&gt;0),H272:H296-H272),0)</f>
        <v>0</v>
      </c>
      <c r="I297" s="204" cm="1">
        <f t="array" ref="I297">IFERROR(LOOKUP(2,1/(I272:I296&gt;0),I272:I296-I272),0)</f>
        <v>0</v>
      </c>
      <c r="J297" s="242">
        <f t="shared" ref="J297:O297" si="10">IFERROR(AVERAGE(J272:J296),0)</f>
        <v>0</v>
      </c>
      <c r="K297" s="242">
        <f t="shared" si="10"/>
        <v>0</v>
      </c>
      <c r="L297" s="242">
        <f t="shared" si="10"/>
        <v>0</v>
      </c>
      <c r="M297" s="242">
        <f t="shared" si="10"/>
        <v>0</v>
      </c>
      <c r="N297" s="242">
        <f t="shared" si="10"/>
        <v>0</v>
      </c>
      <c r="O297" s="242">
        <f t="shared" si="10"/>
        <v>0</v>
      </c>
      <c r="P297" s="206">
        <f>COUNT(P272:P296)</f>
        <v>0</v>
      </c>
    </row>
    <row r="298" spans="1:16" ht="15" customHeight="1">
      <c r="A298" s="291">
        <f>'DATA B1'!B298</f>
        <v>46034</v>
      </c>
      <c r="B298" s="34">
        <v>1.2916666666666701</v>
      </c>
      <c r="C298" s="38">
        <v>221206</v>
      </c>
      <c r="D298" s="39">
        <v>165812</v>
      </c>
      <c r="E298" s="40">
        <v>2371.21</v>
      </c>
      <c r="F298" s="143">
        <v>1693.09</v>
      </c>
      <c r="G298" s="143"/>
      <c r="H298" s="130">
        <v>725246</v>
      </c>
      <c r="I298" s="9"/>
      <c r="J298" s="145"/>
      <c r="K298" s="145"/>
      <c r="L298" s="146"/>
      <c r="M298" s="146"/>
      <c r="N298" s="91"/>
      <c r="O298" s="91"/>
      <c r="P298" s="61"/>
    </row>
    <row r="299" spans="1:16" ht="15" customHeight="1">
      <c r="A299" s="292"/>
      <c r="B299" s="34">
        <v>0.33333333333333298</v>
      </c>
      <c r="C299" s="38">
        <v>221206</v>
      </c>
      <c r="D299" s="39">
        <v>165812</v>
      </c>
      <c r="E299" s="40">
        <v>2371.21</v>
      </c>
      <c r="F299" s="143">
        <v>1693.09</v>
      </c>
      <c r="G299" s="143"/>
      <c r="H299" s="130">
        <v>725246</v>
      </c>
      <c r="I299" s="9"/>
      <c r="J299" s="145"/>
      <c r="K299" s="145"/>
      <c r="L299" s="146"/>
      <c r="M299" s="146"/>
      <c r="N299" s="91"/>
      <c r="O299" s="91"/>
      <c r="P299" s="61"/>
    </row>
    <row r="300" spans="1:16" ht="15" customHeight="1">
      <c r="A300" s="292"/>
      <c r="B300" s="34">
        <v>0.375</v>
      </c>
      <c r="C300" s="38">
        <v>221206</v>
      </c>
      <c r="D300" s="39">
        <v>165812</v>
      </c>
      <c r="E300" s="40">
        <v>2371.21</v>
      </c>
      <c r="F300" s="143">
        <v>1693.09</v>
      </c>
      <c r="G300" s="143"/>
      <c r="H300" s="130">
        <v>725246</v>
      </c>
      <c r="I300" s="9"/>
      <c r="J300" s="145"/>
      <c r="K300" s="145"/>
      <c r="L300" s="146"/>
      <c r="M300" s="146"/>
      <c r="N300" s="91"/>
      <c r="O300" s="91"/>
      <c r="P300" s="61"/>
    </row>
    <row r="301" spans="1:16" ht="15" customHeight="1">
      <c r="A301" s="292"/>
      <c r="B301" s="34">
        <v>0.41666666666666702</v>
      </c>
      <c r="C301" s="38">
        <v>221206</v>
      </c>
      <c r="D301" s="39">
        <v>165812</v>
      </c>
      <c r="E301" s="40">
        <v>2371.21</v>
      </c>
      <c r="F301" s="143">
        <v>1693.09</v>
      </c>
      <c r="G301" s="143"/>
      <c r="H301" s="130">
        <v>725246</v>
      </c>
      <c r="I301" s="9"/>
      <c r="J301" s="145"/>
      <c r="K301" s="145"/>
      <c r="L301" s="146"/>
      <c r="M301" s="146"/>
      <c r="N301" s="91"/>
      <c r="O301" s="91"/>
      <c r="P301" s="61"/>
    </row>
    <row r="302" spans="1:16" ht="15" customHeight="1">
      <c r="A302" s="292"/>
      <c r="B302" s="34">
        <v>0.45833333333333298</v>
      </c>
      <c r="C302" s="38">
        <v>221206</v>
      </c>
      <c r="D302" s="39">
        <v>165812</v>
      </c>
      <c r="E302" s="40">
        <v>2371.21</v>
      </c>
      <c r="F302" s="143">
        <v>1693.09</v>
      </c>
      <c r="G302" s="143"/>
      <c r="H302" s="130">
        <v>725246</v>
      </c>
      <c r="I302" s="9"/>
      <c r="J302" s="145"/>
      <c r="K302" s="145"/>
      <c r="L302" s="146"/>
      <c r="M302" s="146"/>
      <c r="N302" s="91"/>
      <c r="O302" s="91"/>
      <c r="P302" s="61"/>
    </row>
    <row r="303" spans="1:16" ht="15" customHeight="1">
      <c r="A303" s="292"/>
      <c r="B303" s="34">
        <v>0.5</v>
      </c>
      <c r="C303" s="38">
        <v>221206</v>
      </c>
      <c r="D303" s="39">
        <v>165812</v>
      </c>
      <c r="E303" s="40">
        <v>2371.21</v>
      </c>
      <c r="F303" s="143">
        <v>1693.09</v>
      </c>
      <c r="G303" s="143"/>
      <c r="H303" s="130">
        <v>725246</v>
      </c>
      <c r="I303" s="9"/>
      <c r="J303" s="145"/>
      <c r="K303" s="145"/>
      <c r="L303" s="146"/>
      <c r="M303" s="146"/>
      <c r="N303" s="91"/>
      <c r="O303" s="91"/>
      <c r="P303" s="61"/>
    </row>
    <row r="304" spans="1:16" ht="15" customHeight="1">
      <c r="A304" s="292"/>
      <c r="B304" s="34">
        <v>0.54166666666666696</v>
      </c>
      <c r="C304" s="38">
        <v>221206</v>
      </c>
      <c r="D304" s="39">
        <v>165812</v>
      </c>
      <c r="E304" s="40">
        <v>2371.21</v>
      </c>
      <c r="F304" s="143">
        <v>1693.09</v>
      </c>
      <c r="G304" s="143"/>
      <c r="H304" s="130">
        <v>725246</v>
      </c>
      <c r="I304" s="9"/>
      <c r="J304" s="145"/>
      <c r="K304" s="145"/>
      <c r="L304" s="146"/>
      <c r="M304" s="146"/>
      <c r="N304" s="91"/>
      <c r="O304" s="91"/>
      <c r="P304" s="61"/>
    </row>
    <row r="305" spans="1:16" ht="15" customHeight="1">
      <c r="A305" s="292"/>
      <c r="B305" s="34">
        <v>0.58333333333333304</v>
      </c>
      <c r="C305" s="38">
        <v>221206</v>
      </c>
      <c r="D305" s="39">
        <v>165812</v>
      </c>
      <c r="E305" s="40">
        <v>2371.21</v>
      </c>
      <c r="F305" s="143">
        <v>1693.09</v>
      </c>
      <c r="G305" s="143"/>
      <c r="H305" s="130">
        <v>725246</v>
      </c>
      <c r="I305" s="9"/>
      <c r="J305" s="145"/>
      <c r="K305" s="145"/>
      <c r="L305" s="146"/>
      <c r="M305" s="146"/>
      <c r="N305" s="91"/>
      <c r="O305" s="91"/>
      <c r="P305" s="65"/>
    </row>
    <row r="306" spans="1:16" ht="15" customHeight="1">
      <c r="A306" s="292"/>
      <c r="B306" s="34">
        <v>0.625</v>
      </c>
      <c r="C306" s="38">
        <v>221206</v>
      </c>
      <c r="D306" s="39">
        <v>165812</v>
      </c>
      <c r="E306" s="40">
        <v>2371.21</v>
      </c>
      <c r="F306" s="143">
        <v>1693.09</v>
      </c>
      <c r="G306" s="143"/>
      <c r="H306" s="130">
        <v>725246</v>
      </c>
      <c r="I306" s="9"/>
      <c r="J306" s="145"/>
      <c r="K306" s="145"/>
      <c r="L306" s="146"/>
      <c r="M306" s="146"/>
      <c r="N306" s="91"/>
      <c r="O306" s="91"/>
      <c r="P306" s="61"/>
    </row>
    <row r="307" spans="1:16" ht="15" customHeight="1">
      <c r="A307" s="292"/>
      <c r="B307" s="34">
        <v>0.66666666666666696</v>
      </c>
      <c r="C307" s="38">
        <v>221206</v>
      </c>
      <c r="D307" s="39">
        <v>165812</v>
      </c>
      <c r="E307" s="40">
        <v>2371.21</v>
      </c>
      <c r="F307" s="143">
        <v>1693.09</v>
      </c>
      <c r="G307" s="143"/>
      <c r="H307" s="130">
        <v>725246</v>
      </c>
      <c r="I307" s="9"/>
      <c r="J307" s="145"/>
      <c r="K307" s="145"/>
      <c r="L307" s="146"/>
      <c r="M307" s="146"/>
      <c r="N307" s="91"/>
      <c r="O307" s="91"/>
      <c r="P307" s="61"/>
    </row>
    <row r="308" spans="1:16" ht="15" customHeight="1">
      <c r="A308" s="292"/>
      <c r="B308" s="34">
        <v>0.70833333333333304</v>
      </c>
      <c r="C308" s="38">
        <v>221206</v>
      </c>
      <c r="D308" s="39">
        <v>165812</v>
      </c>
      <c r="E308" s="40">
        <v>2371.21</v>
      </c>
      <c r="F308" s="143">
        <v>1693.09</v>
      </c>
      <c r="G308" s="143"/>
      <c r="H308" s="130">
        <v>725246</v>
      </c>
      <c r="I308" s="9"/>
      <c r="J308" s="145"/>
      <c r="K308" s="145"/>
      <c r="L308" s="146"/>
      <c r="M308" s="146"/>
      <c r="N308" s="91"/>
      <c r="O308" s="91"/>
      <c r="P308" s="61"/>
    </row>
    <row r="309" spans="1:16" ht="15" customHeight="1">
      <c r="A309" s="292"/>
      <c r="B309" s="34">
        <v>0.75</v>
      </c>
      <c r="C309" s="38">
        <v>221206</v>
      </c>
      <c r="D309" s="39">
        <v>165812</v>
      </c>
      <c r="E309" s="40">
        <v>2371.21</v>
      </c>
      <c r="F309" s="143">
        <v>1693.09</v>
      </c>
      <c r="G309" s="143"/>
      <c r="H309" s="130">
        <v>725246</v>
      </c>
      <c r="I309" s="9"/>
      <c r="J309" s="145"/>
      <c r="K309" s="145"/>
      <c r="L309" s="146"/>
      <c r="M309" s="146"/>
      <c r="N309" s="91"/>
      <c r="O309" s="91"/>
      <c r="P309" s="61"/>
    </row>
    <row r="310" spans="1:16" ht="15" customHeight="1">
      <c r="A310" s="292"/>
      <c r="B310" s="34">
        <v>0.79166666666666696</v>
      </c>
      <c r="C310" s="38">
        <v>221206</v>
      </c>
      <c r="D310" s="39">
        <v>165812</v>
      </c>
      <c r="E310" s="40">
        <v>2371.21</v>
      </c>
      <c r="F310" s="143">
        <v>1693.09</v>
      </c>
      <c r="G310" s="143"/>
      <c r="H310" s="130">
        <v>725246</v>
      </c>
      <c r="I310" s="9"/>
      <c r="J310" s="145"/>
      <c r="K310" s="145"/>
      <c r="L310" s="146"/>
      <c r="M310" s="146"/>
      <c r="N310" s="91"/>
      <c r="O310" s="91"/>
      <c r="P310" s="61"/>
    </row>
    <row r="311" spans="1:16" ht="15" customHeight="1">
      <c r="A311" s="292"/>
      <c r="B311" s="34">
        <v>0.83333333333333304</v>
      </c>
      <c r="C311" s="38">
        <v>221206</v>
      </c>
      <c r="D311" s="39">
        <v>165812</v>
      </c>
      <c r="E311" s="40">
        <v>2371.21</v>
      </c>
      <c r="F311" s="143">
        <v>1693.09</v>
      </c>
      <c r="G311" s="143"/>
      <c r="H311" s="130">
        <v>725246</v>
      </c>
      <c r="I311" s="9"/>
      <c r="J311" s="145"/>
      <c r="K311" s="145"/>
      <c r="L311" s="146"/>
      <c r="M311" s="146"/>
      <c r="N311" s="91"/>
      <c r="O311" s="91"/>
      <c r="P311" s="61"/>
    </row>
    <row r="312" spans="1:16" ht="15" customHeight="1">
      <c r="A312" s="292"/>
      <c r="B312" s="34">
        <v>0.875</v>
      </c>
      <c r="C312" s="38">
        <v>221206</v>
      </c>
      <c r="D312" s="39">
        <v>165812</v>
      </c>
      <c r="E312" s="40">
        <v>2371.21</v>
      </c>
      <c r="F312" s="143">
        <v>1693.09</v>
      </c>
      <c r="G312" s="143"/>
      <c r="H312" s="130">
        <v>725246</v>
      </c>
      <c r="I312" s="9"/>
      <c r="J312" s="145"/>
      <c r="K312" s="145"/>
      <c r="L312" s="146"/>
      <c r="M312" s="146"/>
      <c r="N312" s="91"/>
      <c r="O312" s="91"/>
      <c r="P312" s="61"/>
    </row>
    <row r="313" spans="1:16" ht="15" customHeight="1">
      <c r="A313" s="292"/>
      <c r="B313" s="34">
        <v>0.91666666666666696</v>
      </c>
      <c r="C313" s="38">
        <v>221206</v>
      </c>
      <c r="D313" s="39">
        <v>165812</v>
      </c>
      <c r="E313" s="40">
        <v>2371.21</v>
      </c>
      <c r="F313" s="143">
        <v>1693.09</v>
      </c>
      <c r="G313" s="143"/>
      <c r="H313" s="130">
        <v>725246</v>
      </c>
      <c r="I313" s="9"/>
      <c r="J313" s="145"/>
      <c r="K313" s="145"/>
      <c r="L313" s="146"/>
      <c r="M313" s="146"/>
      <c r="N313" s="91"/>
      <c r="O313" s="91"/>
      <c r="P313" s="61"/>
    </row>
    <row r="314" spans="1:16" ht="15" customHeight="1">
      <c r="A314" s="292"/>
      <c r="B314" s="34">
        <v>0.95833333333333304</v>
      </c>
      <c r="C314" s="38">
        <v>221206</v>
      </c>
      <c r="D314" s="39">
        <v>165812</v>
      </c>
      <c r="E314" s="40">
        <v>2371.21</v>
      </c>
      <c r="F314" s="143">
        <v>1693.09</v>
      </c>
      <c r="G314" s="143"/>
      <c r="H314" s="130">
        <v>725246</v>
      </c>
      <c r="I314" s="9"/>
      <c r="J314" s="145"/>
      <c r="K314" s="145"/>
      <c r="L314" s="146"/>
      <c r="M314" s="146"/>
      <c r="N314" s="91"/>
      <c r="O314" s="91"/>
      <c r="P314" s="61"/>
    </row>
    <row r="315" spans="1:16" ht="15" customHeight="1">
      <c r="A315" s="292"/>
      <c r="B315" s="34">
        <v>1</v>
      </c>
      <c r="C315" s="38">
        <v>221206</v>
      </c>
      <c r="D315" s="39">
        <v>165812</v>
      </c>
      <c r="E315" s="40">
        <v>2371.21</v>
      </c>
      <c r="F315" s="143">
        <v>1693.09</v>
      </c>
      <c r="G315" s="143"/>
      <c r="H315" s="130">
        <v>725246</v>
      </c>
      <c r="I315" s="9"/>
      <c r="J315" s="145"/>
      <c r="K315" s="145"/>
      <c r="L315" s="146"/>
      <c r="M315" s="146"/>
      <c r="N315" s="91"/>
      <c r="O315" s="91"/>
      <c r="P315" s="61"/>
    </row>
    <row r="316" spans="1:16" ht="15" customHeight="1">
      <c r="A316" s="292"/>
      <c r="B316" s="34">
        <v>1.0416666666666701</v>
      </c>
      <c r="C316" s="38">
        <v>221206</v>
      </c>
      <c r="D316" s="39">
        <v>165812</v>
      </c>
      <c r="E316" s="40">
        <v>2371.21</v>
      </c>
      <c r="F316" s="143">
        <v>1693.09</v>
      </c>
      <c r="G316" s="143"/>
      <c r="H316" s="130">
        <v>725246</v>
      </c>
      <c r="I316" s="9"/>
      <c r="J316" s="145"/>
      <c r="K316" s="145"/>
      <c r="L316" s="146"/>
      <c r="M316" s="146"/>
      <c r="N316" s="91"/>
      <c r="O316" s="91"/>
      <c r="P316" s="61"/>
    </row>
    <row r="317" spans="1:16" ht="15" customHeight="1">
      <c r="A317" s="292"/>
      <c r="B317" s="34">
        <v>1.0833333333333299</v>
      </c>
      <c r="C317" s="38">
        <v>221206</v>
      </c>
      <c r="D317" s="39">
        <v>165812</v>
      </c>
      <c r="E317" s="40">
        <v>2371.21</v>
      </c>
      <c r="F317" s="143">
        <v>1693.09</v>
      </c>
      <c r="G317" s="143"/>
      <c r="H317" s="130">
        <v>725246</v>
      </c>
      <c r="I317" s="9"/>
      <c r="J317" s="145"/>
      <c r="K317" s="145"/>
      <c r="L317" s="146"/>
      <c r="M317" s="146"/>
      <c r="N317" s="91"/>
      <c r="O317" s="91"/>
      <c r="P317" s="61"/>
    </row>
    <row r="318" spans="1:16" ht="15" customHeight="1">
      <c r="A318" s="292"/>
      <c r="B318" s="34">
        <v>1.125</v>
      </c>
      <c r="C318" s="38">
        <v>221206</v>
      </c>
      <c r="D318" s="39">
        <v>165812</v>
      </c>
      <c r="E318" s="40">
        <v>2371.21</v>
      </c>
      <c r="F318" s="143">
        <v>1693.09</v>
      </c>
      <c r="G318" s="143"/>
      <c r="H318" s="130">
        <v>725246</v>
      </c>
      <c r="I318" s="9"/>
      <c r="J318" s="145"/>
      <c r="K318" s="145"/>
      <c r="L318" s="146"/>
      <c r="M318" s="146"/>
      <c r="N318" s="91"/>
      <c r="O318" s="91"/>
      <c r="P318" s="61"/>
    </row>
    <row r="319" spans="1:16" ht="15" customHeight="1">
      <c r="A319" s="292"/>
      <c r="B319" s="34">
        <v>1.1666666666666701</v>
      </c>
      <c r="C319" s="38">
        <v>221206</v>
      </c>
      <c r="D319" s="39">
        <v>165812</v>
      </c>
      <c r="E319" s="40">
        <v>2371.21</v>
      </c>
      <c r="F319" s="143">
        <v>1693.09</v>
      </c>
      <c r="G319" s="143"/>
      <c r="H319" s="130">
        <v>725246</v>
      </c>
      <c r="I319" s="9"/>
      <c r="J319" s="145"/>
      <c r="K319" s="145"/>
      <c r="L319" s="146"/>
      <c r="M319" s="146"/>
      <c r="N319" s="91"/>
      <c r="O319" s="91"/>
      <c r="P319" s="61"/>
    </row>
    <row r="320" spans="1:16" ht="15" customHeight="1">
      <c r="A320" s="292"/>
      <c r="B320" s="34">
        <v>1.2083333333333299</v>
      </c>
      <c r="C320" s="38">
        <v>221206</v>
      </c>
      <c r="D320" s="39">
        <v>165812</v>
      </c>
      <c r="E320" s="40">
        <v>2371.21</v>
      </c>
      <c r="F320" s="143">
        <v>1693.09</v>
      </c>
      <c r="G320" s="143"/>
      <c r="H320" s="130">
        <v>725246</v>
      </c>
      <c r="I320" s="9"/>
      <c r="J320" s="145"/>
      <c r="K320" s="145"/>
      <c r="L320" s="146"/>
      <c r="M320" s="146"/>
      <c r="N320" s="91"/>
      <c r="O320" s="91"/>
      <c r="P320" s="61"/>
    </row>
    <row r="321" spans="1:16" ht="15" customHeight="1">
      <c r="A321" s="292"/>
      <c r="B321" s="34">
        <v>1.25</v>
      </c>
      <c r="C321" s="38">
        <v>221206</v>
      </c>
      <c r="D321" s="39">
        <v>165812</v>
      </c>
      <c r="E321" s="40">
        <v>2371.21</v>
      </c>
      <c r="F321" s="143">
        <v>1693.09</v>
      </c>
      <c r="G321" s="143"/>
      <c r="H321" s="130">
        <v>725246</v>
      </c>
      <c r="I321" s="9"/>
      <c r="J321" s="145"/>
      <c r="K321" s="145"/>
      <c r="L321" s="146"/>
      <c r="M321" s="146"/>
      <c r="N321" s="91"/>
      <c r="O321" s="91"/>
      <c r="P321" s="61"/>
    </row>
    <row r="322" spans="1:16" ht="15" customHeight="1">
      <c r="A322" s="292"/>
      <c r="B322" s="34">
        <v>1.2916666666666701</v>
      </c>
      <c r="C322" s="38">
        <v>221206</v>
      </c>
      <c r="D322" s="39">
        <v>165812</v>
      </c>
      <c r="E322" s="40">
        <v>2371.21</v>
      </c>
      <c r="F322" s="143">
        <v>1693.09</v>
      </c>
      <c r="G322" s="143"/>
      <c r="H322" s="130">
        <v>725246</v>
      </c>
      <c r="I322" s="9"/>
      <c r="J322" s="145"/>
      <c r="K322" s="145"/>
      <c r="L322" s="146"/>
      <c r="M322" s="146"/>
      <c r="N322" s="91"/>
      <c r="O322" s="91"/>
      <c r="P322" s="61"/>
    </row>
    <row r="323" spans="1:16" ht="15" customHeight="1">
      <c r="A323" s="293"/>
      <c r="B323" s="37"/>
      <c r="C323" s="204" cm="1">
        <f t="array" ref="C323">IFERROR(LOOKUP(2,1/(C298:C322&gt;0),C298:C322-C298),0)</f>
        <v>0</v>
      </c>
      <c r="D323" s="204" cm="1">
        <f t="array" ref="D323">IFERROR(LOOKUP(2,1/(D298:D322&gt;0),D298:D322-D298),0)</f>
        <v>0</v>
      </c>
      <c r="E323" s="207" cm="1">
        <f t="array" ref="E323">IFERROR(LOOKUP(2,1/(E298:E322&gt;0),E298:E322-E298),0)</f>
        <v>0</v>
      </c>
      <c r="F323" s="207" cm="1">
        <f t="array" ref="F323">IFERROR(LOOKUP(2,1/(F298:F322&gt;0),F298:F322-F298),0)</f>
        <v>0</v>
      </c>
      <c r="G323" s="41">
        <f>E323+F323</f>
        <v>0</v>
      </c>
      <c r="H323" s="205" cm="1">
        <f t="array" ref="H323">IFERROR(LOOKUP(2,1/(H298:H322&gt;0),H298:H322-H298),0)</f>
        <v>0</v>
      </c>
      <c r="I323" s="204" cm="1">
        <f t="array" ref="I323">IFERROR(LOOKUP(2,1/(I298:I322&gt;0),I298:I322-I298),0)</f>
        <v>0</v>
      </c>
      <c r="J323" s="242">
        <f t="shared" ref="J323:O323" si="11">IFERROR(AVERAGE(J298:J322),0)</f>
        <v>0</v>
      </c>
      <c r="K323" s="242">
        <f t="shared" si="11"/>
        <v>0</v>
      </c>
      <c r="L323" s="242">
        <f t="shared" si="11"/>
        <v>0</v>
      </c>
      <c r="M323" s="242">
        <f t="shared" si="11"/>
        <v>0</v>
      </c>
      <c r="N323" s="242">
        <f t="shared" si="11"/>
        <v>0</v>
      </c>
      <c r="O323" s="242">
        <f t="shared" si="11"/>
        <v>0</v>
      </c>
      <c r="P323" s="206">
        <f>COUNT(P298:P322)</f>
        <v>0</v>
      </c>
    </row>
    <row r="324" spans="1:16" ht="15" customHeight="1">
      <c r="A324" s="291">
        <f>'DATA B1'!B324</f>
        <v>46035</v>
      </c>
      <c r="B324" s="34">
        <v>1.2916666666666701</v>
      </c>
      <c r="C324" s="38">
        <v>221206</v>
      </c>
      <c r="D324" s="39">
        <v>165812</v>
      </c>
      <c r="E324" s="40">
        <v>2371.21</v>
      </c>
      <c r="F324" s="143">
        <v>1693.09</v>
      </c>
      <c r="G324" s="143"/>
      <c r="H324" s="130">
        <v>725246</v>
      </c>
      <c r="I324" s="9"/>
      <c r="J324" s="145"/>
      <c r="K324" s="145"/>
      <c r="L324" s="146"/>
      <c r="M324" s="146"/>
      <c r="N324" s="91"/>
      <c r="O324" s="91"/>
      <c r="P324" s="61"/>
    </row>
    <row r="325" spans="1:16" ht="15" customHeight="1">
      <c r="A325" s="292"/>
      <c r="B325" s="34">
        <v>0.33333333333333298</v>
      </c>
      <c r="C325" s="38">
        <v>221206</v>
      </c>
      <c r="D325" s="39">
        <v>165812</v>
      </c>
      <c r="E325" s="40">
        <v>2371.21</v>
      </c>
      <c r="F325" s="143">
        <v>1693.09</v>
      </c>
      <c r="G325" s="143"/>
      <c r="H325" s="130">
        <v>725246</v>
      </c>
      <c r="I325" s="9"/>
      <c r="J325" s="145"/>
      <c r="K325" s="145"/>
      <c r="L325" s="146"/>
      <c r="M325" s="146"/>
      <c r="N325" s="91"/>
      <c r="O325" s="91"/>
      <c r="P325" s="61"/>
    </row>
    <row r="326" spans="1:16" ht="15" customHeight="1">
      <c r="A326" s="292"/>
      <c r="B326" s="34">
        <v>0.375</v>
      </c>
      <c r="C326" s="38">
        <v>221206</v>
      </c>
      <c r="D326" s="39">
        <v>165812</v>
      </c>
      <c r="E326" s="40">
        <v>2371.21</v>
      </c>
      <c r="F326" s="143">
        <v>1693.09</v>
      </c>
      <c r="G326" s="143"/>
      <c r="H326" s="130">
        <v>725246</v>
      </c>
      <c r="I326" s="9"/>
      <c r="J326" s="145"/>
      <c r="K326" s="145"/>
      <c r="L326" s="146"/>
      <c r="M326" s="146"/>
      <c r="N326" s="91"/>
      <c r="O326" s="91"/>
      <c r="P326" s="61"/>
    </row>
    <row r="327" spans="1:16" ht="15" customHeight="1">
      <c r="A327" s="292"/>
      <c r="B327" s="34">
        <v>0.41666666666666702</v>
      </c>
      <c r="C327" s="38">
        <v>221206</v>
      </c>
      <c r="D327" s="39">
        <v>165812</v>
      </c>
      <c r="E327" s="40">
        <v>2371.21</v>
      </c>
      <c r="F327" s="143">
        <v>1693.09</v>
      </c>
      <c r="G327" s="143"/>
      <c r="H327" s="130">
        <v>725246</v>
      </c>
      <c r="I327" s="9"/>
      <c r="J327" s="145"/>
      <c r="K327" s="145"/>
      <c r="L327" s="146"/>
      <c r="M327" s="146"/>
      <c r="N327" s="91"/>
      <c r="O327" s="91"/>
      <c r="P327" s="61"/>
    </row>
    <row r="328" spans="1:16" ht="15" customHeight="1">
      <c r="A328" s="292"/>
      <c r="B328" s="34">
        <v>0.45833333333333298</v>
      </c>
      <c r="C328" s="38">
        <v>221206</v>
      </c>
      <c r="D328" s="39">
        <v>165812</v>
      </c>
      <c r="E328" s="40">
        <v>2371.21</v>
      </c>
      <c r="F328" s="143">
        <v>1693.09</v>
      </c>
      <c r="G328" s="143"/>
      <c r="H328" s="130">
        <v>725246</v>
      </c>
      <c r="I328" s="9"/>
      <c r="J328" s="145"/>
      <c r="K328" s="145"/>
      <c r="L328" s="146"/>
      <c r="M328" s="146"/>
      <c r="N328" s="91"/>
      <c r="O328" s="91"/>
      <c r="P328" s="61"/>
    </row>
    <row r="329" spans="1:16" ht="15" customHeight="1">
      <c r="A329" s="292"/>
      <c r="B329" s="34">
        <v>0.5</v>
      </c>
      <c r="C329" s="38">
        <v>221206</v>
      </c>
      <c r="D329" s="39">
        <v>165812</v>
      </c>
      <c r="E329" s="40">
        <v>2371.21</v>
      </c>
      <c r="F329" s="143">
        <v>1693.09</v>
      </c>
      <c r="G329" s="143"/>
      <c r="H329" s="130">
        <v>725246</v>
      </c>
      <c r="I329" s="9"/>
      <c r="J329" s="145"/>
      <c r="K329" s="145"/>
      <c r="L329" s="146"/>
      <c r="M329" s="146"/>
      <c r="N329" s="91"/>
      <c r="O329" s="91"/>
      <c r="P329" s="61"/>
    </row>
    <row r="330" spans="1:16" ht="15" customHeight="1">
      <c r="A330" s="292"/>
      <c r="B330" s="34">
        <v>0.54166666666666696</v>
      </c>
      <c r="C330" s="38">
        <v>221206</v>
      </c>
      <c r="D330" s="39">
        <v>165812</v>
      </c>
      <c r="E330" s="40">
        <v>2371.21</v>
      </c>
      <c r="F330" s="143">
        <v>1693.09</v>
      </c>
      <c r="G330" s="143"/>
      <c r="H330" s="130">
        <v>725246</v>
      </c>
      <c r="I330" s="9"/>
      <c r="J330" s="145"/>
      <c r="K330" s="145"/>
      <c r="L330" s="146"/>
      <c r="M330" s="146"/>
      <c r="N330" s="91"/>
      <c r="O330" s="91"/>
      <c r="P330" s="61"/>
    </row>
    <row r="331" spans="1:16" ht="15" customHeight="1">
      <c r="A331" s="292"/>
      <c r="B331" s="34">
        <v>0.58333333333333304</v>
      </c>
      <c r="C331" s="38">
        <v>221206</v>
      </c>
      <c r="D331" s="39">
        <v>165812</v>
      </c>
      <c r="E331" s="40">
        <v>2371.21</v>
      </c>
      <c r="F331" s="143">
        <v>1693.09</v>
      </c>
      <c r="G331" s="143"/>
      <c r="H331" s="130">
        <v>725246</v>
      </c>
      <c r="I331" s="9"/>
      <c r="J331" s="145"/>
      <c r="K331" s="145"/>
      <c r="L331" s="146"/>
      <c r="M331" s="146"/>
      <c r="N331" s="91"/>
      <c r="O331" s="91"/>
      <c r="P331" s="65"/>
    </row>
    <row r="332" spans="1:16" ht="15" customHeight="1">
      <c r="A332" s="292"/>
      <c r="B332" s="34">
        <v>0.625</v>
      </c>
      <c r="C332" s="38">
        <v>221206</v>
      </c>
      <c r="D332" s="39">
        <v>165812</v>
      </c>
      <c r="E332" s="40">
        <v>2371.21</v>
      </c>
      <c r="F332" s="143">
        <v>1693.09</v>
      </c>
      <c r="G332" s="143"/>
      <c r="H332" s="130">
        <v>725246</v>
      </c>
      <c r="I332" s="9"/>
      <c r="J332" s="145"/>
      <c r="K332" s="145"/>
      <c r="L332" s="146"/>
      <c r="M332" s="146"/>
      <c r="N332" s="91"/>
      <c r="O332" s="91"/>
      <c r="P332" s="61"/>
    </row>
    <row r="333" spans="1:16" ht="15" customHeight="1">
      <c r="A333" s="292"/>
      <c r="B333" s="34">
        <v>0.66666666666666696</v>
      </c>
      <c r="C333" s="38">
        <v>221206</v>
      </c>
      <c r="D333" s="39">
        <v>165812</v>
      </c>
      <c r="E333" s="40">
        <v>2371.21</v>
      </c>
      <c r="F333" s="143">
        <v>1693.09</v>
      </c>
      <c r="G333" s="143"/>
      <c r="H333" s="130">
        <v>725246</v>
      </c>
      <c r="I333" s="9"/>
      <c r="J333" s="145"/>
      <c r="K333" s="145"/>
      <c r="L333" s="146"/>
      <c r="M333" s="146"/>
      <c r="N333" s="91"/>
      <c r="O333" s="91"/>
      <c r="P333" s="61"/>
    </row>
    <row r="334" spans="1:16" ht="15" customHeight="1">
      <c r="A334" s="292"/>
      <c r="B334" s="34">
        <v>0.70833333333333304</v>
      </c>
      <c r="C334" s="38">
        <v>221206</v>
      </c>
      <c r="D334" s="39">
        <v>165812</v>
      </c>
      <c r="E334" s="40">
        <v>2371.21</v>
      </c>
      <c r="F334" s="143">
        <v>1693.09</v>
      </c>
      <c r="G334" s="143"/>
      <c r="H334" s="130">
        <v>725246</v>
      </c>
      <c r="I334" s="9"/>
      <c r="J334" s="145"/>
      <c r="K334" s="145"/>
      <c r="L334" s="146"/>
      <c r="M334" s="146"/>
      <c r="N334" s="91"/>
      <c r="O334" s="91"/>
      <c r="P334" s="61"/>
    </row>
    <row r="335" spans="1:16" ht="15" customHeight="1">
      <c r="A335" s="292"/>
      <c r="B335" s="34">
        <v>0.75</v>
      </c>
      <c r="C335" s="38">
        <v>221206</v>
      </c>
      <c r="D335" s="39">
        <v>165812</v>
      </c>
      <c r="E335" s="40">
        <v>2371.21</v>
      </c>
      <c r="F335" s="143">
        <v>1693.09</v>
      </c>
      <c r="G335" s="143"/>
      <c r="H335" s="130">
        <v>725246</v>
      </c>
      <c r="I335" s="9"/>
      <c r="J335" s="145"/>
      <c r="K335" s="145"/>
      <c r="L335" s="146"/>
      <c r="M335" s="146"/>
      <c r="N335" s="91"/>
      <c r="O335" s="91"/>
      <c r="P335" s="61"/>
    </row>
    <row r="336" spans="1:16" ht="15" customHeight="1">
      <c r="A336" s="292"/>
      <c r="B336" s="34">
        <v>0.79166666666666696</v>
      </c>
      <c r="C336" s="38">
        <v>221206</v>
      </c>
      <c r="D336" s="39">
        <v>165812</v>
      </c>
      <c r="E336" s="40">
        <v>2371.21</v>
      </c>
      <c r="F336" s="143">
        <v>1693.09</v>
      </c>
      <c r="G336" s="143"/>
      <c r="H336" s="130">
        <v>725246</v>
      </c>
      <c r="I336" s="9"/>
      <c r="J336" s="145"/>
      <c r="K336" s="145"/>
      <c r="L336" s="146"/>
      <c r="M336" s="146"/>
      <c r="N336" s="91"/>
      <c r="O336" s="91"/>
      <c r="P336" s="61"/>
    </row>
    <row r="337" spans="1:16" ht="15" customHeight="1">
      <c r="A337" s="292"/>
      <c r="B337" s="34">
        <v>0.83333333333333304</v>
      </c>
      <c r="C337" s="38">
        <v>221206</v>
      </c>
      <c r="D337" s="39">
        <v>165812</v>
      </c>
      <c r="E337" s="40">
        <v>2371.21</v>
      </c>
      <c r="F337" s="143">
        <v>1693.09</v>
      </c>
      <c r="G337" s="143"/>
      <c r="H337" s="130">
        <v>725246</v>
      </c>
      <c r="I337" s="9"/>
      <c r="J337" s="145"/>
      <c r="K337" s="145"/>
      <c r="L337" s="146"/>
      <c r="M337" s="146"/>
      <c r="N337" s="91"/>
      <c r="O337" s="91"/>
      <c r="P337" s="61"/>
    </row>
    <row r="338" spans="1:16" ht="15" customHeight="1">
      <c r="A338" s="292"/>
      <c r="B338" s="34">
        <v>0.875</v>
      </c>
      <c r="C338" s="38">
        <v>221206</v>
      </c>
      <c r="D338" s="39">
        <v>165812</v>
      </c>
      <c r="E338" s="40">
        <v>2371.21</v>
      </c>
      <c r="F338" s="143">
        <v>1693.09</v>
      </c>
      <c r="G338" s="143"/>
      <c r="H338" s="130">
        <v>725246</v>
      </c>
      <c r="I338" s="9"/>
      <c r="J338" s="145"/>
      <c r="K338" s="145"/>
      <c r="L338" s="146"/>
      <c r="M338" s="146"/>
      <c r="N338" s="91"/>
      <c r="O338" s="91"/>
      <c r="P338" s="61"/>
    </row>
    <row r="339" spans="1:16" ht="15" customHeight="1">
      <c r="A339" s="292"/>
      <c r="B339" s="34">
        <v>0.91666666666666696</v>
      </c>
      <c r="C339" s="38">
        <v>221206</v>
      </c>
      <c r="D339" s="39">
        <v>165812</v>
      </c>
      <c r="E339" s="40">
        <v>2371.21</v>
      </c>
      <c r="F339" s="143">
        <v>1693.09</v>
      </c>
      <c r="G339" s="143"/>
      <c r="H339" s="130">
        <v>725246</v>
      </c>
      <c r="I339" s="9"/>
      <c r="J339" s="145"/>
      <c r="K339" s="145"/>
      <c r="L339" s="146"/>
      <c r="M339" s="146"/>
      <c r="N339" s="91"/>
      <c r="O339" s="91"/>
      <c r="P339" s="61"/>
    </row>
    <row r="340" spans="1:16" ht="15" customHeight="1">
      <c r="A340" s="292"/>
      <c r="B340" s="34">
        <v>0.95833333333333304</v>
      </c>
      <c r="C340" s="38">
        <v>221206</v>
      </c>
      <c r="D340" s="39">
        <v>165812</v>
      </c>
      <c r="E340" s="40">
        <v>2371.21</v>
      </c>
      <c r="F340" s="143">
        <v>1693.09</v>
      </c>
      <c r="G340" s="143"/>
      <c r="H340" s="130">
        <v>725246</v>
      </c>
      <c r="I340" s="9"/>
      <c r="J340" s="145"/>
      <c r="K340" s="145"/>
      <c r="L340" s="146"/>
      <c r="M340" s="146"/>
      <c r="N340" s="91"/>
      <c r="O340" s="91"/>
      <c r="P340" s="61"/>
    </row>
    <row r="341" spans="1:16" ht="15" customHeight="1">
      <c r="A341" s="292"/>
      <c r="B341" s="34">
        <v>1</v>
      </c>
      <c r="C341" s="38">
        <v>221206</v>
      </c>
      <c r="D341" s="39">
        <v>165812</v>
      </c>
      <c r="E341" s="40">
        <v>2371.21</v>
      </c>
      <c r="F341" s="143">
        <v>1693.09</v>
      </c>
      <c r="G341" s="143"/>
      <c r="H341" s="130">
        <v>725246</v>
      </c>
      <c r="I341" s="9"/>
      <c r="J341" s="145"/>
      <c r="K341" s="145"/>
      <c r="L341" s="146"/>
      <c r="M341" s="146"/>
      <c r="N341" s="91"/>
      <c r="O341" s="91"/>
      <c r="P341" s="61"/>
    </row>
    <row r="342" spans="1:16" ht="15" customHeight="1">
      <c r="A342" s="292"/>
      <c r="B342" s="34">
        <v>1.0416666666666701</v>
      </c>
      <c r="C342" s="38">
        <v>221206</v>
      </c>
      <c r="D342" s="39">
        <v>165812</v>
      </c>
      <c r="E342" s="40">
        <v>2371.21</v>
      </c>
      <c r="F342" s="143">
        <v>1693.09</v>
      </c>
      <c r="G342" s="143"/>
      <c r="H342" s="130">
        <v>725246</v>
      </c>
      <c r="I342" s="9"/>
      <c r="J342" s="145"/>
      <c r="K342" s="145"/>
      <c r="L342" s="146"/>
      <c r="M342" s="146"/>
      <c r="N342" s="91"/>
      <c r="O342" s="91"/>
      <c r="P342" s="61"/>
    </row>
    <row r="343" spans="1:16" ht="15" customHeight="1">
      <c r="A343" s="292"/>
      <c r="B343" s="34">
        <v>1.0833333333333299</v>
      </c>
      <c r="C343" s="38">
        <v>221206</v>
      </c>
      <c r="D343" s="39">
        <v>165812</v>
      </c>
      <c r="E343" s="40">
        <v>2371.21</v>
      </c>
      <c r="F343" s="143">
        <v>1693.09</v>
      </c>
      <c r="G343" s="143"/>
      <c r="H343" s="130">
        <v>725246</v>
      </c>
      <c r="I343" s="9"/>
      <c r="J343" s="145"/>
      <c r="K343" s="145"/>
      <c r="L343" s="146"/>
      <c r="M343" s="146"/>
      <c r="N343" s="91"/>
      <c r="O343" s="91"/>
      <c r="P343" s="61"/>
    </row>
    <row r="344" spans="1:16" ht="15" customHeight="1">
      <c r="A344" s="292"/>
      <c r="B344" s="34">
        <v>1.125</v>
      </c>
      <c r="C344" s="38">
        <v>221206</v>
      </c>
      <c r="D344" s="39">
        <v>165812</v>
      </c>
      <c r="E344" s="40">
        <v>2371.21</v>
      </c>
      <c r="F344" s="143">
        <v>1693.09</v>
      </c>
      <c r="G344" s="143"/>
      <c r="H344" s="130">
        <v>725246</v>
      </c>
      <c r="I344" s="9"/>
      <c r="J344" s="145"/>
      <c r="K344" s="145"/>
      <c r="L344" s="146"/>
      <c r="M344" s="146"/>
      <c r="N344" s="91"/>
      <c r="O344" s="91"/>
      <c r="P344" s="61"/>
    </row>
    <row r="345" spans="1:16" ht="15" customHeight="1">
      <c r="A345" s="292"/>
      <c r="B345" s="34">
        <v>1.1666666666666701</v>
      </c>
      <c r="C345" s="38">
        <v>221206</v>
      </c>
      <c r="D345" s="39">
        <v>165812</v>
      </c>
      <c r="E345" s="40">
        <v>2371.21</v>
      </c>
      <c r="F345" s="143">
        <v>1693.09</v>
      </c>
      <c r="G345" s="143"/>
      <c r="H345" s="130">
        <v>725246</v>
      </c>
      <c r="I345" s="9"/>
      <c r="J345" s="145"/>
      <c r="K345" s="145"/>
      <c r="L345" s="146"/>
      <c r="M345" s="146"/>
      <c r="N345" s="91"/>
      <c r="O345" s="91"/>
      <c r="P345" s="61"/>
    </row>
    <row r="346" spans="1:16" ht="15" customHeight="1">
      <c r="A346" s="292"/>
      <c r="B346" s="34">
        <v>1.2083333333333299</v>
      </c>
      <c r="C346" s="38">
        <v>221206</v>
      </c>
      <c r="D346" s="39">
        <v>165812</v>
      </c>
      <c r="E346" s="40">
        <v>2371.21</v>
      </c>
      <c r="F346" s="143">
        <v>1693.09</v>
      </c>
      <c r="G346" s="143"/>
      <c r="H346" s="130">
        <v>725246</v>
      </c>
      <c r="I346" s="9"/>
      <c r="J346" s="145"/>
      <c r="K346" s="145"/>
      <c r="L346" s="146"/>
      <c r="M346" s="146"/>
      <c r="N346" s="91"/>
      <c r="O346" s="91"/>
      <c r="P346" s="61"/>
    </row>
    <row r="347" spans="1:16" ht="15" customHeight="1">
      <c r="A347" s="292"/>
      <c r="B347" s="34">
        <v>1.25</v>
      </c>
      <c r="C347" s="38">
        <v>221206</v>
      </c>
      <c r="D347" s="39">
        <v>165812</v>
      </c>
      <c r="E347" s="40">
        <v>2371.21</v>
      </c>
      <c r="F347" s="143">
        <v>1693.09</v>
      </c>
      <c r="G347" s="143"/>
      <c r="H347" s="130">
        <v>725246</v>
      </c>
      <c r="I347" s="9"/>
      <c r="J347" s="145"/>
      <c r="K347" s="145"/>
      <c r="L347" s="146"/>
      <c r="M347" s="146"/>
      <c r="N347" s="91"/>
      <c r="O347" s="91"/>
      <c r="P347" s="61"/>
    </row>
    <row r="348" spans="1:16" ht="15" customHeight="1">
      <c r="A348" s="292"/>
      <c r="B348" s="34">
        <v>1.2916666666666701</v>
      </c>
      <c r="C348" s="38">
        <v>221206</v>
      </c>
      <c r="D348" s="39">
        <v>165812</v>
      </c>
      <c r="E348" s="40">
        <v>2371.21</v>
      </c>
      <c r="F348" s="143">
        <v>1693.09</v>
      </c>
      <c r="G348" s="143"/>
      <c r="H348" s="130">
        <v>725246</v>
      </c>
      <c r="I348" s="9"/>
      <c r="J348" s="145"/>
      <c r="K348" s="145"/>
      <c r="L348" s="146"/>
      <c r="M348" s="146"/>
      <c r="N348" s="91"/>
      <c r="O348" s="91"/>
      <c r="P348" s="61"/>
    </row>
    <row r="349" spans="1:16" ht="15" customHeight="1">
      <c r="A349" s="293"/>
      <c r="B349" s="37"/>
      <c r="C349" s="204" cm="1">
        <f t="array" ref="C349">IFERROR(LOOKUP(2,1/(C324:C348&gt;0),C324:C348-C324),0)</f>
        <v>0</v>
      </c>
      <c r="D349" s="204" cm="1">
        <f t="array" ref="D349">IFERROR(LOOKUP(2,1/(D324:D348&gt;0),D324:D348-D324),0)</f>
        <v>0</v>
      </c>
      <c r="E349" s="207" cm="1">
        <f t="array" ref="E349">IFERROR(LOOKUP(2,1/(E324:E348&gt;0),E324:E348-E324),0)</f>
        <v>0</v>
      </c>
      <c r="F349" s="207" cm="1">
        <f t="array" ref="F349">IFERROR(LOOKUP(2,1/(F324:F348&gt;0),F324:F348-F324),0)</f>
        <v>0</v>
      </c>
      <c r="G349" s="41">
        <f>E349+F349</f>
        <v>0</v>
      </c>
      <c r="H349" s="205" cm="1">
        <f t="array" ref="H349">IFERROR(LOOKUP(2,1/(H324:H348&gt;0),H324:H348-H324),0)</f>
        <v>0</v>
      </c>
      <c r="I349" s="204" cm="1">
        <f t="array" ref="I349">IFERROR(LOOKUP(2,1/(I324:I348&gt;0),I324:I348-I324),0)</f>
        <v>0</v>
      </c>
      <c r="J349" s="242">
        <f t="shared" ref="J349:O349" si="12">IFERROR(AVERAGE(J324:J348),0)</f>
        <v>0</v>
      </c>
      <c r="K349" s="242">
        <f t="shared" si="12"/>
        <v>0</v>
      </c>
      <c r="L349" s="242">
        <f t="shared" si="12"/>
        <v>0</v>
      </c>
      <c r="M349" s="242">
        <f t="shared" si="12"/>
        <v>0</v>
      </c>
      <c r="N349" s="242">
        <f t="shared" si="12"/>
        <v>0</v>
      </c>
      <c r="O349" s="242">
        <f t="shared" si="12"/>
        <v>0</v>
      </c>
      <c r="P349" s="206">
        <f>COUNT(P324:P348)</f>
        <v>0</v>
      </c>
    </row>
    <row r="350" spans="1:16" ht="15" customHeight="1">
      <c r="A350" s="291">
        <f>'DATA B1'!B350</f>
        <v>46036</v>
      </c>
      <c r="B350" s="34">
        <v>1.2916666666666701</v>
      </c>
      <c r="C350" s="38">
        <v>221206</v>
      </c>
      <c r="D350" s="39">
        <v>165812</v>
      </c>
      <c r="E350" s="40">
        <v>2371.21</v>
      </c>
      <c r="F350" s="143">
        <v>1693.09</v>
      </c>
      <c r="G350" s="143"/>
      <c r="H350" s="130">
        <v>725246</v>
      </c>
      <c r="I350" s="9"/>
      <c r="J350" s="145"/>
      <c r="K350" s="145"/>
      <c r="L350" s="146"/>
      <c r="M350" s="146"/>
      <c r="N350" s="91"/>
      <c r="O350" s="91"/>
      <c r="P350" s="61"/>
    </row>
    <row r="351" spans="1:16" ht="15" customHeight="1">
      <c r="A351" s="292"/>
      <c r="B351" s="34">
        <v>0.33333333333333298</v>
      </c>
      <c r="C351" s="38">
        <v>221206</v>
      </c>
      <c r="D351" s="39">
        <v>165812</v>
      </c>
      <c r="E351" s="40">
        <v>2371.21</v>
      </c>
      <c r="F351" s="143">
        <v>1693.09</v>
      </c>
      <c r="G351" s="143"/>
      <c r="H351" s="130">
        <v>725246</v>
      </c>
      <c r="I351" s="9"/>
      <c r="J351" s="145"/>
      <c r="K351" s="145"/>
      <c r="L351" s="146"/>
      <c r="M351" s="146"/>
      <c r="N351" s="91"/>
      <c r="O351" s="91"/>
      <c r="P351" s="61"/>
    </row>
    <row r="352" spans="1:16" ht="15" customHeight="1">
      <c r="A352" s="292"/>
      <c r="B352" s="34">
        <v>0.375</v>
      </c>
      <c r="C352" s="38">
        <v>221206</v>
      </c>
      <c r="D352" s="39">
        <v>165812</v>
      </c>
      <c r="E352" s="40">
        <v>2371.21</v>
      </c>
      <c r="F352" s="143">
        <v>1693.09</v>
      </c>
      <c r="G352" s="143"/>
      <c r="H352" s="130">
        <v>725246</v>
      </c>
      <c r="I352" s="9"/>
      <c r="J352" s="145"/>
      <c r="K352" s="145"/>
      <c r="L352" s="146"/>
      <c r="M352" s="146"/>
      <c r="N352" s="91"/>
      <c r="O352" s="91"/>
      <c r="P352" s="61"/>
    </row>
    <row r="353" spans="1:16" ht="15" customHeight="1">
      <c r="A353" s="292"/>
      <c r="B353" s="34">
        <v>0.41666666666666702</v>
      </c>
      <c r="C353" s="38">
        <v>221206</v>
      </c>
      <c r="D353" s="39">
        <v>165812</v>
      </c>
      <c r="E353" s="40">
        <v>2371.21</v>
      </c>
      <c r="F353" s="143">
        <v>1693.09</v>
      </c>
      <c r="G353" s="143"/>
      <c r="H353" s="130">
        <v>725246</v>
      </c>
      <c r="I353" s="9"/>
      <c r="J353" s="145"/>
      <c r="K353" s="145"/>
      <c r="L353" s="146"/>
      <c r="M353" s="146"/>
      <c r="N353" s="91"/>
      <c r="O353" s="91"/>
      <c r="P353" s="61"/>
    </row>
    <row r="354" spans="1:16" ht="15" customHeight="1">
      <c r="A354" s="292"/>
      <c r="B354" s="34">
        <v>0.45833333333333298</v>
      </c>
      <c r="C354" s="38">
        <v>221206</v>
      </c>
      <c r="D354" s="39">
        <v>165812</v>
      </c>
      <c r="E354" s="40">
        <v>2371.21</v>
      </c>
      <c r="F354" s="143">
        <v>1693.09</v>
      </c>
      <c r="G354" s="143"/>
      <c r="H354" s="130">
        <v>725246</v>
      </c>
      <c r="I354" s="9"/>
      <c r="J354" s="145"/>
      <c r="K354" s="145"/>
      <c r="L354" s="146"/>
      <c r="M354" s="146"/>
      <c r="N354" s="91"/>
      <c r="O354" s="91"/>
      <c r="P354" s="61"/>
    </row>
    <row r="355" spans="1:16" ht="15" customHeight="1">
      <c r="A355" s="292"/>
      <c r="B355" s="34">
        <v>0.5</v>
      </c>
      <c r="C355" s="38">
        <v>221206</v>
      </c>
      <c r="D355" s="39">
        <v>165812</v>
      </c>
      <c r="E355" s="40">
        <v>2371.21</v>
      </c>
      <c r="F355" s="143">
        <v>1693.09</v>
      </c>
      <c r="G355" s="143"/>
      <c r="H355" s="130">
        <v>725246</v>
      </c>
      <c r="I355" s="9"/>
      <c r="J355" s="145"/>
      <c r="K355" s="145"/>
      <c r="L355" s="146"/>
      <c r="M355" s="146"/>
      <c r="N355" s="91"/>
      <c r="O355" s="91"/>
      <c r="P355" s="61"/>
    </row>
    <row r="356" spans="1:16" ht="15" customHeight="1">
      <c r="A356" s="292"/>
      <c r="B356" s="34">
        <v>0.54166666666666696</v>
      </c>
      <c r="C356" s="38">
        <v>221206</v>
      </c>
      <c r="D356" s="39">
        <v>165812</v>
      </c>
      <c r="E356" s="40">
        <v>2371.21</v>
      </c>
      <c r="F356" s="143">
        <v>1693.09</v>
      </c>
      <c r="G356" s="143"/>
      <c r="H356" s="130">
        <v>725246</v>
      </c>
      <c r="I356" s="9"/>
      <c r="J356" s="145"/>
      <c r="K356" s="145"/>
      <c r="L356" s="146"/>
      <c r="M356" s="146"/>
      <c r="N356" s="91"/>
      <c r="O356" s="91"/>
      <c r="P356" s="61"/>
    </row>
    <row r="357" spans="1:16" ht="15" customHeight="1">
      <c r="A357" s="292"/>
      <c r="B357" s="34">
        <v>0.58333333333333304</v>
      </c>
      <c r="C357" s="38">
        <v>221206</v>
      </c>
      <c r="D357" s="39">
        <v>165812</v>
      </c>
      <c r="E357" s="40">
        <v>2371.21</v>
      </c>
      <c r="F357" s="143">
        <v>1693.09</v>
      </c>
      <c r="G357" s="143"/>
      <c r="H357" s="130">
        <v>725246</v>
      </c>
      <c r="I357" s="9"/>
      <c r="J357" s="145"/>
      <c r="K357" s="145"/>
      <c r="L357" s="146"/>
      <c r="M357" s="146"/>
      <c r="N357" s="91"/>
      <c r="O357" s="91"/>
      <c r="P357" s="65"/>
    </row>
    <row r="358" spans="1:16" ht="15" customHeight="1">
      <c r="A358" s="292"/>
      <c r="B358" s="34">
        <v>0.625</v>
      </c>
      <c r="C358" s="38">
        <v>221206</v>
      </c>
      <c r="D358" s="39">
        <v>165812</v>
      </c>
      <c r="E358" s="40">
        <v>2371.21</v>
      </c>
      <c r="F358" s="143">
        <v>1693.09</v>
      </c>
      <c r="G358" s="143"/>
      <c r="H358" s="130">
        <v>725246</v>
      </c>
      <c r="I358" s="9"/>
      <c r="J358" s="145"/>
      <c r="K358" s="145"/>
      <c r="L358" s="146"/>
      <c r="M358" s="146"/>
      <c r="N358" s="91"/>
      <c r="O358" s="91"/>
      <c r="P358" s="61"/>
    </row>
    <row r="359" spans="1:16" ht="15" customHeight="1">
      <c r="A359" s="292"/>
      <c r="B359" s="34">
        <v>0.66666666666666696</v>
      </c>
      <c r="C359" s="38">
        <v>221206</v>
      </c>
      <c r="D359" s="39">
        <v>165812</v>
      </c>
      <c r="E359" s="40">
        <v>2371.21</v>
      </c>
      <c r="F359" s="143">
        <v>1693.09</v>
      </c>
      <c r="G359" s="143"/>
      <c r="H359" s="130">
        <v>725246</v>
      </c>
      <c r="I359" s="9"/>
      <c r="J359" s="145"/>
      <c r="K359" s="145"/>
      <c r="L359" s="146"/>
      <c r="M359" s="146"/>
      <c r="N359" s="91"/>
      <c r="O359" s="91"/>
      <c r="P359" s="61"/>
    </row>
    <row r="360" spans="1:16" ht="15" customHeight="1">
      <c r="A360" s="292"/>
      <c r="B360" s="34">
        <v>0.70833333333333304</v>
      </c>
      <c r="C360" s="38">
        <v>221206</v>
      </c>
      <c r="D360" s="39">
        <v>165812</v>
      </c>
      <c r="E360" s="40">
        <v>2371.21</v>
      </c>
      <c r="F360" s="143">
        <v>1693.09</v>
      </c>
      <c r="G360" s="143"/>
      <c r="H360" s="130">
        <v>725246</v>
      </c>
      <c r="I360" s="9"/>
      <c r="J360" s="145"/>
      <c r="K360" s="145"/>
      <c r="L360" s="146"/>
      <c r="M360" s="146"/>
      <c r="N360" s="91"/>
      <c r="O360" s="91"/>
      <c r="P360" s="61"/>
    </row>
    <row r="361" spans="1:16" ht="15" customHeight="1">
      <c r="A361" s="292"/>
      <c r="B361" s="34">
        <v>0.75</v>
      </c>
      <c r="C361" s="38">
        <v>221206</v>
      </c>
      <c r="D361" s="39">
        <v>165812</v>
      </c>
      <c r="E361" s="40">
        <v>2371.21</v>
      </c>
      <c r="F361" s="143">
        <v>1693.09</v>
      </c>
      <c r="G361" s="143"/>
      <c r="H361" s="130">
        <v>725246</v>
      </c>
      <c r="I361" s="9"/>
      <c r="J361" s="145"/>
      <c r="K361" s="145"/>
      <c r="L361" s="146"/>
      <c r="M361" s="146"/>
      <c r="N361" s="91"/>
      <c r="O361" s="91"/>
      <c r="P361" s="61"/>
    </row>
    <row r="362" spans="1:16" ht="15" customHeight="1">
      <c r="A362" s="292"/>
      <c r="B362" s="34">
        <v>0.79166666666666696</v>
      </c>
      <c r="C362" s="38">
        <v>221206</v>
      </c>
      <c r="D362" s="39">
        <v>165812</v>
      </c>
      <c r="E362" s="40">
        <v>2371.21</v>
      </c>
      <c r="F362" s="143">
        <v>1693.09</v>
      </c>
      <c r="G362" s="143"/>
      <c r="H362" s="130">
        <v>725246</v>
      </c>
      <c r="I362" s="9"/>
      <c r="J362" s="145"/>
      <c r="K362" s="145"/>
      <c r="L362" s="146"/>
      <c r="M362" s="146"/>
      <c r="N362" s="91"/>
      <c r="O362" s="91"/>
      <c r="P362" s="61"/>
    </row>
    <row r="363" spans="1:16" ht="15" customHeight="1">
      <c r="A363" s="292"/>
      <c r="B363" s="34">
        <v>0.83333333333333304</v>
      </c>
      <c r="C363" s="38">
        <v>221206</v>
      </c>
      <c r="D363" s="39">
        <v>165812</v>
      </c>
      <c r="E363" s="40">
        <v>2371.21</v>
      </c>
      <c r="F363" s="143">
        <v>1693.09</v>
      </c>
      <c r="G363" s="143"/>
      <c r="H363" s="130">
        <v>725246</v>
      </c>
      <c r="I363" s="9"/>
      <c r="J363" s="145"/>
      <c r="K363" s="145"/>
      <c r="L363" s="146"/>
      <c r="M363" s="146"/>
      <c r="N363" s="91"/>
      <c r="O363" s="91"/>
      <c r="P363" s="61"/>
    </row>
    <row r="364" spans="1:16" ht="15" customHeight="1">
      <c r="A364" s="292"/>
      <c r="B364" s="34">
        <v>0.875</v>
      </c>
      <c r="C364" s="38">
        <v>221206</v>
      </c>
      <c r="D364" s="39">
        <v>165812</v>
      </c>
      <c r="E364" s="40">
        <v>2371.21</v>
      </c>
      <c r="F364" s="143">
        <v>1693.09</v>
      </c>
      <c r="G364" s="143"/>
      <c r="H364" s="130">
        <v>725246</v>
      </c>
      <c r="I364" s="9"/>
      <c r="J364" s="145"/>
      <c r="K364" s="145"/>
      <c r="L364" s="146"/>
      <c r="M364" s="146"/>
      <c r="N364" s="91"/>
      <c r="O364" s="91"/>
      <c r="P364" s="61"/>
    </row>
    <row r="365" spans="1:16" ht="15" customHeight="1">
      <c r="A365" s="292"/>
      <c r="B365" s="34">
        <v>0.91666666666666696</v>
      </c>
      <c r="C365" s="38">
        <v>221206</v>
      </c>
      <c r="D365" s="39">
        <v>165812</v>
      </c>
      <c r="E365" s="40">
        <v>2371.21</v>
      </c>
      <c r="F365" s="143">
        <v>1693.09</v>
      </c>
      <c r="G365" s="143"/>
      <c r="H365" s="130">
        <v>725246</v>
      </c>
      <c r="I365" s="9"/>
      <c r="J365" s="145"/>
      <c r="K365" s="145"/>
      <c r="L365" s="146"/>
      <c r="M365" s="146"/>
      <c r="N365" s="91"/>
      <c r="O365" s="91"/>
      <c r="P365" s="61"/>
    </row>
    <row r="366" spans="1:16" ht="15" customHeight="1">
      <c r="A366" s="292"/>
      <c r="B366" s="34">
        <v>0.95833333333333304</v>
      </c>
      <c r="C366" s="38">
        <v>221206</v>
      </c>
      <c r="D366" s="39">
        <v>165812</v>
      </c>
      <c r="E366" s="40">
        <v>2371.21</v>
      </c>
      <c r="F366" s="143">
        <v>1693.09</v>
      </c>
      <c r="G366" s="143"/>
      <c r="H366" s="130">
        <v>725246</v>
      </c>
      <c r="I366" s="9"/>
      <c r="J366" s="145"/>
      <c r="K366" s="145"/>
      <c r="L366" s="146"/>
      <c r="M366" s="146"/>
      <c r="N366" s="91"/>
      <c r="O366" s="91"/>
      <c r="P366" s="61"/>
    </row>
    <row r="367" spans="1:16" ht="15" customHeight="1">
      <c r="A367" s="292"/>
      <c r="B367" s="34">
        <v>1</v>
      </c>
      <c r="C367" s="38">
        <v>221206</v>
      </c>
      <c r="D367" s="39">
        <v>165812</v>
      </c>
      <c r="E367" s="40">
        <v>2371.21</v>
      </c>
      <c r="F367" s="143">
        <v>1693.09</v>
      </c>
      <c r="G367" s="143"/>
      <c r="H367" s="130">
        <v>725246</v>
      </c>
      <c r="I367" s="9"/>
      <c r="J367" s="145"/>
      <c r="K367" s="145"/>
      <c r="L367" s="146"/>
      <c r="M367" s="146"/>
      <c r="N367" s="91"/>
      <c r="O367" s="91"/>
      <c r="P367" s="61"/>
    </row>
    <row r="368" spans="1:16" ht="15" customHeight="1">
      <c r="A368" s="292"/>
      <c r="B368" s="34">
        <v>1.0416666666666701</v>
      </c>
      <c r="C368" s="38">
        <v>221206</v>
      </c>
      <c r="D368" s="39">
        <v>165812</v>
      </c>
      <c r="E368" s="40">
        <v>2371.21</v>
      </c>
      <c r="F368" s="143">
        <v>1693.09</v>
      </c>
      <c r="G368" s="143"/>
      <c r="H368" s="130">
        <v>725246</v>
      </c>
      <c r="I368" s="9"/>
      <c r="J368" s="145"/>
      <c r="K368" s="145"/>
      <c r="L368" s="146"/>
      <c r="M368" s="146"/>
      <c r="N368" s="91"/>
      <c r="O368" s="91"/>
      <c r="P368" s="61"/>
    </row>
    <row r="369" spans="1:16" ht="15" customHeight="1">
      <c r="A369" s="292"/>
      <c r="B369" s="34">
        <v>1.0833333333333299</v>
      </c>
      <c r="C369" s="38">
        <v>221206</v>
      </c>
      <c r="D369" s="39">
        <v>165812</v>
      </c>
      <c r="E369" s="40">
        <v>2371.21</v>
      </c>
      <c r="F369" s="143">
        <v>1693.09</v>
      </c>
      <c r="G369" s="143"/>
      <c r="H369" s="130">
        <v>725246</v>
      </c>
      <c r="I369" s="9"/>
      <c r="J369" s="145"/>
      <c r="K369" s="145"/>
      <c r="L369" s="146"/>
      <c r="M369" s="146"/>
      <c r="N369" s="91"/>
      <c r="O369" s="91"/>
      <c r="P369" s="61"/>
    </row>
    <row r="370" spans="1:16" ht="15" customHeight="1">
      <c r="A370" s="292"/>
      <c r="B370" s="34">
        <v>1.125</v>
      </c>
      <c r="C370" s="38">
        <v>221206</v>
      </c>
      <c r="D370" s="39">
        <v>165812</v>
      </c>
      <c r="E370" s="40">
        <v>2371.21</v>
      </c>
      <c r="F370" s="143">
        <v>1693.09</v>
      </c>
      <c r="G370" s="143"/>
      <c r="H370" s="130">
        <v>725246</v>
      </c>
      <c r="I370" s="9"/>
      <c r="J370" s="145"/>
      <c r="K370" s="145"/>
      <c r="L370" s="146"/>
      <c r="M370" s="146"/>
      <c r="N370" s="91"/>
      <c r="O370" s="91"/>
      <c r="P370" s="61"/>
    </row>
    <row r="371" spans="1:16" ht="15" customHeight="1">
      <c r="A371" s="292"/>
      <c r="B371" s="34">
        <v>1.1666666666666701</v>
      </c>
      <c r="C371" s="38">
        <v>221206</v>
      </c>
      <c r="D371" s="39">
        <v>165812</v>
      </c>
      <c r="E371" s="40">
        <v>2371.21</v>
      </c>
      <c r="F371" s="143">
        <v>1693.09</v>
      </c>
      <c r="G371" s="143"/>
      <c r="H371" s="130">
        <v>725246</v>
      </c>
      <c r="I371" s="9"/>
      <c r="J371" s="145"/>
      <c r="K371" s="145"/>
      <c r="L371" s="146"/>
      <c r="M371" s="146"/>
      <c r="N371" s="91"/>
      <c r="O371" s="91"/>
      <c r="P371" s="61"/>
    </row>
    <row r="372" spans="1:16" ht="15" customHeight="1">
      <c r="A372" s="292"/>
      <c r="B372" s="34">
        <v>1.2083333333333299</v>
      </c>
      <c r="C372" s="38">
        <v>221206</v>
      </c>
      <c r="D372" s="39">
        <v>165812</v>
      </c>
      <c r="E372" s="40">
        <v>2371.21</v>
      </c>
      <c r="F372" s="143">
        <v>1693.09</v>
      </c>
      <c r="G372" s="143"/>
      <c r="H372" s="130">
        <v>725246</v>
      </c>
      <c r="I372" s="9"/>
      <c r="J372" s="145"/>
      <c r="K372" s="145"/>
      <c r="L372" s="146"/>
      <c r="M372" s="146"/>
      <c r="N372" s="91"/>
      <c r="O372" s="91"/>
      <c r="P372" s="61"/>
    </row>
    <row r="373" spans="1:16" ht="15" customHeight="1">
      <c r="A373" s="292"/>
      <c r="B373" s="34">
        <v>1.25</v>
      </c>
      <c r="C373" s="38">
        <v>221206</v>
      </c>
      <c r="D373" s="39">
        <v>165812</v>
      </c>
      <c r="E373" s="40">
        <v>2371.21</v>
      </c>
      <c r="F373" s="143">
        <v>1693.09</v>
      </c>
      <c r="G373" s="143"/>
      <c r="H373" s="130">
        <v>725246</v>
      </c>
      <c r="I373" s="9"/>
      <c r="J373" s="145"/>
      <c r="K373" s="145"/>
      <c r="L373" s="146"/>
      <c r="M373" s="146"/>
      <c r="N373" s="91"/>
      <c r="O373" s="91"/>
      <c r="P373" s="61"/>
    </row>
    <row r="374" spans="1:16" ht="15" customHeight="1">
      <c r="A374" s="292"/>
      <c r="B374" s="34">
        <v>1.2916666666666701</v>
      </c>
      <c r="C374" s="38">
        <v>221206</v>
      </c>
      <c r="D374" s="39">
        <v>165812</v>
      </c>
      <c r="E374" s="40">
        <v>2371.21</v>
      </c>
      <c r="F374" s="143">
        <v>1693.09</v>
      </c>
      <c r="G374" s="143"/>
      <c r="H374" s="130">
        <v>725246</v>
      </c>
      <c r="I374" s="9"/>
      <c r="J374" s="145"/>
      <c r="K374" s="145"/>
      <c r="L374" s="146"/>
      <c r="M374" s="146"/>
      <c r="N374" s="91"/>
      <c r="O374" s="91"/>
      <c r="P374" s="61"/>
    </row>
    <row r="375" spans="1:16" ht="15" customHeight="1">
      <c r="A375" s="293"/>
      <c r="B375" s="37"/>
      <c r="C375" s="204" cm="1">
        <f t="array" ref="C375">IFERROR(LOOKUP(2,1/(C350:C374&gt;0),C350:C374-C350),0)</f>
        <v>0</v>
      </c>
      <c r="D375" s="204" cm="1">
        <f t="array" ref="D375">IFERROR(LOOKUP(2,1/(D350:D374&gt;0),D350:D374-D350),0)</f>
        <v>0</v>
      </c>
      <c r="E375" s="207" cm="1">
        <f t="array" ref="E375">IFERROR(LOOKUP(2,1/(E350:E374&gt;0),E350:E374-E350),0)</f>
        <v>0</v>
      </c>
      <c r="F375" s="207" cm="1">
        <f t="array" ref="F375">IFERROR(LOOKUP(2,1/(F350:F374&gt;0),F350:F374-F350),0)</f>
        <v>0</v>
      </c>
      <c r="G375" s="41">
        <f>E375+F375</f>
        <v>0</v>
      </c>
      <c r="H375" s="205" cm="1">
        <f t="array" ref="H375">IFERROR(LOOKUP(2,1/(H350:H374&gt;0),H350:H374-H350),0)</f>
        <v>0</v>
      </c>
      <c r="I375" s="204" cm="1">
        <f t="array" ref="I375">IFERROR(LOOKUP(2,1/(I350:I374&gt;0),I350:I374-I350),0)</f>
        <v>0</v>
      </c>
      <c r="J375" s="242">
        <f t="shared" ref="J375:O375" si="13">IFERROR(AVERAGE(J350:J374),0)</f>
        <v>0</v>
      </c>
      <c r="K375" s="242">
        <f t="shared" si="13"/>
        <v>0</v>
      </c>
      <c r="L375" s="242">
        <f t="shared" si="13"/>
        <v>0</v>
      </c>
      <c r="M375" s="242">
        <f t="shared" si="13"/>
        <v>0</v>
      </c>
      <c r="N375" s="242">
        <f t="shared" si="13"/>
        <v>0</v>
      </c>
      <c r="O375" s="242">
        <f t="shared" si="13"/>
        <v>0</v>
      </c>
      <c r="P375" s="206">
        <f>COUNT(P350:P374)</f>
        <v>0</v>
      </c>
    </row>
    <row r="376" spans="1:16" ht="15" customHeight="1">
      <c r="A376" s="291">
        <f>'DATA B1'!B376</f>
        <v>46037</v>
      </c>
      <c r="B376" s="34">
        <v>0.29166666666666669</v>
      </c>
      <c r="C376" s="38">
        <v>221206</v>
      </c>
      <c r="D376" s="39">
        <v>165812</v>
      </c>
      <c r="E376" s="40">
        <v>2371.21</v>
      </c>
      <c r="F376" s="143">
        <v>1693.09</v>
      </c>
      <c r="G376" s="143"/>
      <c r="H376" s="130">
        <v>725246</v>
      </c>
      <c r="I376" s="9"/>
      <c r="J376" s="145"/>
      <c r="K376" s="145"/>
      <c r="L376" s="146"/>
      <c r="M376" s="146"/>
      <c r="N376" s="91"/>
      <c r="O376" s="91"/>
      <c r="P376" s="61"/>
    </row>
    <row r="377" spans="1:16" ht="15" customHeight="1">
      <c r="A377" s="292"/>
      <c r="B377" s="34">
        <v>0.33333333333333298</v>
      </c>
      <c r="C377" s="38">
        <v>221206</v>
      </c>
      <c r="D377" s="39">
        <v>165812</v>
      </c>
      <c r="E377" s="40">
        <v>2371.21</v>
      </c>
      <c r="F377" s="143">
        <v>1693.09</v>
      </c>
      <c r="G377" s="143"/>
      <c r="H377" s="130">
        <v>725246</v>
      </c>
      <c r="I377" s="9"/>
      <c r="J377" s="145"/>
      <c r="K377" s="145"/>
      <c r="L377" s="146"/>
      <c r="M377" s="146"/>
      <c r="N377" s="91"/>
      <c r="O377" s="91"/>
      <c r="P377" s="61"/>
    </row>
    <row r="378" spans="1:16" ht="15" customHeight="1">
      <c r="A378" s="292"/>
      <c r="B378" s="34">
        <v>0.375</v>
      </c>
      <c r="C378" s="38">
        <v>221206</v>
      </c>
      <c r="D378" s="39">
        <v>165812</v>
      </c>
      <c r="E378" s="40">
        <v>2371.21</v>
      </c>
      <c r="F378" s="143">
        <v>1693.09</v>
      </c>
      <c r="G378" s="143"/>
      <c r="H378" s="130">
        <v>725246</v>
      </c>
      <c r="I378" s="9"/>
      <c r="J378" s="145"/>
      <c r="K378" s="145"/>
      <c r="L378" s="146"/>
      <c r="M378" s="146"/>
      <c r="N378" s="91"/>
      <c r="O378" s="91"/>
      <c r="P378" s="61"/>
    </row>
    <row r="379" spans="1:16" ht="15" customHeight="1">
      <c r="A379" s="292"/>
      <c r="B379" s="34">
        <v>0.41666666666666702</v>
      </c>
      <c r="C379" s="38">
        <v>221206</v>
      </c>
      <c r="D379" s="39">
        <v>165812</v>
      </c>
      <c r="E379" s="40">
        <v>2371.21</v>
      </c>
      <c r="F379" s="143">
        <v>1693.09</v>
      </c>
      <c r="G379" s="143"/>
      <c r="H379" s="130">
        <v>725246</v>
      </c>
      <c r="I379" s="9"/>
      <c r="J379" s="145"/>
      <c r="K379" s="145"/>
      <c r="L379" s="146"/>
      <c r="M379" s="146"/>
      <c r="N379" s="91"/>
      <c r="O379" s="91"/>
      <c r="P379" s="61"/>
    </row>
    <row r="380" spans="1:16" ht="15" customHeight="1">
      <c r="A380" s="292"/>
      <c r="B380" s="34">
        <v>0.45833333333333298</v>
      </c>
      <c r="C380" s="38">
        <v>221206</v>
      </c>
      <c r="D380" s="39">
        <v>165812</v>
      </c>
      <c r="E380" s="40">
        <v>2371.21</v>
      </c>
      <c r="F380" s="143">
        <v>1693.09</v>
      </c>
      <c r="G380" s="143"/>
      <c r="H380" s="130">
        <v>725246</v>
      </c>
      <c r="I380" s="9"/>
      <c r="J380" s="145"/>
      <c r="K380" s="145"/>
      <c r="L380" s="146"/>
      <c r="M380" s="146"/>
      <c r="N380" s="91"/>
      <c r="O380" s="91"/>
      <c r="P380" s="61"/>
    </row>
    <row r="381" spans="1:16" ht="15" customHeight="1">
      <c r="A381" s="292"/>
      <c r="B381" s="34">
        <v>0.5</v>
      </c>
      <c r="C381" s="38">
        <v>221206</v>
      </c>
      <c r="D381" s="39">
        <v>165812</v>
      </c>
      <c r="E381" s="40">
        <v>2371.21</v>
      </c>
      <c r="F381" s="143">
        <v>1693.09</v>
      </c>
      <c r="G381" s="143"/>
      <c r="H381" s="130">
        <v>725246</v>
      </c>
      <c r="I381" s="9"/>
      <c r="J381" s="145"/>
      <c r="K381" s="145"/>
      <c r="L381" s="146"/>
      <c r="M381" s="146"/>
      <c r="N381" s="91"/>
      <c r="O381" s="91"/>
      <c r="P381" s="61"/>
    </row>
    <row r="382" spans="1:16" ht="15" customHeight="1">
      <c r="A382" s="292"/>
      <c r="B382" s="34">
        <v>0.54166666666666696</v>
      </c>
      <c r="C382" s="38">
        <v>221206</v>
      </c>
      <c r="D382" s="39">
        <v>165812</v>
      </c>
      <c r="E382" s="40">
        <v>2371.21</v>
      </c>
      <c r="F382" s="143">
        <v>1693.09</v>
      </c>
      <c r="G382" s="143"/>
      <c r="H382" s="130">
        <v>725246</v>
      </c>
      <c r="I382" s="9"/>
      <c r="J382" s="145"/>
      <c r="K382" s="145"/>
      <c r="L382" s="146"/>
      <c r="M382" s="146"/>
      <c r="N382" s="91"/>
      <c r="O382" s="91"/>
      <c r="P382" s="61"/>
    </row>
    <row r="383" spans="1:16" ht="15" customHeight="1">
      <c r="A383" s="292"/>
      <c r="B383" s="34">
        <v>0.58333333333333304</v>
      </c>
      <c r="C383" s="38">
        <v>221206</v>
      </c>
      <c r="D383" s="39">
        <v>165812</v>
      </c>
      <c r="E383" s="40">
        <v>2371.21</v>
      </c>
      <c r="F383" s="143">
        <v>1693.09</v>
      </c>
      <c r="G383" s="143"/>
      <c r="H383" s="130">
        <v>725246</v>
      </c>
      <c r="I383" s="9"/>
      <c r="J383" s="145"/>
      <c r="K383" s="145"/>
      <c r="L383" s="146"/>
      <c r="M383" s="146"/>
      <c r="N383" s="91"/>
      <c r="O383" s="91"/>
      <c r="P383" s="65"/>
    </row>
    <row r="384" spans="1:16" ht="15" customHeight="1">
      <c r="A384" s="292"/>
      <c r="B384" s="34">
        <v>0.625</v>
      </c>
      <c r="C384" s="38">
        <v>221206</v>
      </c>
      <c r="D384" s="39">
        <v>165812</v>
      </c>
      <c r="E384" s="40">
        <v>2371.21</v>
      </c>
      <c r="F384" s="143">
        <v>1693.09</v>
      </c>
      <c r="G384" s="143"/>
      <c r="H384" s="130">
        <v>725246</v>
      </c>
      <c r="I384" s="9"/>
      <c r="J384" s="145"/>
      <c r="K384" s="145"/>
      <c r="L384" s="146"/>
      <c r="M384" s="146"/>
      <c r="N384" s="91"/>
      <c r="O384" s="91"/>
      <c r="P384" s="61"/>
    </row>
    <row r="385" spans="1:16" ht="15" customHeight="1">
      <c r="A385" s="292"/>
      <c r="B385" s="34">
        <v>0.66666666666666696</v>
      </c>
      <c r="C385" s="38">
        <v>221206</v>
      </c>
      <c r="D385" s="39">
        <v>165812</v>
      </c>
      <c r="E385" s="40">
        <v>2371.21</v>
      </c>
      <c r="F385" s="143">
        <v>1693.09</v>
      </c>
      <c r="G385" s="143"/>
      <c r="H385" s="130">
        <v>725246</v>
      </c>
      <c r="I385" s="9"/>
      <c r="J385" s="145"/>
      <c r="K385" s="145"/>
      <c r="L385" s="146"/>
      <c r="M385" s="146"/>
      <c r="N385" s="91"/>
      <c r="O385" s="91"/>
      <c r="P385" s="61"/>
    </row>
    <row r="386" spans="1:16" ht="15" customHeight="1">
      <c r="A386" s="292"/>
      <c r="B386" s="34">
        <v>0.70833333333333304</v>
      </c>
      <c r="C386" s="38">
        <v>221206</v>
      </c>
      <c r="D386" s="39">
        <v>165812</v>
      </c>
      <c r="E386" s="40">
        <v>2371.21</v>
      </c>
      <c r="F386" s="143">
        <v>1693.09</v>
      </c>
      <c r="G386" s="143"/>
      <c r="H386" s="130">
        <v>725246</v>
      </c>
      <c r="I386" s="9"/>
      <c r="J386" s="145"/>
      <c r="K386" s="145"/>
      <c r="L386" s="146"/>
      <c r="M386" s="146"/>
      <c r="N386" s="91"/>
      <c r="O386" s="91"/>
      <c r="P386" s="61"/>
    </row>
    <row r="387" spans="1:16" ht="15" customHeight="1">
      <c r="A387" s="292"/>
      <c r="B387" s="34">
        <v>0.75</v>
      </c>
      <c r="C387" s="38">
        <v>221206</v>
      </c>
      <c r="D387" s="39">
        <v>165812</v>
      </c>
      <c r="E387" s="40">
        <v>2371.21</v>
      </c>
      <c r="F387" s="143">
        <v>1693.09</v>
      </c>
      <c r="G387" s="143"/>
      <c r="H387" s="130">
        <v>725246</v>
      </c>
      <c r="I387" s="9"/>
      <c r="J387" s="145"/>
      <c r="K387" s="145"/>
      <c r="L387" s="146"/>
      <c r="M387" s="146"/>
      <c r="N387" s="91"/>
      <c r="O387" s="91"/>
      <c r="P387" s="61"/>
    </row>
    <row r="388" spans="1:16" ht="15" customHeight="1">
      <c r="A388" s="292"/>
      <c r="B388" s="34">
        <v>0.79166666666666696</v>
      </c>
      <c r="C388" s="38">
        <v>221206</v>
      </c>
      <c r="D388" s="39">
        <v>165812</v>
      </c>
      <c r="E388" s="40">
        <v>2371.21</v>
      </c>
      <c r="F388" s="143">
        <v>1693.09</v>
      </c>
      <c r="G388" s="143"/>
      <c r="H388" s="130">
        <v>725246</v>
      </c>
      <c r="I388" s="9"/>
      <c r="J388" s="145"/>
      <c r="K388" s="145"/>
      <c r="L388" s="146"/>
      <c r="M388" s="146"/>
      <c r="N388" s="91"/>
      <c r="O388" s="91"/>
      <c r="P388" s="61"/>
    </row>
    <row r="389" spans="1:16" ht="15" customHeight="1">
      <c r="A389" s="292"/>
      <c r="B389" s="34">
        <v>0.83333333333333304</v>
      </c>
      <c r="C389" s="38">
        <v>221206</v>
      </c>
      <c r="D389" s="39">
        <v>165812</v>
      </c>
      <c r="E389" s="40">
        <v>2371.21</v>
      </c>
      <c r="F389" s="143">
        <v>1693.09</v>
      </c>
      <c r="G389" s="143"/>
      <c r="H389" s="130">
        <v>725246</v>
      </c>
      <c r="I389" s="9"/>
      <c r="J389" s="145"/>
      <c r="K389" s="145"/>
      <c r="L389" s="146"/>
      <c r="M389" s="146"/>
      <c r="N389" s="91"/>
      <c r="O389" s="91"/>
      <c r="P389" s="61"/>
    </row>
    <row r="390" spans="1:16" ht="15" customHeight="1">
      <c r="A390" s="292"/>
      <c r="B390" s="34">
        <v>0.875</v>
      </c>
      <c r="C390" s="38">
        <v>221206</v>
      </c>
      <c r="D390" s="39">
        <v>165812</v>
      </c>
      <c r="E390" s="40">
        <v>2371.21</v>
      </c>
      <c r="F390" s="143">
        <v>1693.09</v>
      </c>
      <c r="G390" s="143"/>
      <c r="H390" s="130">
        <v>725246</v>
      </c>
      <c r="I390" s="9"/>
      <c r="J390" s="145"/>
      <c r="K390" s="145"/>
      <c r="L390" s="146"/>
      <c r="M390" s="146"/>
      <c r="N390" s="91"/>
      <c r="O390" s="91"/>
      <c r="P390" s="61"/>
    </row>
    <row r="391" spans="1:16" ht="15" customHeight="1">
      <c r="A391" s="292"/>
      <c r="B391" s="34">
        <v>0.91666666666666696</v>
      </c>
      <c r="C391" s="38">
        <v>221206</v>
      </c>
      <c r="D391" s="39">
        <v>165812</v>
      </c>
      <c r="E391" s="40">
        <v>2371.21</v>
      </c>
      <c r="F391" s="143">
        <v>1693.09</v>
      </c>
      <c r="G391" s="143"/>
      <c r="H391" s="130">
        <v>725246</v>
      </c>
      <c r="I391" s="9"/>
      <c r="J391" s="145"/>
      <c r="K391" s="145"/>
      <c r="L391" s="146"/>
      <c r="M391" s="146"/>
      <c r="N391" s="91"/>
      <c r="O391" s="91"/>
      <c r="P391" s="61"/>
    </row>
    <row r="392" spans="1:16" ht="15" customHeight="1">
      <c r="A392" s="292"/>
      <c r="B392" s="34">
        <v>0.95833333333333304</v>
      </c>
      <c r="C392" s="38">
        <v>221206</v>
      </c>
      <c r="D392" s="39">
        <v>165812</v>
      </c>
      <c r="E392" s="40">
        <v>2371.21</v>
      </c>
      <c r="F392" s="143">
        <v>1693.09</v>
      </c>
      <c r="G392" s="143"/>
      <c r="H392" s="130">
        <v>725246</v>
      </c>
      <c r="I392" s="9"/>
      <c r="J392" s="145"/>
      <c r="K392" s="145"/>
      <c r="L392" s="146"/>
      <c r="M392" s="146"/>
      <c r="N392" s="91"/>
      <c r="O392" s="91"/>
      <c r="P392" s="61"/>
    </row>
    <row r="393" spans="1:16" ht="15" customHeight="1">
      <c r="A393" s="292"/>
      <c r="B393" s="34">
        <v>1</v>
      </c>
      <c r="C393" s="38">
        <v>221206</v>
      </c>
      <c r="D393" s="39">
        <v>165812</v>
      </c>
      <c r="E393" s="40">
        <v>2371.21</v>
      </c>
      <c r="F393" s="143">
        <v>1693.09</v>
      </c>
      <c r="G393" s="143"/>
      <c r="H393" s="130">
        <v>725246</v>
      </c>
      <c r="I393" s="9"/>
      <c r="J393" s="145"/>
      <c r="K393" s="145"/>
      <c r="L393" s="146"/>
      <c r="M393" s="146"/>
      <c r="N393" s="91"/>
      <c r="O393" s="91"/>
      <c r="P393" s="61"/>
    </row>
    <row r="394" spans="1:16" ht="15" customHeight="1">
      <c r="A394" s="292"/>
      <c r="B394" s="34">
        <v>1.0416666666666701</v>
      </c>
      <c r="C394" s="38">
        <v>221206</v>
      </c>
      <c r="D394" s="39">
        <v>165812</v>
      </c>
      <c r="E394" s="40">
        <v>2371.21</v>
      </c>
      <c r="F394" s="143">
        <v>1693.09</v>
      </c>
      <c r="G394" s="143"/>
      <c r="H394" s="130">
        <v>725246</v>
      </c>
      <c r="I394" s="9"/>
      <c r="J394" s="145"/>
      <c r="K394" s="145"/>
      <c r="L394" s="146"/>
      <c r="M394" s="146"/>
      <c r="N394" s="91"/>
      <c r="O394" s="91"/>
      <c r="P394" s="61"/>
    </row>
    <row r="395" spans="1:16" ht="15" customHeight="1">
      <c r="A395" s="292"/>
      <c r="B395" s="34">
        <v>1.0833333333333299</v>
      </c>
      <c r="C395" s="38">
        <v>221206</v>
      </c>
      <c r="D395" s="39">
        <v>165812</v>
      </c>
      <c r="E395" s="40">
        <v>2371.21</v>
      </c>
      <c r="F395" s="143">
        <v>1693.09</v>
      </c>
      <c r="G395" s="143"/>
      <c r="H395" s="130">
        <v>725246</v>
      </c>
      <c r="I395" s="9"/>
      <c r="J395" s="145"/>
      <c r="K395" s="145"/>
      <c r="L395" s="146"/>
      <c r="M395" s="146"/>
      <c r="N395" s="91"/>
      <c r="O395" s="91"/>
      <c r="P395" s="61"/>
    </row>
    <row r="396" spans="1:16" ht="15" customHeight="1">
      <c r="A396" s="292"/>
      <c r="B396" s="34">
        <v>1.125</v>
      </c>
      <c r="C396" s="38">
        <v>221206</v>
      </c>
      <c r="D396" s="39">
        <v>165812</v>
      </c>
      <c r="E396" s="40">
        <v>2371.21</v>
      </c>
      <c r="F396" s="143">
        <v>1693.09</v>
      </c>
      <c r="G396" s="143"/>
      <c r="H396" s="130">
        <v>725246</v>
      </c>
      <c r="I396" s="9"/>
      <c r="J396" s="145"/>
      <c r="K396" s="145"/>
      <c r="L396" s="146"/>
      <c r="M396" s="146"/>
      <c r="N396" s="91"/>
      <c r="O396" s="91"/>
      <c r="P396" s="61"/>
    </row>
    <row r="397" spans="1:16" ht="15" customHeight="1">
      <c r="A397" s="292"/>
      <c r="B397" s="34">
        <v>1.1666666666666701</v>
      </c>
      <c r="C397" s="38">
        <v>221206</v>
      </c>
      <c r="D397" s="39">
        <v>165812</v>
      </c>
      <c r="E397" s="40">
        <v>2371.21</v>
      </c>
      <c r="F397" s="143">
        <v>1693.09</v>
      </c>
      <c r="G397" s="143"/>
      <c r="H397" s="130">
        <v>725246</v>
      </c>
      <c r="I397" s="9"/>
      <c r="J397" s="145"/>
      <c r="K397" s="145"/>
      <c r="L397" s="146"/>
      <c r="M397" s="146"/>
      <c r="N397" s="91"/>
      <c r="O397" s="91"/>
      <c r="P397" s="61"/>
    </row>
    <row r="398" spans="1:16" ht="15" customHeight="1">
      <c r="A398" s="292"/>
      <c r="B398" s="34">
        <v>1.2083333333333299</v>
      </c>
      <c r="C398" s="38">
        <v>221206</v>
      </c>
      <c r="D398" s="39">
        <v>165812</v>
      </c>
      <c r="E398" s="40">
        <v>2371.21</v>
      </c>
      <c r="F398" s="143">
        <v>1693.09</v>
      </c>
      <c r="G398" s="143"/>
      <c r="H398" s="130">
        <v>725246</v>
      </c>
      <c r="I398" s="9"/>
      <c r="J398" s="145"/>
      <c r="K398" s="145"/>
      <c r="L398" s="146"/>
      <c r="M398" s="146"/>
      <c r="N398" s="91"/>
      <c r="O398" s="91"/>
      <c r="P398" s="61"/>
    </row>
    <row r="399" spans="1:16" ht="15" customHeight="1">
      <c r="A399" s="292"/>
      <c r="B399" s="34">
        <v>1.25</v>
      </c>
      <c r="C399" s="38">
        <v>221206</v>
      </c>
      <c r="D399" s="39">
        <v>165812</v>
      </c>
      <c r="E399" s="40">
        <v>2371.21</v>
      </c>
      <c r="F399" s="143">
        <v>1693.09</v>
      </c>
      <c r="G399" s="143"/>
      <c r="H399" s="130">
        <v>725246</v>
      </c>
      <c r="I399" s="9"/>
      <c r="J399" s="145"/>
      <c r="K399" s="145"/>
      <c r="L399" s="146"/>
      <c r="M399" s="146"/>
      <c r="N399" s="91"/>
      <c r="O399" s="91"/>
      <c r="P399" s="61"/>
    </row>
    <row r="400" spans="1:16" ht="15" customHeight="1">
      <c r="A400" s="292"/>
      <c r="B400" s="34">
        <v>1.2916666666666701</v>
      </c>
      <c r="C400" s="38">
        <v>221206</v>
      </c>
      <c r="D400" s="39">
        <v>165812</v>
      </c>
      <c r="E400" s="40">
        <v>2371.21</v>
      </c>
      <c r="F400" s="143">
        <v>1693.09</v>
      </c>
      <c r="G400" s="143"/>
      <c r="H400" s="130">
        <v>725246</v>
      </c>
      <c r="I400" s="9"/>
      <c r="J400" s="145"/>
      <c r="K400" s="145"/>
      <c r="L400" s="146"/>
      <c r="M400" s="146"/>
      <c r="N400" s="91"/>
      <c r="O400" s="91"/>
      <c r="P400" s="61"/>
    </row>
    <row r="401" spans="1:16" ht="15" customHeight="1">
      <c r="A401" s="293"/>
      <c r="B401" s="37"/>
      <c r="C401" s="204" cm="1">
        <f t="array" ref="C401">IFERROR(LOOKUP(2,1/(C376:C400&gt;0),C376:C400-C376),0)</f>
        <v>0</v>
      </c>
      <c r="D401" s="204" cm="1">
        <f t="array" ref="D401">IFERROR(LOOKUP(2,1/(D376:D400&gt;0),D376:D400-D376),0)</f>
        <v>0</v>
      </c>
      <c r="E401" s="207" cm="1">
        <f t="array" ref="E401">IFERROR(LOOKUP(2,1/(E376:E400&gt;0),E376:E400-E376),0)</f>
        <v>0</v>
      </c>
      <c r="F401" s="207" cm="1">
        <f t="array" ref="F401">IFERROR(LOOKUP(2,1/(F376:F400&gt;0),F376:F400-F376),0)</f>
        <v>0</v>
      </c>
      <c r="G401" s="41">
        <f>E401+F401</f>
        <v>0</v>
      </c>
      <c r="H401" s="205" cm="1">
        <f t="array" ref="H401">IFERROR(LOOKUP(2,1/(H376:H400&gt;0),H376:H400-H376),0)</f>
        <v>0</v>
      </c>
      <c r="I401" s="204" cm="1">
        <f t="array" ref="I401">IFERROR(LOOKUP(2,1/(I376:I400&gt;0),I376:I400-I376),0)</f>
        <v>0</v>
      </c>
      <c r="J401" s="242">
        <f t="shared" ref="J401:O401" si="14">IFERROR(AVERAGE(J376:J400),0)</f>
        <v>0</v>
      </c>
      <c r="K401" s="242">
        <f t="shared" si="14"/>
        <v>0</v>
      </c>
      <c r="L401" s="242">
        <f t="shared" si="14"/>
        <v>0</v>
      </c>
      <c r="M401" s="242">
        <f t="shared" si="14"/>
        <v>0</v>
      </c>
      <c r="N401" s="242">
        <f t="shared" si="14"/>
        <v>0</v>
      </c>
      <c r="O401" s="242">
        <f t="shared" si="14"/>
        <v>0</v>
      </c>
      <c r="P401" s="206">
        <f>COUNT(P376:P400)</f>
        <v>0</v>
      </c>
    </row>
    <row r="402" spans="1:16" ht="15" customHeight="1">
      <c r="A402" s="291">
        <f>'DATA B1'!B402</f>
        <v>46038</v>
      </c>
      <c r="B402" s="34">
        <v>0.29166666666666669</v>
      </c>
      <c r="C402" s="38">
        <v>221206</v>
      </c>
      <c r="D402" s="39">
        <v>165812</v>
      </c>
      <c r="E402" s="40">
        <v>2371.21</v>
      </c>
      <c r="F402" s="143">
        <v>1693.09</v>
      </c>
      <c r="G402" s="143"/>
      <c r="H402" s="130">
        <v>725246</v>
      </c>
      <c r="I402" s="9"/>
      <c r="J402" s="145"/>
      <c r="K402" s="145"/>
      <c r="L402" s="146"/>
      <c r="M402" s="146"/>
      <c r="N402" s="91"/>
      <c r="O402" s="91"/>
      <c r="P402" s="61"/>
    </row>
    <row r="403" spans="1:16" ht="15" customHeight="1">
      <c r="A403" s="292"/>
      <c r="B403" s="34">
        <v>0.33333333333333298</v>
      </c>
      <c r="C403" s="38">
        <v>221206</v>
      </c>
      <c r="D403" s="39">
        <v>165812</v>
      </c>
      <c r="E403" s="40">
        <v>2371.21</v>
      </c>
      <c r="F403" s="143">
        <v>1693.09</v>
      </c>
      <c r="G403" s="143"/>
      <c r="H403" s="130">
        <v>725246</v>
      </c>
      <c r="I403" s="9"/>
      <c r="J403" s="145"/>
      <c r="K403" s="145"/>
      <c r="L403" s="146"/>
      <c r="M403" s="146"/>
      <c r="N403" s="91"/>
      <c r="O403" s="91"/>
      <c r="P403" s="61"/>
    </row>
    <row r="404" spans="1:16" ht="15" customHeight="1">
      <c r="A404" s="292"/>
      <c r="B404" s="34">
        <v>0.375</v>
      </c>
      <c r="C404" s="38">
        <v>221206</v>
      </c>
      <c r="D404" s="39">
        <v>165812</v>
      </c>
      <c r="E404" s="40">
        <v>2371.21</v>
      </c>
      <c r="F404" s="143">
        <v>1693.09</v>
      </c>
      <c r="G404" s="143"/>
      <c r="H404" s="130">
        <v>725246</v>
      </c>
      <c r="I404" s="9"/>
      <c r="J404" s="145"/>
      <c r="K404" s="145"/>
      <c r="L404" s="146"/>
      <c r="M404" s="146"/>
      <c r="N404" s="91"/>
      <c r="O404" s="91"/>
      <c r="P404" s="61"/>
    </row>
    <row r="405" spans="1:16" ht="15" customHeight="1">
      <c r="A405" s="292"/>
      <c r="B405" s="34">
        <v>0.41666666666666702</v>
      </c>
      <c r="C405" s="38">
        <v>221206</v>
      </c>
      <c r="D405" s="39">
        <v>165812</v>
      </c>
      <c r="E405" s="40">
        <v>2371.21</v>
      </c>
      <c r="F405" s="143">
        <v>1693.09</v>
      </c>
      <c r="G405" s="143"/>
      <c r="H405" s="130">
        <v>725246</v>
      </c>
      <c r="I405" s="9"/>
      <c r="J405" s="145"/>
      <c r="K405" s="145"/>
      <c r="L405" s="146"/>
      <c r="M405" s="146"/>
      <c r="N405" s="91"/>
      <c r="O405" s="91"/>
      <c r="P405" s="61"/>
    </row>
    <row r="406" spans="1:16" ht="15" customHeight="1">
      <c r="A406" s="292"/>
      <c r="B406" s="34">
        <v>0.45833333333333298</v>
      </c>
      <c r="C406" s="38">
        <v>221206</v>
      </c>
      <c r="D406" s="39">
        <v>165812</v>
      </c>
      <c r="E406" s="40">
        <v>2371.21</v>
      </c>
      <c r="F406" s="143">
        <v>1693.09</v>
      </c>
      <c r="G406" s="143"/>
      <c r="H406" s="130">
        <v>725246</v>
      </c>
      <c r="I406" s="9"/>
      <c r="J406" s="145"/>
      <c r="K406" s="145"/>
      <c r="L406" s="146"/>
      <c r="M406" s="146"/>
      <c r="N406" s="91"/>
      <c r="O406" s="91"/>
      <c r="P406" s="61"/>
    </row>
    <row r="407" spans="1:16" ht="15" customHeight="1">
      <c r="A407" s="292"/>
      <c r="B407" s="34">
        <v>0.5</v>
      </c>
      <c r="C407" s="38">
        <v>221206</v>
      </c>
      <c r="D407" s="39">
        <v>165812</v>
      </c>
      <c r="E407" s="40">
        <v>2371.21</v>
      </c>
      <c r="F407" s="143">
        <v>1693.09</v>
      </c>
      <c r="G407" s="143"/>
      <c r="H407" s="130">
        <v>725246</v>
      </c>
      <c r="I407" s="9"/>
      <c r="J407" s="145"/>
      <c r="K407" s="145"/>
      <c r="L407" s="146"/>
      <c r="M407" s="146"/>
      <c r="N407" s="91"/>
      <c r="O407" s="91"/>
      <c r="P407" s="61"/>
    </row>
    <row r="408" spans="1:16" ht="15" customHeight="1">
      <c r="A408" s="292"/>
      <c r="B408" s="34">
        <v>0.54166666666666696</v>
      </c>
      <c r="C408" s="38">
        <v>221206</v>
      </c>
      <c r="D408" s="39">
        <v>165812</v>
      </c>
      <c r="E408" s="40">
        <v>2371.21</v>
      </c>
      <c r="F408" s="143">
        <v>1693.09</v>
      </c>
      <c r="G408" s="143"/>
      <c r="H408" s="130">
        <v>725246</v>
      </c>
      <c r="I408" s="9"/>
      <c r="J408" s="145"/>
      <c r="K408" s="145"/>
      <c r="L408" s="146"/>
      <c r="M408" s="146"/>
      <c r="N408" s="91"/>
      <c r="O408" s="91"/>
      <c r="P408" s="61"/>
    </row>
    <row r="409" spans="1:16" ht="15" customHeight="1">
      <c r="A409" s="292"/>
      <c r="B409" s="34">
        <v>0.58333333333333304</v>
      </c>
      <c r="C409" s="38">
        <v>221206</v>
      </c>
      <c r="D409" s="39">
        <v>165812</v>
      </c>
      <c r="E409" s="40">
        <v>2371.21</v>
      </c>
      <c r="F409" s="143">
        <v>1693.09</v>
      </c>
      <c r="G409" s="143"/>
      <c r="H409" s="130">
        <v>725246</v>
      </c>
      <c r="I409" s="9"/>
      <c r="J409" s="145"/>
      <c r="K409" s="145"/>
      <c r="L409" s="146"/>
      <c r="M409" s="146"/>
      <c r="N409" s="91"/>
      <c r="O409" s="91"/>
      <c r="P409" s="65"/>
    </row>
    <row r="410" spans="1:16" ht="15" customHeight="1">
      <c r="A410" s="292"/>
      <c r="B410" s="34">
        <v>0.625</v>
      </c>
      <c r="C410" s="38">
        <v>221206</v>
      </c>
      <c r="D410" s="39">
        <v>165812</v>
      </c>
      <c r="E410" s="40">
        <v>2371.21</v>
      </c>
      <c r="F410" s="143">
        <v>1693.09</v>
      </c>
      <c r="G410" s="143"/>
      <c r="H410" s="130">
        <v>725246</v>
      </c>
      <c r="I410" s="9"/>
      <c r="J410" s="145"/>
      <c r="K410" s="145"/>
      <c r="L410" s="146"/>
      <c r="M410" s="146"/>
      <c r="N410" s="91"/>
      <c r="O410" s="91"/>
      <c r="P410" s="61"/>
    </row>
    <row r="411" spans="1:16" ht="15" customHeight="1">
      <c r="A411" s="292"/>
      <c r="B411" s="34">
        <v>0.66666666666666696</v>
      </c>
      <c r="C411" s="38">
        <v>221206</v>
      </c>
      <c r="D411" s="39">
        <v>165812</v>
      </c>
      <c r="E411" s="40">
        <v>2371.21</v>
      </c>
      <c r="F411" s="143">
        <v>1693.09</v>
      </c>
      <c r="G411" s="143"/>
      <c r="H411" s="130">
        <v>725246</v>
      </c>
      <c r="I411" s="9"/>
      <c r="J411" s="145"/>
      <c r="K411" s="145"/>
      <c r="L411" s="146"/>
      <c r="M411" s="146"/>
      <c r="N411" s="91"/>
      <c r="O411" s="91"/>
      <c r="P411" s="61"/>
    </row>
    <row r="412" spans="1:16" ht="15" customHeight="1">
      <c r="A412" s="292"/>
      <c r="B412" s="34">
        <v>0.70833333333333304</v>
      </c>
      <c r="C412" s="38">
        <v>221206</v>
      </c>
      <c r="D412" s="39">
        <v>165812</v>
      </c>
      <c r="E412" s="40">
        <v>2371.21</v>
      </c>
      <c r="F412" s="143">
        <v>1693.09</v>
      </c>
      <c r="G412" s="143"/>
      <c r="H412" s="130">
        <v>725246</v>
      </c>
      <c r="I412" s="9"/>
      <c r="J412" s="145"/>
      <c r="K412" s="145"/>
      <c r="L412" s="146"/>
      <c r="M412" s="146"/>
      <c r="N412" s="91"/>
      <c r="O412" s="91"/>
      <c r="P412" s="61"/>
    </row>
    <row r="413" spans="1:16" ht="15" customHeight="1">
      <c r="A413" s="292"/>
      <c r="B413" s="34">
        <v>0.75</v>
      </c>
      <c r="C413" s="38">
        <v>221206</v>
      </c>
      <c r="D413" s="39">
        <v>165812</v>
      </c>
      <c r="E413" s="40">
        <v>2371.21</v>
      </c>
      <c r="F413" s="143">
        <v>1693.09</v>
      </c>
      <c r="G413" s="143"/>
      <c r="H413" s="130">
        <v>725246</v>
      </c>
      <c r="I413" s="9"/>
      <c r="J413" s="145"/>
      <c r="K413" s="145"/>
      <c r="L413" s="146"/>
      <c r="M413" s="146"/>
      <c r="N413" s="91"/>
      <c r="O413" s="91"/>
      <c r="P413" s="61"/>
    </row>
    <row r="414" spans="1:16" ht="15" customHeight="1">
      <c r="A414" s="292"/>
      <c r="B414" s="34">
        <v>0.79166666666666696</v>
      </c>
      <c r="C414" s="38">
        <v>221206</v>
      </c>
      <c r="D414" s="39">
        <v>165812</v>
      </c>
      <c r="E414" s="40">
        <v>2371.21</v>
      </c>
      <c r="F414" s="143">
        <v>1693.09</v>
      </c>
      <c r="G414" s="143"/>
      <c r="H414" s="130">
        <v>725246</v>
      </c>
      <c r="I414" s="9"/>
      <c r="J414" s="145"/>
      <c r="K414" s="145"/>
      <c r="L414" s="146"/>
      <c r="M414" s="146"/>
      <c r="N414" s="91"/>
      <c r="O414" s="91"/>
      <c r="P414" s="61"/>
    </row>
    <row r="415" spans="1:16" ht="15" customHeight="1">
      <c r="A415" s="292"/>
      <c r="B415" s="34">
        <v>0.83333333333333304</v>
      </c>
      <c r="C415" s="38">
        <v>221206</v>
      </c>
      <c r="D415" s="39">
        <v>165812</v>
      </c>
      <c r="E415" s="40">
        <v>2371.21</v>
      </c>
      <c r="F415" s="143">
        <v>1693.09</v>
      </c>
      <c r="G415" s="143"/>
      <c r="H415" s="130">
        <v>725246</v>
      </c>
      <c r="I415" s="9"/>
      <c r="J415" s="145"/>
      <c r="K415" s="145"/>
      <c r="L415" s="146"/>
      <c r="M415" s="146"/>
      <c r="N415" s="91"/>
      <c r="O415" s="91"/>
      <c r="P415" s="61"/>
    </row>
    <row r="416" spans="1:16" ht="15" customHeight="1">
      <c r="A416" s="292"/>
      <c r="B416" s="34">
        <v>0.875</v>
      </c>
      <c r="C416" s="38">
        <v>221206</v>
      </c>
      <c r="D416" s="39">
        <v>165812</v>
      </c>
      <c r="E416" s="40">
        <v>2371.21</v>
      </c>
      <c r="F416" s="143">
        <v>1693.09</v>
      </c>
      <c r="G416" s="143"/>
      <c r="H416" s="130">
        <v>725246</v>
      </c>
      <c r="I416" s="9"/>
      <c r="J416" s="145"/>
      <c r="K416" s="145"/>
      <c r="L416" s="146"/>
      <c r="M416" s="146"/>
      <c r="N416" s="91"/>
      <c r="O416" s="91"/>
      <c r="P416" s="61"/>
    </row>
    <row r="417" spans="1:16" ht="15" customHeight="1">
      <c r="A417" s="292"/>
      <c r="B417" s="34">
        <v>0.91666666666666696</v>
      </c>
      <c r="C417" s="38">
        <v>221206</v>
      </c>
      <c r="D417" s="39">
        <v>165812</v>
      </c>
      <c r="E417" s="40">
        <v>2371.21</v>
      </c>
      <c r="F417" s="143">
        <v>1693.09</v>
      </c>
      <c r="G417" s="143"/>
      <c r="H417" s="130">
        <v>725246</v>
      </c>
      <c r="I417" s="9"/>
      <c r="J417" s="145"/>
      <c r="K417" s="145"/>
      <c r="L417" s="146"/>
      <c r="M417" s="146"/>
      <c r="N417" s="91"/>
      <c r="O417" s="91"/>
      <c r="P417" s="61"/>
    </row>
    <row r="418" spans="1:16" ht="15" customHeight="1">
      <c r="A418" s="292"/>
      <c r="B418" s="34">
        <v>0.95833333333333304</v>
      </c>
      <c r="C418" s="38">
        <v>221206</v>
      </c>
      <c r="D418" s="39">
        <v>165812</v>
      </c>
      <c r="E418" s="40">
        <v>2371.21</v>
      </c>
      <c r="F418" s="143">
        <v>1693.09</v>
      </c>
      <c r="G418" s="143"/>
      <c r="H418" s="130">
        <v>725246</v>
      </c>
      <c r="I418" s="9"/>
      <c r="J418" s="145"/>
      <c r="K418" s="145"/>
      <c r="L418" s="146"/>
      <c r="M418" s="146"/>
      <c r="N418" s="91"/>
      <c r="O418" s="91"/>
      <c r="P418" s="61"/>
    </row>
    <row r="419" spans="1:16" ht="15" customHeight="1">
      <c r="A419" s="292"/>
      <c r="B419" s="34">
        <v>1</v>
      </c>
      <c r="C419" s="38">
        <v>221206</v>
      </c>
      <c r="D419" s="39">
        <v>165812</v>
      </c>
      <c r="E419" s="40">
        <v>2371.21</v>
      </c>
      <c r="F419" s="143">
        <v>1693.09</v>
      </c>
      <c r="G419" s="143"/>
      <c r="H419" s="130">
        <v>725246</v>
      </c>
      <c r="I419" s="9"/>
      <c r="J419" s="145"/>
      <c r="K419" s="145"/>
      <c r="L419" s="146"/>
      <c r="M419" s="146"/>
      <c r="N419" s="91"/>
      <c r="O419" s="91"/>
      <c r="P419" s="61"/>
    </row>
    <row r="420" spans="1:16" ht="15" customHeight="1">
      <c r="A420" s="292"/>
      <c r="B420" s="34">
        <v>1.0416666666666701</v>
      </c>
      <c r="C420" s="38">
        <v>221206</v>
      </c>
      <c r="D420" s="39">
        <v>165812</v>
      </c>
      <c r="E420" s="40">
        <v>2371.21</v>
      </c>
      <c r="F420" s="143">
        <v>1693.09</v>
      </c>
      <c r="G420" s="143"/>
      <c r="H420" s="130">
        <v>725246</v>
      </c>
      <c r="I420" s="9"/>
      <c r="J420" s="145"/>
      <c r="K420" s="145"/>
      <c r="L420" s="146"/>
      <c r="M420" s="146"/>
      <c r="N420" s="91"/>
      <c r="O420" s="91"/>
      <c r="P420" s="61"/>
    </row>
    <row r="421" spans="1:16" ht="15" customHeight="1">
      <c r="A421" s="292"/>
      <c r="B421" s="34">
        <v>1.0833333333333299</v>
      </c>
      <c r="C421" s="38">
        <v>221206</v>
      </c>
      <c r="D421" s="39">
        <v>165812</v>
      </c>
      <c r="E421" s="40">
        <v>2371.21</v>
      </c>
      <c r="F421" s="143">
        <v>1693.09</v>
      </c>
      <c r="G421" s="143"/>
      <c r="H421" s="130">
        <v>725246</v>
      </c>
      <c r="I421" s="9"/>
      <c r="J421" s="145"/>
      <c r="K421" s="145"/>
      <c r="L421" s="146"/>
      <c r="M421" s="146"/>
      <c r="N421" s="91"/>
      <c r="O421" s="91"/>
      <c r="P421" s="61"/>
    </row>
    <row r="422" spans="1:16" ht="15" customHeight="1">
      <c r="A422" s="292"/>
      <c r="B422" s="34">
        <v>1.125</v>
      </c>
      <c r="C422" s="38">
        <v>221206</v>
      </c>
      <c r="D422" s="39">
        <v>165812</v>
      </c>
      <c r="E422" s="40">
        <v>2371.21</v>
      </c>
      <c r="F422" s="143">
        <v>1693.09</v>
      </c>
      <c r="G422" s="143"/>
      <c r="H422" s="130">
        <v>725246</v>
      </c>
      <c r="I422" s="9"/>
      <c r="J422" s="145"/>
      <c r="K422" s="145"/>
      <c r="L422" s="146"/>
      <c r="M422" s="146"/>
      <c r="N422" s="91"/>
      <c r="O422" s="91"/>
      <c r="P422" s="61"/>
    </row>
    <row r="423" spans="1:16" ht="15" customHeight="1">
      <c r="A423" s="292"/>
      <c r="B423" s="34">
        <v>1.1666666666666701</v>
      </c>
      <c r="C423" s="38">
        <v>221206</v>
      </c>
      <c r="D423" s="39">
        <v>165812</v>
      </c>
      <c r="E423" s="40">
        <v>2371.21</v>
      </c>
      <c r="F423" s="143">
        <v>1693.09</v>
      </c>
      <c r="G423" s="143"/>
      <c r="H423" s="130">
        <v>725246</v>
      </c>
      <c r="I423" s="9"/>
      <c r="J423" s="145"/>
      <c r="K423" s="145"/>
      <c r="L423" s="146"/>
      <c r="M423" s="146"/>
      <c r="N423" s="91"/>
      <c r="O423" s="91"/>
      <c r="P423" s="61"/>
    </row>
    <row r="424" spans="1:16" ht="15" customHeight="1">
      <c r="A424" s="292"/>
      <c r="B424" s="34">
        <v>1.2083333333333299</v>
      </c>
      <c r="C424" s="38">
        <v>221206</v>
      </c>
      <c r="D424" s="39">
        <v>165812</v>
      </c>
      <c r="E424" s="40">
        <v>2371.21</v>
      </c>
      <c r="F424" s="143">
        <v>1693.09</v>
      </c>
      <c r="G424" s="143"/>
      <c r="H424" s="130">
        <v>725246</v>
      </c>
      <c r="I424" s="9"/>
      <c r="J424" s="145"/>
      <c r="K424" s="145"/>
      <c r="L424" s="146"/>
      <c r="M424" s="146"/>
      <c r="N424" s="91"/>
      <c r="O424" s="91"/>
      <c r="P424" s="61"/>
    </row>
    <row r="425" spans="1:16" ht="15" customHeight="1">
      <c r="A425" s="292"/>
      <c r="B425" s="34">
        <v>1.25</v>
      </c>
      <c r="C425" s="38">
        <v>221206</v>
      </c>
      <c r="D425" s="39">
        <v>165812</v>
      </c>
      <c r="E425" s="40">
        <v>2371.21</v>
      </c>
      <c r="F425" s="143">
        <v>1693.09</v>
      </c>
      <c r="G425" s="143"/>
      <c r="H425" s="130">
        <v>725246</v>
      </c>
      <c r="I425" s="9"/>
      <c r="J425" s="145"/>
      <c r="K425" s="145"/>
      <c r="L425" s="146"/>
      <c r="M425" s="146"/>
      <c r="N425" s="91"/>
      <c r="O425" s="91"/>
      <c r="P425" s="61"/>
    </row>
    <row r="426" spans="1:16" ht="15" customHeight="1">
      <c r="A426" s="292"/>
      <c r="B426" s="34">
        <v>1.2916666666666701</v>
      </c>
      <c r="C426" s="38">
        <v>221206</v>
      </c>
      <c r="D426" s="39">
        <v>165812</v>
      </c>
      <c r="E426" s="40">
        <v>2371.21</v>
      </c>
      <c r="F426" s="143">
        <v>1693.09</v>
      </c>
      <c r="G426" s="143"/>
      <c r="H426" s="130">
        <v>725246</v>
      </c>
      <c r="I426" s="9"/>
      <c r="J426" s="145"/>
      <c r="K426" s="145"/>
      <c r="L426" s="146"/>
      <c r="M426" s="146"/>
      <c r="N426" s="91"/>
      <c r="O426" s="91"/>
      <c r="P426" s="61"/>
    </row>
    <row r="427" spans="1:16" ht="15" customHeight="1">
      <c r="A427" s="293"/>
      <c r="B427" s="37"/>
      <c r="C427" s="204" cm="1">
        <f t="array" ref="C427">IFERROR(LOOKUP(2,1/(C402:C426&gt;0),C402:C426-C402),0)</f>
        <v>0</v>
      </c>
      <c r="D427" s="204" cm="1">
        <f t="array" ref="D427">IFERROR(LOOKUP(2,1/(D402:D426&gt;0),D402:D426-D402),0)</f>
        <v>0</v>
      </c>
      <c r="E427" s="207" cm="1">
        <f t="array" ref="E427">IFERROR(LOOKUP(2,1/(E402:E426&gt;0),E402:E426-E402),0)</f>
        <v>0</v>
      </c>
      <c r="F427" s="207" cm="1">
        <f t="array" ref="F427">IFERROR(LOOKUP(2,1/(F402:F426&gt;0),F402:F426-F402),0)</f>
        <v>0</v>
      </c>
      <c r="G427" s="41">
        <f>E427+F427</f>
        <v>0</v>
      </c>
      <c r="H427" s="205" cm="1">
        <f t="array" ref="H427">IFERROR(LOOKUP(2,1/(H402:H426&gt;0),H402:H426-H402),0)</f>
        <v>0</v>
      </c>
      <c r="I427" s="204" cm="1">
        <f t="array" ref="I427">IFERROR(LOOKUP(2,1/(I402:I426&gt;0),I402:I426-I402),0)</f>
        <v>0</v>
      </c>
      <c r="J427" s="242">
        <f t="shared" ref="J427:O427" si="15">IFERROR(AVERAGE(J402:J426),0)</f>
        <v>0</v>
      </c>
      <c r="K427" s="242">
        <f t="shared" si="15"/>
        <v>0</v>
      </c>
      <c r="L427" s="242">
        <f t="shared" si="15"/>
        <v>0</v>
      </c>
      <c r="M427" s="242">
        <f t="shared" si="15"/>
        <v>0</v>
      </c>
      <c r="N427" s="242">
        <f t="shared" si="15"/>
        <v>0</v>
      </c>
      <c r="O427" s="242">
        <f t="shared" si="15"/>
        <v>0</v>
      </c>
      <c r="P427" s="206">
        <f>COUNT(P402:P426)</f>
        <v>0</v>
      </c>
    </row>
    <row r="428" spans="1:16" ht="15" customHeight="1">
      <c r="A428" s="291">
        <f>'DATA B1'!B428</f>
        <v>46039</v>
      </c>
      <c r="B428" s="34">
        <v>0.29166666666666669</v>
      </c>
      <c r="C428" s="38">
        <v>221206</v>
      </c>
      <c r="D428" s="39">
        <v>165812</v>
      </c>
      <c r="E428" s="40">
        <v>2371.21</v>
      </c>
      <c r="F428" s="143">
        <v>1693.09</v>
      </c>
      <c r="G428" s="143"/>
      <c r="H428" s="130">
        <v>725246</v>
      </c>
      <c r="I428" s="9"/>
      <c r="J428" s="145"/>
      <c r="K428" s="145"/>
      <c r="L428" s="146"/>
      <c r="M428" s="146"/>
      <c r="N428" s="91"/>
      <c r="O428" s="91"/>
      <c r="P428" s="61"/>
    </row>
    <row r="429" spans="1:16" ht="15" customHeight="1">
      <c r="A429" s="292"/>
      <c r="B429" s="34">
        <v>0.33333333333333298</v>
      </c>
      <c r="C429" s="38">
        <v>221206</v>
      </c>
      <c r="D429" s="39">
        <v>165812</v>
      </c>
      <c r="E429" s="40">
        <v>2371.21</v>
      </c>
      <c r="F429" s="143">
        <v>1693.09</v>
      </c>
      <c r="G429" s="143"/>
      <c r="H429" s="130">
        <v>725246</v>
      </c>
      <c r="I429" s="9"/>
      <c r="J429" s="145"/>
      <c r="K429" s="145"/>
      <c r="L429" s="146"/>
      <c r="M429" s="146"/>
      <c r="N429" s="91"/>
      <c r="O429" s="91"/>
      <c r="P429" s="61"/>
    </row>
    <row r="430" spans="1:16" ht="15" customHeight="1">
      <c r="A430" s="292"/>
      <c r="B430" s="34">
        <v>0.375</v>
      </c>
      <c r="C430" s="38">
        <v>221206</v>
      </c>
      <c r="D430" s="39">
        <v>165812</v>
      </c>
      <c r="E430" s="40">
        <v>2371.21</v>
      </c>
      <c r="F430" s="143">
        <v>1693.09</v>
      </c>
      <c r="G430" s="143"/>
      <c r="H430" s="130">
        <v>725246</v>
      </c>
      <c r="I430" s="9"/>
      <c r="J430" s="145"/>
      <c r="K430" s="145"/>
      <c r="L430" s="146"/>
      <c r="M430" s="146"/>
      <c r="N430" s="91"/>
      <c r="O430" s="91"/>
      <c r="P430" s="61"/>
    </row>
    <row r="431" spans="1:16" ht="15" customHeight="1">
      <c r="A431" s="292"/>
      <c r="B431" s="34">
        <v>0.41666666666666702</v>
      </c>
      <c r="C431" s="38">
        <v>221206</v>
      </c>
      <c r="D431" s="39">
        <v>165812</v>
      </c>
      <c r="E431" s="40">
        <v>2371.21</v>
      </c>
      <c r="F431" s="143">
        <v>1693.09</v>
      </c>
      <c r="G431" s="143"/>
      <c r="H431" s="130">
        <v>725246</v>
      </c>
      <c r="I431" s="9"/>
      <c r="J431" s="145"/>
      <c r="K431" s="145"/>
      <c r="L431" s="146"/>
      <c r="M431" s="146"/>
      <c r="N431" s="91"/>
      <c r="O431" s="91"/>
      <c r="P431" s="61"/>
    </row>
    <row r="432" spans="1:16" ht="15" customHeight="1">
      <c r="A432" s="292"/>
      <c r="B432" s="34">
        <v>0.45833333333333298</v>
      </c>
      <c r="C432" s="38">
        <v>221206</v>
      </c>
      <c r="D432" s="39">
        <v>165812</v>
      </c>
      <c r="E432" s="40">
        <v>2371.21</v>
      </c>
      <c r="F432" s="143">
        <v>1693.09</v>
      </c>
      <c r="G432" s="143"/>
      <c r="H432" s="130">
        <v>725246</v>
      </c>
      <c r="I432" s="9"/>
      <c r="J432" s="145"/>
      <c r="K432" s="145"/>
      <c r="L432" s="146"/>
      <c r="M432" s="146"/>
      <c r="N432" s="91"/>
      <c r="O432" s="91"/>
      <c r="P432" s="61"/>
    </row>
    <row r="433" spans="1:16" ht="15" customHeight="1">
      <c r="A433" s="292"/>
      <c r="B433" s="34">
        <v>0.5</v>
      </c>
      <c r="C433" s="38">
        <v>221206</v>
      </c>
      <c r="D433" s="39">
        <v>165812</v>
      </c>
      <c r="E433" s="40">
        <v>2371.21</v>
      </c>
      <c r="F433" s="143">
        <v>1693.09</v>
      </c>
      <c r="G433" s="143"/>
      <c r="H433" s="130">
        <v>725246</v>
      </c>
      <c r="I433" s="9"/>
      <c r="J433" s="145"/>
      <c r="K433" s="145"/>
      <c r="L433" s="146"/>
      <c r="M433" s="146"/>
      <c r="N433" s="91"/>
      <c r="O433" s="91"/>
      <c r="P433" s="61"/>
    </row>
    <row r="434" spans="1:16" ht="15" customHeight="1">
      <c r="A434" s="292"/>
      <c r="B434" s="34">
        <v>0.54166666666666696</v>
      </c>
      <c r="C434" s="38">
        <v>221206</v>
      </c>
      <c r="D434" s="39">
        <v>165812</v>
      </c>
      <c r="E434" s="40">
        <v>2371.21</v>
      </c>
      <c r="F434" s="143">
        <v>1693.09</v>
      </c>
      <c r="G434" s="143"/>
      <c r="H434" s="130">
        <v>725246</v>
      </c>
      <c r="I434" s="9"/>
      <c r="J434" s="145"/>
      <c r="K434" s="145"/>
      <c r="L434" s="146"/>
      <c r="M434" s="146"/>
      <c r="N434" s="91"/>
      <c r="O434" s="91"/>
      <c r="P434" s="61"/>
    </row>
    <row r="435" spans="1:16" ht="15" customHeight="1">
      <c r="A435" s="292"/>
      <c r="B435" s="34">
        <v>0.58333333333333304</v>
      </c>
      <c r="C435" s="38">
        <v>221206</v>
      </c>
      <c r="D435" s="39">
        <v>165812</v>
      </c>
      <c r="E435" s="40">
        <v>2371.21</v>
      </c>
      <c r="F435" s="143">
        <v>1693.09</v>
      </c>
      <c r="G435" s="143"/>
      <c r="H435" s="130">
        <v>725246</v>
      </c>
      <c r="I435" s="9"/>
      <c r="J435" s="145"/>
      <c r="K435" s="145"/>
      <c r="L435" s="146"/>
      <c r="M435" s="146"/>
      <c r="N435" s="91"/>
      <c r="O435" s="91"/>
      <c r="P435" s="65"/>
    </row>
    <row r="436" spans="1:16" ht="15" customHeight="1">
      <c r="A436" s="292"/>
      <c r="B436" s="34">
        <v>0.625</v>
      </c>
      <c r="C436" s="38">
        <v>221206</v>
      </c>
      <c r="D436" s="39">
        <v>165812</v>
      </c>
      <c r="E436" s="40">
        <v>2371.21</v>
      </c>
      <c r="F436" s="143">
        <v>1693.09</v>
      </c>
      <c r="G436" s="143"/>
      <c r="H436" s="130">
        <v>725246</v>
      </c>
      <c r="I436" s="9"/>
      <c r="J436" s="145"/>
      <c r="K436" s="145"/>
      <c r="L436" s="146"/>
      <c r="M436" s="146"/>
      <c r="N436" s="91"/>
      <c r="O436" s="91"/>
      <c r="P436" s="61"/>
    </row>
    <row r="437" spans="1:16" ht="15" customHeight="1">
      <c r="A437" s="292"/>
      <c r="B437" s="34">
        <v>0.66666666666666696</v>
      </c>
      <c r="C437" s="38">
        <v>221206</v>
      </c>
      <c r="D437" s="39">
        <v>165812</v>
      </c>
      <c r="E437" s="40">
        <v>2371.21</v>
      </c>
      <c r="F437" s="143">
        <v>1693.09</v>
      </c>
      <c r="G437" s="143"/>
      <c r="H437" s="130">
        <v>725246</v>
      </c>
      <c r="I437" s="9"/>
      <c r="J437" s="145"/>
      <c r="K437" s="145"/>
      <c r="L437" s="146"/>
      <c r="M437" s="146"/>
      <c r="N437" s="91"/>
      <c r="O437" s="91"/>
      <c r="P437" s="61"/>
    </row>
    <row r="438" spans="1:16" ht="15" customHeight="1">
      <c r="A438" s="292"/>
      <c r="B438" s="34">
        <v>0.70833333333333304</v>
      </c>
      <c r="C438" s="38">
        <v>221206</v>
      </c>
      <c r="D438" s="39">
        <v>165812</v>
      </c>
      <c r="E438" s="40">
        <v>2371.21</v>
      </c>
      <c r="F438" s="143">
        <v>1693.09</v>
      </c>
      <c r="G438" s="143"/>
      <c r="H438" s="130">
        <v>725246</v>
      </c>
      <c r="I438" s="9"/>
      <c r="J438" s="145"/>
      <c r="K438" s="145"/>
      <c r="L438" s="146"/>
      <c r="M438" s="146"/>
      <c r="N438" s="91"/>
      <c r="O438" s="91"/>
      <c r="P438" s="61"/>
    </row>
    <row r="439" spans="1:16" ht="15" customHeight="1">
      <c r="A439" s="292"/>
      <c r="B439" s="34">
        <v>0.75</v>
      </c>
      <c r="C439" s="38">
        <v>221206</v>
      </c>
      <c r="D439" s="39">
        <v>165812</v>
      </c>
      <c r="E439" s="40">
        <v>2371.21</v>
      </c>
      <c r="F439" s="143">
        <v>1693.09</v>
      </c>
      <c r="G439" s="143"/>
      <c r="H439" s="130">
        <v>725246</v>
      </c>
      <c r="I439" s="9"/>
      <c r="J439" s="145"/>
      <c r="K439" s="145"/>
      <c r="L439" s="146"/>
      <c r="M439" s="146"/>
      <c r="N439" s="91"/>
      <c r="O439" s="91"/>
      <c r="P439" s="61"/>
    </row>
    <row r="440" spans="1:16" ht="15" customHeight="1">
      <c r="A440" s="292"/>
      <c r="B440" s="34">
        <v>0.79166666666666696</v>
      </c>
      <c r="C440" s="38">
        <v>221206</v>
      </c>
      <c r="D440" s="39">
        <v>165812</v>
      </c>
      <c r="E440" s="40">
        <v>2371.21</v>
      </c>
      <c r="F440" s="143">
        <v>1693.09</v>
      </c>
      <c r="G440" s="143"/>
      <c r="H440" s="130">
        <v>725246</v>
      </c>
      <c r="I440" s="9"/>
      <c r="J440" s="145"/>
      <c r="K440" s="145"/>
      <c r="L440" s="146"/>
      <c r="M440" s="146"/>
      <c r="N440" s="91"/>
      <c r="O440" s="91"/>
      <c r="P440" s="61"/>
    </row>
    <row r="441" spans="1:16" ht="15" customHeight="1">
      <c r="A441" s="292"/>
      <c r="B441" s="34">
        <v>0.83333333333333304</v>
      </c>
      <c r="C441" s="38">
        <v>221206</v>
      </c>
      <c r="D441" s="39">
        <v>165812</v>
      </c>
      <c r="E441" s="40">
        <v>2371.21</v>
      </c>
      <c r="F441" s="143">
        <v>1693.09</v>
      </c>
      <c r="G441" s="143"/>
      <c r="H441" s="130">
        <v>725246</v>
      </c>
      <c r="I441" s="9"/>
      <c r="J441" s="145"/>
      <c r="K441" s="145"/>
      <c r="L441" s="146"/>
      <c r="M441" s="146"/>
      <c r="N441" s="91"/>
      <c r="O441" s="91"/>
      <c r="P441" s="61"/>
    </row>
    <row r="442" spans="1:16" ht="15" customHeight="1">
      <c r="A442" s="292"/>
      <c r="B442" s="34">
        <v>0.875</v>
      </c>
      <c r="C442" s="38">
        <v>221206</v>
      </c>
      <c r="D442" s="39">
        <v>165812</v>
      </c>
      <c r="E442" s="40">
        <v>2371.21</v>
      </c>
      <c r="F442" s="143">
        <v>1693.09</v>
      </c>
      <c r="G442" s="143"/>
      <c r="H442" s="130">
        <v>725246</v>
      </c>
      <c r="I442" s="9"/>
      <c r="J442" s="145"/>
      <c r="K442" s="145"/>
      <c r="L442" s="146"/>
      <c r="M442" s="146"/>
      <c r="N442" s="91"/>
      <c r="O442" s="91"/>
      <c r="P442" s="61"/>
    </row>
    <row r="443" spans="1:16" ht="15" customHeight="1">
      <c r="A443" s="292"/>
      <c r="B443" s="34">
        <v>0.91666666666666696</v>
      </c>
      <c r="C443" s="38">
        <v>221206</v>
      </c>
      <c r="D443" s="39">
        <v>165812</v>
      </c>
      <c r="E443" s="40">
        <v>2371.21</v>
      </c>
      <c r="F443" s="143">
        <v>1693.09</v>
      </c>
      <c r="G443" s="143"/>
      <c r="H443" s="130">
        <v>725246</v>
      </c>
      <c r="I443" s="9"/>
      <c r="J443" s="145"/>
      <c r="K443" s="145"/>
      <c r="L443" s="146"/>
      <c r="M443" s="146"/>
      <c r="N443" s="91"/>
      <c r="O443" s="91"/>
      <c r="P443" s="61"/>
    </row>
    <row r="444" spans="1:16" ht="15" customHeight="1">
      <c r="A444" s="292"/>
      <c r="B444" s="34">
        <v>0.95833333333333304</v>
      </c>
      <c r="C444" s="38">
        <v>221206</v>
      </c>
      <c r="D444" s="39">
        <v>165812</v>
      </c>
      <c r="E444" s="40">
        <v>2371.21</v>
      </c>
      <c r="F444" s="143">
        <v>1693.09</v>
      </c>
      <c r="G444" s="143"/>
      <c r="H444" s="130">
        <v>725246</v>
      </c>
      <c r="I444" s="9"/>
      <c r="J444" s="145"/>
      <c r="K444" s="145"/>
      <c r="L444" s="146"/>
      <c r="M444" s="146"/>
      <c r="N444" s="91"/>
      <c r="O444" s="91"/>
      <c r="P444" s="61"/>
    </row>
    <row r="445" spans="1:16" ht="15" customHeight="1">
      <c r="A445" s="292"/>
      <c r="B445" s="34">
        <v>1</v>
      </c>
      <c r="C445" s="38">
        <v>221206</v>
      </c>
      <c r="D445" s="39">
        <v>165812</v>
      </c>
      <c r="E445" s="40">
        <v>2371.21</v>
      </c>
      <c r="F445" s="143">
        <v>1693.09</v>
      </c>
      <c r="G445" s="143"/>
      <c r="H445" s="130">
        <v>725246</v>
      </c>
      <c r="I445" s="9"/>
      <c r="J445" s="145"/>
      <c r="K445" s="145"/>
      <c r="L445" s="146"/>
      <c r="M445" s="146"/>
      <c r="N445" s="91"/>
      <c r="O445" s="91"/>
      <c r="P445" s="61"/>
    </row>
    <row r="446" spans="1:16" ht="15" customHeight="1">
      <c r="A446" s="292"/>
      <c r="B446" s="34">
        <v>1.0416666666666701</v>
      </c>
      <c r="C446" s="38">
        <v>221206</v>
      </c>
      <c r="D446" s="39">
        <v>165812</v>
      </c>
      <c r="E446" s="40">
        <v>2371.21</v>
      </c>
      <c r="F446" s="143">
        <v>1693.09</v>
      </c>
      <c r="G446" s="143"/>
      <c r="H446" s="130">
        <v>725246</v>
      </c>
      <c r="I446" s="9"/>
      <c r="J446" s="145"/>
      <c r="K446" s="145"/>
      <c r="L446" s="146"/>
      <c r="M446" s="146"/>
      <c r="N446" s="91"/>
      <c r="O446" s="91"/>
      <c r="P446" s="61"/>
    </row>
    <row r="447" spans="1:16" ht="15" customHeight="1">
      <c r="A447" s="292"/>
      <c r="B447" s="34">
        <v>1.0833333333333299</v>
      </c>
      <c r="C447" s="38">
        <v>221206</v>
      </c>
      <c r="D447" s="39">
        <v>165812</v>
      </c>
      <c r="E447" s="40">
        <v>2371.21</v>
      </c>
      <c r="F447" s="143">
        <v>1693.09</v>
      </c>
      <c r="G447" s="143"/>
      <c r="H447" s="130">
        <v>725246</v>
      </c>
      <c r="I447" s="9"/>
      <c r="J447" s="145"/>
      <c r="K447" s="145"/>
      <c r="L447" s="146"/>
      <c r="M447" s="146"/>
      <c r="N447" s="91"/>
      <c r="O447" s="91"/>
      <c r="P447" s="61"/>
    </row>
    <row r="448" spans="1:16" ht="15" customHeight="1">
      <c r="A448" s="292"/>
      <c r="B448" s="34">
        <v>1.125</v>
      </c>
      <c r="C448" s="38">
        <v>221206</v>
      </c>
      <c r="D448" s="39">
        <v>165812</v>
      </c>
      <c r="E448" s="40">
        <v>2371.21</v>
      </c>
      <c r="F448" s="143">
        <v>1693.09</v>
      </c>
      <c r="G448" s="143"/>
      <c r="H448" s="130">
        <v>725246</v>
      </c>
      <c r="I448" s="9"/>
      <c r="J448" s="145"/>
      <c r="K448" s="145"/>
      <c r="L448" s="146"/>
      <c r="M448" s="146"/>
      <c r="N448" s="91"/>
      <c r="O448" s="91"/>
      <c r="P448" s="61"/>
    </row>
    <row r="449" spans="1:16" ht="15" customHeight="1">
      <c r="A449" s="292"/>
      <c r="B449" s="34">
        <v>1.1666666666666701</v>
      </c>
      <c r="C449" s="38">
        <v>221206</v>
      </c>
      <c r="D449" s="39">
        <v>165812</v>
      </c>
      <c r="E449" s="40">
        <v>2371.21</v>
      </c>
      <c r="F449" s="143">
        <v>1693.09</v>
      </c>
      <c r="G449" s="143"/>
      <c r="H449" s="130">
        <v>725246</v>
      </c>
      <c r="I449" s="9"/>
      <c r="J449" s="145"/>
      <c r="K449" s="145"/>
      <c r="L449" s="146"/>
      <c r="M449" s="146"/>
      <c r="N449" s="91"/>
      <c r="O449" s="91"/>
      <c r="P449" s="61"/>
    </row>
    <row r="450" spans="1:16" ht="15" customHeight="1">
      <c r="A450" s="292"/>
      <c r="B450" s="34">
        <v>1.2083333333333299</v>
      </c>
      <c r="C450" s="38">
        <v>221206</v>
      </c>
      <c r="D450" s="39">
        <v>165812</v>
      </c>
      <c r="E450" s="40">
        <v>2371.21</v>
      </c>
      <c r="F450" s="143">
        <v>1693.09</v>
      </c>
      <c r="G450" s="143"/>
      <c r="H450" s="130">
        <v>725246</v>
      </c>
      <c r="I450" s="9"/>
      <c r="J450" s="145"/>
      <c r="K450" s="145"/>
      <c r="L450" s="146"/>
      <c r="M450" s="146"/>
      <c r="N450" s="91"/>
      <c r="O450" s="91"/>
      <c r="P450" s="61"/>
    </row>
    <row r="451" spans="1:16" ht="15" customHeight="1">
      <c r="A451" s="292"/>
      <c r="B451" s="34">
        <v>1.25</v>
      </c>
      <c r="C451" s="38">
        <v>221206</v>
      </c>
      <c r="D451" s="39">
        <v>165812</v>
      </c>
      <c r="E451" s="40">
        <v>2371.21</v>
      </c>
      <c r="F451" s="143">
        <v>1693.09</v>
      </c>
      <c r="G451" s="143"/>
      <c r="H451" s="130">
        <v>725246</v>
      </c>
      <c r="I451" s="9"/>
      <c r="J451" s="145"/>
      <c r="K451" s="145"/>
      <c r="L451" s="146"/>
      <c r="M451" s="146"/>
      <c r="N451" s="91"/>
      <c r="O451" s="91"/>
      <c r="P451" s="61"/>
    </row>
    <row r="452" spans="1:16" ht="15" customHeight="1">
      <c r="A452" s="292"/>
      <c r="B452" s="34">
        <v>1.2916666666666701</v>
      </c>
      <c r="C452" s="38">
        <v>221206</v>
      </c>
      <c r="D452" s="39">
        <v>165812</v>
      </c>
      <c r="E452" s="40">
        <v>2371.21</v>
      </c>
      <c r="F452" s="143">
        <v>1693.09</v>
      </c>
      <c r="G452" s="143"/>
      <c r="H452" s="130">
        <v>725246</v>
      </c>
      <c r="I452" s="9"/>
      <c r="J452" s="145"/>
      <c r="K452" s="145"/>
      <c r="L452" s="146"/>
      <c r="M452" s="146"/>
      <c r="N452" s="91"/>
      <c r="O452" s="91"/>
      <c r="P452" s="61"/>
    </row>
    <row r="453" spans="1:16" ht="15" customHeight="1">
      <c r="A453" s="293"/>
      <c r="B453" s="37"/>
      <c r="C453" s="204" cm="1">
        <f t="array" ref="C453">IFERROR(LOOKUP(2,1/(C428:C452&gt;0),C428:C452-C428),0)</f>
        <v>0</v>
      </c>
      <c r="D453" s="204" cm="1">
        <f t="array" ref="D453">IFERROR(LOOKUP(2,1/(D428:D452&gt;0),D428:D452-D428),0)</f>
        <v>0</v>
      </c>
      <c r="E453" s="207" cm="1">
        <f t="array" ref="E453">IFERROR(LOOKUP(2,1/(E428:E452&gt;0),E428:E452-E428),0)</f>
        <v>0</v>
      </c>
      <c r="F453" s="207" cm="1">
        <f t="array" ref="F453">IFERROR(LOOKUP(2,1/(F428:F452&gt;0),F428:F452-F428),0)</f>
        <v>0</v>
      </c>
      <c r="G453" s="41">
        <f>E453+F453</f>
        <v>0</v>
      </c>
      <c r="H453" s="205" cm="1">
        <f t="array" ref="H453">IFERROR(LOOKUP(2,1/(H428:H452&gt;0),H428:H452-H428),0)</f>
        <v>0</v>
      </c>
      <c r="I453" s="204" cm="1">
        <f t="array" ref="I453">IFERROR(LOOKUP(2,1/(I428:I452&gt;0),I428:I452-I428),0)</f>
        <v>0</v>
      </c>
      <c r="J453" s="242">
        <f t="shared" ref="J453:O453" si="16">IFERROR(AVERAGE(J428:J452),0)</f>
        <v>0</v>
      </c>
      <c r="K453" s="242">
        <f t="shared" si="16"/>
        <v>0</v>
      </c>
      <c r="L453" s="242">
        <f t="shared" si="16"/>
        <v>0</v>
      </c>
      <c r="M453" s="242">
        <f t="shared" si="16"/>
        <v>0</v>
      </c>
      <c r="N453" s="242">
        <f t="shared" si="16"/>
        <v>0</v>
      </c>
      <c r="O453" s="242">
        <f t="shared" si="16"/>
        <v>0</v>
      </c>
      <c r="P453" s="206">
        <f>COUNT(P428:P452)</f>
        <v>0</v>
      </c>
    </row>
    <row r="454" spans="1:16" ht="15" customHeight="1">
      <c r="A454" s="291">
        <f>'DATA B1'!B454</f>
        <v>46040</v>
      </c>
      <c r="B454" s="34">
        <v>0.29166666666666669</v>
      </c>
      <c r="C454" s="38">
        <v>221206</v>
      </c>
      <c r="D454" s="39">
        <v>165812</v>
      </c>
      <c r="E454" s="40">
        <v>2371.21</v>
      </c>
      <c r="F454" s="143">
        <v>1693.09</v>
      </c>
      <c r="G454" s="143"/>
      <c r="H454" s="130">
        <v>725246</v>
      </c>
      <c r="I454" s="9"/>
      <c r="J454" s="145"/>
      <c r="K454" s="145"/>
      <c r="L454" s="146"/>
      <c r="M454" s="146"/>
      <c r="N454" s="91"/>
      <c r="O454" s="91"/>
      <c r="P454" s="61"/>
    </row>
    <row r="455" spans="1:16" ht="15" customHeight="1">
      <c r="A455" s="292"/>
      <c r="B455" s="34">
        <v>0.33333333333333298</v>
      </c>
      <c r="C455" s="38">
        <v>221206</v>
      </c>
      <c r="D455" s="39">
        <v>165812</v>
      </c>
      <c r="E455" s="40">
        <v>2371.21</v>
      </c>
      <c r="F455" s="143">
        <v>1693.09</v>
      </c>
      <c r="G455" s="143"/>
      <c r="H455" s="130">
        <v>725246</v>
      </c>
      <c r="I455" s="9"/>
      <c r="J455" s="145"/>
      <c r="K455" s="145"/>
      <c r="L455" s="146"/>
      <c r="M455" s="146"/>
      <c r="N455" s="91"/>
      <c r="O455" s="91"/>
      <c r="P455" s="61"/>
    </row>
    <row r="456" spans="1:16" ht="15" customHeight="1">
      <c r="A456" s="292"/>
      <c r="B456" s="34">
        <v>0.375</v>
      </c>
      <c r="C456" s="38">
        <v>221206</v>
      </c>
      <c r="D456" s="39">
        <v>165812</v>
      </c>
      <c r="E456" s="40">
        <v>2371.21</v>
      </c>
      <c r="F456" s="143">
        <v>1693.09</v>
      </c>
      <c r="G456" s="143"/>
      <c r="H456" s="130">
        <v>725246</v>
      </c>
      <c r="I456" s="9"/>
      <c r="J456" s="145"/>
      <c r="K456" s="145"/>
      <c r="L456" s="146"/>
      <c r="M456" s="146"/>
      <c r="N456" s="91"/>
      <c r="O456" s="91"/>
      <c r="P456" s="61"/>
    </row>
    <row r="457" spans="1:16" ht="15" customHeight="1">
      <c r="A457" s="292"/>
      <c r="B457" s="34">
        <v>0.41666666666666702</v>
      </c>
      <c r="C457" s="38">
        <v>221206</v>
      </c>
      <c r="D457" s="39">
        <v>165812</v>
      </c>
      <c r="E457" s="40">
        <v>2371.21</v>
      </c>
      <c r="F457" s="143">
        <v>1693.09</v>
      </c>
      <c r="G457" s="143"/>
      <c r="H457" s="130">
        <v>725246</v>
      </c>
      <c r="I457" s="9"/>
      <c r="J457" s="145"/>
      <c r="K457" s="145"/>
      <c r="L457" s="146"/>
      <c r="M457" s="146"/>
      <c r="N457" s="91"/>
      <c r="O457" s="91"/>
      <c r="P457" s="61"/>
    </row>
    <row r="458" spans="1:16" ht="15" customHeight="1">
      <c r="A458" s="292"/>
      <c r="B458" s="34">
        <v>0.45833333333333298</v>
      </c>
      <c r="C458" s="38">
        <v>221206</v>
      </c>
      <c r="D458" s="39">
        <v>165812</v>
      </c>
      <c r="E458" s="40">
        <v>2371.21</v>
      </c>
      <c r="F458" s="143">
        <v>1693.09</v>
      </c>
      <c r="G458" s="143"/>
      <c r="H458" s="130">
        <v>725246</v>
      </c>
      <c r="I458" s="9"/>
      <c r="J458" s="145"/>
      <c r="K458" s="145"/>
      <c r="L458" s="146"/>
      <c r="M458" s="146"/>
      <c r="N458" s="91"/>
      <c r="O458" s="91"/>
      <c r="P458" s="61"/>
    </row>
    <row r="459" spans="1:16" ht="15" customHeight="1">
      <c r="A459" s="292"/>
      <c r="B459" s="34">
        <v>0.5</v>
      </c>
      <c r="C459" s="38">
        <v>221206</v>
      </c>
      <c r="D459" s="39">
        <v>165812</v>
      </c>
      <c r="E459" s="40">
        <v>2371.21</v>
      </c>
      <c r="F459" s="143">
        <v>1693.09</v>
      </c>
      <c r="G459" s="143"/>
      <c r="H459" s="130">
        <v>725246</v>
      </c>
      <c r="I459" s="9"/>
      <c r="J459" s="145"/>
      <c r="K459" s="145"/>
      <c r="L459" s="146"/>
      <c r="M459" s="146"/>
      <c r="N459" s="91"/>
      <c r="O459" s="91"/>
      <c r="P459" s="61"/>
    </row>
    <row r="460" spans="1:16" ht="15" customHeight="1">
      <c r="A460" s="292"/>
      <c r="B460" s="34">
        <v>0.54166666666666696</v>
      </c>
      <c r="C460" s="38">
        <v>221206</v>
      </c>
      <c r="D460" s="39">
        <v>165812</v>
      </c>
      <c r="E460" s="40">
        <v>2371.21</v>
      </c>
      <c r="F460" s="143">
        <v>1693.09</v>
      </c>
      <c r="G460" s="143"/>
      <c r="H460" s="130">
        <v>725246</v>
      </c>
      <c r="I460" s="9"/>
      <c r="J460" s="145"/>
      <c r="K460" s="145"/>
      <c r="L460" s="146"/>
      <c r="M460" s="146"/>
      <c r="N460" s="91"/>
      <c r="O460" s="91"/>
      <c r="P460" s="61"/>
    </row>
    <row r="461" spans="1:16" ht="15" customHeight="1">
      <c r="A461" s="292"/>
      <c r="B461" s="34">
        <v>0.58333333333333304</v>
      </c>
      <c r="C461" s="38">
        <v>221206</v>
      </c>
      <c r="D461" s="39">
        <v>165812</v>
      </c>
      <c r="E461" s="40">
        <v>2371.21</v>
      </c>
      <c r="F461" s="143">
        <v>1693.09</v>
      </c>
      <c r="G461" s="143"/>
      <c r="H461" s="130">
        <v>725246</v>
      </c>
      <c r="I461" s="9"/>
      <c r="J461" s="145"/>
      <c r="K461" s="145"/>
      <c r="L461" s="146"/>
      <c r="M461" s="146"/>
      <c r="N461" s="91"/>
      <c r="O461" s="91"/>
      <c r="P461" s="65"/>
    </row>
    <row r="462" spans="1:16" ht="15" customHeight="1">
      <c r="A462" s="292"/>
      <c r="B462" s="34">
        <v>0.625</v>
      </c>
      <c r="C462" s="38">
        <v>221206</v>
      </c>
      <c r="D462" s="39">
        <v>165812</v>
      </c>
      <c r="E462" s="40">
        <v>2371.21</v>
      </c>
      <c r="F462" s="143">
        <v>1693.09</v>
      </c>
      <c r="G462" s="143"/>
      <c r="H462" s="130">
        <v>725246</v>
      </c>
      <c r="I462" s="9"/>
      <c r="J462" s="145"/>
      <c r="K462" s="145"/>
      <c r="L462" s="146"/>
      <c r="M462" s="146"/>
      <c r="N462" s="91"/>
      <c r="O462" s="91"/>
      <c r="P462" s="61"/>
    </row>
    <row r="463" spans="1:16" ht="15" customHeight="1">
      <c r="A463" s="292"/>
      <c r="B463" s="34">
        <v>0.66666666666666696</v>
      </c>
      <c r="C463" s="38">
        <v>221206</v>
      </c>
      <c r="D463" s="39">
        <v>165812</v>
      </c>
      <c r="E463" s="40">
        <v>2371.21</v>
      </c>
      <c r="F463" s="143">
        <v>1693.09</v>
      </c>
      <c r="G463" s="143"/>
      <c r="H463" s="130">
        <v>725246</v>
      </c>
      <c r="I463" s="9"/>
      <c r="J463" s="145"/>
      <c r="K463" s="145"/>
      <c r="L463" s="146"/>
      <c r="M463" s="146"/>
      <c r="N463" s="91"/>
      <c r="O463" s="91"/>
      <c r="P463" s="61"/>
    </row>
    <row r="464" spans="1:16" ht="15" customHeight="1">
      <c r="A464" s="292"/>
      <c r="B464" s="34">
        <v>0.70833333333333304</v>
      </c>
      <c r="C464" s="38">
        <v>221206</v>
      </c>
      <c r="D464" s="39">
        <v>165812</v>
      </c>
      <c r="E464" s="40">
        <v>2371.21</v>
      </c>
      <c r="F464" s="143">
        <v>1693.09</v>
      </c>
      <c r="G464" s="143"/>
      <c r="H464" s="130">
        <v>725246</v>
      </c>
      <c r="I464" s="9"/>
      <c r="J464" s="145"/>
      <c r="K464" s="145"/>
      <c r="L464" s="146"/>
      <c r="M464" s="146"/>
      <c r="N464" s="91"/>
      <c r="O464" s="91"/>
      <c r="P464" s="61"/>
    </row>
    <row r="465" spans="1:16" ht="15" customHeight="1">
      <c r="A465" s="292"/>
      <c r="B465" s="34">
        <v>0.75</v>
      </c>
      <c r="C465" s="38">
        <v>221206</v>
      </c>
      <c r="D465" s="39">
        <v>165812</v>
      </c>
      <c r="E465" s="40">
        <v>2371.21</v>
      </c>
      <c r="F465" s="143">
        <v>1693.09</v>
      </c>
      <c r="G465" s="143"/>
      <c r="H465" s="130">
        <v>725246</v>
      </c>
      <c r="I465" s="9"/>
      <c r="J465" s="145"/>
      <c r="K465" s="145"/>
      <c r="L465" s="146"/>
      <c r="M465" s="146"/>
      <c r="N465" s="91"/>
      <c r="O465" s="91"/>
      <c r="P465" s="61"/>
    </row>
    <row r="466" spans="1:16" ht="15" customHeight="1">
      <c r="A466" s="292"/>
      <c r="B466" s="34">
        <v>0.79166666666666696</v>
      </c>
      <c r="C466" s="38">
        <v>221206</v>
      </c>
      <c r="D466" s="39">
        <v>165812</v>
      </c>
      <c r="E466" s="40">
        <v>2371.21</v>
      </c>
      <c r="F466" s="143">
        <v>1693.09</v>
      </c>
      <c r="G466" s="143"/>
      <c r="H466" s="130">
        <v>725246</v>
      </c>
      <c r="I466" s="9"/>
      <c r="J466" s="145"/>
      <c r="K466" s="145"/>
      <c r="L466" s="146"/>
      <c r="M466" s="146"/>
      <c r="N466" s="91"/>
      <c r="O466" s="91"/>
      <c r="P466" s="61"/>
    </row>
    <row r="467" spans="1:16" ht="15" customHeight="1">
      <c r="A467" s="292"/>
      <c r="B467" s="34">
        <v>0.83333333333333304</v>
      </c>
      <c r="C467" s="38">
        <v>221206</v>
      </c>
      <c r="D467" s="39">
        <v>165812</v>
      </c>
      <c r="E467" s="40">
        <v>2371.21</v>
      </c>
      <c r="F467" s="143">
        <v>1693.09</v>
      </c>
      <c r="G467" s="143"/>
      <c r="H467" s="130">
        <v>725246</v>
      </c>
      <c r="I467" s="9"/>
      <c r="J467" s="145"/>
      <c r="K467" s="145"/>
      <c r="L467" s="146"/>
      <c r="M467" s="146"/>
      <c r="N467" s="91"/>
      <c r="O467" s="91"/>
      <c r="P467" s="61"/>
    </row>
    <row r="468" spans="1:16" ht="15" customHeight="1">
      <c r="A468" s="292"/>
      <c r="B468" s="34">
        <v>0.875</v>
      </c>
      <c r="C468" s="38">
        <v>221206</v>
      </c>
      <c r="D468" s="39">
        <v>165812</v>
      </c>
      <c r="E468" s="40">
        <v>2371.21</v>
      </c>
      <c r="F468" s="143">
        <v>1693.09</v>
      </c>
      <c r="G468" s="143"/>
      <c r="H468" s="130">
        <v>725246</v>
      </c>
      <c r="I468" s="9"/>
      <c r="J468" s="145"/>
      <c r="K468" s="145"/>
      <c r="L468" s="146"/>
      <c r="M468" s="146"/>
      <c r="N468" s="91"/>
      <c r="O468" s="91"/>
      <c r="P468" s="61"/>
    </row>
    <row r="469" spans="1:16" ht="15" customHeight="1">
      <c r="A469" s="292"/>
      <c r="B469" s="34">
        <v>0.91666666666666696</v>
      </c>
      <c r="C469" s="38">
        <v>221206</v>
      </c>
      <c r="D469" s="39">
        <v>165812</v>
      </c>
      <c r="E469" s="40">
        <v>2371.21</v>
      </c>
      <c r="F469" s="143">
        <v>1693.09</v>
      </c>
      <c r="G469" s="143"/>
      <c r="H469" s="130">
        <v>725246</v>
      </c>
      <c r="I469" s="9"/>
      <c r="J469" s="145"/>
      <c r="K469" s="145"/>
      <c r="L469" s="146"/>
      <c r="M469" s="146"/>
      <c r="N469" s="91"/>
      <c r="O469" s="91"/>
      <c r="P469" s="61"/>
    </row>
    <row r="470" spans="1:16" ht="15" customHeight="1">
      <c r="A470" s="292"/>
      <c r="B470" s="34">
        <v>0.95833333333333304</v>
      </c>
      <c r="C470" s="38">
        <v>221206</v>
      </c>
      <c r="D470" s="39">
        <v>165812</v>
      </c>
      <c r="E470" s="40">
        <v>2371.21</v>
      </c>
      <c r="F470" s="143">
        <v>1693.09</v>
      </c>
      <c r="G470" s="143"/>
      <c r="H470" s="130">
        <v>725246</v>
      </c>
      <c r="I470" s="9"/>
      <c r="J470" s="145"/>
      <c r="K470" s="145"/>
      <c r="L470" s="146"/>
      <c r="M470" s="146"/>
      <c r="N470" s="91"/>
      <c r="O470" s="91"/>
      <c r="P470" s="61"/>
    </row>
    <row r="471" spans="1:16" ht="15" customHeight="1">
      <c r="A471" s="292"/>
      <c r="B471" s="34">
        <v>1</v>
      </c>
      <c r="C471" s="38">
        <v>221206</v>
      </c>
      <c r="D471" s="39">
        <v>165812</v>
      </c>
      <c r="E471" s="40">
        <v>2371.21</v>
      </c>
      <c r="F471" s="143">
        <v>1693.09</v>
      </c>
      <c r="G471" s="143"/>
      <c r="H471" s="130">
        <v>725246</v>
      </c>
      <c r="I471" s="9"/>
      <c r="J471" s="145"/>
      <c r="K471" s="145"/>
      <c r="L471" s="146"/>
      <c r="M471" s="146"/>
      <c r="N471" s="91"/>
      <c r="O471" s="91"/>
      <c r="P471" s="61"/>
    </row>
    <row r="472" spans="1:16" ht="15" customHeight="1">
      <c r="A472" s="292"/>
      <c r="B472" s="34">
        <v>1.0416666666666701</v>
      </c>
      <c r="C472" s="38">
        <v>221206</v>
      </c>
      <c r="D472" s="39">
        <v>165812</v>
      </c>
      <c r="E472" s="40">
        <v>2371.21</v>
      </c>
      <c r="F472" s="143">
        <v>1693.09</v>
      </c>
      <c r="G472" s="143"/>
      <c r="H472" s="130">
        <v>725246</v>
      </c>
      <c r="I472" s="9"/>
      <c r="J472" s="145"/>
      <c r="K472" s="145"/>
      <c r="L472" s="146"/>
      <c r="M472" s="146"/>
      <c r="N472" s="91"/>
      <c r="O472" s="91"/>
      <c r="P472" s="61"/>
    </row>
    <row r="473" spans="1:16" ht="15" customHeight="1">
      <c r="A473" s="292"/>
      <c r="B473" s="34">
        <v>1.0833333333333299</v>
      </c>
      <c r="C473" s="38">
        <v>221206</v>
      </c>
      <c r="D473" s="39">
        <v>165812</v>
      </c>
      <c r="E473" s="40">
        <v>2371.21</v>
      </c>
      <c r="F473" s="143">
        <v>1693.09</v>
      </c>
      <c r="G473" s="143"/>
      <c r="H473" s="130">
        <v>725246</v>
      </c>
      <c r="I473" s="9"/>
      <c r="J473" s="145"/>
      <c r="K473" s="145"/>
      <c r="L473" s="146"/>
      <c r="M473" s="146"/>
      <c r="N473" s="91"/>
      <c r="O473" s="91"/>
      <c r="P473" s="61"/>
    </row>
    <row r="474" spans="1:16" ht="15" customHeight="1">
      <c r="A474" s="292"/>
      <c r="B474" s="34">
        <v>1.125</v>
      </c>
      <c r="C474" s="38">
        <v>221206</v>
      </c>
      <c r="D474" s="39">
        <v>165812</v>
      </c>
      <c r="E474" s="40">
        <v>2371.21</v>
      </c>
      <c r="F474" s="143">
        <v>1693.09</v>
      </c>
      <c r="G474" s="143"/>
      <c r="H474" s="130">
        <v>725246</v>
      </c>
      <c r="I474" s="9"/>
      <c r="J474" s="145"/>
      <c r="K474" s="145"/>
      <c r="L474" s="146"/>
      <c r="M474" s="146"/>
      <c r="N474" s="91"/>
      <c r="O474" s="91"/>
      <c r="P474" s="61"/>
    </row>
    <row r="475" spans="1:16" ht="15" customHeight="1">
      <c r="A475" s="292"/>
      <c r="B475" s="34">
        <v>1.1666666666666701</v>
      </c>
      <c r="C475" s="38">
        <v>221206</v>
      </c>
      <c r="D475" s="39">
        <v>165812</v>
      </c>
      <c r="E475" s="40">
        <v>2371.21</v>
      </c>
      <c r="F475" s="143">
        <v>1693.09</v>
      </c>
      <c r="G475" s="143"/>
      <c r="H475" s="130">
        <v>725246</v>
      </c>
      <c r="I475" s="9"/>
      <c r="J475" s="145"/>
      <c r="K475" s="145"/>
      <c r="L475" s="146"/>
      <c r="M475" s="146"/>
      <c r="N475" s="91"/>
      <c r="O475" s="91"/>
      <c r="P475" s="61"/>
    </row>
    <row r="476" spans="1:16" ht="15" customHeight="1">
      <c r="A476" s="292"/>
      <c r="B476" s="34">
        <v>1.2083333333333299</v>
      </c>
      <c r="C476" s="38">
        <v>221206</v>
      </c>
      <c r="D476" s="39">
        <v>165812</v>
      </c>
      <c r="E476" s="40">
        <v>2371.21</v>
      </c>
      <c r="F476" s="143">
        <v>1693.09</v>
      </c>
      <c r="G476" s="143"/>
      <c r="H476" s="130">
        <v>725246</v>
      </c>
      <c r="I476" s="9"/>
      <c r="J476" s="145"/>
      <c r="K476" s="145"/>
      <c r="L476" s="146"/>
      <c r="M476" s="146"/>
      <c r="N476" s="91"/>
      <c r="O476" s="91"/>
      <c r="P476" s="61"/>
    </row>
    <row r="477" spans="1:16" ht="15" customHeight="1">
      <c r="A477" s="292"/>
      <c r="B477" s="34">
        <v>1.25</v>
      </c>
      <c r="C477" s="38">
        <v>221206</v>
      </c>
      <c r="D477" s="39">
        <v>165812</v>
      </c>
      <c r="E477" s="40">
        <v>2371.21</v>
      </c>
      <c r="F477" s="143">
        <v>1693.09</v>
      </c>
      <c r="G477" s="143"/>
      <c r="H477" s="130">
        <v>725246</v>
      </c>
      <c r="I477" s="9"/>
      <c r="J477" s="145"/>
      <c r="K477" s="145"/>
      <c r="L477" s="146"/>
      <c r="M477" s="146"/>
      <c r="N477" s="91"/>
      <c r="O477" s="91"/>
      <c r="P477" s="61"/>
    </row>
    <row r="478" spans="1:16" ht="15" customHeight="1">
      <c r="A478" s="292"/>
      <c r="B478" s="34">
        <v>1.2916666666666701</v>
      </c>
      <c r="C478" s="38">
        <v>221206</v>
      </c>
      <c r="D478" s="39">
        <v>165812</v>
      </c>
      <c r="E478" s="40">
        <v>2371.21</v>
      </c>
      <c r="F478" s="143">
        <v>1693.09</v>
      </c>
      <c r="G478" s="143"/>
      <c r="H478" s="130">
        <v>725246</v>
      </c>
      <c r="I478" s="9"/>
      <c r="J478" s="145"/>
      <c r="K478" s="145"/>
      <c r="L478" s="146"/>
      <c r="M478" s="146"/>
      <c r="N478" s="91"/>
      <c r="O478" s="91"/>
      <c r="P478" s="61"/>
    </row>
    <row r="479" spans="1:16" ht="15" customHeight="1">
      <c r="A479" s="293"/>
      <c r="B479" s="37"/>
      <c r="C479" s="204" cm="1">
        <f t="array" ref="C479">IFERROR(LOOKUP(2,1/(C454:C478&gt;0),C454:C478-C454),0)</f>
        <v>0</v>
      </c>
      <c r="D479" s="204" cm="1">
        <f t="array" ref="D479">IFERROR(LOOKUP(2,1/(D454:D478&gt;0),D454:D478-D454),0)</f>
        <v>0</v>
      </c>
      <c r="E479" s="207" cm="1">
        <f t="array" ref="E479">IFERROR(LOOKUP(2,1/(E454:E478&gt;0),E454:E478-E454),0)</f>
        <v>0</v>
      </c>
      <c r="F479" s="207" cm="1">
        <f t="array" ref="F479">IFERROR(LOOKUP(2,1/(F454:F478&gt;0),F454:F478-F454),0)</f>
        <v>0</v>
      </c>
      <c r="G479" s="41">
        <f>E479+F479</f>
        <v>0</v>
      </c>
      <c r="H479" s="205" cm="1">
        <f t="array" ref="H479">IFERROR(LOOKUP(2,1/(H454:H478&gt;0),H454:H478-H454),0)</f>
        <v>0</v>
      </c>
      <c r="I479" s="204" cm="1">
        <f t="array" ref="I479">IFERROR(LOOKUP(2,1/(I454:I478&gt;0),I454:I478-I454),0)</f>
        <v>0</v>
      </c>
      <c r="J479" s="242">
        <f t="shared" ref="J479:O479" si="17">IFERROR(AVERAGE(J454:J478),0)</f>
        <v>0</v>
      </c>
      <c r="K479" s="242">
        <f t="shared" si="17"/>
        <v>0</v>
      </c>
      <c r="L479" s="242">
        <f t="shared" si="17"/>
        <v>0</v>
      </c>
      <c r="M479" s="242">
        <f t="shared" si="17"/>
        <v>0</v>
      </c>
      <c r="N479" s="242">
        <f t="shared" si="17"/>
        <v>0</v>
      </c>
      <c r="O479" s="242">
        <f t="shared" si="17"/>
        <v>0</v>
      </c>
      <c r="P479" s="206">
        <f>COUNT(P454:P478)</f>
        <v>0</v>
      </c>
    </row>
    <row r="480" spans="1:16" ht="15" customHeight="1">
      <c r="A480" s="291">
        <f>'DATA B1'!B480</f>
        <v>46041</v>
      </c>
      <c r="B480" s="34">
        <v>0.29166666666666669</v>
      </c>
      <c r="C480" s="38">
        <v>221206</v>
      </c>
      <c r="D480" s="39">
        <v>165812</v>
      </c>
      <c r="E480" s="40">
        <v>2371.21</v>
      </c>
      <c r="F480" s="143">
        <v>1693.09</v>
      </c>
      <c r="G480" s="143"/>
      <c r="H480" s="130">
        <v>725246</v>
      </c>
      <c r="I480" s="9"/>
      <c r="J480" s="145"/>
      <c r="K480" s="145"/>
      <c r="L480" s="146"/>
      <c r="M480" s="146"/>
      <c r="N480" s="91"/>
      <c r="O480" s="91"/>
      <c r="P480" s="61"/>
    </row>
    <row r="481" spans="1:16" ht="15" customHeight="1">
      <c r="A481" s="292"/>
      <c r="B481" s="34">
        <v>0.33333333333333298</v>
      </c>
      <c r="C481" s="38">
        <v>221206</v>
      </c>
      <c r="D481" s="39">
        <v>165812</v>
      </c>
      <c r="E481" s="40">
        <v>2371.21</v>
      </c>
      <c r="F481" s="143">
        <v>1693.09</v>
      </c>
      <c r="G481" s="143"/>
      <c r="H481" s="130">
        <v>725246</v>
      </c>
      <c r="I481" s="9"/>
      <c r="J481" s="145"/>
      <c r="K481" s="145"/>
      <c r="L481" s="146"/>
      <c r="M481" s="146"/>
      <c r="N481" s="91"/>
      <c r="O481" s="91"/>
      <c r="P481" s="61"/>
    </row>
    <row r="482" spans="1:16" ht="15" customHeight="1">
      <c r="A482" s="292"/>
      <c r="B482" s="34">
        <v>0.375</v>
      </c>
      <c r="C482" s="38">
        <v>221206</v>
      </c>
      <c r="D482" s="39">
        <v>165812</v>
      </c>
      <c r="E482" s="40">
        <v>2371.21</v>
      </c>
      <c r="F482" s="143">
        <v>1693.09</v>
      </c>
      <c r="G482" s="143"/>
      <c r="H482" s="130">
        <v>725246</v>
      </c>
      <c r="I482" s="9"/>
      <c r="J482" s="145"/>
      <c r="K482" s="145"/>
      <c r="L482" s="146"/>
      <c r="M482" s="146"/>
      <c r="N482" s="91"/>
      <c r="O482" s="91"/>
      <c r="P482" s="61"/>
    </row>
    <row r="483" spans="1:16" ht="15" customHeight="1">
      <c r="A483" s="292"/>
      <c r="B483" s="34">
        <v>0.41666666666666702</v>
      </c>
      <c r="C483" s="38">
        <v>221206</v>
      </c>
      <c r="D483" s="39">
        <v>165812</v>
      </c>
      <c r="E483" s="40">
        <v>2371.21</v>
      </c>
      <c r="F483" s="143">
        <v>1693.09</v>
      </c>
      <c r="G483" s="143"/>
      <c r="H483" s="130">
        <v>725246</v>
      </c>
      <c r="I483" s="9"/>
      <c r="J483" s="145"/>
      <c r="K483" s="145"/>
      <c r="L483" s="146"/>
      <c r="M483" s="146"/>
      <c r="N483" s="91"/>
      <c r="O483" s="91"/>
      <c r="P483" s="61"/>
    </row>
    <row r="484" spans="1:16" ht="15" customHeight="1">
      <c r="A484" s="292"/>
      <c r="B484" s="34">
        <v>0.45833333333333298</v>
      </c>
      <c r="C484" s="38">
        <v>221206</v>
      </c>
      <c r="D484" s="39">
        <v>165812</v>
      </c>
      <c r="E484" s="40">
        <v>2371.21</v>
      </c>
      <c r="F484" s="143">
        <v>1693.09</v>
      </c>
      <c r="G484" s="143"/>
      <c r="H484" s="130">
        <v>725246</v>
      </c>
      <c r="I484" s="9"/>
      <c r="J484" s="145"/>
      <c r="K484" s="145"/>
      <c r="L484" s="146"/>
      <c r="M484" s="146"/>
      <c r="N484" s="91"/>
      <c r="O484" s="91"/>
      <c r="P484" s="61"/>
    </row>
    <row r="485" spans="1:16" ht="15" customHeight="1">
      <c r="A485" s="292"/>
      <c r="B485" s="34">
        <v>0.5</v>
      </c>
      <c r="C485" s="38">
        <v>221206</v>
      </c>
      <c r="D485" s="39">
        <v>165812</v>
      </c>
      <c r="E485" s="40">
        <v>2371.21</v>
      </c>
      <c r="F485" s="143">
        <v>1693.09</v>
      </c>
      <c r="G485" s="143"/>
      <c r="H485" s="130">
        <v>725246</v>
      </c>
      <c r="I485" s="9"/>
      <c r="J485" s="145"/>
      <c r="K485" s="145"/>
      <c r="L485" s="146"/>
      <c r="M485" s="146"/>
      <c r="N485" s="91"/>
      <c r="O485" s="91"/>
      <c r="P485" s="61"/>
    </row>
    <row r="486" spans="1:16" ht="15" customHeight="1">
      <c r="A486" s="292"/>
      <c r="B486" s="34">
        <v>0.54166666666666696</v>
      </c>
      <c r="C486" s="38">
        <v>221206</v>
      </c>
      <c r="D486" s="39">
        <v>165812</v>
      </c>
      <c r="E486" s="40">
        <v>2371.21</v>
      </c>
      <c r="F486" s="143">
        <v>1693.09</v>
      </c>
      <c r="G486" s="143"/>
      <c r="H486" s="130">
        <v>725246</v>
      </c>
      <c r="I486" s="9"/>
      <c r="J486" s="145"/>
      <c r="K486" s="145"/>
      <c r="L486" s="146"/>
      <c r="M486" s="146"/>
      <c r="N486" s="91"/>
      <c r="O486" s="91"/>
      <c r="P486" s="61"/>
    </row>
    <row r="487" spans="1:16" ht="15" customHeight="1">
      <c r="A487" s="292"/>
      <c r="B487" s="34">
        <v>0.58333333333333304</v>
      </c>
      <c r="C487" s="38">
        <v>221220</v>
      </c>
      <c r="D487" s="39">
        <v>165829</v>
      </c>
      <c r="E487" s="40">
        <v>2471.21</v>
      </c>
      <c r="F487" s="143">
        <v>1720.09</v>
      </c>
      <c r="G487" s="143"/>
      <c r="H487" s="130">
        <v>726201</v>
      </c>
      <c r="I487" s="9"/>
      <c r="J487" s="243">
        <v>100</v>
      </c>
      <c r="K487" s="145">
        <v>17</v>
      </c>
      <c r="L487" s="244">
        <v>100</v>
      </c>
      <c r="M487" s="146">
        <v>105.6</v>
      </c>
      <c r="N487" s="247">
        <v>215</v>
      </c>
      <c r="O487" s="91">
        <v>195.5</v>
      </c>
      <c r="P487" s="65"/>
    </row>
    <row r="488" spans="1:16" ht="15" customHeight="1">
      <c r="A488" s="292"/>
      <c r="B488" s="34">
        <v>0.625</v>
      </c>
      <c r="C488" s="38">
        <v>221235</v>
      </c>
      <c r="D488" s="39">
        <v>165847</v>
      </c>
      <c r="E488" s="40">
        <v>2576.67</v>
      </c>
      <c r="F488" s="143">
        <v>1750.86</v>
      </c>
      <c r="G488" s="143"/>
      <c r="H488" s="130">
        <v>727167</v>
      </c>
      <c r="I488" s="9"/>
      <c r="J488" s="243">
        <v>108</v>
      </c>
      <c r="K488" s="145">
        <v>17</v>
      </c>
      <c r="L488" s="244">
        <v>108</v>
      </c>
      <c r="M488" s="146">
        <v>112.2</v>
      </c>
      <c r="N488" s="247">
        <v>227</v>
      </c>
      <c r="O488" s="247">
        <v>199</v>
      </c>
      <c r="P488" s="61"/>
    </row>
    <row r="489" spans="1:16" ht="15" customHeight="1">
      <c r="A489" s="292"/>
      <c r="B489" s="34">
        <v>0.66666666666666696</v>
      </c>
      <c r="C489" s="38">
        <v>221246</v>
      </c>
      <c r="D489" s="39">
        <v>165858</v>
      </c>
      <c r="E489" s="40">
        <v>2532.38</v>
      </c>
      <c r="F489" s="143">
        <v>1750.86</v>
      </c>
      <c r="G489" s="143"/>
      <c r="H489" s="130">
        <v>727715</v>
      </c>
      <c r="I489" s="9"/>
      <c r="J489" s="145">
        <v>99.9</v>
      </c>
      <c r="K489" s="145">
        <v>17</v>
      </c>
      <c r="L489" s="146">
        <v>99.9</v>
      </c>
      <c r="M489" s="146">
        <v>108.1</v>
      </c>
      <c r="N489" s="91">
        <v>222.3</v>
      </c>
      <c r="O489" s="91">
        <v>189.7</v>
      </c>
      <c r="P489" s="61"/>
    </row>
    <row r="490" spans="1:16" ht="15" customHeight="1">
      <c r="A490" s="292"/>
      <c r="B490" s="34">
        <v>0.70833333333333304</v>
      </c>
      <c r="C490" s="249">
        <v>221257</v>
      </c>
      <c r="D490" s="39">
        <v>165868</v>
      </c>
      <c r="E490" s="40">
        <v>2577.85</v>
      </c>
      <c r="F490" s="143">
        <v>1750.86</v>
      </c>
      <c r="G490" s="143"/>
      <c r="H490" s="130">
        <v>728226</v>
      </c>
      <c r="I490" s="9"/>
      <c r="J490" s="145">
        <v>100.3</v>
      </c>
      <c r="K490" s="145">
        <v>17</v>
      </c>
      <c r="L490" s="146">
        <v>100.3</v>
      </c>
      <c r="M490" s="146">
        <v>109.3</v>
      </c>
      <c r="N490" s="91">
        <v>225.6</v>
      </c>
      <c r="O490" s="91">
        <v>198.8</v>
      </c>
      <c r="P490" s="61"/>
    </row>
    <row r="491" spans="1:16" ht="15" customHeight="1">
      <c r="A491" s="292"/>
      <c r="B491" s="34">
        <v>0.75</v>
      </c>
      <c r="C491" s="38">
        <v>221269</v>
      </c>
      <c r="D491" s="39">
        <v>165878</v>
      </c>
      <c r="E491" s="40">
        <v>2622.38</v>
      </c>
      <c r="F491" s="143">
        <v>1750.86</v>
      </c>
      <c r="G491" s="143"/>
      <c r="H491" s="130">
        <v>728734</v>
      </c>
      <c r="I491" s="9"/>
      <c r="J491" s="145">
        <v>100.2</v>
      </c>
      <c r="K491" s="145">
        <v>17</v>
      </c>
      <c r="L491" s="146">
        <v>100.2</v>
      </c>
      <c r="M491" s="146">
        <v>110.2</v>
      </c>
      <c r="N491" s="91">
        <v>226.5</v>
      </c>
      <c r="O491" s="91">
        <v>198.3</v>
      </c>
      <c r="P491" s="61"/>
    </row>
    <row r="492" spans="1:16" ht="15" customHeight="1">
      <c r="A492" s="292"/>
      <c r="B492" s="34">
        <v>0.79166666666666696</v>
      </c>
      <c r="C492" s="38">
        <v>221281</v>
      </c>
      <c r="D492" s="39">
        <v>165889</v>
      </c>
      <c r="E492" s="40">
        <v>2751.13</v>
      </c>
      <c r="F492" s="143">
        <v>1750.86</v>
      </c>
      <c r="G492" s="143"/>
      <c r="H492" s="130">
        <v>729361</v>
      </c>
      <c r="I492" s="9"/>
      <c r="J492" s="145">
        <v>91.2</v>
      </c>
      <c r="K492" s="145">
        <v>17</v>
      </c>
      <c r="L492" s="146">
        <v>91.2</v>
      </c>
      <c r="M492" s="146">
        <v>105.1</v>
      </c>
      <c r="N492" s="247">
        <v>258</v>
      </c>
      <c r="O492" s="91">
        <v>197.7</v>
      </c>
      <c r="P492" s="61"/>
    </row>
    <row r="493" spans="1:16" ht="15" customHeight="1">
      <c r="A493" s="292"/>
      <c r="B493" s="34">
        <v>0.83333333333333304</v>
      </c>
      <c r="C493" s="38">
        <v>221295</v>
      </c>
      <c r="D493" s="39">
        <v>165903</v>
      </c>
      <c r="E493" s="40">
        <v>2810.29</v>
      </c>
      <c r="F493" s="143">
        <v>1750.86</v>
      </c>
      <c r="G493" s="143"/>
      <c r="H493" s="130">
        <v>730112</v>
      </c>
      <c r="I493" s="9"/>
      <c r="J493" s="145">
        <v>91.8</v>
      </c>
      <c r="K493" s="145">
        <v>17</v>
      </c>
      <c r="L493" s="146">
        <v>91.8</v>
      </c>
      <c r="M493" s="146">
        <v>105.3</v>
      </c>
      <c r="N493" s="91">
        <v>240.1</v>
      </c>
      <c r="O493" s="91">
        <v>198.9</v>
      </c>
      <c r="P493" s="61"/>
    </row>
    <row r="494" spans="1:16" ht="15" customHeight="1">
      <c r="A494" s="292"/>
      <c r="B494" s="34">
        <v>0.875</v>
      </c>
      <c r="C494" s="38">
        <v>221305</v>
      </c>
      <c r="D494" s="39">
        <v>165913</v>
      </c>
      <c r="E494" s="40">
        <v>2888.42</v>
      </c>
      <c r="F494" s="143">
        <v>1766.86</v>
      </c>
      <c r="G494" s="143"/>
      <c r="H494" s="130">
        <v>730642</v>
      </c>
      <c r="I494" s="9"/>
      <c r="J494" s="145">
        <v>92.4</v>
      </c>
      <c r="K494" s="145">
        <v>17</v>
      </c>
      <c r="L494" s="146">
        <v>92.4</v>
      </c>
      <c r="M494" s="146">
        <v>104.9</v>
      </c>
      <c r="N494" s="247">
        <v>242.2</v>
      </c>
      <c r="O494" s="91">
        <v>199.1</v>
      </c>
      <c r="P494" s="61"/>
    </row>
    <row r="495" spans="1:16" ht="15" customHeight="1">
      <c r="A495" s="292"/>
      <c r="B495" s="34">
        <v>0.91666666666666696</v>
      </c>
      <c r="C495" s="38">
        <v>221316</v>
      </c>
      <c r="D495" s="39">
        <v>165923</v>
      </c>
      <c r="E495" s="40">
        <v>2888.42</v>
      </c>
      <c r="F495" s="143">
        <v>1782.86</v>
      </c>
      <c r="G495" s="143"/>
      <c r="H495" s="130">
        <v>731198</v>
      </c>
      <c r="I495" s="9"/>
      <c r="J495" s="145">
        <v>93.2</v>
      </c>
      <c r="K495" s="145">
        <v>17</v>
      </c>
      <c r="L495" s="146">
        <v>93.2</v>
      </c>
      <c r="M495" s="146">
        <v>105.7</v>
      </c>
      <c r="N495" s="91">
        <v>244.3</v>
      </c>
      <c r="O495" s="91">
        <v>198.8</v>
      </c>
      <c r="P495" s="61"/>
    </row>
    <row r="496" spans="1:16" ht="15" customHeight="1">
      <c r="A496" s="292"/>
      <c r="B496" s="34">
        <v>0.95833333333333304</v>
      </c>
      <c r="C496" s="38">
        <v>221327</v>
      </c>
      <c r="D496" s="39">
        <v>165934</v>
      </c>
      <c r="E496" s="40">
        <v>2888.42</v>
      </c>
      <c r="F496" s="143">
        <v>1798.86</v>
      </c>
      <c r="G496" s="143"/>
      <c r="H496" s="130">
        <v>731763</v>
      </c>
      <c r="I496" s="9"/>
      <c r="J496" s="145">
        <v>93.6</v>
      </c>
      <c r="K496" s="145">
        <v>17</v>
      </c>
      <c r="L496" s="146">
        <v>93.6</v>
      </c>
      <c r="M496" s="146">
        <v>106.7</v>
      </c>
      <c r="N496" s="91">
        <v>246.3</v>
      </c>
      <c r="O496" s="91">
        <v>198.2</v>
      </c>
      <c r="P496" s="61"/>
    </row>
    <row r="497" spans="1:16" ht="15" customHeight="1">
      <c r="A497" s="292"/>
      <c r="B497" s="34">
        <v>1</v>
      </c>
      <c r="C497" s="38">
        <v>221338</v>
      </c>
      <c r="D497" s="39">
        <v>165945</v>
      </c>
      <c r="E497" s="40">
        <v>2888.42</v>
      </c>
      <c r="F497" s="143">
        <v>1814.86</v>
      </c>
      <c r="G497" s="143"/>
      <c r="H497" s="130">
        <v>732326</v>
      </c>
      <c r="I497" s="9"/>
      <c r="J497" s="145">
        <v>100.6</v>
      </c>
      <c r="K497" s="145">
        <v>17</v>
      </c>
      <c r="L497" s="146">
        <v>100.6</v>
      </c>
      <c r="M497" s="146">
        <v>113</v>
      </c>
      <c r="N497" s="91">
        <v>234.7</v>
      </c>
      <c r="O497" s="91">
        <v>199.1</v>
      </c>
      <c r="P497" s="61"/>
    </row>
    <row r="498" spans="1:16" ht="15" customHeight="1">
      <c r="A498" s="292"/>
      <c r="B498" s="34">
        <v>1.0416666666666701</v>
      </c>
      <c r="C498" s="38">
        <v>221349</v>
      </c>
      <c r="D498" s="39">
        <v>165956</v>
      </c>
      <c r="E498" s="40">
        <v>2888.42</v>
      </c>
      <c r="F498" s="143">
        <v>1830.86</v>
      </c>
      <c r="G498" s="143"/>
      <c r="H498" s="130">
        <v>732893</v>
      </c>
      <c r="I498" s="9"/>
      <c r="J498" s="145">
        <v>100.3</v>
      </c>
      <c r="K498" s="145">
        <v>17</v>
      </c>
      <c r="L498" s="146">
        <v>100.3</v>
      </c>
      <c r="M498" s="146">
        <v>112.4</v>
      </c>
      <c r="N498" s="91">
        <v>226.9</v>
      </c>
      <c r="O498" s="91">
        <v>198.4</v>
      </c>
      <c r="P498" s="61"/>
    </row>
    <row r="499" spans="1:16" ht="15" customHeight="1">
      <c r="A499" s="292"/>
      <c r="B499" s="34">
        <v>1.0833333333333299</v>
      </c>
      <c r="C499" s="38">
        <v>221359</v>
      </c>
      <c r="D499" s="39">
        <v>165966</v>
      </c>
      <c r="E499" s="40">
        <v>2888.42</v>
      </c>
      <c r="F499" s="143">
        <v>1846.86</v>
      </c>
      <c r="G499" s="143"/>
      <c r="H499" s="130">
        <v>733449</v>
      </c>
      <c r="I499" s="9"/>
      <c r="J499" s="145">
        <v>100.7</v>
      </c>
      <c r="K499" s="145">
        <v>17</v>
      </c>
      <c r="L499" s="146">
        <v>100.7</v>
      </c>
      <c r="M499" s="146">
        <v>111.9</v>
      </c>
      <c r="N499" s="91">
        <v>225.9</v>
      </c>
      <c r="O499" s="91">
        <v>198.9</v>
      </c>
      <c r="P499" s="61"/>
    </row>
    <row r="500" spans="1:16" ht="15" customHeight="1">
      <c r="A500" s="292"/>
      <c r="B500" s="34">
        <v>1.125</v>
      </c>
      <c r="C500" s="38">
        <v>221371</v>
      </c>
      <c r="D500" s="39">
        <v>165978</v>
      </c>
      <c r="E500" s="40">
        <v>2888.42</v>
      </c>
      <c r="F500" s="143">
        <v>1862.86</v>
      </c>
      <c r="G500" s="143"/>
      <c r="H500" s="130">
        <v>734023</v>
      </c>
      <c r="I500" s="9"/>
      <c r="J500" s="145">
        <v>100.9</v>
      </c>
      <c r="K500" s="145">
        <v>17</v>
      </c>
      <c r="L500" s="146">
        <v>100.9</v>
      </c>
      <c r="M500" s="146">
        <v>114.1</v>
      </c>
      <c r="N500" s="91">
        <v>235.4</v>
      </c>
      <c r="O500" s="91">
        <v>199.2</v>
      </c>
      <c r="P500" s="61"/>
    </row>
    <row r="501" spans="1:16" ht="15" customHeight="1">
      <c r="A501" s="292"/>
      <c r="B501" s="34">
        <v>1.1666666666666701</v>
      </c>
      <c r="C501" s="38">
        <v>221385</v>
      </c>
      <c r="D501" s="39">
        <v>165991</v>
      </c>
      <c r="E501" s="40">
        <v>2888.42</v>
      </c>
      <c r="F501" s="143">
        <v>1878.86</v>
      </c>
      <c r="G501" s="143"/>
      <c r="H501" s="130">
        <v>734719</v>
      </c>
      <c r="I501" s="9"/>
      <c r="J501" s="145">
        <v>100.1</v>
      </c>
      <c r="K501" s="145">
        <v>17</v>
      </c>
      <c r="L501" s="146">
        <v>100.1</v>
      </c>
      <c r="M501" s="146">
        <v>110.8</v>
      </c>
      <c r="N501" s="91">
        <v>227.2</v>
      </c>
      <c r="O501" s="91">
        <v>200.7</v>
      </c>
      <c r="P501" s="61"/>
    </row>
    <row r="502" spans="1:16" ht="15" customHeight="1">
      <c r="A502" s="292"/>
      <c r="B502" s="34">
        <v>1.2083333333333299</v>
      </c>
      <c r="C502" s="38">
        <v>221399</v>
      </c>
      <c r="D502" s="39">
        <v>166004</v>
      </c>
      <c r="E502" s="40">
        <v>2888.42</v>
      </c>
      <c r="F502" s="143">
        <v>1894.86</v>
      </c>
      <c r="G502" s="143"/>
      <c r="H502" s="130">
        <v>735419</v>
      </c>
      <c r="I502" s="9"/>
      <c r="J502" s="145">
        <v>100.7</v>
      </c>
      <c r="K502" s="145">
        <v>17</v>
      </c>
      <c r="L502" s="146">
        <v>100.7</v>
      </c>
      <c r="M502" s="146">
        <v>111.9</v>
      </c>
      <c r="N502" s="91">
        <v>225.9</v>
      </c>
      <c r="O502" s="91">
        <v>198.9</v>
      </c>
      <c r="P502" s="61"/>
    </row>
    <row r="503" spans="1:16" ht="15" customHeight="1">
      <c r="A503" s="292"/>
      <c r="B503" s="34">
        <v>1.25</v>
      </c>
      <c r="C503" s="38">
        <v>221413</v>
      </c>
      <c r="D503" s="39">
        <v>166017</v>
      </c>
      <c r="E503" s="40">
        <v>2888.42</v>
      </c>
      <c r="F503" s="143">
        <v>1910.86</v>
      </c>
      <c r="G503" s="143"/>
      <c r="H503" s="130">
        <v>736112</v>
      </c>
      <c r="I503" s="9"/>
      <c r="J503" s="145">
        <v>100.2</v>
      </c>
      <c r="K503" s="145">
        <v>17</v>
      </c>
      <c r="L503" s="146">
        <v>100.2</v>
      </c>
      <c r="M503" s="146">
        <v>114.3</v>
      </c>
      <c r="N503" s="91">
        <v>228.7</v>
      </c>
      <c r="O503" s="91">
        <v>195.7</v>
      </c>
      <c r="P503" s="61"/>
    </row>
    <row r="504" spans="1:16" ht="15" customHeight="1">
      <c r="A504" s="292"/>
      <c r="B504" s="34">
        <v>1.2916666666666701</v>
      </c>
      <c r="C504" s="38">
        <v>221427</v>
      </c>
      <c r="D504" s="39">
        <v>166031</v>
      </c>
      <c r="E504" s="40">
        <v>2888.42</v>
      </c>
      <c r="F504" s="143">
        <v>2176.75</v>
      </c>
      <c r="G504" s="143"/>
      <c r="H504" s="130">
        <v>736818</v>
      </c>
      <c r="I504" s="9"/>
      <c r="J504" s="145">
        <v>93</v>
      </c>
      <c r="K504" s="145">
        <v>17</v>
      </c>
      <c r="L504" s="146">
        <v>93</v>
      </c>
      <c r="M504" s="146">
        <v>106.2</v>
      </c>
      <c r="N504" s="91">
        <v>243</v>
      </c>
      <c r="O504" s="91">
        <v>199.2</v>
      </c>
      <c r="P504" s="61"/>
    </row>
    <row r="505" spans="1:16" ht="15" customHeight="1">
      <c r="A505" s="293"/>
      <c r="B505" s="37"/>
      <c r="C505" s="204" cm="1">
        <f t="array" ref="C505">IFERROR(LOOKUP(2,1/(C480:C504&gt;0),C480:C504-C480),0)</f>
        <v>221</v>
      </c>
      <c r="D505" s="204" cm="1">
        <f t="array" ref="D505">IFERROR(LOOKUP(2,1/(D480:D504&gt;0),D480:D504-D480),0)</f>
        <v>219</v>
      </c>
      <c r="E505" s="207" cm="1">
        <f t="array" ref="E505">IFERROR(LOOKUP(2,1/(E480:E504&gt;0),E480:E504-E480),0)</f>
        <v>517.21</v>
      </c>
      <c r="F505" s="207" cm="1">
        <f t="array" ref="F505">IFERROR(LOOKUP(2,1/(F480:F504&gt;0),F480:F504-F480),0)</f>
        <v>483.66000000000008</v>
      </c>
      <c r="G505" s="41">
        <f>E505+F505</f>
        <v>1000.8700000000001</v>
      </c>
      <c r="H505" s="205" cm="1">
        <f t="array" ref="H505">IFERROR(LOOKUP(2,1/(H480:H504&gt;0),H480:H504-H480),0)</f>
        <v>11572</v>
      </c>
      <c r="I505" s="204" cm="1">
        <f t="array" ref="I505">IFERROR(LOOKUP(2,1/(I480:I504&gt;0),I480:I504-I480),0)</f>
        <v>0</v>
      </c>
      <c r="J505" s="242">
        <f t="shared" ref="J505:O505" si="18">IFERROR(AVERAGE(J480:J504),0)</f>
        <v>98.172222222222231</v>
      </c>
      <c r="K505" s="242">
        <f t="shared" si="18"/>
        <v>17</v>
      </c>
      <c r="L505" s="242">
        <f t="shared" si="18"/>
        <v>98.172222222222231</v>
      </c>
      <c r="M505" s="242">
        <f t="shared" si="18"/>
        <v>109.31666666666666</v>
      </c>
      <c r="N505" s="242">
        <f t="shared" si="18"/>
        <v>233.05555555555554</v>
      </c>
      <c r="O505" s="242">
        <f t="shared" si="18"/>
        <v>198.00555555555553</v>
      </c>
      <c r="P505" s="206">
        <f>COUNT(P480:P504)</f>
        <v>0</v>
      </c>
    </row>
    <row r="506" spans="1:16" ht="15" customHeight="1">
      <c r="A506" s="291">
        <f>'DATA B1'!B506</f>
        <v>46042</v>
      </c>
      <c r="B506" s="34">
        <v>0.29166666666666669</v>
      </c>
      <c r="C506" s="38">
        <v>221427</v>
      </c>
      <c r="D506" s="39">
        <v>166031</v>
      </c>
      <c r="E506" s="40">
        <v>2888.42</v>
      </c>
      <c r="F506" s="143">
        <v>2176.75</v>
      </c>
      <c r="G506" s="143"/>
      <c r="H506" s="130">
        <v>736818</v>
      </c>
      <c r="I506" s="9"/>
      <c r="J506" s="145">
        <v>93</v>
      </c>
      <c r="K506" s="145">
        <v>17</v>
      </c>
      <c r="L506" s="146">
        <v>93</v>
      </c>
      <c r="M506" s="146">
        <v>106.2</v>
      </c>
      <c r="N506" s="91">
        <v>243</v>
      </c>
      <c r="O506" s="91">
        <v>199.2</v>
      </c>
      <c r="P506" s="61"/>
    </row>
    <row r="507" spans="1:16" ht="15" customHeight="1">
      <c r="A507" s="292"/>
      <c r="B507" s="34">
        <v>0.33333333333333298</v>
      </c>
      <c r="C507" s="38">
        <v>221441</v>
      </c>
      <c r="D507" s="39">
        <v>166045</v>
      </c>
      <c r="E507" s="40">
        <v>2897.31</v>
      </c>
      <c r="F507" s="143">
        <v>2223.04</v>
      </c>
      <c r="G507" s="143"/>
      <c r="H507" s="130">
        <v>737533</v>
      </c>
      <c r="I507" s="9"/>
      <c r="J507" s="145">
        <v>93.1</v>
      </c>
      <c r="K507" s="145">
        <v>17</v>
      </c>
      <c r="L507" s="146">
        <v>93.1</v>
      </c>
      <c r="M507" s="146">
        <v>106.3</v>
      </c>
      <c r="N507" s="91">
        <v>240.6</v>
      </c>
      <c r="O507" s="91">
        <v>189.7</v>
      </c>
      <c r="P507" s="61"/>
    </row>
    <row r="508" spans="1:16" ht="15" customHeight="1">
      <c r="A508" s="292"/>
      <c r="B508" s="34">
        <v>0.375</v>
      </c>
      <c r="C508" s="38">
        <v>221451</v>
      </c>
      <c r="D508" s="39">
        <v>166055</v>
      </c>
      <c r="E508" s="40">
        <v>2906.2</v>
      </c>
      <c r="F508" s="143">
        <v>2223.04</v>
      </c>
      <c r="G508" s="143"/>
      <c r="H508" s="130">
        <v>738045</v>
      </c>
      <c r="I508" s="9"/>
      <c r="J508" s="145">
        <v>92.4</v>
      </c>
      <c r="K508" s="145">
        <v>17</v>
      </c>
      <c r="L508" s="146">
        <v>92.4</v>
      </c>
      <c r="M508" s="146">
        <v>104.9</v>
      </c>
      <c r="N508" s="247">
        <v>242.2</v>
      </c>
      <c r="O508" s="91">
        <v>199.1</v>
      </c>
      <c r="P508" s="61"/>
    </row>
    <row r="509" spans="1:16" ht="15" customHeight="1">
      <c r="A509" s="292"/>
      <c r="B509" s="34">
        <v>0.41666666666666702</v>
      </c>
      <c r="C509" s="38">
        <v>221461</v>
      </c>
      <c r="D509" s="39">
        <v>166065</v>
      </c>
      <c r="E509" s="40">
        <v>2915.09</v>
      </c>
      <c r="F509" s="143">
        <v>2223.04</v>
      </c>
      <c r="G509" s="143"/>
      <c r="H509" s="130">
        <v>738549</v>
      </c>
      <c r="I509" s="9"/>
      <c r="J509" s="145">
        <v>93.2</v>
      </c>
      <c r="K509" s="145">
        <v>17</v>
      </c>
      <c r="L509" s="146">
        <v>93.2</v>
      </c>
      <c r="M509" s="146">
        <v>105.7</v>
      </c>
      <c r="N509" s="91">
        <v>244.3</v>
      </c>
      <c r="O509" s="91">
        <v>198.8</v>
      </c>
      <c r="P509" s="61"/>
    </row>
    <row r="510" spans="1:16" ht="15" customHeight="1">
      <c r="A510" s="292"/>
      <c r="B510" s="34">
        <v>0.45833333333333298</v>
      </c>
      <c r="C510" s="38">
        <v>221472</v>
      </c>
      <c r="D510" s="39">
        <v>166075</v>
      </c>
      <c r="E510" s="40">
        <v>3022.13</v>
      </c>
      <c r="F510" s="143">
        <v>2223.04</v>
      </c>
      <c r="G510" s="143"/>
      <c r="H510" s="130">
        <v>739083</v>
      </c>
      <c r="I510" s="9"/>
      <c r="J510" s="145">
        <v>90.9</v>
      </c>
      <c r="K510" s="145">
        <v>17</v>
      </c>
      <c r="L510" s="146">
        <v>90.9</v>
      </c>
      <c r="M510" s="146">
        <v>104.4</v>
      </c>
      <c r="N510" s="91">
        <v>248.4</v>
      </c>
      <c r="O510" s="91">
        <v>198.5</v>
      </c>
      <c r="P510" s="61"/>
    </row>
    <row r="511" spans="1:16" ht="15" customHeight="1">
      <c r="A511" s="292"/>
      <c r="B511" s="34">
        <v>0.5</v>
      </c>
      <c r="C511" s="38">
        <v>221484</v>
      </c>
      <c r="D511" s="39">
        <v>166086</v>
      </c>
      <c r="E511" s="40">
        <v>3067.85</v>
      </c>
      <c r="F511" s="143">
        <v>2223.04</v>
      </c>
      <c r="G511" s="143"/>
      <c r="H511" s="130">
        <v>739709</v>
      </c>
      <c r="I511" s="9"/>
      <c r="J511" s="145">
        <v>91.2</v>
      </c>
      <c r="K511" s="145">
        <v>17</v>
      </c>
      <c r="L511" s="146">
        <v>91.2</v>
      </c>
      <c r="M511" s="146">
        <v>105.1</v>
      </c>
      <c r="N511" s="247">
        <v>258</v>
      </c>
      <c r="O511" s="91">
        <v>197.7</v>
      </c>
      <c r="P511" s="61"/>
    </row>
    <row r="512" spans="1:16" ht="15" customHeight="1">
      <c r="A512" s="292"/>
      <c r="B512" s="34">
        <v>0.54166666666666696</v>
      </c>
      <c r="C512" s="38">
        <v>221496</v>
      </c>
      <c r="D512" s="39">
        <v>166097</v>
      </c>
      <c r="E512" s="40">
        <v>3114.28</v>
      </c>
      <c r="F512" s="143">
        <v>2223.04</v>
      </c>
      <c r="G512" s="143"/>
      <c r="H512" s="130">
        <v>740338</v>
      </c>
      <c r="I512" s="9"/>
      <c r="J512" s="145">
        <v>91.8</v>
      </c>
      <c r="K512" s="145">
        <v>17</v>
      </c>
      <c r="L512" s="146">
        <v>91.8</v>
      </c>
      <c r="M512" s="146">
        <v>105.3</v>
      </c>
      <c r="N512" s="91">
        <v>240.1</v>
      </c>
      <c r="O512" s="91">
        <v>198.9</v>
      </c>
      <c r="P512" s="61"/>
    </row>
    <row r="513" spans="1:16" ht="15" customHeight="1">
      <c r="A513" s="292"/>
      <c r="B513" s="34">
        <v>0.58333333333333304</v>
      </c>
      <c r="C513" s="38">
        <v>221508</v>
      </c>
      <c r="D513" s="39">
        <v>166109</v>
      </c>
      <c r="E513" s="40">
        <v>3160.69</v>
      </c>
      <c r="F513" s="143">
        <v>2223.04</v>
      </c>
      <c r="G513" s="143"/>
      <c r="H513" s="130">
        <v>740949</v>
      </c>
      <c r="I513" s="9"/>
      <c r="J513" s="145">
        <v>92.4</v>
      </c>
      <c r="K513" s="145">
        <v>17</v>
      </c>
      <c r="L513" s="146">
        <v>92.4</v>
      </c>
      <c r="M513" s="146">
        <v>104.9</v>
      </c>
      <c r="N513" s="247">
        <v>242.2</v>
      </c>
      <c r="O513" s="91">
        <v>199.1</v>
      </c>
      <c r="P513" s="65"/>
    </row>
    <row r="514" spans="1:16" ht="15" customHeight="1">
      <c r="A514" s="292"/>
      <c r="B514" s="34">
        <v>0.625</v>
      </c>
      <c r="C514" s="38">
        <v>221520</v>
      </c>
      <c r="D514" s="39">
        <v>166121</v>
      </c>
      <c r="E514" s="40">
        <v>3206.29</v>
      </c>
      <c r="F514" s="143">
        <v>2223.04</v>
      </c>
      <c r="G514" s="143"/>
      <c r="H514" s="130">
        <v>741590</v>
      </c>
      <c r="I514" s="9"/>
      <c r="J514" s="145">
        <v>90.2</v>
      </c>
      <c r="K514" s="145">
        <v>17</v>
      </c>
      <c r="L514" s="146">
        <v>90.2</v>
      </c>
      <c r="M514" s="146">
        <v>103.7</v>
      </c>
      <c r="N514" s="91">
        <v>247.5</v>
      </c>
      <c r="O514" s="91">
        <v>197.3</v>
      </c>
      <c r="P514" s="61"/>
    </row>
    <row r="515" spans="1:16" ht="15" customHeight="1">
      <c r="A515" s="292"/>
      <c r="B515" s="34">
        <v>0.66666666666666696</v>
      </c>
      <c r="C515" s="38">
        <v>221533</v>
      </c>
      <c r="D515" s="39">
        <v>166133</v>
      </c>
      <c r="E515" s="40">
        <v>3251.89</v>
      </c>
      <c r="F515" s="143">
        <v>2223.04</v>
      </c>
      <c r="G515" s="143"/>
      <c r="H515" s="130">
        <v>742248</v>
      </c>
      <c r="I515" s="9"/>
      <c r="J515" s="145">
        <v>91.2</v>
      </c>
      <c r="K515" s="145">
        <v>17</v>
      </c>
      <c r="L515" s="146">
        <v>91.2</v>
      </c>
      <c r="M515" s="146">
        <v>105.1</v>
      </c>
      <c r="N515" s="247">
        <v>258</v>
      </c>
      <c r="O515" s="91">
        <v>197.7</v>
      </c>
      <c r="P515" s="61"/>
    </row>
    <row r="516" spans="1:16" ht="15" customHeight="1">
      <c r="A516" s="292"/>
      <c r="B516" s="34">
        <v>0.70833333333333304</v>
      </c>
      <c r="C516" s="38">
        <v>221546</v>
      </c>
      <c r="D516" s="39">
        <v>166145</v>
      </c>
      <c r="E516" s="40">
        <v>3297.49</v>
      </c>
      <c r="F516" s="143">
        <v>2223.04</v>
      </c>
      <c r="G516" s="143"/>
      <c r="H516" s="130">
        <v>742912</v>
      </c>
      <c r="I516" s="9"/>
      <c r="J516" s="145">
        <v>91.8</v>
      </c>
      <c r="K516" s="145">
        <v>17</v>
      </c>
      <c r="L516" s="146">
        <v>91.8</v>
      </c>
      <c r="M516" s="146">
        <v>105.3</v>
      </c>
      <c r="N516" s="91">
        <v>240.1</v>
      </c>
      <c r="O516" s="91">
        <v>198.9</v>
      </c>
      <c r="P516" s="61"/>
    </row>
    <row r="517" spans="1:16" ht="15" customHeight="1">
      <c r="A517" s="292"/>
      <c r="B517" s="34">
        <v>0.75</v>
      </c>
      <c r="C517" s="38">
        <v>221559</v>
      </c>
      <c r="D517" s="39">
        <v>166158</v>
      </c>
      <c r="E517" s="40">
        <v>3343.09</v>
      </c>
      <c r="F517" s="143">
        <v>2223.04</v>
      </c>
      <c r="G517" s="143"/>
      <c r="H517" s="130">
        <v>743559</v>
      </c>
      <c r="I517" s="9"/>
      <c r="J517" s="145">
        <v>92.4</v>
      </c>
      <c r="K517" s="145">
        <v>17</v>
      </c>
      <c r="L517" s="146">
        <v>92.4</v>
      </c>
      <c r="M517" s="146">
        <v>104.9</v>
      </c>
      <c r="N517" s="247">
        <v>242.2</v>
      </c>
      <c r="O517" s="91">
        <v>199.1</v>
      </c>
      <c r="P517" s="61"/>
    </row>
    <row r="518" spans="1:16" ht="15" customHeight="1">
      <c r="A518" s="292"/>
      <c r="B518" s="34">
        <v>0.79166666666666696</v>
      </c>
      <c r="C518" s="38">
        <v>221572</v>
      </c>
      <c r="D518" s="39">
        <v>166172</v>
      </c>
      <c r="E518" s="40">
        <v>3404.42</v>
      </c>
      <c r="F518" s="143">
        <v>2223.04</v>
      </c>
      <c r="G518" s="143"/>
      <c r="H518" s="130">
        <v>744225</v>
      </c>
      <c r="I518" s="9"/>
      <c r="J518" s="145">
        <v>93.9</v>
      </c>
      <c r="K518" s="145">
        <v>17</v>
      </c>
      <c r="L518" s="146">
        <v>93.9</v>
      </c>
      <c r="M518" s="146">
        <v>107.2</v>
      </c>
      <c r="N518" s="247">
        <v>246</v>
      </c>
      <c r="O518" s="91">
        <v>198.5</v>
      </c>
      <c r="P518" s="61"/>
    </row>
    <row r="519" spans="1:16" ht="15" customHeight="1">
      <c r="A519" s="292"/>
      <c r="B519" s="34">
        <v>0.83333333333333304</v>
      </c>
      <c r="C519" s="38">
        <v>221582</v>
      </c>
      <c r="D519" s="39">
        <v>166181</v>
      </c>
      <c r="E519" s="40">
        <v>3446.26</v>
      </c>
      <c r="F519" s="143">
        <v>2223.04</v>
      </c>
      <c r="G519" s="143"/>
      <c r="H519" s="130">
        <v>744702</v>
      </c>
      <c r="I519" s="9"/>
      <c r="J519" s="145">
        <v>92.4</v>
      </c>
      <c r="K519" s="145">
        <v>17</v>
      </c>
      <c r="L519" s="146">
        <v>92.4</v>
      </c>
      <c r="M519" s="146">
        <v>104.7</v>
      </c>
      <c r="N519" s="91">
        <v>228.9</v>
      </c>
      <c r="O519" s="91">
        <v>199.5</v>
      </c>
      <c r="P519" s="61"/>
    </row>
    <row r="520" spans="1:16" ht="15" customHeight="1">
      <c r="A520" s="292"/>
      <c r="B520" s="34">
        <v>0.875</v>
      </c>
      <c r="C520" s="38">
        <v>221591</v>
      </c>
      <c r="D520" s="39">
        <v>166189</v>
      </c>
      <c r="E520" s="143">
        <v>3520.5</v>
      </c>
      <c r="F520" s="143">
        <v>2238.14</v>
      </c>
      <c r="G520" s="143"/>
      <c r="H520" s="130">
        <v>745122</v>
      </c>
      <c r="I520" s="9"/>
      <c r="J520" s="145">
        <v>93.6</v>
      </c>
      <c r="K520" s="145">
        <v>17</v>
      </c>
      <c r="L520" s="146">
        <v>93.6</v>
      </c>
      <c r="M520" s="146">
        <v>106.7</v>
      </c>
      <c r="N520" s="91">
        <v>246.3</v>
      </c>
      <c r="O520" s="91">
        <v>198.2</v>
      </c>
      <c r="P520" s="61"/>
    </row>
    <row r="521" spans="1:16" ht="15" customHeight="1">
      <c r="A521" s="292"/>
      <c r="B521" s="34">
        <v>0.91666666666666696</v>
      </c>
      <c r="C521" s="38">
        <v>221601</v>
      </c>
      <c r="D521" s="39">
        <v>166197</v>
      </c>
      <c r="E521" s="143">
        <v>3520.5</v>
      </c>
      <c r="F521" s="143">
        <v>2253.2399999999998</v>
      </c>
      <c r="G521" s="143"/>
      <c r="H521" s="130">
        <v>745567</v>
      </c>
      <c r="I521" s="9"/>
      <c r="J521" s="145">
        <v>100.6</v>
      </c>
      <c r="K521" s="145">
        <v>17</v>
      </c>
      <c r="L521" s="146">
        <v>100.6</v>
      </c>
      <c r="M521" s="146">
        <v>113</v>
      </c>
      <c r="N521" s="91">
        <v>234.7</v>
      </c>
      <c r="O521" s="91">
        <v>199.1</v>
      </c>
      <c r="P521" s="61"/>
    </row>
    <row r="522" spans="1:16" ht="15" customHeight="1">
      <c r="A522" s="292"/>
      <c r="B522" s="34">
        <v>0.95833333333333304</v>
      </c>
      <c r="C522" s="38">
        <v>221611</v>
      </c>
      <c r="D522" s="39">
        <v>166206</v>
      </c>
      <c r="E522" s="143">
        <v>3520.5</v>
      </c>
      <c r="F522" s="143">
        <v>2268.34</v>
      </c>
      <c r="G522" s="143"/>
      <c r="H522" s="130">
        <v>746024</v>
      </c>
      <c r="I522" s="9"/>
      <c r="J522" s="145">
        <v>100.3</v>
      </c>
      <c r="K522" s="145">
        <v>17</v>
      </c>
      <c r="L522" s="146">
        <v>100.3</v>
      </c>
      <c r="M522" s="146">
        <v>112.5</v>
      </c>
      <c r="N522" s="91">
        <v>237.1</v>
      </c>
      <c r="O522" s="91">
        <v>199.2</v>
      </c>
      <c r="P522" s="61"/>
    </row>
    <row r="523" spans="1:16" ht="15" customHeight="1">
      <c r="A523" s="292"/>
      <c r="B523" s="34">
        <v>1</v>
      </c>
      <c r="C523" s="38">
        <v>221621</v>
      </c>
      <c r="D523" s="39">
        <v>166215</v>
      </c>
      <c r="E523" s="143">
        <v>3520.5</v>
      </c>
      <c r="F523" s="143">
        <v>2283.44</v>
      </c>
      <c r="G523" s="143"/>
      <c r="H523" s="130">
        <v>746479</v>
      </c>
      <c r="I523" s="9"/>
      <c r="J523" s="145">
        <v>100.3</v>
      </c>
      <c r="K523" s="145">
        <v>17</v>
      </c>
      <c r="L523" s="146">
        <v>100.3</v>
      </c>
      <c r="M523" s="146">
        <v>110.1</v>
      </c>
      <c r="N523" s="91">
        <v>228.3</v>
      </c>
      <c r="O523" s="91">
        <v>200.4</v>
      </c>
      <c r="P523" s="61"/>
    </row>
    <row r="524" spans="1:16" ht="15" customHeight="1">
      <c r="A524" s="292"/>
      <c r="B524" s="34">
        <v>1.0416666666666701</v>
      </c>
      <c r="C524" s="38">
        <v>221631</v>
      </c>
      <c r="D524" s="39">
        <v>166224</v>
      </c>
      <c r="E524" s="143">
        <v>3520.5</v>
      </c>
      <c r="F524" s="143">
        <v>2298.54</v>
      </c>
      <c r="G524" s="143"/>
      <c r="H524" s="130">
        <v>746938</v>
      </c>
      <c r="I524" s="9"/>
      <c r="J524" s="145">
        <v>100.2</v>
      </c>
      <c r="K524" s="145">
        <v>17</v>
      </c>
      <c r="L524" s="146">
        <v>100.2</v>
      </c>
      <c r="M524" s="146">
        <v>110.2</v>
      </c>
      <c r="N524" s="91">
        <v>226.5</v>
      </c>
      <c r="O524" s="91">
        <v>198.3</v>
      </c>
      <c r="P524" s="61"/>
    </row>
    <row r="525" spans="1:16" ht="15" customHeight="1">
      <c r="A525" s="292"/>
      <c r="B525" s="34">
        <v>1.0833333333333299</v>
      </c>
      <c r="C525" s="38">
        <v>221640</v>
      </c>
      <c r="D525" s="39">
        <v>166232</v>
      </c>
      <c r="E525" s="143">
        <v>3520.5</v>
      </c>
      <c r="F525" s="143">
        <v>2313.64</v>
      </c>
      <c r="G525" s="143"/>
      <c r="H525" s="130">
        <v>747386</v>
      </c>
      <c r="I525" s="9"/>
      <c r="J525" s="145">
        <v>100.2</v>
      </c>
      <c r="K525" s="145">
        <v>17</v>
      </c>
      <c r="L525" s="146">
        <v>100.2</v>
      </c>
      <c r="M525" s="146">
        <v>114.3</v>
      </c>
      <c r="N525" s="91">
        <v>228.7</v>
      </c>
      <c r="O525" s="91">
        <v>195.7</v>
      </c>
      <c r="P525" s="61"/>
    </row>
    <row r="526" spans="1:16" ht="15" customHeight="1">
      <c r="A526" s="292"/>
      <c r="B526" s="34">
        <v>1.125</v>
      </c>
      <c r="C526" s="38">
        <v>221651</v>
      </c>
      <c r="D526" s="39">
        <v>166242</v>
      </c>
      <c r="E526" s="143">
        <v>3520.5</v>
      </c>
      <c r="F526" s="143">
        <v>2328.7399999999998</v>
      </c>
      <c r="G526" s="143"/>
      <c r="H526" s="130">
        <v>747852</v>
      </c>
      <c r="I526" s="9"/>
      <c r="J526" s="145">
        <v>100.4</v>
      </c>
      <c r="K526" s="145">
        <v>17</v>
      </c>
      <c r="L526" s="146">
        <v>100.4</v>
      </c>
      <c r="M526" s="146">
        <v>113.1</v>
      </c>
      <c r="N526" s="91">
        <v>220.8</v>
      </c>
      <c r="O526" s="91">
        <v>185.7</v>
      </c>
      <c r="P526" s="61"/>
    </row>
    <row r="527" spans="1:16" ht="15" customHeight="1">
      <c r="A527" s="292"/>
      <c r="B527" s="34">
        <v>1.1666666666666701</v>
      </c>
      <c r="C527" s="38">
        <v>221661</v>
      </c>
      <c r="D527" s="39">
        <v>166250</v>
      </c>
      <c r="E527" s="143">
        <v>3520.5</v>
      </c>
      <c r="F527" s="143">
        <v>2343.84</v>
      </c>
      <c r="G527" s="143"/>
      <c r="H527" s="130">
        <v>748307</v>
      </c>
      <c r="I527" s="9"/>
      <c r="J527" s="145">
        <v>93.2</v>
      </c>
      <c r="K527" s="145">
        <v>17</v>
      </c>
      <c r="L527" s="146">
        <v>93.2</v>
      </c>
      <c r="M527" s="146">
        <v>105.7</v>
      </c>
      <c r="N527" s="91">
        <v>244.3</v>
      </c>
      <c r="O527" s="91">
        <v>198.8</v>
      </c>
      <c r="P527" s="61"/>
    </row>
    <row r="528" spans="1:16" ht="15" customHeight="1">
      <c r="A528" s="292"/>
      <c r="B528" s="34">
        <v>1.2083333333333299</v>
      </c>
      <c r="C528" s="38">
        <v>221671</v>
      </c>
      <c r="D528" s="39">
        <v>166258</v>
      </c>
      <c r="E528" s="143">
        <v>3520.5</v>
      </c>
      <c r="F528" s="143">
        <v>2358.94</v>
      </c>
      <c r="G528" s="143"/>
      <c r="H528" s="130">
        <v>748766</v>
      </c>
      <c r="I528" s="9"/>
      <c r="J528" s="145">
        <v>93.6</v>
      </c>
      <c r="K528" s="145">
        <v>17</v>
      </c>
      <c r="L528" s="146">
        <v>93.6</v>
      </c>
      <c r="M528" s="146">
        <v>106.7</v>
      </c>
      <c r="N528" s="91">
        <v>246.3</v>
      </c>
      <c r="O528" s="91">
        <v>198.2</v>
      </c>
      <c r="P528" s="61"/>
    </row>
    <row r="529" spans="1:16" ht="15" customHeight="1">
      <c r="A529" s="292"/>
      <c r="B529" s="34">
        <v>1.25</v>
      </c>
      <c r="C529" s="38">
        <v>221681</v>
      </c>
      <c r="D529" s="39">
        <v>166266</v>
      </c>
      <c r="E529" s="143">
        <v>3520.5</v>
      </c>
      <c r="F529" s="143">
        <v>2374.04</v>
      </c>
      <c r="G529" s="143"/>
      <c r="H529" s="130">
        <v>749217</v>
      </c>
      <c r="I529" s="9"/>
      <c r="J529" s="145">
        <v>90.2</v>
      </c>
      <c r="K529" s="145">
        <v>17</v>
      </c>
      <c r="L529" s="146">
        <v>90.2</v>
      </c>
      <c r="M529" s="146">
        <v>103.7</v>
      </c>
      <c r="N529" s="91">
        <v>247.5</v>
      </c>
      <c r="O529" s="91">
        <v>197.3</v>
      </c>
      <c r="P529" s="61"/>
    </row>
    <row r="530" spans="1:16" ht="15" customHeight="1">
      <c r="A530" s="292"/>
      <c r="B530" s="34">
        <v>1.2916666666666701</v>
      </c>
      <c r="C530" s="38">
        <v>221691</v>
      </c>
      <c r="D530" s="39">
        <v>166276</v>
      </c>
      <c r="E530" s="143">
        <v>3520.5</v>
      </c>
      <c r="F530" s="143">
        <v>2593.77</v>
      </c>
      <c r="G530" s="143"/>
      <c r="H530" s="130">
        <v>749683</v>
      </c>
      <c r="I530" s="9"/>
      <c r="J530" s="145">
        <v>100.6</v>
      </c>
      <c r="K530" s="145">
        <v>17</v>
      </c>
      <c r="L530" s="146">
        <v>100.6</v>
      </c>
      <c r="M530" s="146">
        <v>112.5</v>
      </c>
      <c r="N530" s="91">
        <v>234.9</v>
      </c>
      <c r="O530" s="91">
        <v>198.9</v>
      </c>
      <c r="P530" s="61"/>
    </row>
    <row r="531" spans="1:16" ht="15" customHeight="1">
      <c r="A531" s="293"/>
      <c r="B531" s="37"/>
      <c r="C531" s="204" cm="1">
        <f t="array" ref="C531">IFERROR(LOOKUP(2,1/(C506:C530&gt;0),C506:C530-C506),0)</f>
        <v>264</v>
      </c>
      <c r="D531" s="204" cm="1">
        <f t="array" ref="D531">IFERROR(LOOKUP(2,1/(D506:D530&gt;0),D506:D530-D506),0)</f>
        <v>245</v>
      </c>
      <c r="E531" s="207" cm="1">
        <f t="array" ref="E531">IFERROR(LOOKUP(2,1/(E506:E530&gt;0),E506:E530-E506),0)</f>
        <v>632.07999999999993</v>
      </c>
      <c r="F531" s="207" cm="1">
        <f t="array" ref="F531">IFERROR(LOOKUP(2,1/(F506:F530&gt;0),F506:F530-F506),0)</f>
        <v>417.02</v>
      </c>
      <c r="G531" s="41">
        <f>E531+F531</f>
        <v>1049.0999999999999</v>
      </c>
      <c r="H531" s="205" cm="1">
        <f t="array" ref="H531">IFERROR(LOOKUP(2,1/(H506:H530&gt;0),H506:H530-H506),0)</f>
        <v>12865</v>
      </c>
      <c r="I531" s="204" cm="1">
        <f t="array" ref="I531">IFERROR(LOOKUP(2,1/(I506:I530&gt;0),I506:I530-I506),0)</f>
        <v>0</v>
      </c>
      <c r="J531" s="242">
        <f t="shared" ref="J531:O531" si="19">IFERROR(AVERAGE(J506:J530),0)</f>
        <v>94.524000000000001</v>
      </c>
      <c r="K531" s="242">
        <f t="shared" si="19"/>
        <v>17</v>
      </c>
      <c r="L531" s="242">
        <f t="shared" si="19"/>
        <v>94.524000000000001</v>
      </c>
      <c r="M531" s="242">
        <f t="shared" si="19"/>
        <v>107.28799999999997</v>
      </c>
      <c r="N531" s="242">
        <f t="shared" si="19"/>
        <v>240.67600000000002</v>
      </c>
      <c r="O531" s="242">
        <f t="shared" si="19"/>
        <v>197.67199999999997</v>
      </c>
      <c r="P531" s="206">
        <f>COUNT(P506:P530)</f>
        <v>0</v>
      </c>
    </row>
    <row r="532" spans="1:16" ht="15" customHeight="1">
      <c r="A532" s="291">
        <f>'DATA B1'!B532</f>
        <v>46043</v>
      </c>
      <c r="B532" s="34">
        <v>0.29166666666666669</v>
      </c>
      <c r="C532" s="38">
        <v>221691</v>
      </c>
      <c r="D532" s="39">
        <v>166276</v>
      </c>
      <c r="E532" s="143">
        <v>3520.5</v>
      </c>
      <c r="F532" s="143">
        <v>2593.77</v>
      </c>
      <c r="G532" s="143"/>
      <c r="H532" s="130">
        <v>749683</v>
      </c>
      <c r="I532" s="9"/>
      <c r="J532" s="145">
        <v>100.6</v>
      </c>
      <c r="K532" s="145">
        <v>17</v>
      </c>
      <c r="L532" s="146">
        <v>100.6</v>
      </c>
      <c r="M532" s="146">
        <v>112.5</v>
      </c>
      <c r="N532" s="91">
        <v>234.9</v>
      </c>
      <c r="O532" s="91">
        <v>198.9</v>
      </c>
      <c r="P532" s="61"/>
    </row>
    <row r="533" spans="1:16" ht="15" customHeight="1">
      <c r="A533" s="292"/>
      <c r="B533" s="34">
        <v>0.33333333333333298</v>
      </c>
      <c r="C533" s="38">
        <v>221704</v>
      </c>
      <c r="D533" s="39">
        <v>166288</v>
      </c>
      <c r="E533" s="143">
        <v>3520.5</v>
      </c>
      <c r="F533" s="143">
        <v>2593.77</v>
      </c>
      <c r="G533" s="143"/>
      <c r="H533" s="130">
        <v>750288</v>
      </c>
      <c r="I533" s="9"/>
      <c r="J533" s="145">
        <v>101.1</v>
      </c>
      <c r="K533" s="145">
        <v>17</v>
      </c>
      <c r="L533" s="146">
        <v>101.1</v>
      </c>
      <c r="M533" s="146">
        <v>112.1</v>
      </c>
      <c r="N533" s="91">
        <v>252.1</v>
      </c>
      <c r="O533" s="91">
        <v>198.1</v>
      </c>
      <c r="P533" s="61"/>
    </row>
    <row r="534" spans="1:16" ht="15" customHeight="1">
      <c r="A534" s="292"/>
      <c r="B534" s="34">
        <v>0.375</v>
      </c>
      <c r="C534" s="38">
        <v>221713</v>
      </c>
      <c r="D534" s="39">
        <v>166296</v>
      </c>
      <c r="E534" s="143">
        <v>3561.5</v>
      </c>
      <c r="F534" s="143">
        <v>2593.77</v>
      </c>
      <c r="G534" s="143"/>
      <c r="H534" s="130">
        <v>750700</v>
      </c>
      <c r="I534" s="9"/>
      <c r="J534" s="145">
        <v>100.3</v>
      </c>
      <c r="K534" s="145">
        <v>17</v>
      </c>
      <c r="L534" s="146">
        <v>100.3</v>
      </c>
      <c r="M534" s="146">
        <v>109.3</v>
      </c>
      <c r="N534" s="91">
        <v>225.6</v>
      </c>
      <c r="O534" s="91">
        <v>198.8</v>
      </c>
      <c r="P534" s="61"/>
    </row>
    <row r="535" spans="1:16" ht="15" customHeight="1">
      <c r="A535" s="292"/>
      <c r="B535" s="34">
        <v>0.41666666666666702</v>
      </c>
      <c r="C535" s="38">
        <v>221722</v>
      </c>
      <c r="D535" s="39">
        <v>166304</v>
      </c>
      <c r="E535" s="143">
        <v>3602.5</v>
      </c>
      <c r="F535" s="143">
        <v>2593.77</v>
      </c>
      <c r="G535" s="143"/>
      <c r="H535" s="130">
        <v>751114</v>
      </c>
      <c r="I535" s="9"/>
      <c r="J535" s="145">
        <v>100.2</v>
      </c>
      <c r="K535" s="145">
        <v>17</v>
      </c>
      <c r="L535" s="146">
        <v>100.2</v>
      </c>
      <c r="M535" s="146">
        <v>110.2</v>
      </c>
      <c r="N535" s="91">
        <v>226.5</v>
      </c>
      <c r="O535" s="91">
        <v>198.3</v>
      </c>
      <c r="P535" s="61"/>
    </row>
    <row r="536" spans="1:16" ht="15" customHeight="1">
      <c r="A536" s="292"/>
      <c r="B536" s="34">
        <v>0.45833333333333298</v>
      </c>
      <c r="C536" s="38">
        <v>221732</v>
      </c>
      <c r="D536" s="39">
        <v>166312</v>
      </c>
      <c r="E536" s="40">
        <v>3645.4</v>
      </c>
      <c r="F536" s="143">
        <v>2593.77</v>
      </c>
      <c r="G536" s="143"/>
      <c r="H536" s="130">
        <v>751540</v>
      </c>
      <c r="I536" s="9"/>
      <c r="J536" s="145">
        <v>100.5</v>
      </c>
      <c r="K536" s="145">
        <v>17</v>
      </c>
      <c r="L536" s="146">
        <v>100.5</v>
      </c>
      <c r="M536" s="146">
        <v>112.1</v>
      </c>
      <c r="N536" s="91">
        <v>236.9</v>
      </c>
      <c r="O536" s="91">
        <v>199.3</v>
      </c>
      <c r="P536" s="61"/>
    </row>
    <row r="537" spans="1:16" ht="15" customHeight="1">
      <c r="A537" s="292"/>
      <c r="B537" s="34">
        <v>0.5</v>
      </c>
      <c r="C537" s="38"/>
      <c r="D537" s="39"/>
      <c r="E537" s="40"/>
      <c r="F537" s="143"/>
      <c r="G537" s="143"/>
      <c r="H537" s="130"/>
      <c r="I537" s="9"/>
      <c r="J537" s="145"/>
      <c r="K537" s="145"/>
      <c r="L537" s="146"/>
      <c r="M537" s="146"/>
      <c r="N537" s="91"/>
      <c r="O537" s="91"/>
      <c r="P537" s="61"/>
    </row>
    <row r="538" spans="1:16" ht="15" customHeight="1">
      <c r="A538" s="292"/>
      <c r="B538" s="34">
        <v>0.54166666666666696</v>
      </c>
      <c r="C538" s="38"/>
      <c r="D538" s="39"/>
      <c r="E538" s="40"/>
      <c r="F538" s="143"/>
      <c r="G538" s="143"/>
      <c r="H538" s="130"/>
      <c r="I538" s="9"/>
      <c r="J538" s="145"/>
      <c r="K538" s="145"/>
      <c r="L538" s="146"/>
      <c r="M538" s="146"/>
      <c r="N538" s="91"/>
      <c r="O538" s="91"/>
      <c r="P538" s="61"/>
    </row>
    <row r="539" spans="1:16" ht="15" customHeight="1">
      <c r="A539" s="292"/>
      <c r="B539" s="34">
        <v>0.58333333333333304</v>
      </c>
      <c r="C539" s="38"/>
      <c r="D539" s="39"/>
      <c r="E539" s="40"/>
      <c r="F539" s="143"/>
      <c r="G539" s="143"/>
      <c r="H539" s="130"/>
      <c r="I539" s="9"/>
      <c r="J539" s="145"/>
      <c r="K539" s="145"/>
      <c r="L539" s="146"/>
      <c r="M539" s="146"/>
      <c r="N539" s="91"/>
      <c r="O539" s="91"/>
      <c r="P539" s="65"/>
    </row>
    <row r="540" spans="1:16" ht="15" customHeight="1">
      <c r="A540" s="292"/>
      <c r="B540" s="34">
        <v>0.625</v>
      </c>
      <c r="C540" s="38"/>
      <c r="D540" s="39"/>
      <c r="E540" s="40"/>
      <c r="F540" s="143"/>
      <c r="G540" s="143"/>
      <c r="H540" s="130"/>
      <c r="I540" s="9"/>
      <c r="J540" s="145"/>
      <c r="K540" s="145"/>
      <c r="L540" s="146"/>
      <c r="M540" s="146"/>
      <c r="N540" s="91"/>
      <c r="O540" s="91"/>
      <c r="P540" s="61"/>
    </row>
    <row r="541" spans="1:16" ht="15" customHeight="1">
      <c r="A541" s="292"/>
      <c r="B541" s="34">
        <v>0.66666666666666696</v>
      </c>
      <c r="C541" s="38"/>
      <c r="D541" s="39"/>
      <c r="E541" s="40"/>
      <c r="F541" s="143"/>
      <c r="G541" s="143"/>
      <c r="H541" s="130"/>
      <c r="I541" s="9"/>
      <c r="J541" s="145"/>
      <c r="K541" s="145"/>
      <c r="L541" s="146"/>
      <c r="M541" s="146"/>
      <c r="N541" s="91"/>
      <c r="O541" s="91"/>
      <c r="P541" s="61"/>
    </row>
    <row r="542" spans="1:16" ht="15" customHeight="1">
      <c r="A542" s="292"/>
      <c r="B542" s="34">
        <v>0.70833333333333304</v>
      </c>
      <c r="C542" s="38"/>
      <c r="D542" s="39"/>
      <c r="E542" s="40"/>
      <c r="F542" s="143"/>
      <c r="G542" s="143"/>
      <c r="H542" s="130"/>
      <c r="I542" s="9"/>
      <c r="J542" s="145"/>
      <c r="K542" s="145"/>
      <c r="L542" s="146"/>
      <c r="M542" s="146"/>
      <c r="N542" s="91"/>
      <c r="O542" s="91"/>
      <c r="P542" s="61"/>
    </row>
    <row r="543" spans="1:16" ht="15" customHeight="1">
      <c r="A543" s="292"/>
      <c r="B543" s="34">
        <v>0.75</v>
      </c>
      <c r="C543" s="38"/>
      <c r="D543" s="39"/>
      <c r="E543" s="40"/>
      <c r="F543" s="143"/>
      <c r="G543" s="143"/>
      <c r="H543" s="130"/>
      <c r="I543" s="9"/>
      <c r="J543" s="145"/>
      <c r="K543" s="145"/>
      <c r="L543" s="146"/>
      <c r="M543" s="146"/>
      <c r="N543" s="91"/>
      <c r="O543" s="91"/>
      <c r="P543" s="61"/>
    </row>
    <row r="544" spans="1:16" ht="15" customHeight="1">
      <c r="A544" s="292"/>
      <c r="B544" s="34">
        <v>0.79166666666666696</v>
      </c>
      <c r="C544" s="38"/>
      <c r="D544" s="39"/>
      <c r="E544" s="40"/>
      <c r="F544" s="143"/>
      <c r="G544" s="143"/>
      <c r="H544" s="130"/>
      <c r="I544" s="9"/>
      <c r="J544" s="145"/>
      <c r="K544" s="145"/>
      <c r="L544" s="146"/>
      <c r="M544" s="146"/>
      <c r="N544" s="91"/>
      <c r="O544" s="91"/>
      <c r="P544" s="61"/>
    </row>
    <row r="545" spans="1:16" ht="15" customHeight="1">
      <c r="A545" s="292"/>
      <c r="B545" s="34">
        <v>0.83333333333333304</v>
      </c>
      <c r="C545" s="38"/>
      <c r="D545" s="39"/>
      <c r="E545" s="40"/>
      <c r="F545" s="143"/>
      <c r="G545" s="143"/>
      <c r="H545" s="130"/>
      <c r="I545" s="9"/>
      <c r="J545" s="145"/>
      <c r="K545" s="145"/>
      <c r="L545" s="146"/>
      <c r="M545" s="146"/>
      <c r="N545" s="91"/>
      <c r="O545" s="91"/>
      <c r="P545" s="61"/>
    </row>
    <row r="546" spans="1:16" ht="15" customHeight="1">
      <c r="A546" s="292"/>
      <c r="B546" s="34">
        <v>0.875</v>
      </c>
      <c r="C546" s="38"/>
      <c r="D546" s="39"/>
      <c r="E546" s="40"/>
      <c r="F546" s="143"/>
      <c r="G546" s="143"/>
      <c r="H546" s="130"/>
      <c r="I546" s="9"/>
      <c r="J546" s="145"/>
      <c r="K546" s="145"/>
      <c r="L546" s="146"/>
      <c r="M546" s="146"/>
      <c r="N546" s="91"/>
      <c r="O546" s="91"/>
      <c r="P546" s="61"/>
    </row>
    <row r="547" spans="1:16" ht="15" customHeight="1">
      <c r="A547" s="292"/>
      <c r="B547" s="34">
        <v>0.91666666666666696</v>
      </c>
      <c r="C547" s="38"/>
      <c r="D547" s="39"/>
      <c r="E547" s="40"/>
      <c r="F547" s="143"/>
      <c r="G547" s="143"/>
      <c r="H547" s="130"/>
      <c r="I547" s="9"/>
      <c r="J547" s="145"/>
      <c r="K547" s="145"/>
      <c r="L547" s="146"/>
      <c r="M547" s="146"/>
      <c r="N547" s="91"/>
      <c r="O547" s="91"/>
      <c r="P547" s="61"/>
    </row>
    <row r="548" spans="1:16" ht="15" customHeight="1">
      <c r="A548" s="292"/>
      <c r="B548" s="34">
        <v>0.95833333333333304</v>
      </c>
      <c r="C548" s="38"/>
      <c r="D548" s="39"/>
      <c r="E548" s="40"/>
      <c r="F548" s="143"/>
      <c r="G548" s="143"/>
      <c r="H548" s="130"/>
      <c r="I548" s="9"/>
      <c r="J548" s="145"/>
      <c r="K548" s="145"/>
      <c r="L548" s="146"/>
      <c r="M548" s="146"/>
      <c r="N548" s="91"/>
      <c r="O548" s="91"/>
      <c r="P548" s="61"/>
    </row>
    <row r="549" spans="1:16" ht="15" customHeight="1">
      <c r="A549" s="292"/>
      <c r="B549" s="34">
        <v>1</v>
      </c>
      <c r="C549" s="38"/>
      <c r="D549" s="39"/>
      <c r="E549" s="40"/>
      <c r="F549" s="143"/>
      <c r="G549" s="143"/>
      <c r="H549" s="130"/>
      <c r="I549" s="9"/>
      <c r="J549" s="145"/>
      <c r="K549" s="145"/>
      <c r="L549" s="146"/>
      <c r="M549" s="146"/>
      <c r="N549" s="91"/>
      <c r="O549" s="91"/>
      <c r="P549" s="61"/>
    </row>
    <row r="550" spans="1:16" ht="15" customHeight="1">
      <c r="A550" s="292"/>
      <c r="B550" s="34">
        <v>1.0416666666666701</v>
      </c>
      <c r="C550" s="38"/>
      <c r="D550" s="39"/>
      <c r="E550" s="40"/>
      <c r="F550" s="143"/>
      <c r="G550" s="143"/>
      <c r="H550" s="130"/>
      <c r="I550" s="9"/>
      <c r="J550" s="145"/>
      <c r="K550" s="145"/>
      <c r="L550" s="146"/>
      <c r="M550" s="146"/>
      <c r="N550" s="91"/>
      <c r="O550" s="91"/>
      <c r="P550" s="61"/>
    </row>
    <row r="551" spans="1:16" ht="15" customHeight="1">
      <c r="A551" s="292"/>
      <c r="B551" s="34">
        <v>1.0833333333333299</v>
      </c>
      <c r="C551" s="38"/>
      <c r="D551" s="39"/>
      <c r="E551" s="40"/>
      <c r="F551" s="143"/>
      <c r="G551" s="143"/>
      <c r="H551" s="130"/>
      <c r="I551" s="9"/>
      <c r="J551" s="145"/>
      <c r="K551" s="145"/>
      <c r="L551" s="146"/>
      <c r="M551" s="146"/>
      <c r="N551" s="91"/>
      <c r="O551" s="91"/>
      <c r="P551" s="61"/>
    </row>
    <row r="552" spans="1:16" ht="15" customHeight="1">
      <c r="A552" s="292"/>
      <c r="B552" s="34">
        <v>1.125</v>
      </c>
      <c r="C552" s="38"/>
      <c r="D552" s="39"/>
      <c r="E552" s="40"/>
      <c r="F552" s="143"/>
      <c r="G552" s="143"/>
      <c r="H552" s="130"/>
      <c r="I552" s="9"/>
      <c r="J552" s="145"/>
      <c r="K552" s="145"/>
      <c r="L552" s="146"/>
      <c r="M552" s="146"/>
      <c r="N552" s="91"/>
      <c r="O552" s="91"/>
      <c r="P552" s="61"/>
    </row>
    <row r="553" spans="1:16" ht="15" customHeight="1">
      <c r="A553" s="292"/>
      <c r="B553" s="34">
        <v>1.1666666666666701</v>
      </c>
      <c r="C553" s="38"/>
      <c r="D553" s="39"/>
      <c r="E553" s="40"/>
      <c r="F553" s="143"/>
      <c r="G553" s="143"/>
      <c r="H553" s="130"/>
      <c r="I553" s="9"/>
      <c r="J553" s="145"/>
      <c r="K553" s="145"/>
      <c r="L553" s="146"/>
      <c r="M553" s="146"/>
      <c r="N553" s="91"/>
      <c r="O553" s="91"/>
      <c r="P553" s="61"/>
    </row>
    <row r="554" spans="1:16" ht="15" customHeight="1">
      <c r="A554" s="292"/>
      <c r="B554" s="34">
        <v>1.2083333333333299</v>
      </c>
      <c r="C554" s="38"/>
      <c r="D554" s="39"/>
      <c r="E554" s="40"/>
      <c r="F554" s="143"/>
      <c r="G554" s="143"/>
      <c r="H554" s="130"/>
      <c r="I554" s="9"/>
      <c r="J554" s="145"/>
      <c r="K554" s="145"/>
      <c r="L554" s="146"/>
      <c r="M554" s="146"/>
      <c r="N554" s="91"/>
      <c r="O554" s="91"/>
      <c r="P554" s="61"/>
    </row>
    <row r="555" spans="1:16" ht="15" customHeight="1">
      <c r="A555" s="292"/>
      <c r="B555" s="34">
        <v>1.25</v>
      </c>
      <c r="C555" s="38"/>
      <c r="D555" s="39"/>
      <c r="E555" s="40"/>
      <c r="F555" s="143"/>
      <c r="G555" s="143"/>
      <c r="H555" s="130"/>
      <c r="I555" s="9"/>
      <c r="J555" s="145"/>
      <c r="K555" s="145"/>
      <c r="L555" s="146"/>
      <c r="M555" s="146"/>
      <c r="N555" s="91"/>
      <c r="O555" s="91"/>
      <c r="P555" s="61"/>
    </row>
    <row r="556" spans="1:16" ht="15" customHeight="1">
      <c r="A556" s="292"/>
      <c r="B556" s="34">
        <v>1.2916666666666701</v>
      </c>
      <c r="C556" s="38"/>
      <c r="D556" s="39"/>
      <c r="E556" s="40"/>
      <c r="F556" s="143"/>
      <c r="G556" s="143"/>
      <c r="H556" s="130"/>
      <c r="I556" s="9"/>
      <c r="J556" s="145"/>
      <c r="K556" s="145"/>
      <c r="L556" s="146"/>
      <c r="M556" s="146"/>
      <c r="N556" s="91"/>
      <c r="O556" s="91"/>
      <c r="P556" s="61"/>
    </row>
    <row r="557" spans="1:16" ht="15" customHeight="1">
      <c r="A557" s="293"/>
      <c r="B557" s="37"/>
      <c r="C557" s="204" cm="1">
        <f t="array" ref="C557">IFERROR(LOOKUP(2,1/(C532:C556&gt;0),C532:C556-C532),0)</f>
        <v>41</v>
      </c>
      <c r="D557" s="204" cm="1">
        <f t="array" ref="D557">IFERROR(LOOKUP(2,1/(D532:D556&gt;0),D532:D556-D532),0)</f>
        <v>36</v>
      </c>
      <c r="E557" s="207" cm="1">
        <f t="array" ref="E557">IFERROR(LOOKUP(2,1/(E532:E556&gt;0),E532:E556-E532),0)</f>
        <v>124.90000000000009</v>
      </c>
      <c r="F557" s="207" cm="1">
        <f t="array" ref="F557">IFERROR(LOOKUP(2,1/(F532:F556&gt;0),F532:F556-F532),0)</f>
        <v>0</v>
      </c>
      <c r="G557" s="41">
        <f>E557+F557</f>
        <v>124.90000000000009</v>
      </c>
      <c r="H557" s="205" cm="1">
        <f t="array" ref="H557">IFERROR(LOOKUP(2,1/(H532:H556&gt;0),H532:H556-H532),0)</f>
        <v>1857</v>
      </c>
      <c r="I557" s="204" cm="1">
        <f t="array" ref="I557">IFERROR(LOOKUP(2,1/(I532:I556&gt;0),I532:I556-I532),0)</f>
        <v>0</v>
      </c>
      <c r="J557" s="242">
        <f t="shared" ref="J557:O557" si="20">IFERROR(AVERAGE(J532:J556),0)</f>
        <v>100.53999999999999</v>
      </c>
      <c r="K557" s="242">
        <f t="shared" si="20"/>
        <v>17</v>
      </c>
      <c r="L557" s="242">
        <f t="shared" si="20"/>
        <v>100.53999999999999</v>
      </c>
      <c r="M557" s="242">
        <f t="shared" si="20"/>
        <v>111.23999999999998</v>
      </c>
      <c r="N557" s="242">
        <f t="shared" si="20"/>
        <v>235.2</v>
      </c>
      <c r="O557" s="242">
        <f t="shared" si="20"/>
        <v>198.67999999999998</v>
      </c>
      <c r="P557" s="206">
        <f>COUNT(P532:P556)</f>
        <v>0</v>
      </c>
    </row>
    <row r="558" spans="1:16" ht="15" customHeight="1">
      <c r="A558" s="291">
        <f>'DATA B1'!B558</f>
        <v>46044</v>
      </c>
      <c r="B558" s="34">
        <v>0.29166666666666669</v>
      </c>
      <c r="C558" s="38"/>
      <c r="D558" s="39"/>
      <c r="E558" s="40"/>
      <c r="F558" s="143"/>
      <c r="G558" s="143"/>
      <c r="H558" s="130"/>
      <c r="I558" s="9"/>
      <c r="J558" s="145"/>
      <c r="K558" s="145"/>
      <c r="L558" s="146"/>
      <c r="M558" s="146"/>
      <c r="N558" s="91"/>
      <c r="O558" s="91"/>
      <c r="P558" s="61"/>
    </row>
    <row r="559" spans="1:16" ht="15" customHeight="1">
      <c r="A559" s="292"/>
      <c r="B559" s="34">
        <v>0.33333333333333298</v>
      </c>
      <c r="C559" s="38"/>
      <c r="D559" s="39"/>
      <c r="E559" s="40"/>
      <c r="F559" s="143"/>
      <c r="G559" s="143"/>
      <c r="H559" s="130"/>
      <c r="I559" s="9"/>
      <c r="J559" s="145"/>
      <c r="K559" s="145"/>
      <c r="L559" s="146"/>
      <c r="M559" s="146"/>
      <c r="N559" s="91"/>
      <c r="O559" s="91"/>
      <c r="P559" s="61"/>
    </row>
    <row r="560" spans="1:16" ht="15" customHeight="1">
      <c r="A560" s="292"/>
      <c r="B560" s="34">
        <v>0.375</v>
      </c>
      <c r="C560" s="38"/>
      <c r="D560" s="39"/>
      <c r="E560" s="40"/>
      <c r="F560" s="143"/>
      <c r="G560" s="143"/>
      <c r="H560" s="130"/>
      <c r="I560" s="9"/>
      <c r="J560" s="145"/>
      <c r="K560" s="145"/>
      <c r="L560" s="146"/>
      <c r="M560" s="146"/>
      <c r="N560" s="91"/>
      <c r="O560" s="91"/>
      <c r="P560" s="61"/>
    </row>
    <row r="561" spans="1:16" ht="15" customHeight="1">
      <c r="A561" s="292"/>
      <c r="B561" s="34">
        <v>0.41666666666666702</v>
      </c>
      <c r="C561" s="38"/>
      <c r="D561" s="39"/>
      <c r="E561" s="40"/>
      <c r="F561" s="143"/>
      <c r="G561" s="143"/>
      <c r="H561" s="130"/>
      <c r="I561" s="9"/>
      <c r="J561" s="145"/>
      <c r="K561" s="145"/>
      <c r="L561" s="146"/>
      <c r="M561" s="146"/>
      <c r="N561" s="91"/>
      <c r="O561" s="91"/>
      <c r="P561" s="61"/>
    </row>
    <row r="562" spans="1:16" ht="15" customHeight="1">
      <c r="A562" s="292"/>
      <c r="B562" s="34">
        <v>0.45833333333333298</v>
      </c>
      <c r="C562" s="38"/>
      <c r="D562" s="39"/>
      <c r="E562" s="40"/>
      <c r="F562" s="143"/>
      <c r="G562" s="143"/>
      <c r="H562" s="130"/>
      <c r="I562" s="9"/>
      <c r="J562" s="145"/>
      <c r="K562" s="145"/>
      <c r="L562" s="146"/>
      <c r="M562" s="146"/>
      <c r="N562" s="91"/>
      <c r="O562" s="91"/>
      <c r="P562" s="61"/>
    </row>
    <row r="563" spans="1:16" ht="15" customHeight="1">
      <c r="A563" s="292"/>
      <c r="B563" s="34">
        <v>0.5</v>
      </c>
      <c r="C563" s="38"/>
      <c r="D563" s="39"/>
      <c r="E563" s="40"/>
      <c r="F563" s="143"/>
      <c r="G563" s="143"/>
      <c r="H563" s="130"/>
      <c r="I563" s="9"/>
      <c r="J563" s="145"/>
      <c r="K563" s="145"/>
      <c r="L563" s="146"/>
      <c r="M563" s="146"/>
      <c r="N563" s="91"/>
      <c r="O563" s="91"/>
      <c r="P563" s="61"/>
    </row>
    <row r="564" spans="1:16" ht="15" customHeight="1">
      <c r="A564" s="292"/>
      <c r="B564" s="34">
        <v>0.54166666666666696</v>
      </c>
      <c r="C564" s="38"/>
      <c r="D564" s="39"/>
      <c r="E564" s="40"/>
      <c r="F564" s="143"/>
      <c r="G564" s="143"/>
      <c r="H564" s="130"/>
      <c r="I564" s="9"/>
      <c r="J564" s="145"/>
      <c r="K564" s="145"/>
      <c r="L564" s="146"/>
      <c r="M564" s="146"/>
      <c r="N564" s="91"/>
      <c r="O564" s="91"/>
      <c r="P564" s="61"/>
    </row>
    <row r="565" spans="1:16" ht="15" customHeight="1">
      <c r="A565" s="292"/>
      <c r="B565" s="34">
        <v>0.58333333333333304</v>
      </c>
      <c r="C565" s="38"/>
      <c r="D565" s="39"/>
      <c r="E565" s="40"/>
      <c r="F565" s="143"/>
      <c r="G565" s="143"/>
      <c r="H565" s="130"/>
      <c r="I565" s="9"/>
      <c r="J565" s="145"/>
      <c r="K565" s="145"/>
      <c r="L565" s="146"/>
      <c r="M565" s="146"/>
      <c r="N565" s="91"/>
      <c r="O565" s="91"/>
      <c r="P565" s="65"/>
    </row>
    <row r="566" spans="1:16" ht="15" customHeight="1">
      <c r="A566" s="292"/>
      <c r="B566" s="34">
        <v>0.625</v>
      </c>
      <c r="C566" s="38"/>
      <c r="D566" s="39"/>
      <c r="E566" s="40"/>
      <c r="F566" s="143"/>
      <c r="G566" s="143"/>
      <c r="H566" s="130"/>
      <c r="I566" s="9"/>
      <c r="J566" s="145"/>
      <c r="K566" s="145"/>
      <c r="L566" s="146"/>
      <c r="M566" s="146"/>
      <c r="N566" s="91"/>
      <c r="O566" s="91"/>
      <c r="P566" s="61"/>
    </row>
    <row r="567" spans="1:16" ht="15" customHeight="1">
      <c r="A567" s="292"/>
      <c r="B567" s="34">
        <v>0.66666666666666696</v>
      </c>
      <c r="C567" s="38"/>
      <c r="D567" s="39"/>
      <c r="E567" s="40"/>
      <c r="F567" s="143"/>
      <c r="G567" s="143"/>
      <c r="H567" s="130"/>
      <c r="I567" s="9"/>
      <c r="J567" s="145"/>
      <c r="K567" s="145"/>
      <c r="L567" s="146"/>
      <c r="M567" s="146"/>
      <c r="N567" s="91"/>
      <c r="O567" s="91"/>
      <c r="P567" s="61"/>
    </row>
    <row r="568" spans="1:16" ht="15" customHeight="1">
      <c r="A568" s="292"/>
      <c r="B568" s="34">
        <v>0.70833333333333304</v>
      </c>
      <c r="C568" s="38"/>
      <c r="D568" s="39"/>
      <c r="E568" s="40"/>
      <c r="F568" s="143"/>
      <c r="G568" s="143"/>
      <c r="H568" s="130"/>
      <c r="I568" s="9"/>
      <c r="J568" s="145"/>
      <c r="K568" s="145"/>
      <c r="L568" s="146"/>
      <c r="M568" s="146"/>
      <c r="N568" s="91"/>
      <c r="O568" s="91"/>
      <c r="P568" s="61"/>
    </row>
    <row r="569" spans="1:16" ht="15" customHeight="1">
      <c r="A569" s="292"/>
      <c r="B569" s="34">
        <v>0.75</v>
      </c>
      <c r="C569" s="38"/>
      <c r="D569" s="39"/>
      <c r="E569" s="40"/>
      <c r="F569" s="143"/>
      <c r="G569" s="143"/>
      <c r="H569" s="130"/>
      <c r="I569" s="9"/>
      <c r="J569" s="145"/>
      <c r="K569" s="145"/>
      <c r="L569" s="146"/>
      <c r="M569" s="146"/>
      <c r="N569" s="91"/>
      <c r="O569" s="91"/>
      <c r="P569" s="61"/>
    </row>
    <row r="570" spans="1:16" ht="15" customHeight="1">
      <c r="A570" s="292"/>
      <c r="B570" s="34">
        <v>0.79166666666666696</v>
      </c>
      <c r="C570" s="38"/>
      <c r="D570" s="39"/>
      <c r="E570" s="40"/>
      <c r="F570" s="143"/>
      <c r="G570" s="143"/>
      <c r="H570" s="130"/>
      <c r="I570" s="9"/>
      <c r="J570" s="145"/>
      <c r="K570" s="145"/>
      <c r="L570" s="146"/>
      <c r="M570" s="146"/>
      <c r="N570" s="91"/>
      <c r="O570" s="91"/>
      <c r="P570" s="61"/>
    </row>
    <row r="571" spans="1:16" ht="15" customHeight="1">
      <c r="A571" s="292"/>
      <c r="B571" s="34">
        <v>0.83333333333333304</v>
      </c>
      <c r="C571" s="38"/>
      <c r="D571" s="39"/>
      <c r="E571" s="40"/>
      <c r="F571" s="143"/>
      <c r="G571" s="143"/>
      <c r="H571" s="130"/>
      <c r="I571" s="9"/>
      <c r="J571" s="145"/>
      <c r="K571" s="145"/>
      <c r="L571" s="146"/>
      <c r="M571" s="146"/>
      <c r="N571" s="91"/>
      <c r="O571" s="91"/>
      <c r="P571" s="61"/>
    </row>
    <row r="572" spans="1:16" ht="15" customHeight="1">
      <c r="A572" s="292"/>
      <c r="B572" s="34">
        <v>0.875</v>
      </c>
      <c r="C572" s="38"/>
      <c r="D572" s="39"/>
      <c r="E572" s="40"/>
      <c r="F572" s="143"/>
      <c r="G572" s="143"/>
      <c r="H572" s="130"/>
      <c r="I572" s="9"/>
      <c r="J572" s="145"/>
      <c r="K572" s="145"/>
      <c r="L572" s="146"/>
      <c r="M572" s="146"/>
      <c r="N572" s="91"/>
      <c r="O572" s="91"/>
      <c r="P572" s="61"/>
    </row>
    <row r="573" spans="1:16" ht="15" customHeight="1">
      <c r="A573" s="292"/>
      <c r="B573" s="34">
        <v>0.91666666666666696</v>
      </c>
      <c r="C573" s="38"/>
      <c r="D573" s="39"/>
      <c r="E573" s="40"/>
      <c r="F573" s="143"/>
      <c r="G573" s="143"/>
      <c r="H573" s="130"/>
      <c r="I573" s="9"/>
      <c r="J573" s="145"/>
      <c r="K573" s="145"/>
      <c r="L573" s="146"/>
      <c r="M573" s="146"/>
      <c r="N573" s="91"/>
      <c r="O573" s="91"/>
      <c r="P573" s="61"/>
    </row>
    <row r="574" spans="1:16" ht="15" customHeight="1">
      <c r="A574" s="292"/>
      <c r="B574" s="34">
        <v>0.95833333333333304</v>
      </c>
      <c r="C574" s="38"/>
      <c r="D574" s="39"/>
      <c r="E574" s="40"/>
      <c r="F574" s="143"/>
      <c r="G574" s="143"/>
      <c r="H574" s="130"/>
      <c r="I574" s="9"/>
      <c r="J574" s="145"/>
      <c r="K574" s="145"/>
      <c r="L574" s="146"/>
      <c r="M574" s="146"/>
      <c r="N574" s="91"/>
      <c r="O574" s="91"/>
      <c r="P574" s="61"/>
    </row>
    <row r="575" spans="1:16" ht="15" customHeight="1">
      <c r="A575" s="292"/>
      <c r="B575" s="34">
        <v>1</v>
      </c>
      <c r="C575" s="38"/>
      <c r="D575" s="39"/>
      <c r="E575" s="40"/>
      <c r="F575" s="143"/>
      <c r="G575" s="143"/>
      <c r="H575" s="130"/>
      <c r="I575" s="9"/>
      <c r="J575" s="145"/>
      <c r="K575" s="145"/>
      <c r="L575" s="146"/>
      <c r="M575" s="146"/>
      <c r="N575" s="91"/>
      <c r="O575" s="91"/>
      <c r="P575" s="61"/>
    </row>
    <row r="576" spans="1:16" ht="15" customHeight="1">
      <c r="A576" s="292"/>
      <c r="B576" s="34">
        <v>1.0416666666666701</v>
      </c>
      <c r="C576" s="38"/>
      <c r="D576" s="39"/>
      <c r="E576" s="40"/>
      <c r="F576" s="143"/>
      <c r="G576" s="143"/>
      <c r="H576" s="130"/>
      <c r="I576" s="9"/>
      <c r="J576" s="145"/>
      <c r="K576" s="145"/>
      <c r="L576" s="146"/>
      <c r="M576" s="146"/>
      <c r="N576" s="91"/>
      <c r="O576" s="91"/>
      <c r="P576" s="61"/>
    </row>
    <row r="577" spans="1:16" ht="15" customHeight="1">
      <c r="A577" s="292"/>
      <c r="B577" s="34">
        <v>1.0833333333333299</v>
      </c>
      <c r="C577" s="38"/>
      <c r="D577" s="39"/>
      <c r="E577" s="40"/>
      <c r="F577" s="143"/>
      <c r="G577" s="143"/>
      <c r="H577" s="130"/>
      <c r="I577" s="9"/>
      <c r="J577" s="145"/>
      <c r="K577" s="145"/>
      <c r="L577" s="146"/>
      <c r="M577" s="146"/>
      <c r="N577" s="91"/>
      <c r="O577" s="91"/>
      <c r="P577" s="61"/>
    </row>
    <row r="578" spans="1:16" ht="15" customHeight="1">
      <c r="A578" s="292"/>
      <c r="B578" s="34">
        <v>1.125</v>
      </c>
      <c r="C578" s="38"/>
      <c r="D578" s="39"/>
      <c r="E578" s="40"/>
      <c r="F578" s="143"/>
      <c r="G578" s="143"/>
      <c r="H578" s="130"/>
      <c r="I578" s="9"/>
      <c r="J578" s="145"/>
      <c r="K578" s="145"/>
      <c r="L578" s="146"/>
      <c r="M578" s="146"/>
      <c r="N578" s="91"/>
      <c r="O578" s="91"/>
      <c r="P578" s="61"/>
    </row>
    <row r="579" spans="1:16" ht="15" customHeight="1">
      <c r="A579" s="292"/>
      <c r="B579" s="34">
        <v>1.1666666666666701</v>
      </c>
      <c r="C579" s="38"/>
      <c r="D579" s="39"/>
      <c r="E579" s="40"/>
      <c r="F579" s="143"/>
      <c r="G579" s="143"/>
      <c r="H579" s="130"/>
      <c r="I579" s="9"/>
      <c r="J579" s="145"/>
      <c r="K579" s="145"/>
      <c r="L579" s="146"/>
      <c r="M579" s="146"/>
      <c r="N579" s="91"/>
      <c r="O579" s="91"/>
      <c r="P579" s="61"/>
    </row>
    <row r="580" spans="1:16" ht="15" customHeight="1">
      <c r="A580" s="292"/>
      <c r="B580" s="34">
        <v>1.2083333333333299</v>
      </c>
      <c r="C580" s="38"/>
      <c r="D580" s="39"/>
      <c r="E580" s="40"/>
      <c r="F580" s="143"/>
      <c r="G580" s="143"/>
      <c r="H580" s="130"/>
      <c r="I580" s="9"/>
      <c r="J580" s="145"/>
      <c r="K580" s="145"/>
      <c r="L580" s="146"/>
      <c r="M580" s="146"/>
      <c r="N580" s="91"/>
      <c r="O580" s="91"/>
      <c r="P580" s="61"/>
    </row>
    <row r="581" spans="1:16" ht="15" customHeight="1">
      <c r="A581" s="292"/>
      <c r="B581" s="34">
        <v>1.25</v>
      </c>
      <c r="C581" s="38"/>
      <c r="D581" s="39"/>
      <c r="E581" s="40"/>
      <c r="F581" s="143"/>
      <c r="G581" s="143"/>
      <c r="H581" s="130"/>
      <c r="I581" s="9"/>
      <c r="J581" s="145"/>
      <c r="K581" s="145"/>
      <c r="L581" s="146"/>
      <c r="M581" s="146"/>
      <c r="N581" s="91"/>
      <c r="O581" s="91"/>
      <c r="P581" s="61"/>
    </row>
    <row r="582" spans="1:16" ht="15" customHeight="1">
      <c r="A582" s="292"/>
      <c r="B582" s="34">
        <v>1.2916666666666701</v>
      </c>
      <c r="C582" s="38"/>
      <c r="D582" s="39"/>
      <c r="E582" s="40"/>
      <c r="F582" s="143"/>
      <c r="G582" s="143"/>
      <c r="H582" s="130"/>
      <c r="I582" s="9"/>
      <c r="J582" s="145"/>
      <c r="K582" s="145"/>
      <c r="L582" s="146"/>
      <c r="M582" s="146"/>
      <c r="N582" s="91"/>
      <c r="O582" s="91"/>
      <c r="P582" s="61"/>
    </row>
    <row r="583" spans="1:16" ht="15" customHeight="1">
      <c r="A583" s="293"/>
      <c r="B583" s="37"/>
      <c r="C583" s="204" cm="1">
        <f t="array" ref="C583">IFERROR(LOOKUP(2,1/(C558:C582&gt;0),C558:C582-C558),0)</f>
        <v>0</v>
      </c>
      <c r="D583" s="204" cm="1">
        <f t="array" ref="D583">IFERROR(LOOKUP(2,1/(D558:D582&gt;0),D558:D582-D558),0)</f>
        <v>0</v>
      </c>
      <c r="E583" s="207" cm="1">
        <f t="array" ref="E583">IFERROR(LOOKUP(2,1/(E558:E582&gt;0),E558:E582-E558),0)</f>
        <v>0</v>
      </c>
      <c r="F583" s="207" cm="1">
        <f t="array" ref="F583">IFERROR(LOOKUP(2,1/(F558:F582&gt;0),F558:F582-F558),0)</f>
        <v>0</v>
      </c>
      <c r="G583" s="41">
        <f>E583+F583</f>
        <v>0</v>
      </c>
      <c r="H583" s="205" cm="1">
        <f t="array" ref="H583">IFERROR(LOOKUP(2,1/(H558:H582&gt;0),H558:H582-H558),0)</f>
        <v>0</v>
      </c>
      <c r="I583" s="204" cm="1">
        <f t="array" ref="I583">IFERROR(LOOKUP(2,1/(I558:I582&gt;0),I558:I582-I558),0)</f>
        <v>0</v>
      </c>
      <c r="J583" s="242">
        <f t="shared" ref="J583:O583" si="21">IFERROR(AVERAGE(J558:J582),0)</f>
        <v>0</v>
      </c>
      <c r="K583" s="242">
        <f t="shared" si="21"/>
        <v>0</v>
      </c>
      <c r="L583" s="242">
        <f t="shared" si="21"/>
        <v>0</v>
      </c>
      <c r="M583" s="242">
        <f t="shared" si="21"/>
        <v>0</v>
      </c>
      <c r="N583" s="242">
        <f t="shared" si="21"/>
        <v>0</v>
      </c>
      <c r="O583" s="242">
        <f t="shared" si="21"/>
        <v>0</v>
      </c>
      <c r="P583" s="206">
        <f>COUNT(P558:P582)</f>
        <v>0</v>
      </c>
    </row>
    <row r="584" spans="1:16" ht="15" customHeight="1">
      <c r="A584" s="291">
        <f>'DATA B1'!B584</f>
        <v>46045</v>
      </c>
      <c r="B584" s="34">
        <v>0.29166666666666669</v>
      </c>
      <c r="C584" s="38"/>
      <c r="D584" s="39"/>
      <c r="E584" s="40"/>
      <c r="F584" s="143"/>
      <c r="G584" s="143"/>
      <c r="H584" s="130"/>
      <c r="I584" s="9"/>
      <c r="J584" s="145"/>
      <c r="K584" s="145"/>
      <c r="L584" s="146"/>
      <c r="M584" s="146"/>
      <c r="N584" s="91"/>
      <c r="O584" s="91"/>
      <c r="P584" s="61"/>
    </row>
    <row r="585" spans="1:16" ht="15" customHeight="1">
      <c r="A585" s="292"/>
      <c r="B585" s="34">
        <v>0.33333333333333298</v>
      </c>
      <c r="C585" s="38"/>
      <c r="D585" s="39"/>
      <c r="E585" s="40"/>
      <c r="F585" s="143"/>
      <c r="G585" s="143"/>
      <c r="H585" s="130"/>
      <c r="I585" s="9"/>
      <c r="J585" s="145"/>
      <c r="K585" s="145"/>
      <c r="L585" s="146"/>
      <c r="M585" s="146"/>
      <c r="N585" s="91"/>
      <c r="O585" s="91"/>
      <c r="P585" s="61"/>
    </row>
    <row r="586" spans="1:16" ht="15" customHeight="1">
      <c r="A586" s="292"/>
      <c r="B586" s="34">
        <v>0.375</v>
      </c>
      <c r="C586" s="38"/>
      <c r="D586" s="39"/>
      <c r="E586" s="40"/>
      <c r="F586" s="143"/>
      <c r="G586" s="143"/>
      <c r="H586" s="130"/>
      <c r="I586" s="9"/>
      <c r="J586" s="145"/>
      <c r="K586" s="145"/>
      <c r="L586" s="146"/>
      <c r="M586" s="146"/>
      <c r="N586" s="91"/>
      <c r="O586" s="91"/>
      <c r="P586" s="61"/>
    </row>
    <row r="587" spans="1:16" ht="15" customHeight="1">
      <c r="A587" s="292"/>
      <c r="B587" s="34">
        <v>0.41666666666666702</v>
      </c>
      <c r="C587" s="38"/>
      <c r="D587" s="39"/>
      <c r="E587" s="40"/>
      <c r="F587" s="143"/>
      <c r="G587" s="143"/>
      <c r="H587" s="130"/>
      <c r="I587" s="9"/>
      <c r="J587" s="145"/>
      <c r="K587" s="145"/>
      <c r="L587" s="146"/>
      <c r="M587" s="146"/>
      <c r="N587" s="91"/>
      <c r="O587" s="91"/>
      <c r="P587" s="61"/>
    </row>
    <row r="588" spans="1:16" ht="15" customHeight="1">
      <c r="A588" s="292"/>
      <c r="B588" s="34">
        <v>0.45833333333333298</v>
      </c>
      <c r="C588" s="38"/>
      <c r="D588" s="39"/>
      <c r="E588" s="40"/>
      <c r="F588" s="143"/>
      <c r="G588" s="143"/>
      <c r="H588" s="130"/>
      <c r="I588" s="9"/>
      <c r="J588" s="145"/>
      <c r="K588" s="145"/>
      <c r="L588" s="146"/>
      <c r="M588" s="146"/>
      <c r="N588" s="91"/>
      <c r="O588" s="91"/>
      <c r="P588" s="61"/>
    </row>
    <row r="589" spans="1:16" ht="15" customHeight="1">
      <c r="A589" s="292"/>
      <c r="B589" s="34">
        <v>0.5</v>
      </c>
      <c r="C589" s="38"/>
      <c r="D589" s="39"/>
      <c r="E589" s="40"/>
      <c r="F589" s="143"/>
      <c r="G589" s="143"/>
      <c r="H589" s="130"/>
      <c r="I589" s="9"/>
      <c r="J589" s="145"/>
      <c r="K589" s="145"/>
      <c r="L589" s="146"/>
      <c r="M589" s="146"/>
      <c r="N589" s="91"/>
      <c r="O589" s="91"/>
      <c r="P589" s="61"/>
    </row>
    <row r="590" spans="1:16" ht="15" customHeight="1">
      <c r="A590" s="292"/>
      <c r="B590" s="34">
        <v>0.54166666666666696</v>
      </c>
      <c r="C590" s="38"/>
      <c r="D590" s="39"/>
      <c r="E590" s="40"/>
      <c r="F590" s="143"/>
      <c r="G590" s="143"/>
      <c r="H590" s="130"/>
      <c r="I590" s="9"/>
      <c r="J590" s="145"/>
      <c r="K590" s="145"/>
      <c r="L590" s="146"/>
      <c r="M590" s="146"/>
      <c r="N590" s="91"/>
      <c r="O590" s="91"/>
      <c r="P590" s="61"/>
    </row>
    <row r="591" spans="1:16" ht="15" customHeight="1">
      <c r="A591" s="292"/>
      <c r="B591" s="34">
        <v>0.58333333333333304</v>
      </c>
      <c r="C591" s="38"/>
      <c r="D591" s="39"/>
      <c r="E591" s="40"/>
      <c r="F591" s="143"/>
      <c r="G591" s="143"/>
      <c r="H591" s="130"/>
      <c r="I591" s="9"/>
      <c r="J591" s="145"/>
      <c r="K591" s="145"/>
      <c r="L591" s="146"/>
      <c r="M591" s="146"/>
      <c r="N591" s="91"/>
      <c r="O591" s="91"/>
      <c r="P591" s="65"/>
    </row>
    <row r="592" spans="1:16" ht="15" customHeight="1">
      <c r="A592" s="292"/>
      <c r="B592" s="34">
        <v>0.625</v>
      </c>
      <c r="C592" s="38"/>
      <c r="D592" s="39"/>
      <c r="E592" s="40"/>
      <c r="F592" s="143"/>
      <c r="G592" s="143"/>
      <c r="H592" s="130"/>
      <c r="I592" s="9"/>
      <c r="J592" s="145"/>
      <c r="K592" s="145"/>
      <c r="L592" s="146"/>
      <c r="M592" s="146"/>
      <c r="N592" s="91"/>
      <c r="O592" s="91"/>
      <c r="P592" s="61"/>
    </row>
    <row r="593" spans="1:16" ht="15" customHeight="1">
      <c r="A593" s="292"/>
      <c r="B593" s="34">
        <v>0.66666666666666696</v>
      </c>
      <c r="C593" s="38"/>
      <c r="D593" s="39"/>
      <c r="E593" s="40"/>
      <c r="F593" s="143"/>
      <c r="G593" s="143"/>
      <c r="H593" s="130"/>
      <c r="I593" s="9"/>
      <c r="J593" s="145"/>
      <c r="K593" s="145"/>
      <c r="L593" s="146"/>
      <c r="M593" s="146"/>
      <c r="N593" s="91"/>
      <c r="O593" s="91"/>
      <c r="P593" s="61"/>
    </row>
    <row r="594" spans="1:16" ht="15" customHeight="1">
      <c r="A594" s="292"/>
      <c r="B594" s="34">
        <v>0.70833333333333304</v>
      </c>
      <c r="C594" s="38"/>
      <c r="D594" s="39"/>
      <c r="E594" s="40"/>
      <c r="F594" s="143"/>
      <c r="G594" s="143"/>
      <c r="H594" s="130"/>
      <c r="I594" s="9"/>
      <c r="J594" s="145"/>
      <c r="K594" s="145"/>
      <c r="L594" s="146"/>
      <c r="M594" s="146"/>
      <c r="N594" s="91"/>
      <c r="O594" s="91"/>
      <c r="P594" s="61"/>
    </row>
    <row r="595" spans="1:16" ht="15" customHeight="1">
      <c r="A595" s="292"/>
      <c r="B595" s="34">
        <v>0.75</v>
      </c>
      <c r="C595" s="38"/>
      <c r="D595" s="39"/>
      <c r="E595" s="40"/>
      <c r="F595" s="143"/>
      <c r="G595" s="143"/>
      <c r="H595" s="130"/>
      <c r="I595" s="9"/>
      <c r="J595" s="145"/>
      <c r="K595" s="145"/>
      <c r="L595" s="146"/>
      <c r="M595" s="146"/>
      <c r="N595" s="91"/>
      <c r="O595" s="91"/>
      <c r="P595" s="61"/>
    </row>
    <row r="596" spans="1:16" ht="15" customHeight="1">
      <c r="A596" s="292"/>
      <c r="B596" s="34">
        <v>0.79166666666666696</v>
      </c>
      <c r="C596" s="38"/>
      <c r="D596" s="39"/>
      <c r="E596" s="40"/>
      <c r="F596" s="143"/>
      <c r="G596" s="143"/>
      <c r="H596" s="130"/>
      <c r="I596" s="9"/>
      <c r="J596" s="145"/>
      <c r="K596" s="145"/>
      <c r="L596" s="146"/>
      <c r="M596" s="146"/>
      <c r="N596" s="91"/>
      <c r="O596" s="91"/>
      <c r="P596" s="61"/>
    </row>
    <row r="597" spans="1:16" ht="15" customHeight="1">
      <c r="A597" s="292"/>
      <c r="B597" s="34">
        <v>0.83333333333333304</v>
      </c>
      <c r="C597" s="38"/>
      <c r="D597" s="39"/>
      <c r="E597" s="40"/>
      <c r="F597" s="143"/>
      <c r="G597" s="143"/>
      <c r="H597" s="130"/>
      <c r="I597" s="9"/>
      <c r="J597" s="145"/>
      <c r="K597" s="145"/>
      <c r="L597" s="146"/>
      <c r="M597" s="146"/>
      <c r="N597" s="91"/>
      <c r="O597" s="91"/>
      <c r="P597" s="61"/>
    </row>
    <row r="598" spans="1:16" ht="15" customHeight="1">
      <c r="A598" s="292"/>
      <c r="B598" s="34">
        <v>0.875</v>
      </c>
      <c r="C598" s="38"/>
      <c r="D598" s="39"/>
      <c r="E598" s="40"/>
      <c r="F598" s="143"/>
      <c r="G598" s="143"/>
      <c r="H598" s="130"/>
      <c r="I598" s="9"/>
      <c r="J598" s="145"/>
      <c r="K598" s="145"/>
      <c r="L598" s="146"/>
      <c r="M598" s="146"/>
      <c r="N598" s="91"/>
      <c r="O598" s="91"/>
      <c r="P598" s="61"/>
    </row>
    <row r="599" spans="1:16" ht="15" customHeight="1">
      <c r="A599" s="292"/>
      <c r="B599" s="34">
        <v>0.91666666666666696</v>
      </c>
      <c r="C599" s="38"/>
      <c r="D599" s="39"/>
      <c r="E599" s="40"/>
      <c r="F599" s="143"/>
      <c r="G599" s="143"/>
      <c r="H599" s="130"/>
      <c r="I599" s="9"/>
      <c r="J599" s="145"/>
      <c r="K599" s="145"/>
      <c r="L599" s="146"/>
      <c r="M599" s="146"/>
      <c r="N599" s="91"/>
      <c r="O599" s="91"/>
      <c r="P599" s="61"/>
    </row>
    <row r="600" spans="1:16" ht="15" customHeight="1">
      <c r="A600" s="292"/>
      <c r="B600" s="34">
        <v>0.95833333333333304</v>
      </c>
      <c r="C600" s="38"/>
      <c r="D600" s="39"/>
      <c r="E600" s="40"/>
      <c r="F600" s="143"/>
      <c r="G600" s="143"/>
      <c r="H600" s="130"/>
      <c r="I600" s="9"/>
      <c r="J600" s="145"/>
      <c r="K600" s="145"/>
      <c r="L600" s="146"/>
      <c r="M600" s="146"/>
      <c r="N600" s="91"/>
      <c r="O600" s="91"/>
      <c r="P600" s="61"/>
    </row>
    <row r="601" spans="1:16" ht="15" customHeight="1">
      <c r="A601" s="292"/>
      <c r="B601" s="34">
        <v>1</v>
      </c>
      <c r="C601" s="38"/>
      <c r="D601" s="39"/>
      <c r="E601" s="40"/>
      <c r="F601" s="143"/>
      <c r="G601" s="143"/>
      <c r="H601" s="130"/>
      <c r="I601" s="9"/>
      <c r="J601" s="145"/>
      <c r="K601" s="145"/>
      <c r="L601" s="146"/>
      <c r="M601" s="146"/>
      <c r="N601" s="91"/>
      <c r="O601" s="91"/>
      <c r="P601" s="61"/>
    </row>
    <row r="602" spans="1:16" ht="15" customHeight="1">
      <c r="A602" s="292"/>
      <c r="B602" s="34">
        <v>1.0416666666666701</v>
      </c>
      <c r="C602" s="38"/>
      <c r="D602" s="39"/>
      <c r="E602" s="40"/>
      <c r="F602" s="143"/>
      <c r="G602" s="143"/>
      <c r="H602" s="130"/>
      <c r="I602" s="9"/>
      <c r="J602" s="145"/>
      <c r="K602" s="145"/>
      <c r="L602" s="146"/>
      <c r="M602" s="146"/>
      <c r="N602" s="91"/>
      <c r="O602" s="91"/>
      <c r="P602" s="61"/>
    </row>
    <row r="603" spans="1:16" ht="15" customHeight="1">
      <c r="A603" s="292"/>
      <c r="B603" s="34">
        <v>1.0833333333333299</v>
      </c>
      <c r="C603" s="38"/>
      <c r="D603" s="39"/>
      <c r="E603" s="40"/>
      <c r="F603" s="143"/>
      <c r="G603" s="143"/>
      <c r="H603" s="130"/>
      <c r="I603" s="9"/>
      <c r="J603" s="145"/>
      <c r="K603" s="145"/>
      <c r="L603" s="146"/>
      <c r="M603" s="146"/>
      <c r="N603" s="91"/>
      <c r="O603" s="91"/>
      <c r="P603" s="61"/>
    </row>
    <row r="604" spans="1:16" ht="15" customHeight="1">
      <c r="A604" s="292"/>
      <c r="B604" s="34">
        <v>1.125</v>
      </c>
      <c r="C604" s="38"/>
      <c r="D604" s="39"/>
      <c r="E604" s="40"/>
      <c r="F604" s="143"/>
      <c r="G604" s="143"/>
      <c r="H604" s="130"/>
      <c r="I604" s="9"/>
      <c r="J604" s="145"/>
      <c r="K604" s="145"/>
      <c r="L604" s="146"/>
      <c r="M604" s="146"/>
      <c r="N604" s="91"/>
      <c r="O604" s="91"/>
      <c r="P604" s="61"/>
    </row>
    <row r="605" spans="1:16" ht="15" customHeight="1">
      <c r="A605" s="292"/>
      <c r="B605" s="34">
        <v>1.1666666666666701</v>
      </c>
      <c r="C605" s="38"/>
      <c r="D605" s="39"/>
      <c r="E605" s="40"/>
      <c r="F605" s="143"/>
      <c r="G605" s="143"/>
      <c r="H605" s="130"/>
      <c r="I605" s="9"/>
      <c r="J605" s="145"/>
      <c r="K605" s="145"/>
      <c r="L605" s="146"/>
      <c r="M605" s="146"/>
      <c r="N605" s="91"/>
      <c r="O605" s="91"/>
      <c r="P605" s="61"/>
    </row>
    <row r="606" spans="1:16" ht="15" customHeight="1">
      <c r="A606" s="292"/>
      <c r="B606" s="34">
        <v>1.2083333333333299</v>
      </c>
      <c r="C606" s="38"/>
      <c r="D606" s="39"/>
      <c r="E606" s="40"/>
      <c r="F606" s="143"/>
      <c r="G606" s="143"/>
      <c r="H606" s="130"/>
      <c r="I606" s="9"/>
      <c r="J606" s="145"/>
      <c r="K606" s="145"/>
      <c r="L606" s="146"/>
      <c r="M606" s="146"/>
      <c r="N606" s="91"/>
      <c r="O606" s="91"/>
      <c r="P606" s="61"/>
    </row>
    <row r="607" spans="1:16" ht="15" customHeight="1">
      <c r="A607" s="292"/>
      <c r="B607" s="34">
        <v>1.25</v>
      </c>
      <c r="C607" s="38"/>
      <c r="D607" s="39"/>
      <c r="E607" s="40"/>
      <c r="F607" s="143"/>
      <c r="G607" s="143"/>
      <c r="H607" s="130"/>
      <c r="I607" s="9"/>
      <c r="J607" s="145"/>
      <c r="K607" s="145"/>
      <c r="L607" s="146"/>
      <c r="M607" s="146"/>
      <c r="N607" s="91"/>
      <c r="O607" s="91"/>
      <c r="P607" s="61"/>
    </row>
    <row r="608" spans="1:16" ht="15" customHeight="1">
      <c r="A608" s="292"/>
      <c r="B608" s="34">
        <v>1.2916666666666701</v>
      </c>
      <c r="C608" s="38"/>
      <c r="D608" s="39"/>
      <c r="E608" s="40"/>
      <c r="F608" s="143"/>
      <c r="G608" s="143"/>
      <c r="H608" s="130"/>
      <c r="I608" s="9"/>
      <c r="J608" s="145"/>
      <c r="K608" s="145"/>
      <c r="L608" s="146"/>
      <c r="M608" s="146"/>
      <c r="N608" s="91"/>
      <c r="O608" s="91"/>
      <c r="P608" s="61"/>
    </row>
    <row r="609" spans="1:16" ht="15" customHeight="1">
      <c r="A609" s="293"/>
      <c r="B609" s="37"/>
      <c r="C609" s="204" cm="1">
        <f t="array" ref="C609">IFERROR(LOOKUP(2,1/(C584:C608&gt;0),C584:C608-C584),0)</f>
        <v>0</v>
      </c>
      <c r="D609" s="204" cm="1">
        <f t="array" ref="D609">IFERROR(LOOKUP(2,1/(D584:D608&gt;0),D584:D608-D584),0)</f>
        <v>0</v>
      </c>
      <c r="E609" s="207" cm="1">
        <f t="array" ref="E609">IFERROR(LOOKUP(2,1/(E584:E608&gt;0),E584:E608-E584),0)</f>
        <v>0</v>
      </c>
      <c r="F609" s="207" cm="1">
        <f t="array" ref="F609">IFERROR(LOOKUP(2,1/(F584:F608&gt;0),F584:F608-F584),0)</f>
        <v>0</v>
      </c>
      <c r="G609" s="41">
        <f>E609+F609</f>
        <v>0</v>
      </c>
      <c r="H609" s="205" cm="1">
        <f t="array" ref="H609">IFERROR(LOOKUP(2,1/(H584:H608&gt;0),H584:H608-H584),0)</f>
        <v>0</v>
      </c>
      <c r="I609" s="204" cm="1">
        <f t="array" ref="I609">IFERROR(LOOKUP(2,1/(I584:I608&gt;0),I584:I608-I584),0)</f>
        <v>0</v>
      </c>
      <c r="J609" s="242">
        <f t="shared" ref="J609:O609" si="22">IFERROR(AVERAGE(J584:J608),0)</f>
        <v>0</v>
      </c>
      <c r="K609" s="242">
        <f t="shared" si="22"/>
        <v>0</v>
      </c>
      <c r="L609" s="242">
        <f t="shared" si="22"/>
        <v>0</v>
      </c>
      <c r="M609" s="242">
        <f t="shared" si="22"/>
        <v>0</v>
      </c>
      <c r="N609" s="242">
        <f t="shared" si="22"/>
        <v>0</v>
      </c>
      <c r="O609" s="242">
        <f t="shared" si="22"/>
        <v>0</v>
      </c>
      <c r="P609" s="206">
        <f>COUNT(P584:P608)</f>
        <v>0</v>
      </c>
    </row>
    <row r="610" spans="1:16" ht="15" customHeight="1">
      <c r="A610" s="291">
        <f>'DATA B1'!B610</f>
        <v>46046</v>
      </c>
      <c r="B610" s="34">
        <v>0.29166666666666669</v>
      </c>
      <c r="C610" s="38"/>
      <c r="D610" s="39"/>
      <c r="E610" s="40"/>
      <c r="F610" s="143"/>
      <c r="G610" s="143"/>
      <c r="H610" s="130"/>
      <c r="I610" s="9"/>
      <c r="J610" s="145"/>
      <c r="K610" s="145"/>
      <c r="L610" s="146"/>
      <c r="M610" s="146"/>
      <c r="N610" s="91"/>
      <c r="O610" s="91"/>
      <c r="P610" s="61"/>
    </row>
    <row r="611" spans="1:16" ht="15" customHeight="1">
      <c r="A611" s="292"/>
      <c r="B611" s="34">
        <v>0.33333333333333298</v>
      </c>
      <c r="C611" s="38"/>
      <c r="D611" s="39"/>
      <c r="E611" s="40"/>
      <c r="F611" s="143"/>
      <c r="G611" s="143"/>
      <c r="H611" s="130"/>
      <c r="I611" s="9"/>
      <c r="J611" s="145"/>
      <c r="K611" s="145"/>
      <c r="L611" s="146"/>
      <c r="M611" s="146"/>
      <c r="N611" s="91"/>
      <c r="O611" s="91"/>
      <c r="P611" s="61"/>
    </row>
    <row r="612" spans="1:16" ht="15" customHeight="1">
      <c r="A612" s="292"/>
      <c r="B612" s="34">
        <v>0.375</v>
      </c>
      <c r="C612" s="38"/>
      <c r="D612" s="39"/>
      <c r="E612" s="40"/>
      <c r="F612" s="143"/>
      <c r="G612" s="143"/>
      <c r="H612" s="130"/>
      <c r="I612" s="9"/>
      <c r="J612" s="145"/>
      <c r="K612" s="145"/>
      <c r="L612" s="146"/>
      <c r="M612" s="146"/>
      <c r="N612" s="91"/>
      <c r="O612" s="91"/>
      <c r="P612" s="61"/>
    </row>
    <row r="613" spans="1:16" ht="15" customHeight="1">
      <c r="A613" s="292"/>
      <c r="B613" s="34">
        <v>0.41666666666666702</v>
      </c>
      <c r="C613" s="38"/>
      <c r="D613" s="39"/>
      <c r="E613" s="40"/>
      <c r="F613" s="143"/>
      <c r="G613" s="143"/>
      <c r="H613" s="130"/>
      <c r="I613" s="9"/>
      <c r="J613" s="145"/>
      <c r="K613" s="145"/>
      <c r="L613" s="146"/>
      <c r="M613" s="146"/>
      <c r="N613" s="91"/>
      <c r="O613" s="91"/>
      <c r="P613" s="61"/>
    </row>
    <row r="614" spans="1:16" ht="15" customHeight="1">
      <c r="A614" s="292"/>
      <c r="B614" s="34">
        <v>0.45833333333333298</v>
      </c>
      <c r="C614" s="38"/>
      <c r="D614" s="39"/>
      <c r="E614" s="40"/>
      <c r="F614" s="143"/>
      <c r="G614" s="143"/>
      <c r="H614" s="130"/>
      <c r="I614" s="9"/>
      <c r="J614" s="145"/>
      <c r="K614" s="145"/>
      <c r="L614" s="146"/>
      <c r="M614" s="146"/>
      <c r="N614" s="91"/>
      <c r="O614" s="91"/>
      <c r="P614" s="61"/>
    </row>
    <row r="615" spans="1:16" ht="15" customHeight="1">
      <c r="A615" s="292"/>
      <c r="B615" s="34">
        <v>0.5</v>
      </c>
      <c r="C615" s="38"/>
      <c r="D615" s="39"/>
      <c r="E615" s="40"/>
      <c r="F615" s="143"/>
      <c r="G615" s="143"/>
      <c r="H615" s="130"/>
      <c r="I615" s="9"/>
      <c r="J615" s="145"/>
      <c r="K615" s="145"/>
      <c r="L615" s="146"/>
      <c r="M615" s="146"/>
      <c r="N615" s="91"/>
      <c r="O615" s="91"/>
      <c r="P615" s="61"/>
    </row>
    <row r="616" spans="1:16" ht="15" customHeight="1">
      <c r="A616" s="292"/>
      <c r="B616" s="34">
        <v>0.54166666666666696</v>
      </c>
      <c r="C616" s="38"/>
      <c r="D616" s="39"/>
      <c r="E616" s="40"/>
      <c r="F616" s="143"/>
      <c r="G616" s="143"/>
      <c r="H616" s="130"/>
      <c r="I616" s="9"/>
      <c r="J616" s="145"/>
      <c r="K616" s="145"/>
      <c r="L616" s="146"/>
      <c r="M616" s="146"/>
      <c r="N616" s="91"/>
      <c r="O616" s="91"/>
      <c r="P616" s="61"/>
    </row>
    <row r="617" spans="1:16" ht="15" customHeight="1">
      <c r="A617" s="292"/>
      <c r="B617" s="34">
        <v>0.58333333333333304</v>
      </c>
      <c r="C617" s="38"/>
      <c r="D617" s="39"/>
      <c r="E617" s="40"/>
      <c r="F617" s="143"/>
      <c r="G617" s="143"/>
      <c r="H617" s="130"/>
      <c r="I617" s="9"/>
      <c r="J617" s="145"/>
      <c r="K617" s="145"/>
      <c r="L617" s="146"/>
      <c r="M617" s="146"/>
      <c r="N617" s="91"/>
      <c r="O617" s="91"/>
      <c r="P617" s="65"/>
    </row>
    <row r="618" spans="1:16" ht="15" customHeight="1">
      <c r="A618" s="292"/>
      <c r="B618" s="34">
        <v>0.625</v>
      </c>
      <c r="C618" s="38"/>
      <c r="D618" s="39"/>
      <c r="E618" s="40"/>
      <c r="F618" s="143"/>
      <c r="G618" s="143"/>
      <c r="H618" s="130"/>
      <c r="I618" s="9"/>
      <c r="J618" s="145"/>
      <c r="K618" s="145"/>
      <c r="L618" s="146"/>
      <c r="M618" s="146"/>
      <c r="N618" s="91"/>
      <c r="O618" s="91"/>
      <c r="P618" s="61"/>
    </row>
    <row r="619" spans="1:16" ht="15" customHeight="1">
      <c r="A619" s="292"/>
      <c r="B619" s="34">
        <v>0.66666666666666696</v>
      </c>
      <c r="C619" s="38"/>
      <c r="D619" s="39"/>
      <c r="E619" s="40"/>
      <c r="F619" s="143"/>
      <c r="G619" s="143"/>
      <c r="H619" s="130"/>
      <c r="I619" s="9"/>
      <c r="J619" s="145"/>
      <c r="K619" s="145"/>
      <c r="L619" s="146"/>
      <c r="M619" s="146"/>
      <c r="N619" s="91"/>
      <c r="O619" s="91"/>
      <c r="P619" s="61"/>
    </row>
    <row r="620" spans="1:16" ht="15" customHeight="1">
      <c r="A620" s="292"/>
      <c r="B620" s="34">
        <v>0.70833333333333304</v>
      </c>
      <c r="C620" s="38"/>
      <c r="D620" s="39"/>
      <c r="E620" s="40"/>
      <c r="F620" s="143"/>
      <c r="G620" s="143"/>
      <c r="H620" s="130"/>
      <c r="I620" s="9"/>
      <c r="J620" s="145"/>
      <c r="K620" s="145"/>
      <c r="L620" s="146"/>
      <c r="M620" s="146"/>
      <c r="N620" s="91"/>
      <c r="O620" s="91"/>
      <c r="P620" s="61"/>
    </row>
    <row r="621" spans="1:16" ht="15" customHeight="1">
      <c r="A621" s="292"/>
      <c r="B621" s="34">
        <v>0.75</v>
      </c>
      <c r="C621" s="38"/>
      <c r="D621" s="39"/>
      <c r="E621" s="40"/>
      <c r="F621" s="143"/>
      <c r="G621" s="143"/>
      <c r="H621" s="130"/>
      <c r="I621" s="9"/>
      <c r="J621" s="145"/>
      <c r="K621" s="145"/>
      <c r="L621" s="146"/>
      <c r="M621" s="146"/>
      <c r="N621" s="91"/>
      <c r="O621" s="91"/>
      <c r="P621" s="61"/>
    </row>
    <row r="622" spans="1:16" ht="15" customHeight="1">
      <c r="A622" s="292"/>
      <c r="B622" s="34">
        <v>0.79166666666666696</v>
      </c>
      <c r="C622" s="38"/>
      <c r="D622" s="39"/>
      <c r="E622" s="40"/>
      <c r="F622" s="143"/>
      <c r="G622" s="143"/>
      <c r="H622" s="130"/>
      <c r="I622" s="9"/>
      <c r="J622" s="145"/>
      <c r="K622" s="145"/>
      <c r="L622" s="146"/>
      <c r="M622" s="146"/>
      <c r="N622" s="91"/>
      <c r="O622" s="91"/>
      <c r="P622" s="61"/>
    </row>
    <row r="623" spans="1:16" ht="15" customHeight="1">
      <c r="A623" s="292"/>
      <c r="B623" s="34">
        <v>0.83333333333333304</v>
      </c>
      <c r="C623" s="38"/>
      <c r="D623" s="39"/>
      <c r="E623" s="40"/>
      <c r="F623" s="143"/>
      <c r="G623" s="143"/>
      <c r="H623" s="130"/>
      <c r="I623" s="9"/>
      <c r="J623" s="145"/>
      <c r="K623" s="145"/>
      <c r="L623" s="146"/>
      <c r="M623" s="146"/>
      <c r="N623" s="91"/>
      <c r="O623" s="91"/>
      <c r="P623" s="61"/>
    </row>
    <row r="624" spans="1:16" ht="15" customHeight="1">
      <c r="A624" s="292"/>
      <c r="B624" s="34">
        <v>0.875</v>
      </c>
      <c r="C624" s="38"/>
      <c r="D624" s="39"/>
      <c r="E624" s="40"/>
      <c r="F624" s="143"/>
      <c r="G624" s="143"/>
      <c r="H624" s="130"/>
      <c r="I624" s="9"/>
      <c r="J624" s="145"/>
      <c r="K624" s="145"/>
      <c r="L624" s="146"/>
      <c r="M624" s="146"/>
      <c r="N624" s="91"/>
      <c r="O624" s="91"/>
      <c r="P624" s="61"/>
    </row>
    <row r="625" spans="1:16" ht="15" customHeight="1">
      <c r="A625" s="292"/>
      <c r="B625" s="34">
        <v>0.91666666666666696</v>
      </c>
      <c r="C625" s="38"/>
      <c r="D625" s="39"/>
      <c r="E625" s="40"/>
      <c r="F625" s="143"/>
      <c r="G625" s="143"/>
      <c r="H625" s="130"/>
      <c r="I625" s="9"/>
      <c r="J625" s="145"/>
      <c r="K625" s="145"/>
      <c r="L625" s="146"/>
      <c r="M625" s="146"/>
      <c r="N625" s="91"/>
      <c r="O625" s="91"/>
      <c r="P625" s="61"/>
    </row>
    <row r="626" spans="1:16" ht="15" customHeight="1">
      <c r="A626" s="292"/>
      <c r="B626" s="34">
        <v>0.95833333333333304</v>
      </c>
      <c r="C626" s="38"/>
      <c r="D626" s="39"/>
      <c r="E626" s="40"/>
      <c r="F626" s="143"/>
      <c r="G626" s="143"/>
      <c r="H626" s="130"/>
      <c r="I626" s="9"/>
      <c r="J626" s="145"/>
      <c r="K626" s="145"/>
      <c r="L626" s="146"/>
      <c r="M626" s="146"/>
      <c r="N626" s="91"/>
      <c r="O626" s="91"/>
      <c r="P626" s="61"/>
    </row>
    <row r="627" spans="1:16" ht="15" customHeight="1">
      <c r="A627" s="292"/>
      <c r="B627" s="34">
        <v>1</v>
      </c>
      <c r="C627" s="38"/>
      <c r="D627" s="39"/>
      <c r="E627" s="40"/>
      <c r="F627" s="143"/>
      <c r="G627" s="143"/>
      <c r="H627" s="130"/>
      <c r="I627" s="9"/>
      <c r="J627" s="145"/>
      <c r="K627" s="145"/>
      <c r="L627" s="146"/>
      <c r="M627" s="146"/>
      <c r="N627" s="91"/>
      <c r="O627" s="91"/>
      <c r="P627" s="61"/>
    </row>
    <row r="628" spans="1:16" ht="15" customHeight="1">
      <c r="A628" s="292"/>
      <c r="B628" s="34">
        <v>1.0416666666666701</v>
      </c>
      <c r="C628" s="38"/>
      <c r="D628" s="39"/>
      <c r="E628" s="40"/>
      <c r="F628" s="143"/>
      <c r="G628" s="143"/>
      <c r="H628" s="130"/>
      <c r="I628" s="9"/>
      <c r="J628" s="145"/>
      <c r="K628" s="145"/>
      <c r="L628" s="146"/>
      <c r="M628" s="146"/>
      <c r="N628" s="91"/>
      <c r="O628" s="91"/>
      <c r="P628" s="61"/>
    </row>
    <row r="629" spans="1:16" ht="15" customHeight="1">
      <c r="A629" s="292"/>
      <c r="B629" s="34">
        <v>1.0833333333333299</v>
      </c>
      <c r="C629" s="38"/>
      <c r="D629" s="39"/>
      <c r="E629" s="40"/>
      <c r="F629" s="143"/>
      <c r="G629" s="143"/>
      <c r="H629" s="130"/>
      <c r="I629" s="9"/>
      <c r="J629" s="145"/>
      <c r="K629" s="145"/>
      <c r="L629" s="146"/>
      <c r="M629" s="146"/>
      <c r="N629" s="91"/>
      <c r="O629" s="91"/>
      <c r="P629" s="61"/>
    </row>
    <row r="630" spans="1:16" ht="15" customHeight="1">
      <c r="A630" s="292"/>
      <c r="B630" s="34">
        <v>1.125</v>
      </c>
      <c r="C630" s="38"/>
      <c r="D630" s="39"/>
      <c r="E630" s="40"/>
      <c r="F630" s="143"/>
      <c r="G630" s="143"/>
      <c r="H630" s="130"/>
      <c r="I630" s="9"/>
      <c r="J630" s="145"/>
      <c r="K630" s="145"/>
      <c r="L630" s="146"/>
      <c r="M630" s="146"/>
      <c r="N630" s="91"/>
      <c r="O630" s="91"/>
      <c r="P630" s="61"/>
    </row>
    <row r="631" spans="1:16" ht="15" customHeight="1">
      <c r="A631" s="292"/>
      <c r="B631" s="34">
        <v>1.1666666666666701</v>
      </c>
      <c r="C631" s="38"/>
      <c r="D631" s="39"/>
      <c r="E631" s="40"/>
      <c r="F631" s="143"/>
      <c r="G631" s="143"/>
      <c r="H631" s="130"/>
      <c r="I631" s="9"/>
      <c r="J631" s="145"/>
      <c r="K631" s="145"/>
      <c r="L631" s="146"/>
      <c r="M631" s="146"/>
      <c r="N631" s="91"/>
      <c r="O631" s="91"/>
      <c r="P631" s="61"/>
    </row>
    <row r="632" spans="1:16" ht="15" customHeight="1">
      <c r="A632" s="292"/>
      <c r="B632" s="34">
        <v>1.2083333333333299</v>
      </c>
      <c r="C632" s="38"/>
      <c r="D632" s="39"/>
      <c r="E632" s="40"/>
      <c r="F632" s="143"/>
      <c r="G632" s="143"/>
      <c r="H632" s="130"/>
      <c r="I632" s="9"/>
      <c r="J632" s="145"/>
      <c r="K632" s="145"/>
      <c r="L632" s="146"/>
      <c r="M632" s="146"/>
      <c r="N632" s="91"/>
      <c r="O632" s="91"/>
      <c r="P632" s="61"/>
    </row>
    <row r="633" spans="1:16" ht="15" customHeight="1">
      <c r="A633" s="292"/>
      <c r="B633" s="34">
        <v>1.25</v>
      </c>
      <c r="C633" s="38"/>
      <c r="D633" s="39"/>
      <c r="E633" s="40"/>
      <c r="F633" s="143"/>
      <c r="G633" s="143"/>
      <c r="H633" s="130"/>
      <c r="I633" s="9"/>
      <c r="J633" s="145"/>
      <c r="K633" s="145"/>
      <c r="L633" s="146"/>
      <c r="M633" s="146"/>
      <c r="N633" s="91"/>
      <c r="O633" s="91"/>
      <c r="P633" s="61"/>
    </row>
    <row r="634" spans="1:16" ht="15" customHeight="1">
      <c r="A634" s="292"/>
      <c r="B634" s="34">
        <v>1.2916666666666701</v>
      </c>
      <c r="C634" s="38"/>
      <c r="D634" s="39"/>
      <c r="E634" s="40"/>
      <c r="F634" s="143"/>
      <c r="G634" s="143"/>
      <c r="H634" s="130"/>
      <c r="I634" s="9"/>
      <c r="J634" s="145"/>
      <c r="K634" s="145"/>
      <c r="L634" s="146"/>
      <c r="M634" s="146"/>
      <c r="N634" s="91"/>
      <c r="O634" s="91"/>
      <c r="P634" s="61"/>
    </row>
    <row r="635" spans="1:16" ht="15" customHeight="1">
      <c r="A635" s="293"/>
      <c r="B635" s="37"/>
      <c r="C635" s="204" cm="1">
        <f t="array" ref="C635">IFERROR(LOOKUP(2,1/(C610:C634&gt;0),C610:C634-C610),0)</f>
        <v>0</v>
      </c>
      <c r="D635" s="204" cm="1">
        <f t="array" ref="D635">IFERROR(LOOKUP(2,1/(D610:D634&gt;0),D610:D634-D610),0)</f>
        <v>0</v>
      </c>
      <c r="E635" s="207" cm="1">
        <f t="array" ref="E635">IFERROR(LOOKUP(2,1/(E610:E634&gt;0),E610:E634-E610),0)</f>
        <v>0</v>
      </c>
      <c r="F635" s="207" cm="1">
        <f t="array" ref="F635">IFERROR(LOOKUP(2,1/(F610:F634&gt;0),F610:F634-F610),0)</f>
        <v>0</v>
      </c>
      <c r="G635" s="41">
        <f>E635+F635</f>
        <v>0</v>
      </c>
      <c r="H635" s="205" cm="1">
        <f t="array" ref="H635">IFERROR(LOOKUP(2,1/(H610:H634&gt;0),H610:H634-H610),0)</f>
        <v>0</v>
      </c>
      <c r="I635" s="204" cm="1">
        <f t="array" ref="I635">IFERROR(LOOKUP(2,1/(I610:I634&gt;0),I610:I634-I610),0)</f>
        <v>0</v>
      </c>
      <c r="J635" s="242">
        <f t="shared" ref="J635:O635" si="23">IFERROR(AVERAGE(J610:J634),0)</f>
        <v>0</v>
      </c>
      <c r="K635" s="242">
        <f t="shared" si="23"/>
        <v>0</v>
      </c>
      <c r="L635" s="242">
        <f t="shared" si="23"/>
        <v>0</v>
      </c>
      <c r="M635" s="242">
        <f t="shared" si="23"/>
        <v>0</v>
      </c>
      <c r="N635" s="242">
        <f t="shared" si="23"/>
        <v>0</v>
      </c>
      <c r="O635" s="242">
        <f t="shared" si="23"/>
        <v>0</v>
      </c>
      <c r="P635" s="206">
        <f>COUNT(P610:P634)</f>
        <v>0</v>
      </c>
    </row>
    <row r="636" spans="1:16" ht="15" customHeight="1">
      <c r="A636" s="291">
        <f>'DATA B1'!B636</f>
        <v>46047</v>
      </c>
      <c r="B636" s="34">
        <v>0.29166666666666669</v>
      </c>
      <c r="C636" s="38"/>
      <c r="D636" s="39"/>
      <c r="E636" s="40"/>
      <c r="F636" s="143"/>
      <c r="G636" s="143"/>
      <c r="H636" s="130"/>
      <c r="I636" s="9"/>
      <c r="J636" s="145"/>
      <c r="K636" s="145"/>
      <c r="L636" s="146"/>
      <c r="M636" s="146"/>
      <c r="N636" s="91"/>
      <c r="O636" s="91"/>
      <c r="P636" s="61"/>
    </row>
    <row r="637" spans="1:16" ht="15" customHeight="1">
      <c r="A637" s="292"/>
      <c r="B637" s="34">
        <v>0.33333333333333298</v>
      </c>
      <c r="C637" s="38"/>
      <c r="D637" s="39"/>
      <c r="E637" s="40"/>
      <c r="F637" s="143"/>
      <c r="G637" s="143"/>
      <c r="H637" s="130"/>
      <c r="I637" s="9"/>
      <c r="J637" s="145"/>
      <c r="K637" s="145"/>
      <c r="L637" s="146"/>
      <c r="M637" s="146"/>
      <c r="N637" s="91"/>
      <c r="O637" s="91"/>
      <c r="P637" s="61"/>
    </row>
    <row r="638" spans="1:16" ht="15" customHeight="1">
      <c r="A638" s="292"/>
      <c r="B638" s="34">
        <v>0.375</v>
      </c>
      <c r="C638" s="38"/>
      <c r="D638" s="39"/>
      <c r="E638" s="40"/>
      <c r="F638" s="143"/>
      <c r="G638" s="143"/>
      <c r="H638" s="130"/>
      <c r="I638" s="9"/>
      <c r="J638" s="145"/>
      <c r="K638" s="145"/>
      <c r="L638" s="146"/>
      <c r="M638" s="146"/>
      <c r="N638" s="91"/>
      <c r="O638" s="91"/>
      <c r="P638" s="61"/>
    </row>
    <row r="639" spans="1:16" ht="15" customHeight="1">
      <c r="A639" s="292"/>
      <c r="B639" s="34">
        <v>0.41666666666666702</v>
      </c>
      <c r="C639" s="38"/>
      <c r="D639" s="39"/>
      <c r="E639" s="40"/>
      <c r="F639" s="143"/>
      <c r="G639" s="143"/>
      <c r="H639" s="130"/>
      <c r="I639" s="9"/>
      <c r="J639" s="145"/>
      <c r="K639" s="145"/>
      <c r="L639" s="146"/>
      <c r="M639" s="146"/>
      <c r="N639" s="91"/>
      <c r="O639" s="91"/>
      <c r="P639" s="61"/>
    </row>
    <row r="640" spans="1:16" ht="15" customHeight="1">
      <c r="A640" s="292"/>
      <c r="B640" s="34">
        <v>0.45833333333333298</v>
      </c>
      <c r="C640" s="38"/>
      <c r="D640" s="39"/>
      <c r="E640" s="40"/>
      <c r="F640" s="143"/>
      <c r="G640" s="143"/>
      <c r="H640" s="130"/>
      <c r="I640" s="9"/>
      <c r="J640" s="145"/>
      <c r="K640" s="145"/>
      <c r="L640" s="146"/>
      <c r="M640" s="146"/>
      <c r="N640" s="91"/>
      <c r="O640" s="91"/>
      <c r="P640" s="61"/>
    </row>
    <row r="641" spans="1:16" ht="15" customHeight="1">
      <c r="A641" s="292"/>
      <c r="B641" s="34">
        <v>0.5</v>
      </c>
      <c r="C641" s="38"/>
      <c r="D641" s="39"/>
      <c r="E641" s="40"/>
      <c r="F641" s="143"/>
      <c r="G641" s="143"/>
      <c r="H641" s="130"/>
      <c r="I641" s="9"/>
      <c r="J641" s="145"/>
      <c r="K641" s="145"/>
      <c r="L641" s="146"/>
      <c r="M641" s="146"/>
      <c r="N641" s="91"/>
      <c r="O641" s="91"/>
      <c r="P641" s="61"/>
    </row>
    <row r="642" spans="1:16" ht="15" customHeight="1">
      <c r="A642" s="292"/>
      <c r="B642" s="34">
        <v>0.54166666666666696</v>
      </c>
      <c r="C642" s="38"/>
      <c r="D642" s="39"/>
      <c r="E642" s="40"/>
      <c r="F642" s="143"/>
      <c r="G642" s="143"/>
      <c r="H642" s="130"/>
      <c r="I642" s="9"/>
      <c r="J642" s="145"/>
      <c r="K642" s="145"/>
      <c r="L642" s="146"/>
      <c r="M642" s="146"/>
      <c r="N642" s="91"/>
      <c r="O642" s="91"/>
      <c r="P642" s="61"/>
    </row>
    <row r="643" spans="1:16" ht="15" customHeight="1">
      <c r="A643" s="292"/>
      <c r="B643" s="34">
        <v>0.58333333333333304</v>
      </c>
      <c r="C643" s="38"/>
      <c r="D643" s="39"/>
      <c r="E643" s="40"/>
      <c r="F643" s="143"/>
      <c r="G643" s="143"/>
      <c r="H643" s="130"/>
      <c r="I643" s="9"/>
      <c r="J643" s="145"/>
      <c r="K643" s="145"/>
      <c r="L643" s="146"/>
      <c r="M643" s="146"/>
      <c r="N643" s="91"/>
      <c r="O643" s="91"/>
      <c r="P643" s="65"/>
    </row>
    <row r="644" spans="1:16" ht="15" customHeight="1">
      <c r="A644" s="292"/>
      <c r="B644" s="34">
        <v>0.625</v>
      </c>
      <c r="C644" s="38"/>
      <c r="D644" s="39"/>
      <c r="E644" s="40"/>
      <c r="F644" s="143"/>
      <c r="G644" s="143"/>
      <c r="H644" s="130"/>
      <c r="I644" s="9"/>
      <c r="J644" s="145"/>
      <c r="K644" s="145"/>
      <c r="L644" s="146"/>
      <c r="M644" s="146"/>
      <c r="N644" s="91"/>
      <c r="O644" s="91"/>
      <c r="P644" s="61"/>
    </row>
    <row r="645" spans="1:16" ht="15" customHeight="1">
      <c r="A645" s="292"/>
      <c r="B645" s="34">
        <v>0.66666666666666696</v>
      </c>
      <c r="C645" s="38"/>
      <c r="D645" s="39"/>
      <c r="E645" s="40"/>
      <c r="F645" s="143"/>
      <c r="G645" s="143"/>
      <c r="H645" s="130"/>
      <c r="I645" s="9"/>
      <c r="J645" s="145"/>
      <c r="K645" s="145"/>
      <c r="L645" s="146"/>
      <c r="M645" s="146"/>
      <c r="N645" s="91"/>
      <c r="O645" s="91"/>
      <c r="P645" s="61"/>
    </row>
    <row r="646" spans="1:16" ht="15" customHeight="1">
      <c r="A646" s="292"/>
      <c r="B646" s="34">
        <v>0.70833333333333304</v>
      </c>
      <c r="C646" s="38"/>
      <c r="D646" s="39"/>
      <c r="E646" s="40"/>
      <c r="F646" s="143"/>
      <c r="G646" s="143"/>
      <c r="H646" s="130"/>
      <c r="I646" s="9"/>
      <c r="J646" s="145"/>
      <c r="K646" s="145"/>
      <c r="L646" s="146"/>
      <c r="M646" s="146"/>
      <c r="N646" s="91"/>
      <c r="O646" s="91"/>
      <c r="P646" s="61"/>
    </row>
    <row r="647" spans="1:16" ht="15" customHeight="1">
      <c r="A647" s="292"/>
      <c r="B647" s="34">
        <v>0.75</v>
      </c>
      <c r="C647" s="38"/>
      <c r="D647" s="39"/>
      <c r="E647" s="40"/>
      <c r="F647" s="143"/>
      <c r="G647" s="143"/>
      <c r="H647" s="130"/>
      <c r="I647" s="9"/>
      <c r="J647" s="145"/>
      <c r="K647" s="145"/>
      <c r="L647" s="146"/>
      <c r="M647" s="146"/>
      <c r="N647" s="91"/>
      <c r="O647" s="91"/>
      <c r="P647" s="61"/>
    </row>
    <row r="648" spans="1:16" ht="15" customHeight="1">
      <c r="A648" s="292"/>
      <c r="B648" s="34">
        <v>0.79166666666666696</v>
      </c>
      <c r="C648" s="38"/>
      <c r="D648" s="39"/>
      <c r="E648" s="40"/>
      <c r="F648" s="143"/>
      <c r="G648" s="143"/>
      <c r="H648" s="130"/>
      <c r="I648" s="9"/>
      <c r="J648" s="145"/>
      <c r="K648" s="145"/>
      <c r="L648" s="146"/>
      <c r="M648" s="146"/>
      <c r="N648" s="91"/>
      <c r="O648" s="91"/>
      <c r="P648" s="61"/>
    </row>
    <row r="649" spans="1:16" ht="15" customHeight="1">
      <c r="A649" s="292"/>
      <c r="B649" s="34">
        <v>0.83333333333333404</v>
      </c>
      <c r="C649" s="38"/>
      <c r="D649" s="39"/>
      <c r="E649" s="40"/>
      <c r="F649" s="143"/>
      <c r="G649" s="143"/>
      <c r="H649" s="130"/>
      <c r="I649" s="9"/>
      <c r="J649" s="145"/>
      <c r="K649" s="145"/>
      <c r="L649" s="146"/>
      <c r="M649" s="146"/>
      <c r="N649" s="91"/>
      <c r="O649" s="91"/>
      <c r="P649" s="61"/>
    </row>
    <row r="650" spans="1:16" ht="15" customHeight="1">
      <c r="A650" s="292"/>
      <c r="B650" s="34">
        <v>0.875</v>
      </c>
      <c r="C650" s="38"/>
      <c r="D650" s="39"/>
      <c r="E650" s="40"/>
      <c r="F650" s="143"/>
      <c r="G650" s="143"/>
      <c r="H650" s="130"/>
      <c r="I650" s="9"/>
      <c r="J650" s="145"/>
      <c r="K650" s="145"/>
      <c r="L650" s="146"/>
      <c r="M650" s="146"/>
      <c r="N650" s="91"/>
      <c r="O650" s="91"/>
      <c r="P650" s="61"/>
    </row>
    <row r="651" spans="1:16" ht="15" customHeight="1">
      <c r="A651" s="292"/>
      <c r="B651" s="34">
        <v>0.91666666666666696</v>
      </c>
      <c r="C651" s="38"/>
      <c r="D651" s="39"/>
      <c r="E651" s="40"/>
      <c r="F651" s="143"/>
      <c r="G651" s="143"/>
      <c r="H651" s="130"/>
      <c r="I651" s="9"/>
      <c r="J651" s="145"/>
      <c r="K651" s="145"/>
      <c r="L651" s="146"/>
      <c r="M651" s="146"/>
      <c r="N651" s="91"/>
      <c r="O651" s="91"/>
      <c r="P651" s="61"/>
    </row>
    <row r="652" spans="1:16" ht="15" customHeight="1">
      <c r="A652" s="292"/>
      <c r="B652" s="34">
        <v>0.95833333333333404</v>
      </c>
      <c r="C652" s="38"/>
      <c r="D652" s="39"/>
      <c r="E652" s="40"/>
      <c r="F652" s="143"/>
      <c r="G652" s="143"/>
      <c r="H652" s="130"/>
      <c r="I652" s="9"/>
      <c r="J652" s="145"/>
      <c r="K652" s="145"/>
      <c r="L652" s="146"/>
      <c r="M652" s="146"/>
      <c r="N652" s="91"/>
      <c r="O652" s="91"/>
      <c r="P652" s="61"/>
    </row>
    <row r="653" spans="1:16" ht="15" customHeight="1">
      <c r="A653" s="292"/>
      <c r="B653" s="34">
        <v>1</v>
      </c>
      <c r="C653" s="38"/>
      <c r="D653" s="39"/>
      <c r="E653" s="40"/>
      <c r="F653" s="143"/>
      <c r="G653" s="143"/>
      <c r="H653" s="130"/>
      <c r="I653" s="9"/>
      <c r="J653" s="145"/>
      <c r="K653" s="145"/>
      <c r="L653" s="146"/>
      <c r="M653" s="146"/>
      <c r="N653" s="91"/>
      <c r="O653" s="91"/>
      <c r="P653" s="61"/>
    </row>
    <row r="654" spans="1:16" ht="15" customHeight="1">
      <c r="A654" s="292"/>
      <c r="B654" s="34">
        <v>1.0416666666666701</v>
      </c>
      <c r="C654" s="38"/>
      <c r="D654" s="39"/>
      <c r="E654" s="40"/>
      <c r="F654" s="143"/>
      <c r="G654" s="143"/>
      <c r="H654" s="130"/>
      <c r="I654" s="9"/>
      <c r="J654" s="145"/>
      <c r="K654" s="145"/>
      <c r="L654" s="146"/>
      <c r="M654" s="146"/>
      <c r="N654" s="91"/>
      <c r="O654" s="91"/>
      <c r="P654" s="61"/>
    </row>
    <row r="655" spans="1:16" ht="15" customHeight="1">
      <c r="A655" s="292"/>
      <c r="B655" s="34">
        <v>1.0833333333333299</v>
      </c>
      <c r="C655" s="38"/>
      <c r="D655" s="39"/>
      <c r="E655" s="40"/>
      <c r="F655" s="143"/>
      <c r="G655" s="143"/>
      <c r="H655" s="130"/>
      <c r="I655" s="9"/>
      <c r="J655" s="145"/>
      <c r="K655" s="145"/>
      <c r="L655" s="146"/>
      <c r="M655" s="146"/>
      <c r="N655" s="91"/>
      <c r="O655" s="91"/>
      <c r="P655" s="61"/>
    </row>
    <row r="656" spans="1:16" ht="15" customHeight="1">
      <c r="A656" s="292"/>
      <c r="B656" s="34">
        <v>1.125</v>
      </c>
      <c r="C656" s="38"/>
      <c r="D656" s="39"/>
      <c r="E656" s="40"/>
      <c r="F656" s="143"/>
      <c r="G656" s="143"/>
      <c r="H656" s="130"/>
      <c r="I656" s="9"/>
      <c r="J656" s="145"/>
      <c r="K656" s="145"/>
      <c r="L656" s="146"/>
      <c r="M656" s="146"/>
      <c r="N656" s="91"/>
      <c r="O656" s="91"/>
      <c r="P656" s="61"/>
    </row>
    <row r="657" spans="1:16" ht="15" customHeight="1">
      <c r="A657" s="292"/>
      <c r="B657" s="34">
        <v>1.1666666666666701</v>
      </c>
      <c r="C657" s="38"/>
      <c r="D657" s="39"/>
      <c r="E657" s="40"/>
      <c r="F657" s="143"/>
      <c r="G657" s="143"/>
      <c r="H657" s="130"/>
      <c r="I657" s="9"/>
      <c r="J657" s="145"/>
      <c r="K657" s="145"/>
      <c r="L657" s="146"/>
      <c r="M657" s="146"/>
      <c r="N657" s="91"/>
      <c r="O657" s="91"/>
      <c r="P657" s="61"/>
    </row>
    <row r="658" spans="1:16" ht="15" customHeight="1">
      <c r="A658" s="292"/>
      <c r="B658" s="34">
        <v>1.2083333333333299</v>
      </c>
      <c r="C658" s="38"/>
      <c r="D658" s="39"/>
      <c r="E658" s="40"/>
      <c r="F658" s="143"/>
      <c r="G658" s="143"/>
      <c r="H658" s="130"/>
      <c r="I658" s="9"/>
      <c r="J658" s="145"/>
      <c r="K658" s="145"/>
      <c r="L658" s="146"/>
      <c r="M658" s="146"/>
      <c r="N658" s="91"/>
      <c r="O658" s="91"/>
      <c r="P658" s="61"/>
    </row>
    <row r="659" spans="1:16" ht="15" customHeight="1">
      <c r="A659" s="292"/>
      <c r="B659" s="34">
        <v>1.25</v>
      </c>
      <c r="C659" s="38"/>
      <c r="D659" s="39"/>
      <c r="E659" s="40"/>
      <c r="F659" s="143"/>
      <c r="G659" s="143"/>
      <c r="H659" s="130"/>
      <c r="I659" s="9"/>
      <c r="J659" s="145"/>
      <c r="K659" s="145"/>
      <c r="L659" s="146"/>
      <c r="M659" s="146"/>
      <c r="N659" s="91"/>
      <c r="O659" s="91"/>
      <c r="P659" s="61"/>
    </row>
    <row r="660" spans="1:16" ht="15" customHeight="1">
      <c r="A660" s="292"/>
      <c r="B660" s="34">
        <v>1.2916666666666701</v>
      </c>
      <c r="C660" s="38"/>
      <c r="D660" s="39"/>
      <c r="E660" s="40"/>
      <c r="F660" s="143"/>
      <c r="G660" s="143"/>
      <c r="H660" s="130"/>
      <c r="I660" s="9"/>
      <c r="J660" s="145"/>
      <c r="K660" s="145"/>
      <c r="L660" s="146"/>
      <c r="M660" s="146"/>
      <c r="N660" s="91"/>
      <c r="O660" s="91"/>
      <c r="P660" s="61"/>
    </row>
    <row r="661" spans="1:16" ht="15" customHeight="1">
      <c r="A661" s="293"/>
      <c r="B661" s="37"/>
      <c r="C661" s="204" cm="1">
        <f t="array" ref="C661">IFERROR(LOOKUP(2,1/(C636:C660&gt;0),C636:C660-C636),0)</f>
        <v>0</v>
      </c>
      <c r="D661" s="204" cm="1">
        <f t="array" ref="D661">IFERROR(LOOKUP(2,1/(D636:D660&gt;0),D636:D660-D636),0)</f>
        <v>0</v>
      </c>
      <c r="E661" s="207" cm="1">
        <f t="array" ref="E661">IFERROR(LOOKUP(2,1/(E636:E660&gt;0),E636:E660-E636),0)</f>
        <v>0</v>
      </c>
      <c r="F661" s="207" cm="1">
        <f t="array" ref="F661">IFERROR(LOOKUP(2,1/(F636:F660&gt;0),F636:F660-F636),0)</f>
        <v>0</v>
      </c>
      <c r="G661" s="41">
        <f>E661+F661</f>
        <v>0</v>
      </c>
      <c r="H661" s="205" cm="1">
        <f t="array" ref="H661">IFERROR(LOOKUP(2,1/(H636:H660&gt;0),H636:H660-H636),0)</f>
        <v>0</v>
      </c>
      <c r="I661" s="204" cm="1">
        <f t="array" ref="I661">IFERROR(LOOKUP(2,1/(I636:I660&gt;0),I636:I660-I636),0)</f>
        <v>0</v>
      </c>
      <c r="J661" s="242">
        <f t="shared" ref="J661:O661" si="24">IFERROR(AVERAGE(J636:J660),0)</f>
        <v>0</v>
      </c>
      <c r="K661" s="242">
        <f t="shared" si="24"/>
        <v>0</v>
      </c>
      <c r="L661" s="242">
        <f t="shared" si="24"/>
        <v>0</v>
      </c>
      <c r="M661" s="242">
        <f t="shared" si="24"/>
        <v>0</v>
      </c>
      <c r="N661" s="242">
        <f t="shared" si="24"/>
        <v>0</v>
      </c>
      <c r="O661" s="242">
        <f t="shared" si="24"/>
        <v>0</v>
      </c>
      <c r="P661" s="206">
        <f>COUNT(P636:P660)</f>
        <v>0</v>
      </c>
    </row>
    <row r="662" spans="1:16" ht="15" customHeight="1">
      <c r="A662" s="291">
        <f>'DATA B1'!B662</f>
        <v>46048</v>
      </c>
      <c r="B662" s="34">
        <v>0.29166666666666669</v>
      </c>
      <c r="C662" s="38"/>
      <c r="D662" s="39"/>
      <c r="E662" s="40"/>
      <c r="F662" s="143"/>
      <c r="G662" s="143"/>
      <c r="H662" s="130"/>
      <c r="I662" s="9"/>
      <c r="J662" s="145"/>
      <c r="K662" s="145"/>
      <c r="L662" s="146"/>
      <c r="M662" s="146"/>
      <c r="N662" s="91"/>
      <c r="O662" s="91"/>
      <c r="P662" s="61"/>
    </row>
    <row r="663" spans="1:16" ht="15" customHeight="1">
      <c r="A663" s="292"/>
      <c r="B663" s="34">
        <v>0.33333333333333298</v>
      </c>
      <c r="C663" s="38"/>
      <c r="D663" s="39"/>
      <c r="E663" s="40"/>
      <c r="F663" s="143"/>
      <c r="G663" s="143"/>
      <c r="H663" s="130"/>
      <c r="I663" s="9"/>
      <c r="J663" s="145"/>
      <c r="K663" s="145"/>
      <c r="L663" s="146"/>
      <c r="M663" s="146"/>
      <c r="N663" s="91"/>
      <c r="O663" s="91"/>
      <c r="P663" s="61"/>
    </row>
    <row r="664" spans="1:16" ht="15" customHeight="1">
      <c r="A664" s="292"/>
      <c r="B664" s="34">
        <v>0.375</v>
      </c>
      <c r="C664" s="38"/>
      <c r="D664" s="39"/>
      <c r="E664" s="40"/>
      <c r="F664" s="143"/>
      <c r="G664" s="143"/>
      <c r="H664" s="130"/>
      <c r="I664" s="9"/>
      <c r="J664" s="145"/>
      <c r="K664" s="145"/>
      <c r="L664" s="146"/>
      <c r="M664" s="146"/>
      <c r="N664" s="91"/>
      <c r="O664" s="91"/>
      <c r="P664" s="61"/>
    </row>
    <row r="665" spans="1:16" ht="15" customHeight="1">
      <c r="A665" s="292"/>
      <c r="B665" s="34">
        <v>0.41666666666666702</v>
      </c>
      <c r="C665" s="38"/>
      <c r="D665" s="39"/>
      <c r="E665" s="40"/>
      <c r="F665" s="143"/>
      <c r="G665" s="143"/>
      <c r="H665" s="130"/>
      <c r="I665" s="9"/>
      <c r="J665" s="145"/>
      <c r="K665" s="145"/>
      <c r="L665" s="146"/>
      <c r="M665" s="146"/>
      <c r="N665" s="91"/>
      <c r="O665" s="91"/>
      <c r="P665" s="61"/>
    </row>
    <row r="666" spans="1:16" ht="15" customHeight="1">
      <c r="A666" s="292"/>
      <c r="B666" s="34">
        <v>0.45833333333333298</v>
      </c>
      <c r="C666" s="38"/>
      <c r="D666" s="39"/>
      <c r="E666" s="40"/>
      <c r="F666" s="143"/>
      <c r="G666" s="143"/>
      <c r="H666" s="130"/>
      <c r="I666" s="9"/>
      <c r="J666" s="145"/>
      <c r="K666" s="145"/>
      <c r="L666" s="146"/>
      <c r="M666" s="146"/>
      <c r="N666" s="91"/>
      <c r="O666" s="91"/>
      <c r="P666" s="61"/>
    </row>
    <row r="667" spans="1:16" ht="15" customHeight="1">
      <c r="A667" s="292"/>
      <c r="B667" s="34">
        <v>0.5</v>
      </c>
      <c r="C667" s="38"/>
      <c r="D667" s="39"/>
      <c r="E667" s="40"/>
      <c r="F667" s="143"/>
      <c r="G667" s="143"/>
      <c r="H667" s="130"/>
      <c r="I667" s="9"/>
      <c r="J667" s="145"/>
      <c r="K667" s="145"/>
      <c r="L667" s="146"/>
      <c r="M667" s="146"/>
      <c r="N667" s="91"/>
      <c r="O667" s="91"/>
      <c r="P667" s="61"/>
    </row>
    <row r="668" spans="1:16" ht="15" customHeight="1">
      <c r="A668" s="292"/>
      <c r="B668" s="34">
        <v>0.54166666666666696</v>
      </c>
      <c r="C668" s="38"/>
      <c r="D668" s="39"/>
      <c r="E668" s="40"/>
      <c r="F668" s="143"/>
      <c r="G668" s="143"/>
      <c r="H668" s="130"/>
      <c r="I668" s="9"/>
      <c r="J668" s="145"/>
      <c r="K668" s="145"/>
      <c r="L668" s="146"/>
      <c r="M668" s="146"/>
      <c r="N668" s="91"/>
      <c r="O668" s="91"/>
      <c r="P668" s="61"/>
    </row>
    <row r="669" spans="1:16" ht="15" customHeight="1">
      <c r="A669" s="292"/>
      <c r="B669" s="34">
        <v>0.58333333333333304</v>
      </c>
      <c r="C669" s="38"/>
      <c r="D669" s="39"/>
      <c r="E669" s="40"/>
      <c r="F669" s="143"/>
      <c r="G669" s="143"/>
      <c r="H669" s="130"/>
      <c r="I669" s="9"/>
      <c r="J669" s="145"/>
      <c r="K669" s="145"/>
      <c r="L669" s="146"/>
      <c r="M669" s="146"/>
      <c r="N669" s="91"/>
      <c r="O669" s="91"/>
      <c r="P669" s="65"/>
    </row>
    <row r="670" spans="1:16" ht="15" customHeight="1">
      <c r="A670" s="292"/>
      <c r="B670" s="34">
        <v>0.625</v>
      </c>
      <c r="C670" s="38"/>
      <c r="D670" s="39"/>
      <c r="E670" s="40"/>
      <c r="F670" s="143"/>
      <c r="G670" s="143"/>
      <c r="H670" s="130"/>
      <c r="I670" s="9"/>
      <c r="J670" s="145"/>
      <c r="K670" s="145"/>
      <c r="L670" s="146"/>
      <c r="M670" s="146"/>
      <c r="N670" s="91"/>
      <c r="O670" s="91"/>
      <c r="P670" s="61"/>
    </row>
    <row r="671" spans="1:16" ht="15" customHeight="1">
      <c r="A671" s="292"/>
      <c r="B671" s="34">
        <v>0.66666666666666696</v>
      </c>
      <c r="C671" s="38"/>
      <c r="D671" s="39"/>
      <c r="E671" s="40"/>
      <c r="F671" s="143"/>
      <c r="G671" s="143"/>
      <c r="H671" s="130"/>
      <c r="I671" s="9"/>
      <c r="J671" s="145"/>
      <c r="K671" s="145"/>
      <c r="L671" s="146"/>
      <c r="M671" s="146"/>
      <c r="N671" s="91"/>
      <c r="O671" s="91"/>
      <c r="P671" s="61"/>
    </row>
    <row r="672" spans="1:16" ht="15" customHeight="1">
      <c r="A672" s="292"/>
      <c r="B672" s="34">
        <v>0.70833333333333304</v>
      </c>
      <c r="C672" s="38"/>
      <c r="D672" s="39"/>
      <c r="E672" s="40"/>
      <c r="F672" s="143"/>
      <c r="G672" s="143"/>
      <c r="H672" s="130"/>
      <c r="I672" s="9"/>
      <c r="J672" s="145"/>
      <c r="K672" s="145"/>
      <c r="L672" s="146"/>
      <c r="M672" s="146"/>
      <c r="N672" s="91"/>
      <c r="O672" s="91"/>
      <c r="P672" s="61"/>
    </row>
    <row r="673" spans="1:16" ht="15" customHeight="1">
      <c r="A673" s="292"/>
      <c r="B673" s="34">
        <v>0.75</v>
      </c>
      <c r="C673" s="38"/>
      <c r="D673" s="39"/>
      <c r="E673" s="40"/>
      <c r="F673" s="143"/>
      <c r="G673" s="143"/>
      <c r="H673" s="130"/>
      <c r="I673" s="9"/>
      <c r="J673" s="145"/>
      <c r="K673" s="145"/>
      <c r="L673" s="146"/>
      <c r="M673" s="146"/>
      <c r="N673" s="91"/>
      <c r="O673" s="91"/>
      <c r="P673" s="61"/>
    </row>
    <row r="674" spans="1:16" ht="15" customHeight="1">
      <c r="A674" s="292"/>
      <c r="B674" s="34">
        <v>0.79166666666666696</v>
      </c>
      <c r="C674" s="38"/>
      <c r="D674" s="39"/>
      <c r="E674" s="40"/>
      <c r="F674" s="143"/>
      <c r="G674" s="143"/>
      <c r="H674" s="130"/>
      <c r="I674" s="9"/>
      <c r="J674" s="145"/>
      <c r="K674" s="145"/>
      <c r="L674" s="146"/>
      <c r="M674" s="146"/>
      <c r="N674" s="91"/>
      <c r="O674" s="91"/>
      <c r="P674" s="61"/>
    </row>
    <row r="675" spans="1:16" ht="15" customHeight="1">
      <c r="A675" s="292"/>
      <c r="B675" s="34">
        <v>0.83333333333333304</v>
      </c>
      <c r="C675" s="38"/>
      <c r="D675" s="39"/>
      <c r="E675" s="40"/>
      <c r="F675" s="143"/>
      <c r="G675" s="143"/>
      <c r="H675" s="130"/>
      <c r="I675" s="9"/>
      <c r="J675" s="145"/>
      <c r="K675" s="145"/>
      <c r="L675" s="146"/>
      <c r="M675" s="146"/>
      <c r="N675" s="91"/>
      <c r="O675" s="91"/>
      <c r="P675" s="61"/>
    </row>
    <row r="676" spans="1:16" ht="15" customHeight="1">
      <c r="A676" s="292"/>
      <c r="B676" s="34">
        <v>0.875</v>
      </c>
      <c r="C676" s="38"/>
      <c r="D676" s="39"/>
      <c r="E676" s="40"/>
      <c r="F676" s="143"/>
      <c r="G676" s="143"/>
      <c r="H676" s="130"/>
      <c r="I676" s="9"/>
      <c r="J676" s="145"/>
      <c r="K676" s="145"/>
      <c r="L676" s="146"/>
      <c r="M676" s="146"/>
      <c r="N676" s="91"/>
      <c r="O676" s="91"/>
      <c r="P676" s="61"/>
    </row>
    <row r="677" spans="1:16" ht="15" customHeight="1">
      <c r="A677" s="292"/>
      <c r="B677" s="34">
        <v>0.91666666666666696</v>
      </c>
      <c r="C677" s="38"/>
      <c r="D677" s="39"/>
      <c r="E677" s="40"/>
      <c r="F677" s="143"/>
      <c r="G677" s="143"/>
      <c r="H677" s="130"/>
      <c r="I677" s="9"/>
      <c r="J677" s="145"/>
      <c r="K677" s="145"/>
      <c r="L677" s="146"/>
      <c r="M677" s="146"/>
      <c r="N677" s="91"/>
      <c r="O677" s="91"/>
      <c r="P677" s="61"/>
    </row>
    <row r="678" spans="1:16" ht="15" customHeight="1">
      <c r="A678" s="292"/>
      <c r="B678" s="34">
        <v>0.95833333333333304</v>
      </c>
      <c r="C678" s="38"/>
      <c r="D678" s="39"/>
      <c r="E678" s="40"/>
      <c r="F678" s="143"/>
      <c r="G678" s="143"/>
      <c r="H678" s="130"/>
      <c r="I678" s="9"/>
      <c r="J678" s="145"/>
      <c r="K678" s="145"/>
      <c r="L678" s="146"/>
      <c r="M678" s="146"/>
      <c r="N678" s="91"/>
      <c r="O678" s="91"/>
      <c r="P678" s="61"/>
    </row>
    <row r="679" spans="1:16" ht="15" customHeight="1">
      <c r="A679" s="292"/>
      <c r="B679" s="34">
        <v>1</v>
      </c>
      <c r="C679" s="38"/>
      <c r="D679" s="39"/>
      <c r="E679" s="40"/>
      <c r="F679" s="143"/>
      <c r="G679" s="143"/>
      <c r="H679" s="130"/>
      <c r="I679" s="9"/>
      <c r="J679" s="145"/>
      <c r="K679" s="145"/>
      <c r="L679" s="146"/>
      <c r="M679" s="146"/>
      <c r="N679" s="91"/>
      <c r="O679" s="91"/>
      <c r="P679" s="61"/>
    </row>
    <row r="680" spans="1:16" ht="15" customHeight="1">
      <c r="A680" s="292"/>
      <c r="B680" s="34">
        <v>1.0416666666666701</v>
      </c>
      <c r="C680" s="38"/>
      <c r="D680" s="39"/>
      <c r="E680" s="40"/>
      <c r="F680" s="143"/>
      <c r="G680" s="143"/>
      <c r="H680" s="130"/>
      <c r="I680" s="9"/>
      <c r="J680" s="145"/>
      <c r="K680" s="145"/>
      <c r="L680" s="146"/>
      <c r="M680" s="146"/>
      <c r="N680" s="91"/>
      <c r="O680" s="91"/>
      <c r="P680" s="61"/>
    </row>
    <row r="681" spans="1:16" ht="15" customHeight="1">
      <c r="A681" s="292"/>
      <c r="B681" s="34">
        <v>1.0833333333333299</v>
      </c>
      <c r="C681" s="38"/>
      <c r="D681" s="39"/>
      <c r="E681" s="40"/>
      <c r="F681" s="143"/>
      <c r="G681" s="143"/>
      <c r="H681" s="130"/>
      <c r="I681" s="9"/>
      <c r="J681" s="145"/>
      <c r="K681" s="145"/>
      <c r="L681" s="146"/>
      <c r="M681" s="146"/>
      <c r="N681" s="91"/>
      <c r="O681" s="91"/>
      <c r="P681" s="61"/>
    </row>
    <row r="682" spans="1:16" ht="15" customHeight="1">
      <c r="A682" s="292"/>
      <c r="B682" s="34">
        <v>1.125</v>
      </c>
      <c r="C682" s="38"/>
      <c r="D682" s="39"/>
      <c r="E682" s="40"/>
      <c r="F682" s="143"/>
      <c r="G682" s="143"/>
      <c r="H682" s="130"/>
      <c r="I682" s="9"/>
      <c r="J682" s="145"/>
      <c r="K682" s="145"/>
      <c r="L682" s="146"/>
      <c r="M682" s="146"/>
      <c r="N682" s="91"/>
      <c r="O682" s="91"/>
      <c r="P682" s="61"/>
    </row>
    <row r="683" spans="1:16" ht="15" customHeight="1">
      <c r="A683" s="292"/>
      <c r="B683" s="34">
        <v>1.1666666666666701</v>
      </c>
      <c r="C683" s="38"/>
      <c r="D683" s="39"/>
      <c r="E683" s="40"/>
      <c r="F683" s="143"/>
      <c r="G683" s="143"/>
      <c r="H683" s="130"/>
      <c r="I683" s="9"/>
      <c r="J683" s="145"/>
      <c r="K683" s="145"/>
      <c r="L683" s="146"/>
      <c r="M683" s="146"/>
      <c r="N683" s="91"/>
      <c r="O683" s="91"/>
      <c r="P683" s="61"/>
    </row>
    <row r="684" spans="1:16" ht="15" customHeight="1">
      <c r="A684" s="292"/>
      <c r="B684" s="34">
        <v>1.2083333333333299</v>
      </c>
      <c r="C684" s="38"/>
      <c r="D684" s="39"/>
      <c r="E684" s="40"/>
      <c r="F684" s="143"/>
      <c r="G684" s="143"/>
      <c r="H684" s="130"/>
      <c r="I684" s="9"/>
      <c r="J684" s="145"/>
      <c r="K684" s="145"/>
      <c r="L684" s="146"/>
      <c r="M684" s="146"/>
      <c r="N684" s="91"/>
      <c r="O684" s="91"/>
      <c r="P684" s="61"/>
    </row>
    <row r="685" spans="1:16" ht="15" customHeight="1">
      <c r="A685" s="292"/>
      <c r="B685" s="34">
        <v>1.25</v>
      </c>
      <c r="C685" s="38"/>
      <c r="D685" s="39"/>
      <c r="E685" s="40"/>
      <c r="F685" s="143"/>
      <c r="G685" s="143"/>
      <c r="H685" s="130"/>
      <c r="I685" s="9"/>
      <c r="J685" s="145"/>
      <c r="K685" s="145"/>
      <c r="L685" s="146"/>
      <c r="M685" s="146"/>
      <c r="N685" s="91"/>
      <c r="O685" s="91"/>
      <c r="P685" s="61"/>
    </row>
    <row r="686" spans="1:16" ht="15" customHeight="1">
      <c r="A686" s="292"/>
      <c r="B686" s="34">
        <v>1.2916666666666701</v>
      </c>
      <c r="C686" s="38"/>
      <c r="D686" s="39"/>
      <c r="E686" s="40"/>
      <c r="F686" s="143"/>
      <c r="G686" s="143"/>
      <c r="H686" s="130"/>
      <c r="I686" s="9"/>
      <c r="J686" s="145"/>
      <c r="K686" s="145"/>
      <c r="L686" s="146"/>
      <c r="M686" s="146"/>
      <c r="N686" s="91"/>
      <c r="O686" s="91"/>
      <c r="P686" s="61"/>
    </row>
    <row r="687" spans="1:16" ht="15" customHeight="1">
      <c r="A687" s="293"/>
      <c r="B687" s="37"/>
      <c r="C687" s="204" cm="1">
        <f t="array" ref="C687">IFERROR(LOOKUP(2,1/(C662:C686&gt;0),C662:C686-C662),0)</f>
        <v>0</v>
      </c>
      <c r="D687" s="204" cm="1">
        <f t="array" ref="D687">IFERROR(LOOKUP(2,1/(D662:D686&gt;0),D662:D686-D662),0)</f>
        <v>0</v>
      </c>
      <c r="E687" s="207" cm="1">
        <f t="array" ref="E687">IFERROR(LOOKUP(2,1/(E662:E686&gt;0),E662:E686-E662),0)</f>
        <v>0</v>
      </c>
      <c r="F687" s="207" cm="1">
        <f t="array" ref="F687">IFERROR(LOOKUP(2,1/(F662:F686&gt;0),F662:F686-F662),0)</f>
        <v>0</v>
      </c>
      <c r="G687" s="41">
        <f>E687+F687</f>
        <v>0</v>
      </c>
      <c r="H687" s="205" cm="1">
        <f t="array" ref="H687">IFERROR(LOOKUP(2,1/(H662:H686&gt;0),H662:H686-H662),0)</f>
        <v>0</v>
      </c>
      <c r="I687" s="204" cm="1">
        <f t="array" ref="I687">IFERROR(LOOKUP(2,1/(I662:I686&gt;0),I662:I686-I662),0)</f>
        <v>0</v>
      </c>
      <c r="J687" s="242">
        <f t="shared" ref="J687:O687" si="25">IFERROR(AVERAGE(J662:J686),0)</f>
        <v>0</v>
      </c>
      <c r="K687" s="242">
        <f t="shared" si="25"/>
        <v>0</v>
      </c>
      <c r="L687" s="242">
        <f t="shared" si="25"/>
        <v>0</v>
      </c>
      <c r="M687" s="242">
        <f t="shared" si="25"/>
        <v>0</v>
      </c>
      <c r="N687" s="242">
        <f t="shared" si="25"/>
        <v>0</v>
      </c>
      <c r="O687" s="242">
        <f t="shared" si="25"/>
        <v>0</v>
      </c>
      <c r="P687" s="206">
        <f>COUNT(P662:P686)</f>
        <v>0</v>
      </c>
    </row>
    <row r="688" spans="1:16" ht="15" customHeight="1">
      <c r="A688" s="291">
        <f>'DATA B1'!B688</f>
        <v>46049</v>
      </c>
      <c r="B688" s="34">
        <v>0.29166666666666669</v>
      </c>
      <c r="C688" s="38"/>
      <c r="D688" s="39"/>
      <c r="E688" s="40"/>
      <c r="F688" s="143"/>
      <c r="G688" s="143"/>
      <c r="H688" s="130"/>
      <c r="I688" s="9"/>
      <c r="J688" s="145"/>
      <c r="K688" s="145"/>
      <c r="L688" s="146"/>
      <c r="M688" s="146"/>
      <c r="N688" s="91"/>
      <c r="O688" s="91"/>
      <c r="P688" s="61"/>
    </row>
    <row r="689" spans="1:16" ht="15" customHeight="1">
      <c r="A689" s="292"/>
      <c r="B689" s="34">
        <v>0.33333333333333298</v>
      </c>
      <c r="C689" s="38"/>
      <c r="D689" s="39"/>
      <c r="E689" s="40"/>
      <c r="F689" s="143"/>
      <c r="G689" s="143"/>
      <c r="H689" s="130"/>
      <c r="I689" s="9"/>
      <c r="J689" s="145"/>
      <c r="K689" s="145"/>
      <c r="L689" s="146"/>
      <c r="M689" s="146"/>
      <c r="N689" s="91"/>
      <c r="O689" s="91"/>
      <c r="P689" s="61"/>
    </row>
    <row r="690" spans="1:16" ht="15" customHeight="1">
      <c r="A690" s="292"/>
      <c r="B690" s="34">
        <v>0.375</v>
      </c>
      <c r="C690" s="38"/>
      <c r="D690" s="39"/>
      <c r="E690" s="40"/>
      <c r="F690" s="143"/>
      <c r="G690" s="143"/>
      <c r="H690" s="130"/>
      <c r="I690" s="9"/>
      <c r="J690" s="145"/>
      <c r="K690" s="145"/>
      <c r="L690" s="146"/>
      <c r="M690" s="146"/>
      <c r="N690" s="91"/>
      <c r="O690" s="91"/>
      <c r="P690" s="61"/>
    </row>
    <row r="691" spans="1:16" ht="15" customHeight="1">
      <c r="A691" s="292"/>
      <c r="B691" s="34">
        <v>0.41666666666666702</v>
      </c>
      <c r="C691" s="38"/>
      <c r="D691" s="39"/>
      <c r="E691" s="40"/>
      <c r="F691" s="143"/>
      <c r="G691" s="143"/>
      <c r="H691" s="130"/>
      <c r="I691" s="9"/>
      <c r="J691" s="145"/>
      <c r="K691" s="145"/>
      <c r="L691" s="146"/>
      <c r="M691" s="146"/>
      <c r="N691" s="91"/>
      <c r="O691" s="91"/>
      <c r="P691" s="61"/>
    </row>
    <row r="692" spans="1:16" ht="15" customHeight="1">
      <c r="A692" s="292"/>
      <c r="B692" s="34">
        <v>0.45833333333333298</v>
      </c>
      <c r="C692" s="38"/>
      <c r="D692" s="39"/>
      <c r="E692" s="40"/>
      <c r="F692" s="143"/>
      <c r="G692" s="143"/>
      <c r="H692" s="130"/>
      <c r="I692" s="9"/>
      <c r="J692" s="145"/>
      <c r="K692" s="145"/>
      <c r="L692" s="146"/>
      <c r="M692" s="146"/>
      <c r="N692" s="91"/>
      <c r="O692" s="91"/>
      <c r="P692" s="61"/>
    </row>
    <row r="693" spans="1:16" ht="15" customHeight="1">
      <c r="A693" s="292"/>
      <c r="B693" s="34">
        <v>0.5</v>
      </c>
      <c r="C693" s="38"/>
      <c r="D693" s="39"/>
      <c r="E693" s="40"/>
      <c r="F693" s="143"/>
      <c r="G693" s="143"/>
      <c r="H693" s="130"/>
      <c r="I693" s="9"/>
      <c r="J693" s="145"/>
      <c r="K693" s="145"/>
      <c r="L693" s="146"/>
      <c r="M693" s="146"/>
      <c r="N693" s="91"/>
      <c r="O693" s="91"/>
      <c r="P693" s="61"/>
    </row>
    <row r="694" spans="1:16" ht="15" customHeight="1">
      <c r="A694" s="292"/>
      <c r="B694" s="34">
        <v>0.54166666666666696</v>
      </c>
      <c r="C694" s="38"/>
      <c r="D694" s="39"/>
      <c r="E694" s="40"/>
      <c r="F694" s="143"/>
      <c r="G694" s="143"/>
      <c r="H694" s="130"/>
      <c r="I694" s="9"/>
      <c r="J694" s="145"/>
      <c r="K694" s="145"/>
      <c r="L694" s="146"/>
      <c r="M694" s="146"/>
      <c r="N694" s="91"/>
      <c r="O694" s="91"/>
      <c r="P694" s="61"/>
    </row>
    <row r="695" spans="1:16" ht="15" customHeight="1">
      <c r="A695" s="292"/>
      <c r="B695" s="34">
        <v>0.58333333333333304</v>
      </c>
      <c r="C695" s="38"/>
      <c r="D695" s="39"/>
      <c r="E695" s="40"/>
      <c r="F695" s="143"/>
      <c r="G695" s="143"/>
      <c r="H695" s="130"/>
      <c r="I695" s="9"/>
      <c r="J695" s="145"/>
      <c r="K695" s="145"/>
      <c r="L695" s="146"/>
      <c r="M695" s="146"/>
      <c r="N695" s="91"/>
      <c r="O695" s="91"/>
      <c r="P695" s="65"/>
    </row>
    <row r="696" spans="1:16" ht="15" customHeight="1">
      <c r="A696" s="292"/>
      <c r="B696" s="34">
        <v>0.625</v>
      </c>
      <c r="C696" s="38"/>
      <c r="D696" s="39"/>
      <c r="E696" s="40"/>
      <c r="F696" s="143"/>
      <c r="G696" s="143"/>
      <c r="H696" s="130"/>
      <c r="I696" s="9"/>
      <c r="J696" s="145"/>
      <c r="K696" s="145"/>
      <c r="L696" s="146"/>
      <c r="M696" s="146"/>
      <c r="N696" s="91"/>
      <c r="O696" s="91"/>
      <c r="P696" s="61"/>
    </row>
    <row r="697" spans="1:16" ht="15" customHeight="1">
      <c r="A697" s="292"/>
      <c r="B697" s="34">
        <v>0.66666666666666696</v>
      </c>
      <c r="C697" s="38"/>
      <c r="D697" s="39"/>
      <c r="E697" s="40"/>
      <c r="F697" s="143"/>
      <c r="G697" s="143"/>
      <c r="H697" s="130"/>
      <c r="I697" s="9"/>
      <c r="J697" s="145"/>
      <c r="K697" s="145"/>
      <c r="L697" s="146"/>
      <c r="M697" s="146"/>
      <c r="N697" s="91"/>
      <c r="O697" s="91"/>
      <c r="P697" s="61"/>
    </row>
    <row r="698" spans="1:16" ht="15" customHeight="1">
      <c r="A698" s="292"/>
      <c r="B698" s="34">
        <v>0.70833333333333304</v>
      </c>
      <c r="C698" s="38"/>
      <c r="D698" s="39"/>
      <c r="E698" s="40"/>
      <c r="F698" s="143"/>
      <c r="G698" s="143"/>
      <c r="H698" s="130"/>
      <c r="I698" s="9"/>
      <c r="J698" s="145"/>
      <c r="K698" s="145"/>
      <c r="L698" s="146"/>
      <c r="M698" s="146"/>
      <c r="N698" s="91"/>
      <c r="O698" s="91"/>
      <c r="P698" s="61"/>
    </row>
    <row r="699" spans="1:16" ht="15" customHeight="1">
      <c r="A699" s="292"/>
      <c r="B699" s="34">
        <v>0.75</v>
      </c>
      <c r="C699" s="38"/>
      <c r="D699" s="39"/>
      <c r="E699" s="40"/>
      <c r="F699" s="143"/>
      <c r="G699" s="143"/>
      <c r="H699" s="130"/>
      <c r="I699" s="9"/>
      <c r="J699" s="145"/>
      <c r="K699" s="145"/>
      <c r="L699" s="146"/>
      <c r="M699" s="146"/>
      <c r="N699" s="91"/>
      <c r="O699" s="91"/>
      <c r="P699" s="61"/>
    </row>
    <row r="700" spans="1:16" ht="15" customHeight="1">
      <c r="A700" s="292"/>
      <c r="B700" s="34">
        <v>0.79166666666666663</v>
      </c>
      <c r="C700" s="38"/>
      <c r="D700" s="39"/>
      <c r="E700" s="40"/>
      <c r="F700" s="143"/>
      <c r="G700" s="143"/>
      <c r="H700" s="130"/>
      <c r="I700" s="9"/>
      <c r="J700" s="145"/>
      <c r="K700" s="145"/>
      <c r="L700" s="146"/>
      <c r="M700" s="146"/>
      <c r="N700" s="91"/>
      <c r="O700" s="91"/>
      <c r="P700" s="61"/>
    </row>
    <row r="701" spans="1:16" ht="15" customHeight="1">
      <c r="A701" s="292"/>
      <c r="B701" s="34">
        <v>0.83333333333333304</v>
      </c>
      <c r="C701" s="38"/>
      <c r="D701" s="39"/>
      <c r="E701" s="40"/>
      <c r="F701" s="143"/>
      <c r="G701" s="143"/>
      <c r="H701" s="130"/>
      <c r="I701" s="9"/>
      <c r="J701" s="145"/>
      <c r="K701" s="145"/>
      <c r="L701" s="146"/>
      <c r="M701" s="146"/>
      <c r="N701" s="91"/>
      <c r="O701" s="91"/>
      <c r="P701" s="61"/>
    </row>
    <row r="702" spans="1:16" ht="15" customHeight="1">
      <c r="A702" s="292"/>
      <c r="B702" s="34">
        <v>0.875</v>
      </c>
      <c r="C702" s="38"/>
      <c r="D702" s="39"/>
      <c r="E702" s="40"/>
      <c r="F702" s="143"/>
      <c r="G702" s="143"/>
      <c r="H702" s="130"/>
      <c r="I702" s="9"/>
      <c r="J702" s="145"/>
      <c r="K702" s="145"/>
      <c r="L702" s="146"/>
      <c r="M702" s="146"/>
      <c r="N702" s="91"/>
      <c r="O702" s="91"/>
      <c r="P702" s="61"/>
    </row>
    <row r="703" spans="1:16" ht="15" customHeight="1">
      <c r="A703" s="292"/>
      <c r="B703" s="34">
        <v>0.91666666666666696</v>
      </c>
      <c r="C703" s="38"/>
      <c r="D703" s="39"/>
      <c r="E703" s="40"/>
      <c r="F703" s="143"/>
      <c r="G703" s="143"/>
      <c r="H703" s="130"/>
      <c r="I703" s="9"/>
      <c r="J703" s="145"/>
      <c r="K703" s="145"/>
      <c r="L703" s="146"/>
      <c r="M703" s="146"/>
      <c r="N703" s="91"/>
      <c r="O703" s="91"/>
      <c r="P703" s="61"/>
    </row>
    <row r="704" spans="1:16" ht="15" customHeight="1">
      <c r="A704" s="292"/>
      <c r="B704" s="34">
        <v>0.95833333333333304</v>
      </c>
      <c r="C704" s="38"/>
      <c r="D704" s="39"/>
      <c r="E704" s="40"/>
      <c r="F704" s="143"/>
      <c r="G704" s="143"/>
      <c r="H704" s="130"/>
      <c r="I704" s="9"/>
      <c r="J704" s="145"/>
      <c r="K704" s="145"/>
      <c r="L704" s="146"/>
      <c r="M704" s="146"/>
      <c r="N704" s="91"/>
      <c r="O704" s="91"/>
      <c r="P704" s="61"/>
    </row>
    <row r="705" spans="1:16" ht="15" customHeight="1">
      <c r="A705" s="292"/>
      <c r="B705" s="34">
        <v>1</v>
      </c>
      <c r="C705" s="38"/>
      <c r="D705" s="39"/>
      <c r="E705" s="40"/>
      <c r="F705" s="143"/>
      <c r="G705" s="143"/>
      <c r="H705" s="130"/>
      <c r="I705" s="9"/>
      <c r="J705" s="145"/>
      <c r="K705" s="145"/>
      <c r="L705" s="146"/>
      <c r="M705" s="146"/>
      <c r="N705" s="91"/>
      <c r="O705" s="91"/>
      <c r="P705" s="61"/>
    </row>
    <row r="706" spans="1:16" ht="15" customHeight="1">
      <c r="A706" s="292"/>
      <c r="B706" s="34">
        <v>1.0416666666666701</v>
      </c>
      <c r="C706" s="38"/>
      <c r="D706" s="39"/>
      <c r="E706" s="40"/>
      <c r="F706" s="143"/>
      <c r="G706" s="143"/>
      <c r="H706" s="130"/>
      <c r="I706" s="9"/>
      <c r="J706" s="145"/>
      <c r="K706" s="145"/>
      <c r="L706" s="146"/>
      <c r="M706" s="146"/>
      <c r="N706" s="91"/>
      <c r="O706" s="91"/>
      <c r="P706" s="61"/>
    </row>
    <row r="707" spans="1:16" ht="15" customHeight="1">
      <c r="A707" s="292"/>
      <c r="B707" s="34">
        <v>1.0833333333333299</v>
      </c>
      <c r="C707" s="38"/>
      <c r="D707" s="39"/>
      <c r="E707" s="40"/>
      <c r="F707" s="143"/>
      <c r="G707" s="143"/>
      <c r="H707" s="130"/>
      <c r="I707" s="9"/>
      <c r="J707" s="145"/>
      <c r="K707" s="145"/>
      <c r="L707" s="146"/>
      <c r="M707" s="146"/>
      <c r="N707" s="91"/>
      <c r="O707" s="91"/>
      <c r="P707" s="61"/>
    </row>
    <row r="708" spans="1:16" ht="15" customHeight="1">
      <c r="A708" s="292"/>
      <c r="B708" s="34">
        <v>1.125</v>
      </c>
      <c r="C708" s="38"/>
      <c r="D708" s="39"/>
      <c r="E708" s="40"/>
      <c r="F708" s="143"/>
      <c r="G708" s="143"/>
      <c r="H708" s="130"/>
      <c r="I708" s="9"/>
      <c r="J708" s="145"/>
      <c r="K708" s="145"/>
      <c r="L708" s="146"/>
      <c r="M708" s="146"/>
      <c r="N708" s="91"/>
      <c r="O708" s="91"/>
      <c r="P708" s="61"/>
    </row>
    <row r="709" spans="1:16" ht="15" customHeight="1">
      <c r="A709" s="292"/>
      <c r="B709" s="34">
        <v>1.1666666666666701</v>
      </c>
      <c r="C709" s="38"/>
      <c r="D709" s="39"/>
      <c r="E709" s="40"/>
      <c r="F709" s="143"/>
      <c r="G709" s="143"/>
      <c r="H709" s="130"/>
      <c r="I709" s="9"/>
      <c r="J709" s="145"/>
      <c r="K709" s="145"/>
      <c r="L709" s="146"/>
      <c r="M709" s="146"/>
      <c r="N709" s="91"/>
      <c r="O709" s="91"/>
      <c r="P709" s="61"/>
    </row>
    <row r="710" spans="1:16" ht="15" customHeight="1">
      <c r="A710" s="292"/>
      <c r="B710" s="34">
        <v>1.2083333333333299</v>
      </c>
      <c r="C710" s="38"/>
      <c r="D710" s="39"/>
      <c r="E710" s="40"/>
      <c r="F710" s="143"/>
      <c r="G710" s="143"/>
      <c r="H710" s="130"/>
      <c r="I710" s="9"/>
      <c r="J710" s="145"/>
      <c r="K710" s="145"/>
      <c r="L710" s="146"/>
      <c r="M710" s="146"/>
      <c r="N710" s="91"/>
      <c r="O710" s="91"/>
      <c r="P710" s="61"/>
    </row>
    <row r="711" spans="1:16" ht="15" customHeight="1">
      <c r="A711" s="292"/>
      <c r="B711" s="34">
        <v>1.25</v>
      </c>
      <c r="C711" s="38"/>
      <c r="D711" s="39"/>
      <c r="E711" s="40"/>
      <c r="F711" s="143"/>
      <c r="G711" s="143"/>
      <c r="H711" s="130"/>
      <c r="I711" s="9"/>
      <c r="J711" s="145"/>
      <c r="K711" s="145"/>
      <c r="L711" s="146"/>
      <c r="M711" s="146"/>
      <c r="N711" s="91"/>
      <c r="O711" s="91"/>
      <c r="P711" s="61"/>
    </row>
    <row r="712" spans="1:16" ht="15" customHeight="1">
      <c r="A712" s="292"/>
      <c r="B712" s="34">
        <v>1.2916666666666701</v>
      </c>
      <c r="C712" s="38"/>
      <c r="D712" s="39"/>
      <c r="E712" s="40"/>
      <c r="F712" s="143"/>
      <c r="G712" s="143"/>
      <c r="H712" s="130"/>
      <c r="I712" s="9"/>
      <c r="J712" s="145"/>
      <c r="K712" s="145"/>
      <c r="L712" s="146"/>
      <c r="M712" s="146"/>
      <c r="N712" s="91"/>
      <c r="O712" s="91"/>
      <c r="P712" s="61"/>
    </row>
    <row r="713" spans="1:16" ht="15" customHeight="1">
      <c r="A713" s="293"/>
      <c r="B713" s="37"/>
      <c r="C713" s="204" cm="1">
        <f t="array" ref="C713">IFERROR(LOOKUP(2,1/(C688:C712&gt;0),C688:C712-C688),0)</f>
        <v>0</v>
      </c>
      <c r="D713" s="204" cm="1">
        <f t="array" ref="D713">IFERROR(LOOKUP(2,1/(D688:D712&gt;0),D688:D712-D688),0)</f>
        <v>0</v>
      </c>
      <c r="E713" s="207" cm="1">
        <f t="array" ref="E713">IFERROR(LOOKUP(2,1/(E688:E712&gt;0),E688:E712-E688),0)</f>
        <v>0</v>
      </c>
      <c r="F713" s="207" cm="1">
        <f t="array" ref="F713">IFERROR(LOOKUP(2,1/(F688:F712&gt;0),F688:F712-F688),0)</f>
        <v>0</v>
      </c>
      <c r="G713" s="41">
        <f>E713+F713</f>
        <v>0</v>
      </c>
      <c r="H713" s="205" cm="1">
        <f t="array" ref="H713">IFERROR(LOOKUP(2,1/(H688:H712&gt;0),H688:H712-H688),0)</f>
        <v>0</v>
      </c>
      <c r="I713" s="204" cm="1">
        <f t="array" ref="I713">IFERROR(LOOKUP(2,1/(I688:I712&gt;0),I688:I712-I688),0)</f>
        <v>0</v>
      </c>
      <c r="J713" s="242">
        <f t="shared" ref="J713:O713" si="26">IFERROR(AVERAGE(J688:J712),0)</f>
        <v>0</v>
      </c>
      <c r="K713" s="242">
        <f t="shared" si="26"/>
        <v>0</v>
      </c>
      <c r="L713" s="242">
        <f t="shared" si="26"/>
        <v>0</v>
      </c>
      <c r="M713" s="242">
        <f t="shared" si="26"/>
        <v>0</v>
      </c>
      <c r="N713" s="242">
        <f t="shared" si="26"/>
        <v>0</v>
      </c>
      <c r="O713" s="242">
        <f t="shared" si="26"/>
        <v>0</v>
      </c>
      <c r="P713" s="206">
        <f>COUNT(P688:P712)</f>
        <v>0</v>
      </c>
    </row>
    <row r="714" spans="1:16" ht="15" customHeight="1">
      <c r="A714" s="291">
        <f>'DATA B1'!B714</f>
        <v>46050</v>
      </c>
      <c r="B714" s="34">
        <v>0.29166666666666669</v>
      </c>
      <c r="C714" s="38"/>
      <c r="D714" s="39"/>
      <c r="E714" s="40"/>
      <c r="F714" s="143"/>
      <c r="G714" s="143"/>
      <c r="H714" s="130"/>
      <c r="I714" s="9"/>
      <c r="J714" s="145"/>
      <c r="K714" s="145"/>
      <c r="L714" s="146"/>
      <c r="M714" s="146"/>
      <c r="N714" s="91"/>
      <c r="O714" s="91"/>
      <c r="P714" s="61"/>
    </row>
    <row r="715" spans="1:16" ht="15" customHeight="1">
      <c r="A715" s="292"/>
      <c r="B715" s="34">
        <v>0.33333333333333298</v>
      </c>
      <c r="C715" s="38"/>
      <c r="D715" s="39"/>
      <c r="E715" s="40"/>
      <c r="F715" s="143"/>
      <c r="G715" s="143"/>
      <c r="H715" s="130"/>
      <c r="I715" s="9"/>
      <c r="J715" s="145"/>
      <c r="K715" s="145"/>
      <c r="L715" s="146"/>
      <c r="M715" s="146"/>
      <c r="N715" s="91"/>
      <c r="O715" s="91"/>
      <c r="P715" s="61"/>
    </row>
    <row r="716" spans="1:16" ht="15" customHeight="1">
      <c r="A716" s="292"/>
      <c r="B716" s="34">
        <v>0.375</v>
      </c>
      <c r="C716" s="38"/>
      <c r="D716" s="39"/>
      <c r="E716" s="40"/>
      <c r="F716" s="143"/>
      <c r="G716" s="143"/>
      <c r="H716" s="130"/>
      <c r="I716" s="9"/>
      <c r="J716" s="145"/>
      <c r="K716" s="145"/>
      <c r="L716" s="146"/>
      <c r="M716" s="146"/>
      <c r="N716" s="91"/>
      <c r="O716" s="91"/>
      <c r="P716" s="61"/>
    </row>
    <row r="717" spans="1:16" ht="15" customHeight="1">
      <c r="A717" s="292"/>
      <c r="B717" s="34">
        <v>0.41666666666666702</v>
      </c>
      <c r="C717" s="38"/>
      <c r="D717" s="39"/>
      <c r="E717" s="40"/>
      <c r="F717" s="143"/>
      <c r="G717" s="143"/>
      <c r="H717" s="130"/>
      <c r="I717" s="9"/>
      <c r="J717" s="145"/>
      <c r="K717" s="145"/>
      <c r="L717" s="146"/>
      <c r="M717" s="146"/>
      <c r="N717" s="91"/>
      <c r="O717" s="91"/>
      <c r="P717" s="61"/>
    </row>
    <row r="718" spans="1:16" ht="15" customHeight="1">
      <c r="A718" s="292"/>
      <c r="B718" s="34">
        <v>0.45833333333333298</v>
      </c>
      <c r="C718" s="38"/>
      <c r="D718" s="39"/>
      <c r="E718" s="40"/>
      <c r="F718" s="143"/>
      <c r="G718" s="143"/>
      <c r="H718" s="130"/>
      <c r="I718" s="9"/>
      <c r="J718" s="145"/>
      <c r="K718" s="145"/>
      <c r="L718" s="146"/>
      <c r="M718" s="146"/>
      <c r="N718" s="91"/>
      <c r="O718" s="91"/>
      <c r="P718" s="61"/>
    </row>
    <row r="719" spans="1:16" ht="15" customHeight="1">
      <c r="A719" s="292"/>
      <c r="B719" s="34">
        <v>0.5</v>
      </c>
      <c r="C719" s="38"/>
      <c r="D719" s="39"/>
      <c r="E719" s="40"/>
      <c r="F719" s="143"/>
      <c r="G719" s="143"/>
      <c r="H719" s="130"/>
      <c r="I719" s="9"/>
      <c r="J719" s="145"/>
      <c r="K719" s="145"/>
      <c r="L719" s="146"/>
      <c r="M719" s="146"/>
      <c r="N719" s="91"/>
      <c r="O719" s="91"/>
      <c r="P719" s="61"/>
    </row>
    <row r="720" spans="1:16" ht="15" customHeight="1">
      <c r="A720" s="292"/>
      <c r="B720" s="34">
        <v>0.54166666666666696</v>
      </c>
      <c r="C720" s="38"/>
      <c r="D720" s="39"/>
      <c r="E720" s="40"/>
      <c r="F720" s="143"/>
      <c r="G720" s="143"/>
      <c r="H720" s="130"/>
      <c r="I720" s="9"/>
      <c r="J720" s="145"/>
      <c r="K720" s="145"/>
      <c r="L720" s="146"/>
      <c r="M720" s="146"/>
      <c r="N720" s="91"/>
      <c r="O720" s="91"/>
      <c r="P720" s="61"/>
    </row>
    <row r="721" spans="1:16" ht="15" customHeight="1">
      <c r="A721" s="292"/>
      <c r="B721" s="34">
        <v>0.58333333333333304</v>
      </c>
      <c r="C721" s="38"/>
      <c r="D721" s="39"/>
      <c r="E721" s="40"/>
      <c r="F721" s="143"/>
      <c r="G721" s="143"/>
      <c r="H721" s="130"/>
      <c r="I721" s="9"/>
      <c r="J721" s="145"/>
      <c r="K721" s="145"/>
      <c r="L721" s="146"/>
      <c r="M721" s="146"/>
      <c r="N721" s="91"/>
      <c r="O721" s="91"/>
      <c r="P721" s="65"/>
    </row>
    <row r="722" spans="1:16" ht="15" customHeight="1">
      <c r="A722" s="292"/>
      <c r="B722" s="34">
        <v>0.625</v>
      </c>
      <c r="C722" s="38"/>
      <c r="D722" s="39"/>
      <c r="E722" s="40"/>
      <c r="F722" s="143"/>
      <c r="G722" s="143"/>
      <c r="H722" s="130"/>
      <c r="I722" s="9"/>
      <c r="J722" s="145"/>
      <c r="K722" s="145"/>
      <c r="L722" s="146"/>
      <c r="M722" s="146"/>
      <c r="N722" s="91"/>
      <c r="O722" s="91"/>
      <c r="P722" s="61"/>
    </row>
    <row r="723" spans="1:16" ht="15" customHeight="1">
      <c r="A723" s="292"/>
      <c r="B723" s="34">
        <v>0.66666666666666696</v>
      </c>
      <c r="C723" s="38"/>
      <c r="D723" s="39"/>
      <c r="E723" s="40"/>
      <c r="F723" s="143"/>
      <c r="G723" s="143"/>
      <c r="H723" s="130"/>
      <c r="I723" s="9"/>
      <c r="J723" s="145"/>
      <c r="K723" s="145"/>
      <c r="L723" s="146"/>
      <c r="M723" s="146"/>
      <c r="N723" s="91"/>
      <c r="O723" s="91"/>
      <c r="P723" s="61"/>
    </row>
    <row r="724" spans="1:16" ht="15" customHeight="1">
      <c r="A724" s="292"/>
      <c r="B724" s="34">
        <v>0.70833333333333304</v>
      </c>
      <c r="C724" s="38"/>
      <c r="D724" s="39"/>
      <c r="E724" s="40"/>
      <c r="F724" s="143"/>
      <c r="G724" s="143"/>
      <c r="H724" s="130"/>
      <c r="I724" s="9"/>
      <c r="J724" s="145"/>
      <c r="K724" s="145"/>
      <c r="L724" s="146"/>
      <c r="M724" s="146"/>
      <c r="N724" s="91"/>
      <c r="O724" s="91"/>
      <c r="P724" s="61"/>
    </row>
    <row r="725" spans="1:16" ht="15" customHeight="1">
      <c r="A725" s="292"/>
      <c r="B725" s="34">
        <v>0.75</v>
      </c>
      <c r="C725" s="38"/>
      <c r="D725" s="39"/>
      <c r="E725" s="40"/>
      <c r="F725" s="143"/>
      <c r="G725" s="143"/>
      <c r="H725" s="130"/>
      <c r="I725" s="9"/>
      <c r="J725" s="145"/>
      <c r="K725" s="145"/>
      <c r="L725" s="146"/>
      <c r="M725" s="146"/>
      <c r="N725" s="91"/>
      <c r="O725" s="91"/>
      <c r="P725" s="61"/>
    </row>
    <row r="726" spans="1:16" ht="15" customHeight="1">
      <c r="A726" s="292"/>
      <c r="B726" s="34">
        <v>0.79166666666666696</v>
      </c>
      <c r="C726" s="38"/>
      <c r="D726" s="39"/>
      <c r="E726" s="40"/>
      <c r="F726" s="143"/>
      <c r="G726" s="143"/>
      <c r="H726" s="130"/>
      <c r="I726" s="9"/>
      <c r="J726" s="145"/>
      <c r="K726" s="145"/>
      <c r="L726" s="146"/>
      <c r="M726" s="146"/>
      <c r="N726" s="91"/>
      <c r="O726" s="91"/>
      <c r="P726" s="61"/>
    </row>
    <row r="727" spans="1:16" ht="15" customHeight="1">
      <c r="A727" s="292"/>
      <c r="B727" s="34">
        <v>0.83333333333333304</v>
      </c>
      <c r="C727" s="38"/>
      <c r="D727" s="39"/>
      <c r="E727" s="40"/>
      <c r="F727" s="143"/>
      <c r="G727" s="143"/>
      <c r="H727" s="130"/>
      <c r="I727" s="9"/>
      <c r="J727" s="145"/>
      <c r="K727" s="145"/>
      <c r="L727" s="146"/>
      <c r="M727" s="146"/>
      <c r="N727" s="91"/>
      <c r="O727" s="91"/>
      <c r="P727" s="61"/>
    </row>
    <row r="728" spans="1:16" ht="15" customHeight="1">
      <c r="A728" s="292"/>
      <c r="B728" s="34">
        <v>0.875</v>
      </c>
      <c r="C728" s="38"/>
      <c r="D728" s="39"/>
      <c r="E728" s="40"/>
      <c r="F728" s="143"/>
      <c r="G728" s="143"/>
      <c r="H728" s="130"/>
      <c r="I728" s="9"/>
      <c r="J728" s="145"/>
      <c r="K728" s="145"/>
      <c r="L728" s="146"/>
      <c r="M728" s="146"/>
      <c r="N728" s="91"/>
      <c r="O728" s="91"/>
      <c r="P728" s="61"/>
    </row>
    <row r="729" spans="1:16" ht="15" customHeight="1">
      <c r="A729" s="292"/>
      <c r="B729" s="34">
        <v>0.91666666666666696</v>
      </c>
      <c r="C729" s="38"/>
      <c r="D729" s="39"/>
      <c r="E729" s="40"/>
      <c r="F729" s="143"/>
      <c r="G729" s="143"/>
      <c r="H729" s="130"/>
      <c r="I729" s="9"/>
      <c r="J729" s="145"/>
      <c r="K729" s="145"/>
      <c r="L729" s="146"/>
      <c r="M729" s="146"/>
      <c r="N729" s="91"/>
      <c r="O729" s="91"/>
      <c r="P729" s="61"/>
    </row>
    <row r="730" spans="1:16" ht="15" customHeight="1">
      <c r="A730" s="292"/>
      <c r="B730" s="34">
        <v>0.95833333333333304</v>
      </c>
      <c r="C730" s="38"/>
      <c r="D730" s="39"/>
      <c r="E730" s="40"/>
      <c r="F730" s="143"/>
      <c r="G730" s="143"/>
      <c r="H730" s="130"/>
      <c r="I730" s="9"/>
      <c r="J730" s="145"/>
      <c r="K730" s="145"/>
      <c r="L730" s="146"/>
      <c r="M730" s="146"/>
      <c r="N730" s="91"/>
      <c r="O730" s="91"/>
      <c r="P730" s="61"/>
    </row>
    <row r="731" spans="1:16" ht="15" customHeight="1">
      <c r="A731" s="292"/>
      <c r="B731" s="34">
        <v>1</v>
      </c>
      <c r="C731" s="38"/>
      <c r="D731" s="39"/>
      <c r="E731" s="40"/>
      <c r="F731" s="143"/>
      <c r="G731" s="143"/>
      <c r="H731" s="130"/>
      <c r="I731" s="9"/>
      <c r="J731" s="145"/>
      <c r="K731" s="145"/>
      <c r="L731" s="146"/>
      <c r="M731" s="146"/>
      <c r="N731" s="91"/>
      <c r="O731" s="91"/>
      <c r="P731" s="61"/>
    </row>
    <row r="732" spans="1:16" ht="15" customHeight="1">
      <c r="A732" s="292"/>
      <c r="B732" s="34">
        <v>1.0416666666666701</v>
      </c>
      <c r="C732" s="38"/>
      <c r="D732" s="39"/>
      <c r="E732" s="40"/>
      <c r="F732" s="143"/>
      <c r="G732" s="143"/>
      <c r="H732" s="130"/>
      <c r="I732" s="9"/>
      <c r="J732" s="145"/>
      <c r="K732" s="145"/>
      <c r="L732" s="146"/>
      <c r="M732" s="146"/>
      <c r="N732" s="91"/>
      <c r="O732" s="91"/>
      <c r="P732" s="61"/>
    </row>
    <row r="733" spans="1:16" ht="15" customHeight="1">
      <c r="A733" s="292"/>
      <c r="B733" s="34">
        <v>1.0833333333333299</v>
      </c>
      <c r="C733" s="38"/>
      <c r="D733" s="39"/>
      <c r="E733" s="40"/>
      <c r="F733" s="143"/>
      <c r="G733" s="143"/>
      <c r="H733" s="130"/>
      <c r="I733" s="9"/>
      <c r="J733" s="145"/>
      <c r="K733" s="145"/>
      <c r="L733" s="146"/>
      <c r="M733" s="146"/>
      <c r="N733" s="91"/>
      <c r="O733" s="91"/>
      <c r="P733" s="61"/>
    </row>
    <row r="734" spans="1:16" ht="15" customHeight="1">
      <c r="A734" s="292"/>
      <c r="B734" s="34">
        <v>1.125</v>
      </c>
      <c r="C734" s="38"/>
      <c r="D734" s="39"/>
      <c r="E734" s="40"/>
      <c r="F734" s="143"/>
      <c r="G734" s="143"/>
      <c r="H734" s="130"/>
      <c r="I734" s="9"/>
      <c r="J734" s="145"/>
      <c r="K734" s="145"/>
      <c r="L734" s="146"/>
      <c r="M734" s="146"/>
      <c r="N734" s="91"/>
      <c r="O734" s="91"/>
      <c r="P734" s="61"/>
    </row>
    <row r="735" spans="1:16" ht="15" customHeight="1">
      <c r="A735" s="292"/>
      <c r="B735" s="34">
        <v>1.1666666666666701</v>
      </c>
      <c r="C735" s="38"/>
      <c r="D735" s="39"/>
      <c r="E735" s="40"/>
      <c r="F735" s="143"/>
      <c r="G735" s="143"/>
      <c r="H735" s="130"/>
      <c r="I735" s="9"/>
      <c r="J735" s="145"/>
      <c r="K735" s="145"/>
      <c r="L735" s="146"/>
      <c r="M735" s="146"/>
      <c r="N735" s="91"/>
      <c r="O735" s="91"/>
      <c r="P735" s="61"/>
    </row>
    <row r="736" spans="1:16" ht="15" customHeight="1">
      <c r="A736" s="292"/>
      <c r="B736" s="34">
        <v>1.2083333333333299</v>
      </c>
      <c r="C736" s="38"/>
      <c r="D736" s="39"/>
      <c r="E736" s="40"/>
      <c r="F736" s="143"/>
      <c r="G736" s="143"/>
      <c r="H736" s="130"/>
      <c r="I736" s="9"/>
      <c r="J736" s="145"/>
      <c r="K736" s="145"/>
      <c r="L736" s="146"/>
      <c r="M736" s="146"/>
      <c r="N736" s="91"/>
      <c r="O736" s="91"/>
      <c r="P736" s="61"/>
    </row>
    <row r="737" spans="1:16" ht="15" customHeight="1">
      <c r="A737" s="292"/>
      <c r="B737" s="34">
        <v>1.25</v>
      </c>
      <c r="C737" s="38"/>
      <c r="D737" s="39"/>
      <c r="E737" s="40"/>
      <c r="F737" s="143"/>
      <c r="G737" s="143"/>
      <c r="H737" s="130"/>
      <c r="I737" s="9"/>
      <c r="J737" s="145"/>
      <c r="K737" s="145"/>
      <c r="L737" s="146"/>
      <c r="M737" s="146"/>
      <c r="N737" s="91"/>
      <c r="O737" s="91"/>
      <c r="P737" s="61"/>
    </row>
    <row r="738" spans="1:16" ht="15" customHeight="1">
      <c r="A738" s="292"/>
      <c r="B738" s="34">
        <v>1.2916666666666701</v>
      </c>
      <c r="C738" s="38"/>
      <c r="D738" s="39"/>
      <c r="E738" s="40"/>
      <c r="F738" s="143"/>
      <c r="G738" s="143"/>
      <c r="H738" s="130"/>
      <c r="I738" s="9"/>
      <c r="J738" s="145"/>
      <c r="K738" s="145"/>
      <c r="L738" s="146"/>
      <c r="M738" s="146"/>
      <c r="N738" s="91"/>
      <c r="O738" s="91"/>
      <c r="P738" s="61"/>
    </row>
    <row r="739" spans="1:16" ht="15" customHeight="1">
      <c r="A739" s="293"/>
      <c r="B739" s="37"/>
      <c r="C739" s="204" cm="1">
        <f t="array" ref="C739">IFERROR(LOOKUP(2,1/(C714:C738&gt;0),C714:C738-C714),0)</f>
        <v>0</v>
      </c>
      <c r="D739" s="204" cm="1">
        <f t="array" ref="D739">IFERROR(LOOKUP(2,1/(D714:D738&gt;0),D714:D738-D714),0)</f>
        <v>0</v>
      </c>
      <c r="E739" s="207" cm="1">
        <f t="array" ref="E739">IFERROR(LOOKUP(2,1/(E714:E738&gt;0),E714:E738-E714),0)</f>
        <v>0</v>
      </c>
      <c r="F739" s="207" cm="1">
        <f t="array" ref="F739">IFERROR(LOOKUP(2,1/(F714:F738&gt;0),F714:F738-F714),0)</f>
        <v>0</v>
      </c>
      <c r="G739" s="41">
        <f>E739+F739</f>
        <v>0</v>
      </c>
      <c r="H739" s="205" cm="1">
        <f t="array" ref="H739">IFERROR(LOOKUP(2,1/(H714:H738&gt;0),H714:H738-H714),0)</f>
        <v>0</v>
      </c>
      <c r="I739" s="204" cm="1">
        <f t="array" ref="I739">IFERROR(LOOKUP(2,1/(I714:I738&gt;0),I714:I738-I714),0)</f>
        <v>0</v>
      </c>
      <c r="J739" s="242">
        <f t="shared" ref="J739:O739" si="27">IFERROR(AVERAGE(J714:J738),0)</f>
        <v>0</v>
      </c>
      <c r="K739" s="242">
        <f t="shared" si="27"/>
        <v>0</v>
      </c>
      <c r="L739" s="242">
        <f t="shared" si="27"/>
        <v>0</v>
      </c>
      <c r="M739" s="242">
        <f t="shared" si="27"/>
        <v>0</v>
      </c>
      <c r="N739" s="242">
        <f t="shared" si="27"/>
        <v>0</v>
      </c>
      <c r="O739" s="242">
        <f t="shared" si="27"/>
        <v>0</v>
      </c>
      <c r="P739" s="206">
        <f>COUNT(P714:P738)</f>
        <v>0</v>
      </c>
    </row>
    <row r="740" spans="1:16" ht="15" customHeight="1">
      <c r="A740" s="291">
        <f>'DATA B1'!B740</f>
        <v>46051</v>
      </c>
      <c r="B740" s="34">
        <v>0.29166666666666669</v>
      </c>
      <c r="C740" s="38"/>
      <c r="D740" s="39"/>
      <c r="E740" s="40"/>
      <c r="F740" s="143"/>
      <c r="G740" s="143"/>
      <c r="H740" s="130"/>
      <c r="I740" s="9"/>
      <c r="J740" s="145"/>
      <c r="K740" s="145"/>
      <c r="L740" s="146"/>
      <c r="M740" s="146"/>
      <c r="N740" s="91"/>
      <c r="O740" s="91"/>
      <c r="P740" s="61"/>
    </row>
    <row r="741" spans="1:16" ht="15" customHeight="1">
      <c r="A741" s="292"/>
      <c r="B741" s="34">
        <v>0.33333333333333298</v>
      </c>
      <c r="C741" s="38"/>
      <c r="D741" s="39"/>
      <c r="E741" s="40"/>
      <c r="F741" s="143"/>
      <c r="G741" s="143"/>
      <c r="H741" s="130"/>
      <c r="I741" s="9"/>
      <c r="J741" s="145"/>
      <c r="K741" s="145"/>
      <c r="L741" s="146"/>
      <c r="M741" s="146"/>
      <c r="N741" s="91"/>
      <c r="O741" s="91"/>
      <c r="P741" s="61"/>
    </row>
    <row r="742" spans="1:16" ht="15" customHeight="1">
      <c r="A742" s="292"/>
      <c r="B742" s="34">
        <v>0.375</v>
      </c>
      <c r="C742" s="38"/>
      <c r="D742" s="39"/>
      <c r="E742" s="40"/>
      <c r="F742" s="143"/>
      <c r="G742" s="143"/>
      <c r="H742" s="130"/>
      <c r="I742" s="9"/>
      <c r="J742" s="145"/>
      <c r="K742" s="145"/>
      <c r="L742" s="146"/>
      <c r="M742" s="146"/>
      <c r="N742" s="91"/>
      <c r="O742" s="91"/>
      <c r="P742" s="61"/>
    </row>
    <row r="743" spans="1:16" ht="15" customHeight="1">
      <c r="A743" s="292"/>
      <c r="B743" s="34">
        <v>0.41666666666666702</v>
      </c>
      <c r="C743" s="38"/>
      <c r="D743" s="39"/>
      <c r="E743" s="40"/>
      <c r="F743" s="143"/>
      <c r="G743" s="143"/>
      <c r="H743" s="130"/>
      <c r="I743" s="9"/>
      <c r="J743" s="145"/>
      <c r="K743" s="145"/>
      <c r="L743" s="146"/>
      <c r="M743" s="146"/>
      <c r="N743" s="91"/>
      <c r="O743" s="91"/>
      <c r="P743" s="61"/>
    </row>
    <row r="744" spans="1:16" ht="15" customHeight="1">
      <c r="A744" s="292"/>
      <c r="B744" s="34">
        <v>0.45833333333333298</v>
      </c>
      <c r="C744" s="38"/>
      <c r="D744" s="39"/>
      <c r="E744" s="40"/>
      <c r="F744" s="143"/>
      <c r="G744" s="143"/>
      <c r="H744" s="130"/>
      <c r="I744" s="9"/>
      <c r="J744" s="145"/>
      <c r="K744" s="145"/>
      <c r="L744" s="146"/>
      <c r="M744" s="146"/>
      <c r="N744" s="91"/>
      <c r="O744" s="91"/>
      <c r="P744" s="61"/>
    </row>
    <row r="745" spans="1:16" ht="15" customHeight="1">
      <c r="A745" s="292"/>
      <c r="B745" s="34">
        <v>0.5</v>
      </c>
      <c r="C745" s="38"/>
      <c r="D745" s="39"/>
      <c r="E745" s="40"/>
      <c r="F745" s="143"/>
      <c r="G745" s="143"/>
      <c r="H745" s="130"/>
      <c r="I745" s="9"/>
      <c r="J745" s="145"/>
      <c r="K745" s="145"/>
      <c r="L745" s="146"/>
      <c r="M745" s="146"/>
      <c r="N745" s="91"/>
      <c r="O745" s="91"/>
      <c r="P745" s="61"/>
    </row>
    <row r="746" spans="1:16" ht="15" customHeight="1">
      <c r="A746" s="292"/>
      <c r="B746" s="34">
        <v>0.54166666666666696</v>
      </c>
      <c r="C746" s="38"/>
      <c r="D746" s="39"/>
      <c r="E746" s="40"/>
      <c r="F746" s="143"/>
      <c r="G746" s="143"/>
      <c r="H746" s="130"/>
      <c r="I746" s="9"/>
      <c r="J746" s="145"/>
      <c r="K746" s="145"/>
      <c r="L746" s="146"/>
      <c r="M746" s="146"/>
      <c r="N746" s="91"/>
      <c r="O746" s="91"/>
      <c r="P746" s="61"/>
    </row>
    <row r="747" spans="1:16" ht="15" customHeight="1">
      <c r="A747" s="292"/>
      <c r="B747" s="34">
        <v>0.58333333333333304</v>
      </c>
      <c r="C747" s="38"/>
      <c r="D747" s="39"/>
      <c r="E747" s="40"/>
      <c r="F747" s="143"/>
      <c r="G747" s="143"/>
      <c r="H747" s="130"/>
      <c r="I747" s="9"/>
      <c r="J747" s="145"/>
      <c r="K747" s="145"/>
      <c r="L747" s="146"/>
      <c r="M747" s="146"/>
      <c r="N747" s="91"/>
      <c r="O747" s="91"/>
      <c r="P747" s="65"/>
    </row>
    <row r="748" spans="1:16" ht="15" customHeight="1">
      <c r="A748" s="292"/>
      <c r="B748" s="34">
        <v>0.625</v>
      </c>
      <c r="C748" s="38"/>
      <c r="D748" s="39"/>
      <c r="E748" s="40"/>
      <c r="F748" s="143"/>
      <c r="G748" s="143"/>
      <c r="H748" s="130"/>
      <c r="I748" s="9"/>
      <c r="J748" s="145"/>
      <c r="K748" s="145"/>
      <c r="L748" s="146"/>
      <c r="M748" s="146"/>
      <c r="N748" s="91"/>
      <c r="O748" s="91"/>
      <c r="P748" s="61"/>
    </row>
    <row r="749" spans="1:16" ht="15" customHeight="1">
      <c r="A749" s="292"/>
      <c r="B749" s="34">
        <v>0.66666666666666696</v>
      </c>
      <c r="C749" s="38"/>
      <c r="D749" s="39"/>
      <c r="E749" s="40"/>
      <c r="F749" s="143"/>
      <c r="G749" s="143"/>
      <c r="H749" s="130"/>
      <c r="I749" s="9"/>
      <c r="J749" s="145"/>
      <c r="K749" s="145"/>
      <c r="L749" s="146"/>
      <c r="M749" s="146"/>
      <c r="N749" s="91"/>
      <c r="O749" s="91"/>
      <c r="P749" s="61"/>
    </row>
    <row r="750" spans="1:16" ht="15" customHeight="1">
      <c r="A750" s="292"/>
      <c r="B750" s="34">
        <v>0.70833333333333304</v>
      </c>
      <c r="C750" s="38"/>
      <c r="D750" s="39"/>
      <c r="E750" s="40"/>
      <c r="F750" s="143"/>
      <c r="G750" s="143"/>
      <c r="H750" s="130"/>
      <c r="I750" s="9"/>
      <c r="J750" s="145"/>
      <c r="K750" s="145"/>
      <c r="L750" s="146"/>
      <c r="M750" s="146"/>
      <c r="N750" s="91"/>
      <c r="O750" s="91"/>
      <c r="P750" s="61"/>
    </row>
    <row r="751" spans="1:16" ht="15" customHeight="1">
      <c r="A751" s="292"/>
      <c r="B751" s="34">
        <v>0.75</v>
      </c>
      <c r="C751" s="38"/>
      <c r="D751" s="39"/>
      <c r="E751" s="40"/>
      <c r="F751" s="143"/>
      <c r="G751" s="143"/>
      <c r="H751" s="130"/>
      <c r="I751" s="9"/>
      <c r="J751" s="145"/>
      <c r="K751" s="145"/>
      <c r="L751" s="146"/>
      <c r="M751" s="146"/>
      <c r="N751" s="91"/>
      <c r="O751" s="91"/>
      <c r="P751" s="61"/>
    </row>
    <row r="752" spans="1:16" ht="15" customHeight="1">
      <c r="A752" s="292"/>
      <c r="B752" s="34">
        <v>0.79166666666666696</v>
      </c>
      <c r="C752" s="38"/>
      <c r="D752" s="39"/>
      <c r="E752" s="40"/>
      <c r="F752" s="143"/>
      <c r="G752" s="143"/>
      <c r="H752" s="130"/>
      <c r="I752" s="9"/>
      <c r="J752" s="145"/>
      <c r="K752" s="145"/>
      <c r="L752" s="146"/>
      <c r="M752" s="146"/>
      <c r="N752" s="91"/>
      <c r="O752" s="91"/>
      <c r="P752" s="61"/>
    </row>
    <row r="753" spans="1:16" ht="15" customHeight="1">
      <c r="A753" s="292"/>
      <c r="B753" s="34">
        <v>0.83333333333333304</v>
      </c>
      <c r="C753" s="38"/>
      <c r="D753" s="39"/>
      <c r="E753" s="40"/>
      <c r="F753" s="143"/>
      <c r="G753" s="143"/>
      <c r="H753" s="130"/>
      <c r="I753" s="9"/>
      <c r="J753" s="145"/>
      <c r="K753" s="145"/>
      <c r="L753" s="146"/>
      <c r="M753" s="146"/>
      <c r="N753" s="91"/>
      <c r="O753" s="91"/>
      <c r="P753" s="61"/>
    </row>
    <row r="754" spans="1:16" ht="15" customHeight="1">
      <c r="A754" s="292"/>
      <c r="B754" s="34">
        <v>0.875</v>
      </c>
      <c r="C754" s="38"/>
      <c r="D754" s="39"/>
      <c r="E754" s="40"/>
      <c r="F754" s="143"/>
      <c r="G754" s="143"/>
      <c r="H754" s="130"/>
      <c r="I754" s="9"/>
      <c r="J754" s="145"/>
      <c r="K754" s="145"/>
      <c r="L754" s="146"/>
      <c r="M754" s="146"/>
      <c r="N754" s="91"/>
      <c r="O754" s="91"/>
      <c r="P754" s="61"/>
    </row>
    <row r="755" spans="1:16" ht="15" customHeight="1">
      <c r="A755" s="292"/>
      <c r="B755" s="34">
        <v>0.91666666666666696</v>
      </c>
      <c r="C755" s="38"/>
      <c r="D755" s="39"/>
      <c r="E755" s="40"/>
      <c r="F755" s="143"/>
      <c r="G755" s="143"/>
      <c r="H755" s="130"/>
      <c r="I755" s="9"/>
      <c r="J755" s="145"/>
      <c r="K755" s="145"/>
      <c r="L755" s="146"/>
      <c r="M755" s="146"/>
      <c r="N755" s="91"/>
      <c r="O755" s="91"/>
      <c r="P755" s="61"/>
    </row>
    <row r="756" spans="1:16" ht="15" customHeight="1">
      <c r="A756" s="292"/>
      <c r="B756" s="34">
        <v>0.95833333333333304</v>
      </c>
      <c r="C756" s="38"/>
      <c r="D756" s="39"/>
      <c r="E756" s="40"/>
      <c r="F756" s="143"/>
      <c r="G756" s="143"/>
      <c r="H756" s="130"/>
      <c r="I756" s="9"/>
      <c r="J756" s="145"/>
      <c r="K756" s="145"/>
      <c r="L756" s="146"/>
      <c r="M756" s="146"/>
      <c r="N756" s="91"/>
      <c r="O756" s="91"/>
      <c r="P756" s="61"/>
    </row>
    <row r="757" spans="1:16" ht="15" customHeight="1">
      <c r="A757" s="292"/>
      <c r="B757" s="34">
        <v>1</v>
      </c>
      <c r="C757" s="38"/>
      <c r="D757" s="39"/>
      <c r="E757" s="40"/>
      <c r="F757" s="143"/>
      <c r="G757" s="143"/>
      <c r="H757" s="130"/>
      <c r="I757" s="9"/>
      <c r="J757" s="145"/>
      <c r="K757" s="145"/>
      <c r="L757" s="146"/>
      <c r="M757" s="146"/>
      <c r="N757" s="91"/>
      <c r="O757" s="91"/>
      <c r="P757" s="61"/>
    </row>
    <row r="758" spans="1:16" ht="15" customHeight="1">
      <c r="A758" s="292"/>
      <c r="B758" s="34">
        <v>1.0416666666666701</v>
      </c>
      <c r="C758" s="38"/>
      <c r="D758" s="39"/>
      <c r="E758" s="40"/>
      <c r="F758" s="143"/>
      <c r="G758" s="143"/>
      <c r="H758" s="130"/>
      <c r="I758" s="9"/>
      <c r="J758" s="145"/>
      <c r="K758" s="145"/>
      <c r="L758" s="146"/>
      <c r="M758" s="146"/>
      <c r="N758" s="91"/>
      <c r="O758" s="91"/>
      <c r="P758" s="61"/>
    </row>
    <row r="759" spans="1:16" ht="15" customHeight="1">
      <c r="A759" s="292"/>
      <c r="B759" s="34">
        <v>1.0833333333333299</v>
      </c>
      <c r="C759" s="38"/>
      <c r="D759" s="39"/>
      <c r="E759" s="40"/>
      <c r="F759" s="143"/>
      <c r="G759" s="143"/>
      <c r="H759" s="130"/>
      <c r="I759" s="9"/>
      <c r="J759" s="145"/>
      <c r="K759" s="145"/>
      <c r="L759" s="146"/>
      <c r="M759" s="146"/>
      <c r="N759" s="91"/>
      <c r="O759" s="91"/>
      <c r="P759" s="61"/>
    </row>
    <row r="760" spans="1:16" ht="15" customHeight="1">
      <c r="A760" s="292"/>
      <c r="B760" s="34">
        <v>1.125</v>
      </c>
      <c r="C760" s="38"/>
      <c r="D760" s="39"/>
      <c r="E760" s="40"/>
      <c r="F760" s="143"/>
      <c r="G760" s="143"/>
      <c r="H760" s="130"/>
      <c r="I760" s="9"/>
      <c r="J760" s="145"/>
      <c r="K760" s="145"/>
      <c r="L760" s="146"/>
      <c r="M760" s="146"/>
      <c r="N760" s="91"/>
      <c r="O760" s="91"/>
      <c r="P760" s="61"/>
    </row>
    <row r="761" spans="1:16" ht="15" customHeight="1">
      <c r="A761" s="292"/>
      <c r="B761" s="34">
        <v>1.1666666666666701</v>
      </c>
      <c r="C761" s="38"/>
      <c r="D761" s="39"/>
      <c r="E761" s="40"/>
      <c r="F761" s="143"/>
      <c r="G761" s="143"/>
      <c r="H761" s="130"/>
      <c r="I761" s="9"/>
      <c r="J761" s="145"/>
      <c r="K761" s="145"/>
      <c r="L761" s="146"/>
      <c r="M761" s="146"/>
      <c r="N761" s="91"/>
      <c r="O761" s="91"/>
      <c r="P761" s="61"/>
    </row>
    <row r="762" spans="1:16" ht="15" customHeight="1">
      <c r="A762" s="292"/>
      <c r="B762" s="34">
        <v>1.2083333333333299</v>
      </c>
      <c r="C762" s="38"/>
      <c r="D762" s="39"/>
      <c r="E762" s="40"/>
      <c r="F762" s="143"/>
      <c r="G762" s="143"/>
      <c r="H762" s="130"/>
      <c r="I762" s="9"/>
      <c r="J762" s="145"/>
      <c r="K762" s="145"/>
      <c r="L762" s="146"/>
      <c r="M762" s="146"/>
      <c r="N762" s="91"/>
      <c r="O762" s="91"/>
      <c r="P762" s="61"/>
    </row>
    <row r="763" spans="1:16" ht="15" customHeight="1">
      <c r="A763" s="292"/>
      <c r="B763" s="34">
        <v>1.25</v>
      </c>
      <c r="C763" s="38"/>
      <c r="D763" s="39"/>
      <c r="E763" s="40"/>
      <c r="F763" s="143"/>
      <c r="G763" s="143"/>
      <c r="H763" s="130"/>
      <c r="I763" s="9"/>
      <c r="J763" s="145"/>
      <c r="K763" s="145"/>
      <c r="L763" s="146"/>
      <c r="M763" s="146"/>
      <c r="N763" s="91"/>
      <c r="O763" s="91"/>
      <c r="P763" s="61"/>
    </row>
    <row r="764" spans="1:16" ht="15" customHeight="1">
      <c r="A764" s="292"/>
      <c r="B764" s="34">
        <v>1.2916666666666701</v>
      </c>
      <c r="C764" s="38"/>
      <c r="D764" s="39"/>
      <c r="E764" s="40"/>
      <c r="F764" s="143"/>
      <c r="G764" s="143"/>
      <c r="H764" s="130"/>
      <c r="I764" s="9"/>
      <c r="J764" s="145"/>
      <c r="K764" s="145"/>
      <c r="L764" s="146"/>
      <c r="M764" s="146"/>
      <c r="N764" s="91"/>
      <c r="O764" s="91"/>
      <c r="P764" s="61"/>
    </row>
    <row r="765" spans="1:16" ht="15" customHeight="1">
      <c r="A765" s="293"/>
      <c r="B765" s="37"/>
      <c r="C765" s="204" cm="1">
        <f t="array" ref="C765">IFERROR(LOOKUP(2,1/(C740:C764&gt;0),C740:C764-C740),0)</f>
        <v>0</v>
      </c>
      <c r="D765" s="204" cm="1">
        <f t="array" ref="D765">IFERROR(LOOKUP(2,1/(D740:D764&gt;0),D740:D764-D740),0)</f>
        <v>0</v>
      </c>
      <c r="E765" s="207" cm="1">
        <f t="array" ref="E765">IFERROR(LOOKUP(2,1/(E740:E764&gt;0),E740:E764-E740),0)</f>
        <v>0</v>
      </c>
      <c r="F765" s="207" cm="1">
        <f t="array" ref="F765">IFERROR(LOOKUP(2,1/(F740:F764&gt;0),F740:F764-F740),0)</f>
        <v>0</v>
      </c>
      <c r="G765" s="41">
        <f>E765+F765</f>
        <v>0</v>
      </c>
      <c r="H765" s="205" cm="1">
        <f t="array" ref="H765">IFERROR(LOOKUP(2,1/(H740:H764&gt;0),H740:H764-H740),0)</f>
        <v>0</v>
      </c>
      <c r="I765" s="204" cm="1">
        <f t="array" ref="I765">IFERROR(LOOKUP(2,1/(I740:I764&gt;0),I740:I764-I740),0)</f>
        <v>0</v>
      </c>
      <c r="J765" s="242">
        <f t="shared" ref="J765:O765" si="28">IFERROR(AVERAGE(J740:J764),0)</f>
        <v>0</v>
      </c>
      <c r="K765" s="242">
        <f t="shared" si="28"/>
        <v>0</v>
      </c>
      <c r="L765" s="242">
        <f t="shared" si="28"/>
        <v>0</v>
      </c>
      <c r="M765" s="242">
        <f t="shared" si="28"/>
        <v>0</v>
      </c>
      <c r="N765" s="242">
        <f t="shared" si="28"/>
        <v>0</v>
      </c>
      <c r="O765" s="242">
        <f t="shared" si="28"/>
        <v>0</v>
      </c>
      <c r="P765" s="206">
        <f>COUNT(P740:P764)</f>
        <v>0</v>
      </c>
    </row>
    <row r="766" spans="1:16" ht="15" customHeight="1">
      <c r="A766" s="291">
        <f>'DATA B1'!B766</f>
        <v>46052</v>
      </c>
      <c r="B766" s="34">
        <v>0.29166666666666669</v>
      </c>
      <c r="C766" s="38"/>
      <c r="D766" s="39"/>
      <c r="E766" s="40"/>
      <c r="F766" s="143"/>
      <c r="G766" s="143"/>
      <c r="H766" s="130"/>
      <c r="I766" s="9"/>
      <c r="J766" s="145"/>
      <c r="K766" s="145"/>
      <c r="L766" s="146"/>
      <c r="M766" s="146"/>
      <c r="N766" s="91"/>
      <c r="O766" s="91"/>
      <c r="P766" s="61"/>
    </row>
    <row r="767" spans="1:16" ht="15" customHeight="1">
      <c r="A767" s="292"/>
      <c r="B767" s="34">
        <v>0.33333333333333298</v>
      </c>
      <c r="C767" s="38"/>
      <c r="D767" s="39"/>
      <c r="E767" s="40"/>
      <c r="F767" s="143"/>
      <c r="G767" s="143"/>
      <c r="H767" s="130"/>
      <c r="I767" s="9"/>
      <c r="J767" s="145"/>
      <c r="K767" s="145"/>
      <c r="L767" s="146"/>
      <c r="M767" s="146"/>
      <c r="N767" s="91"/>
      <c r="O767" s="91"/>
      <c r="P767" s="61"/>
    </row>
    <row r="768" spans="1:16" ht="15" customHeight="1">
      <c r="A768" s="292"/>
      <c r="B768" s="34">
        <v>0.375</v>
      </c>
      <c r="C768" s="38"/>
      <c r="D768" s="39"/>
      <c r="E768" s="40"/>
      <c r="F768" s="143"/>
      <c r="G768" s="143"/>
      <c r="H768" s="130"/>
      <c r="I768" s="9"/>
      <c r="J768" s="145"/>
      <c r="K768" s="145"/>
      <c r="L768" s="146"/>
      <c r="M768" s="146"/>
      <c r="N768" s="91"/>
      <c r="O768" s="91"/>
      <c r="P768" s="61"/>
    </row>
    <row r="769" spans="1:16" ht="15" customHeight="1">
      <c r="A769" s="292"/>
      <c r="B769" s="34">
        <v>0.41666666666666702</v>
      </c>
      <c r="C769" s="38"/>
      <c r="D769" s="39"/>
      <c r="E769" s="40"/>
      <c r="F769" s="143"/>
      <c r="G769" s="143"/>
      <c r="H769" s="130"/>
      <c r="I769" s="9"/>
      <c r="J769" s="145"/>
      <c r="K769" s="145"/>
      <c r="L769" s="146"/>
      <c r="M769" s="146"/>
      <c r="N769" s="91"/>
      <c r="O769" s="91"/>
      <c r="P769" s="61"/>
    </row>
    <row r="770" spans="1:16" ht="15" customHeight="1">
      <c r="A770" s="292"/>
      <c r="B770" s="34">
        <v>0.45833333333333298</v>
      </c>
      <c r="C770" s="38"/>
      <c r="D770" s="39"/>
      <c r="E770" s="40"/>
      <c r="F770" s="143"/>
      <c r="G770" s="143"/>
      <c r="H770" s="130"/>
      <c r="I770" s="9"/>
      <c r="J770" s="145"/>
      <c r="K770" s="145"/>
      <c r="L770" s="146"/>
      <c r="M770" s="146"/>
      <c r="N770" s="91"/>
      <c r="O770" s="91"/>
      <c r="P770" s="61"/>
    </row>
    <row r="771" spans="1:16" ht="15" customHeight="1">
      <c r="A771" s="292"/>
      <c r="B771" s="34">
        <v>0.5</v>
      </c>
      <c r="C771" s="38"/>
      <c r="D771" s="39"/>
      <c r="E771" s="40"/>
      <c r="F771" s="143"/>
      <c r="G771" s="143"/>
      <c r="H771" s="130"/>
      <c r="I771" s="9"/>
      <c r="J771" s="145"/>
      <c r="K771" s="145"/>
      <c r="L771" s="146"/>
      <c r="M771" s="146"/>
      <c r="N771" s="91"/>
      <c r="O771" s="91"/>
      <c r="P771" s="61"/>
    </row>
    <row r="772" spans="1:16" ht="15" customHeight="1">
      <c r="A772" s="292"/>
      <c r="B772" s="34">
        <v>0.54166666666666696</v>
      </c>
      <c r="C772" s="38"/>
      <c r="D772" s="39"/>
      <c r="E772" s="40"/>
      <c r="F772" s="143"/>
      <c r="G772" s="143"/>
      <c r="H772" s="130"/>
      <c r="I772" s="9"/>
      <c r="J772" s="145"/>
      <c r="K772" s="145"/>
      <c r="L772" s="146"/>
      <c r="M772" s="146"/>
      <c r="N772" s="91"/>
      <c r="O772" s="91"/>
      <c r="P772" s="61"/>
    </row>
    <row r="773" spans="1:16" ht="15" customHeight="1">
      <c r="A773" s="292"/>
      <c r="B773" s="34">
        <v>0.58333333333333304</v>
      </c>
      <c r="C773" s="38"/>
      <c r="D773" s="39"/>
      <c r="E773" s="40"/>
      <c r="F773" s="143"/>
      <c r="G773" s="143"/>
      <c r="H773" s="130"/>
      <c r="I773" s="9"/>
      <c r="J773" s="145"/>
      <c r="K773" s="145"/>
      <c r="L773" s="146"/>
      <c r="M773" s="146"/>
      <c r="N773" s="91"/>
      <c r="O773" s="91"/>
      <c r="P773" s="65"/>
    </row>
    <row r="774" spans="1:16" ht="15" customHeight="1">
      <c r="A774" s="292"/>
      <c r="B774" s="34">
        <v>0.625</v>
      </c>
      <c r="C774" s="38"/>
      <c r="D774" s="39"/>
      <c r="E774" s="40"/>
      <c r="F774" s="143"/>
      <c r="G774" s="143"/>
      <c r="H774" s="130"/>
      <c r="I774" s="9"/>
      <c r="J774" s="145"/>
      <c r="K774" s="145"/>
      <c r="L774" s="146"/>
      <c r="M774" s="146"/>
      <c r="N774" s="91"/>
      <c r="O774" s="91"/>
      <c r="P774" s="61"/>
    </row>
    <row r="775" spans="1:16" ht="15" customHeight="1">
      <c r="A775" s="292"/>
      <c r="B775" s="34">
        <v>0.66666666666666696</v>
      </c>
      <c r="C775" s="38"/>
      <c r="D775" s="39"/>
      <c r="E775" s="40"/>
      <c r="F775" s="143"/>
      <c r="G775" s="143"/>
      <c r="H775" s="130"/>
      <c r="I775" s="9"/>
      <c r="J775" s="145"/>
      <c r="K775" s="145"/>
      <c r="L775" s="146"/>
      <c r="M775" s="146"/>
      <c r="N775" s="91"/>
      <c r="O775" s="91"/>
      <c r="P775" s="61"/>
    </row>
    <row r="776" spans="1:16" ht="15" customHeight="1">
      <c r="A776" s="292"/>
      <c r="B776" s="34">
        <v>0.70833333333333304</v>
      </c>
      <c r="C776" s="38"/>
      <c r="D776" s="39"/>
      <c r="E776" s="40"/>
      <c r="F776" s="143"/>
      <c r="G776" s="143"/>
      <c r="H776" s="130"/>
      <c r="I776" s="9"/>
      <c r="J776" s="145"/>
      <c r="K776" s="145"/>
      <c r="L776" s="146"/>
      <c r="M776" s="146"/>
      <c r="N776" s="91"/>
      <c r="O776" s="91"/>
      <c r="P776" s="61"/>
    </row>
    <row r="777" spans="1:16" ht="15" customHeight="1">
      <c r="A777" s="292"/>
      <c r="B777" s="34">
        <v>0.75</v>
      </c>
      <c r="C777" s="38"/>
      <c r="D777" s="39"/>
      <c r="E777" s="40"/>
      <c r="F777" s="143"/>
      <c r="G777" s="143"/>
      <c r="H777" s="130"/>
      <c r="I777" s="9"/>
      <c r="J777" s="145"/>
      <c r="K777" s="145"/>
      <c r="L777" s="146"/>
      <c r="M777" s="146"/>
      <c r="N777" s="91"/>
      <c r="O777" s="91"/>
      <c r="P777" s="61"/>
    </row>
    <row r="778" spans="1:16" ht="15" customHeight="1">
      <c r="A778" s="292"/>
      <c r="B778" s="34">
        <v>0.79166666666666696</v>
      </c>
      <c r="C778" s="38"/>
      <c r="D778" s="39"/>
      <c r="E778" s="40"/>
      <c r="F778" s="143"/>
      <c r="G778" s="143"/>
      <c r="H778" s="130"/>
      <c r="I778" s="9"/>
      <c r="J778" s="145"/>
      <c r="K778" s="145"/>
      <c r="L778" s="146"/>
      <c r="M778" s="146"/>
      <c r="N778" s="91"/>
      <c r="O778" s="91"/>
      <c r="P778" s="61"/>
    </row>
    <row r="779" spans="1:16" ht="15" customHeight="1">
      <c r="A779" s="292"/>
      <c r="B779" s="34">
        <v>0.83333333333333304</v>
      </c>
      <c r="C779" s="38"/>
      <c r="D779" s="39"/>
      <c r="E779" s="40"/>
      <c r="F779" s="143"/>
      <c r="G779" s="143"/>
      <c r="H779" s="130"/>
      <c r="I779" s="9"/>
      <c r="J779" s="145"/>
      <c r="K779" s="145"/>
      <c r="L779" s="146"/>
      <c r="M779" s="146"/>
      <c r="N779" s="91"/>
      <c r="O779" s="91"/>
      <c r="P779" s="61"/>
    </row>
    <row r="780" spans="1:16" ht="15" customHeight="1">
      <c r="A780" s="292"/>
      <c r="B780" s="34">
        <v>0.875</v>
      </c>
      <c r="C780" s="38"/>
      <c r="D780" s="39"/>
      <c r="E780" s="40"/>
      <c r="F780" s="143"/>
      <c r="G780" s="143"/>
      <c r="H780" s="130"/>
      <c r="I780" s="9"/>
      <c r="J780" s="145"/>
      <c r="K780" s="145"/>
      <c r="L780" s="146"/>
      <c r="M780" s="146"/>
      <c r="N780" s="91"/>
      <c r="O780" s="91"/>
      <c r="P780" s="61"/>
    </row>
    <row r="781" spans="1:16" ht="15" customHeight="1">
      <c r="A781" s="292"/>
      <c r="B781" s="34">
        <v>0.91666666666666696</v>
      </c>
      <c r="C781" s="38"/>
      <c r="D781" s="39"/>
      <c r="E781" s="40"/>
      <c r="F781" s="143"/>
      <c r="G781" s="143"/>
      <c r="H781" s="130"/>
      <c r="I781" s="9"/>
      <c r="J781" s="145"/>
      <c r="K781" s="145"/>
      <c r="L781" s="146"/>
      <c r="M781" s="146"/>
      <c r="N781" s="91"/>
      <c r="O781" s="91"/>
      <c r="P781" s="61"/>
    </row>
    <row r="782" spans="1:16" ht="15" customHeight="1">
      <c r="A782" s="292"/>
      <c r="B782" s="34">
        <v>0.95833333333333304</v>
      </c>
      <c r="C782" s="38"/>
      <c r="D782" s="39"/>
      <c r="E782" s="40"/>
      <c r="F782" s="143"/>
      <c r="G782" s="143"/>
      <c r="H782" s="130"/>
      <c r="I782" s="9"/>
      <c r="J782" s="145"/>
      <c r="K782" s="145"/>
      <c r="L782" s="146"/>
      <c r="M782" s="146"/>
      <c r="N782" s="91"/>
      <c r="O782" s="91"/>
      <c r="P782" s="61"/>
    </row>
    <row r="783" spans="1:16" ht="15" customHeight="1">
      <c r="A783" s="292"/>
      <c r="B783" s="34">
        <v>1</v>
      </c>
      <c r="C783" s="38"/>
      <c r="D783" s="39"/>
      <c r="E783" s="40"/>
      <c r="F783" s="143"/>
      <c r="G783" s="143"/>
      <c r="H783" s="130"/>
      <c r="I783" s="9"/>
      <c r="J783" s="145"/>
      <c r="K783" s="145"/>
      <c r="L783" s="146"/>
      <c r="M783" s="146"/>
      <c r="N783" s="91"/>
      <c r="O783" s="91"/>
      <c r="P783" s="61"/>
    </row>
    <row r="784" spans="1:16" ht="15" customHeight="1">
      <c r="A784" s="292"/>
      <c r="B784" s="34">
        <v>1.0416666666666701</v>
      </c>
      <c r="C784" s="38"/>
      <c r="D784" s="39"/>
      <c r="E784" s="40"/>
      <c r="F784" s="143"/>
      <c r="G784" s="143"/>
      <c r="H784" s="130"/>
      <c r="I784" s="9"/>
      <c r="J784" s="145"/>
      <c r="K784" s="145"/>
      <c r="L784" s="146"/>
      <c r="M784" s="146"/>
      <c r="N784" s="91"/>
      <c r="O784" s="91"/>
      <c r="P784" s="61"/>
    </row>
    <row r="785" spans="1:16" ht="15" customHeight="1">
      <c r="A785" s="292"/>
      <c r="B785" s="34">
        <v>1.0833333333333299</v>
      </c>
      <c r="C785" s="38"/>
      <c r="D785" s="39"/>
      <c r="E785" s="40"/>
      <c r="F785" s="143"/>
      <c r="G785" s="143"/>
      <c r="H785" s="130"/>
      <c r="I785" s="9"/>
      <c r="J785" s="145"/>
      <c r="K785" s="145"/>
      <c r="L785" s="146"/>
      <c r="M785" s="146"/>
      <c r="N785" s="91"/>
      <c r="O785" s="91"/>
      <c r="P785" s="61"/>
    </row>
    <row r="786" spans="1:16" ht="15" customHeight="1">
      <c r="A786" s="292"/>
      <c r="B786" s="34">
        <v>1.125</v>
      </c>
      <c r="C786" s="38"/>
      <c r="D786" s="39"/>
      <c r="E786" s="40"/>
      <c r="F786" s="143"/>
      <c r="G786" s="143"/>
      <c r="H786" s="130"/>
      <c r="I786" s="9"/>
      <c r="J786" s="145"/>
      <c r="K786" s="145"/>
      <c r="L786" s="146"/>
      <c r="M786" s="146"/>
      <c r="N786" s="91"/>
      <c r="O786" s="91"/>
      <c r="P786" s="61"/>
    </row>
    <row r="787" spans="1:16" ht="15" customHeight="1">
      <c r="A787" s="292"/>
      <c r="B787" s="34">
        <v>1.1666666666666701</v>
      </c>
      <c r="C787" s="38"/>
      <c r="D787" s="39"/>
      <c r="E787" s="40"/>
      <c r="F787" s="143"/>
      <c r="G787" s="143"/>
      <c r="H787" s="130"/>
      <c r="I787" s="9"/>
      <c r="J787" s="145"/>
      <c r="K787" s="145"/>
      <c r="L787" s="146"/>
      <c r="M787" s="146"/>
      <c r="N787" s="91"/>
      <c r="O787" s="91"/>
      <c r="P787" s="61"/>
    </row>
    <row r="788" spans="1:16" ht="15" customHeight="1">
      <c r="A788" s="292"/>
      <c r="B788" s="34">
        <v>1.2083333333333299</v>
      </c>
      <c r="C788" s="38"/>
      <c r="D788" s="39"/>
      <c r="E788" s="40"/>
      <c r="F788" s="143"/>
      <c r="G788" s="143"/>
      <c r="H788" s="130"/>
      <c r="I788" s="9"/>
      <c r="J788" s="145"/>
      <c r="K788" s="145"/>
      <c r="L788" s="146"/>
      <c r="M788" s="146"/>
      <c r="N788" s="91"/>
      <c r="O788" s="91"/>
      <c r="P788" s="61"/>
    </row>
    <row r="789" spans="1:16" ht="15" customHeight="1">
      <c r="A789" s="292"/>
      <c r="B789" s="34">
        <v>1.25</v>
      </c>
      <c r="C789" s="38"/>
      <c r="D789" s="39"/>
      <c r="E789" s="40"/>
      <c r="F789" s="143"/>
      <c r="G789" s="143"/>
      <c r="H789" s="130"/>
      <c r="I789" s="9"/>
      <c r="J789" s="145"/>
      <c r="K789" s="145"/>
      <c r="L789" s="146"/>
      <c r="M789" s="146"/>
      <c r="N789" s="91"/>
      <c r="O789" s="91"/>
      <c r="P789" s="61"/>
    </row>
    <row r="790" spans="1:16" ht="15" customHeight="1">
      <c r="A790" s="292"/>
      <c r="B790" s="34">
        <v>1.2916666666666701</v>
      </c>
      <c r="C790" s="38"/>
      <c r="D790" s="39"/>
      <c r="E790" s="40"/>
      <c r="F790" s="143"/>
      <c r="G790" s="143"/>
      <c r="H790" s="130"/>
      <c r="I790" s="9"/>
      <c r="J790" s="145"/>
      <c r="K790" s="145"/>
      <c r="L790" s="146"/>
      <c r="M790" s="146"/>
      <c r="N790" s="91"/>
      <c r="O790" s="91"/>
      <c r="P790" s="61"/>
    </row>
    <row r="791" spans="1:16" ht="15" customHeight="1">
      <c r="A791" s="293"/>
      <c r="B791" s="37"/>
      <c r="C791" s="204" cm="1">
        <f t="array" ref="C791">IFERROR(LOOKUP(2,1/(C766:C790&gt;0),C766:C790-C766),0)</f>
        <v>0</v>
      </c>
      <c r="D791" s="204" cm="1">
        <f t="array" ref="D791">IFERROR(LOOKUP(2,1/(D766:D790&gt;0),D766:D790-D766),0)</f>
        <v>0</v>
      </c>
      <c r="E791" s="207" cm="1">
        <f t="array" ref="E791">IFERROR(LOOKUP(2,1/(E766:E790&gt;0),E766:E790-E766),0)</f>
        <v>0</v>
      </c>
      <c r="F791" s="207" cm="1">
        <f t="array" ref="F791">IFERROR(LOOKUP(2,1/(F766:F790&gt;0),F766:F790-F766),0)</f>
        <v>0</v>
      </c>
      <c r="G791" s="41">
        <f>E791+F791</f>
        <v>0</v>
      </c>
      <c r="H791" s="205" cm="1">
        <f t="array" ref="H791">IFERROR(LOOKUP(2,1/(H766:H790&gt;0),H766:H790-H766),0)</f>
        <v>0</v>
      </c>
      <c r="I791" s="204" cm="1">
        <f t="array" ref="I791">IFERROR(LOOKUP(2,1/(I766:I790&gt;0),I766:I790-I766),0)</f>
        <v>0</v>
      </c>
      <c r="J791" s="242">
        <f t="shared" ref="J791:O791" si="29">IFERROR(AVERAGE(J766:J790),0)</f>
        <v>0</v>
      </c>
      <c r="K791" s="242">
        <f t="shared" si="29"/>
        <v>0</v>
      </c>
      <c r="L791" s="242">
        <f t="shared" si="29"/>
        <v>0</v>
      </c>
      <c r="M791" s="242">
        <f t="shared" si="29"/>
        <v>0</v>
      </c>
      <c r="N791" s="242">
        <f t="shared" si="29"/>
        <v>0</v>
      </c>
      <c r="O791" s="242">
        <f t="shared" si="29"/>
        <v>0</v>
      </c>
      <c r="P791" s="206">
        <f>COUNT(P766:P790)</f>
        <v>0</v>
      </c>
    </row>
    <row r="792" spans="1:16" ht="15" customHeight="1">
      <c r="A792" s="291">
        <f>'DATA B1'!B792</f>
        <v>46053</v>
      </c>
      <c r="B792" s="34">
        <v>0.29166666666666669</v>
      </c>
      <c r="C792" s="38"/>
      <c r="D792" s="39"/>
      <c r="E792" s="40"/>
      <c r="F792" s="143"/>
      <c r="G792" s="143"/>
      <c r="H792" s="130"/>
      <c r="I792" s="9"/>
      <c r="J792" s="145"/>
      <c r="K792" s="145"/>
      <c r="L792" s="146"/>
      <c r="M792" s="146"/>
      <c r="N792" s="91"/>
      <c r="O792" s="91"/>
      <c r="P792" s="61"/>
    </row>
    <row r="793" spans="1:16" ht="15" customHeight="1">
      <c r="A793" s="292"/>
      <c r="B793" s="34">
        <v>0.33333333333333298</v>
      </c>
      <c r="C793" s="38"/>
      <c r="D793" s="39"/>
      <c r="E793" s="40"/>
      <c r="F793" s="143"/>
      <c r="G793" s="143"/>
      <c r="H793" s="130"/>
      <c r="I793" s="9"/>
      <c r="J793" s="145"/>
      <c r="K793" s="145"/>
      <c r="L793" s="146"/>
      <c r="M793" s="146"/>
      <c r="N793" s="91"/>
      <c r="O793" s="91"/>
      <c r="P793" s="61"/>
    </row>
    <row r="794" spans="1:16" ht="15" customHeight="1">
      <c r="A794" s="292"/>
      <c r="B794" s="34">
        <v>0.375</v>
      </c>
      <c r="C794" s="38"/>
      <c r="D794" s="39"/>
      <c r="E794" s="40"/>
      <c r="F794" s="143"/>
      <c r="G794" s="143"/>
      <c r="H794" s="130"/>
      <c r="I794" s="9"/>
      <c r="J794" s="145"/>
      <c r="K794" s="145"/>
      <c r="L794" s="146"/>
      <c r="M794" s="146"/>
      <c r="N794" s="91"/>
      <c r="O794" s="91"/>
      <c r="P794" s="61"/>
    </row>
    <row r="795" spans="1:16" ht="15" customHeight="1">
      <c r="A795" s="292"/>
      <c r="B795" s="34">
        <v>0.41666666666666702</v>
      </c>
      <c r="C795" s="38"/>
      <c r="D795" s="39"/>
      <c r="E795" s="40"/>
      <c r="F795" s="143"/>
      <c r="G795" s="143"/>
      <c r="H795" s="130"/>
      <c r="I795" s="9"/>
      <c r="J795" s="145"/>
      <c r="K795" s="145"/>
      <c r="L795" s="146"/>
      <c r="M795" s="146"/>
      <c r="N795" s="91"/>
      <c r="O795" s="91"/>
      <c r="P795" s="61"/>
    </row>
    <row r="796" spans="1:16" ht="15" customHeight="1">
      <c r="A796" s="292"/>
      <c r="B796" s="34">
        <v>0.45833333333333298</v>
      </c>
      <c r="C796" s="38"/>
      <c r="D796" s="39"/>
      <c r="E796" s="40"/>
      <c r="F796" s="143"/>
      <c r="G796" s="143"/>
      <c r="H796" s="130"/>
      <c r="I796" s="9"/>
      <c r="J796" s="145"/>
      <c r="K796" s="145"/>
      <c r="L796" s="146"/>
      <c r="M796" s="146"/>
      <c r="N796" s="91"/>
      <c r="O796" s="91"/>
      <c r="P796" s="61"/>
    </row>
    <row r="797" spans="1:16" ht="15" customHeight="1">
      <c r="A797" s="292"/>
      <c r="B797" s="34">
        <v>0.5</v>
      </c>
      <c r="C797" s="38"/>
      <c r="D797" s="39"/>
      <c r="E797" s="40"/>
      <c r="F797" s="143"/>
      <c r="G797" s="143"/>
      <c r="H797" s="130"/>
      <c r="I797" s="9"/>
      <c r="J797" s="145"/>
      <c r="K797" s="145"/>
      <c r="L797" s="146"/>
      <c r="M797" s="146"/>
      <c r="N797" s="91"/>
      <c r="O797" s="91"/>
      <c r="P797" s="61"/>
    </row>
    <row r="798" spans="1:16" ht="15" customHeight="1">
      <c r="A798" s="292"/>
      <c r="B798" s="34">
        <v>0.54166666666666696</v>
      </c>
      <c r="C798" s="38"/>
      <c r="D798" s="39"/>
      <c r="E798" s="40"/>
      <c r="F798" s="143"/>
      <c r="G798" s="143"/>
      <c r="H798" s="130"/>
      <c r="I798" s="9"/>
      <c r="J798" s="145"/>
      <c r="K798" s="145"/>
      <c r="L798" s="146"/>
      <c r="M798" s="146"/>
      <c r="N798" s="91"/>
      <c r="O798" s="91"/>
      <c r="P798" s="61"/>
    </row>
    <row r="799" spans="1:16" ht="15" customHeight="1">
      <c r="A799" s="292"/>
      <c r="B799" s="34">
        <v>0.58333333333333304</v>
      </c>
      <c r="C799" s="38"/>
      <c r="D799" s="39"/>
      <c r="E799" s="40"/>
      <c r="F799" s="143"/>
      <c r="G799" s="143"/>
      <c r="H799" s="130"/>
      <c r="I799" s="9"/>
      <c r="J799" s="145"/>
      <c r="K799" s="145"/>
      <c r="L799" s="146"/>
      <c r="M799" s="146"/>
      <c r="N799" s="91"/>
      <c r="O799" s="91"/>
      <c r="P799" s="65"/>
    </row>
    <row r="800" spans="1:16" ht="15" customHeight="1">
      <c r="A800" s="292"/>
      <c r="B800" s="34">
        <v>0.625</v>
      </c>
      <c r="C800" s="38"/>
      <c r="D800" s="39"/>
      <c r="E800" s="40"/>
      <c r="F800" s="143"/>
      <c r="G800" s="143"/>
      <c r="H800" s="130"/>
      <c r="I800" s="9"/>
      <c r="J800" s="145"/>
      <c r="K800" s="145"/>
      <c r="L800" s="146"/>
      <c r="M800" s="146"/>
      <c r="N800" s="91"/>
      <c r="O800" s="91"/>
      <c r="P800" s="61"/>
    </row>
    <row r="801" spans="1:16" ht="15" customHeight="1">
      <c r="A801" s="292"/>
      <c r="B801" s="34">
        <v>0.66666666666666696</v>
      </c>
      <c r="C801" s="38"/>
      <c r="D801" s="39"/>
      <c r="E801" s="40"/>
      <c r="F801" s="143"/>
      <c r="G801" s="143"/>
      <c r="H801" s="130"/>
      <c r="I801" s="9"/>
      <c r="J801" s="145"/>
      <c r="K801" s="145"/>
      <c r="L801" s="146"/>
      <c r="M801" s="146"/>
      <c r="N801" s="91"/>
      <c r="O801" s="91"/>
      <c r="P801" s="61"/>
    </row>
    <row r="802" spans="1:16" ht="15" customHeight="1">
      <c r="A802" s="292"/>
      <c r="B802" s="34">
        <v>0.70833333333333304</v>
      </c>
      <c r="C802" s="38"/>
      <c r="D802" s="39"/>
      <c r="E802" s="40"/>
      <c r="F802" s="143"/>
      <c r="G802" s="143"/>
      <c r="H802" s="130"/>
      <c r="I802" s="9"/>
      <c r="J802" s="145"/>
      <c r="K802" s="145"/>
      <c r="L802" s="146"/>
      <c r="M802" s="146"/>
      <c r="N802" s="91"/>
      <c r="O802" s="91"/>
      <c r="P802" s="61"/>
    </row>
    <row r="803" spans="1:16" ht="15" customHeight="1">
      <c r="A803" s="292"/>
      <c r="B803" s="34">
        <v>0.75</v>
      </c>
      <c r="C803" s="38"/>
      <c r="D803" s="39"/>
      <c r="E803" s="40"/>
      <c r="F803" s="143"/>
      <c r="G803" s="143"/>
      <c r="H803" s="130"/>
      <c r="I803" s="9"/>
      <c r="J803" s="145"/>
      <c r="K803" s="145"/>
      <c r="L803" s="146"/>
      <c r="M803" s="146"/>
      <c r="N803" s="91"/>
      <c r="O803" s="91"/>
      <c r="P803" s="61"/>
    </row>
    <row r="804" spans="1:16" ht="15" customHeight="1">
      <c r="A804" s="292"/>
      <c r="B804" s="34">
        <v>0.79166666666666696</v>
      </c>
      <c r="C804" s="38"/>
      <c r="D804" s="39"/>
      <c r="E804" s="40"/>
      <c r="F804" s="143"/>
      <c r="G804" s="143"/>
      <c r="H804" s="130"/>
      <c r="I804" s="9"/>
      <c r="J804" s="145"/>
      <c r="K804" s="145"/>
      <c r="L804" s="146"/>
      <c r="M804" s="146"/>
      <c r="N804" s="91"/>
      <c r="O804" s="91"/>
      <c r="P804" s="61"/>
    </row>
    <row r="805" spans="1:16" ht="15" customHeight="1">
      <c r="A805" s="292"/>
      <c r="B805" s="34">
        <v>0.83333333333333304</v>
      </c>
      <c r="C805" s="38"/>
      <c r="D805" s="39"/>
      <c r="E805" s="40"/>
      <c r="F805" s="143"/>
      <c r="G805" s="143"/>
      <c r="H805" s="130"/>
      <c r="I805" s="9"/>
      <c r="J805" s="145"/>
      <c r="K805" s="145"/>
      <c r="L805" s="146"/>
      <c r="M805" s="146"/>
      <c r="N805" s="91"/>
      <c r="O805" s="91"/>
      <c r="P805" s="61"/>
    </row>
    <row r="806" spans="1:16" ht="15" customHeight="1">
      <c r="A806" s="292"/>
      <c r="B806" s="34">
        <v>0.875</v>
      </c>
      <c r="C806" s="38"/>
      <c r="D806" s="39"/>
      <c r="E806" s="40"/>
      <c r="F806" s="143"/>
      <c r="G806" s="143"/>
      <c r="H806" s="130"/>
      <c r="I806" s="9"/>
      <c r="J806" s="145"/>
      <c r="K806" s="145"/>
      <c r="L806" s="146"/>
      <c r="M806" s="146"/>
      <c r="N806" s="91"/>
      <c r="O806" s="91"/>
      <c r="P806" s="61"/>
    </row>
    <row r="807" spans="1:16" ht="15" customHeight="1">
      <c r="A807" s="292"/>
      <c r="B807" s="34">
        <v>0.91666666666666696</v>
      </c>
      <c r="C807" s="38"/>
      <c r="D807" s="39"/>
      <c r="E807" s="40"/>
      <c r="F807" s="143"/>
      <c r="G807" s="143"/>
      <c r="H807" s="130"/>
      <c r="I807" s="9"/>
      <c r="J807" s="145"/>
      <c r="K807" s="145"/>
      <c r="L807" s="146"/>
      <c r="M807" s="146"/>
      <c r="N807" s="91"/>
      <c r="O807" s="91"/>
      <c r="P807" s="61"/>
    </row>
    <row r="808" spans="1:16" ht="15" customHeight="1">
      <c r="A808" s="292"/>
      <c r="B808" s="34">
        <v>0.95833333333333304</v>
      </c>
      <c r="C808" s="38"/>
      <c r="D808" s="39"/>
      <c r="E808" s="40"/>
      <c r="F808" s="143"/>
      <c r="G808" s="143"/>
      <c r="H808" s="130"/>
      <c r="I808" s="9"/>
      <c r="J808" s="145"/>
      <c r="K808" s="145"/>
      <c r="L808" s="146"/>
      <c r="M808" s="146"/>
      <c r="N808" s="91"/>
      <c r="O808" s="91"/>
      <c r="P808" s="61"/>
    </row>
    <row r="809" spans="1:16" ht="15" customHeight="1">
      <c r="A809" s="292"/>
      <c r="B809" s="34">
        <v>1</v>
      </c>
      <c r="C809" s="38"/>
      <c r="D809" s="39"/>
      <c r="E809" s="40"/>
      <c r="F809" s="143"/>
      <c r="G809" s="143"/>
      <c r="H809" s="130"/>
      <c r="I809" s="9"/>
      <c r="J809" s="145"/>
      <c r="K809" s="145"/>
      <c r="L809" s="146"/>
      <c r="M809" s="146"/>
      <c r="N809" s="91"/>
      <c r="O809" s="91"/>
      <c r="P809" s="61"/>
    </row>
    <row r="810" spans="1:16" ht="15" customHeight="1">
      <c r="A810" s="292"/>
      <c r="B810" s="34">
        <v>1.0416666666666701</v>
      </c>
      <c r="C810" s="38"/>
      <c r="D810" s="39"/>
      <c r="E810" s="40"/>
      <c r="F810" s="143"/>
      <c r="G810" s="143"/>
      <c r="H810" s="130"/>
      <c r="I810" s="9"/>
      <c r="J810" s="145"/>
      <c r="K810" s="145"/>
      <c r="L810" s="146"/>
      <c r="M810" s="146"/>
      <c r="N810" s="91"/>
      <c r="O810" s="91"/>
      <c r="P810" s="61"/>
    </row>
    <row r="811" spans="1:16" ht="15" customHeight="1">
      <c r="A811" s="292"/>
      <c r="B811" s="34">
        <v>1.0833333333333299</v>
      </c>
      <c r="C811" s="38"/>
      <c r="D811" s="39"/>
      <c r="E811" s="40"/>
      <c r="F811" s="143"/>
      <c r="G811" s="143"/>
      <c r="H811" s="130"/>
      <c r="I811" s="9"/>
      <c r="J811" s="145"/>
      <c r="K811" s="145"/>
      <c r="L811" s="146"/>
      <c r="M811" s="146"/>
      <c r="N811" s="91"/>
      <c r="O811" s="91"/>
      <c r="P811" s="61"/>
    </row>
    <row r="812" spans="1:16" ht="15" customHeight="1">
      <c r="A812" s="292"/>
      <c r="B812" s="34">
        <v>1.125</v>
      </c>
      <c r="C812" s="38"/>
      <c r="D812" s="39"/>
      <c r="E812" s="40"/>
      <c r="F812" s="143"/>
      <c r="G812" s="143"/>
      <c r="H812" s="130"/>
      <c r="I812" s="9"/>
      <c r="J812" s="145"/>
      <c r="K812" s="145"/>
      <c r="L812" s="146"/>
      <c r="M812" s="146"/>
      <c r="N812" s="91"/>
      <c r="O812" s="91"/>
      <c r="P812" s="61"/>
    </row>
    <row r="813" spans="1:16" ht="15" customHeight="1">
      <c r="A813" s="292"/>
      <c r="B813" s="34">
        <v>1.1666666666666701</v>
      </c>
      <c r="C813" s="38"/>
      <c r="D813" s="39"/>
      <c r="E813" s="40"/>
      <c r="F813" s="143"/>
      <c r="G813" s="143"/>
      <c r="H813" s="130"/>
      <c r="I813" s="9"/>
      <c r="J813" s="145"/>
      <c r="K813" s="145"/>
      <c r="L813" s="146"/>
      <c r="M813" s="146"/>
      <c r="N813" s="91"/>
      <c r="O813" s="91"/>
      <c r="P813" s="61"/>
    </row>
    <row r="814" spans="1:16" ht="15" customHeight="1">
      <c r="A814" s="292"/>
      <c r="B814" s="34">
        <v>1.2083333333333299</v>
      </c>
      <c r="C814" s="38"/>
      <c r="D814" s="39"/>
      <c r="E814" s="40"/>
      <c r="F814" s="143"/>
      <c r="G814" s="143"/>
      <c r="H814" s="130"/>
      <c r="I814" s="9"/>
      <c r="J814" s="145"/>
      <c r="K814" s="145"/>
      <c r="L814" s="146"/>
      <c r="M814" s="146"/>
      <c r="N814" s="91"/>
      <c r="O814" s="91"/>
      <c r="P814" s="61"/>
    </row>
    <row r="815" spans="1:16" ht="15" customHeight="1">
      <c r="A815" s="292"/>
      <c r="B815" s="34">
        <v>1.25</v>
      </c>
      <c r="C815" s="38"/>
      <c r="D815" s="39"/>
      <c r="E815" s="40"/>
      <c r="F815" s="143"/>
      <c r="G815" s="143"/>
      <c r="H815" s="130"/>
      <c r="I815" s="9"/>
      <c r="J815" s="145"/>
      <c r="K815" s="145"/>
      <c r="L815" s="146"/>
      <c r="M815" s="146"/>
      <c r="N815" s="91"/>
      <c r="O815" s="91"/>
      <c r="P815" s="61"/>
    </row>
    <row r="816" spans="1:16" ht="15" customHeight="1">
      <c r="A816" s="292"/>
      <c r="B816" s="34">
        <v>1.2916666666666701</v>
      </c>
      <c r="C816" s="38"/>
      <c r="D816" s="39"/>
      <c r="E816" s="40"/>
      <c r="F816" s="143"/>
      <c r="G816" s="143"/>
      <c r="H816" s="130"/>
      <c r="I816" s="9"/>
      <c r="J816" s="145"/>
      <c r="K816" s="145"/>
      <c r="L816" s="146"/>
      <c r="M816" s="146"/>
      <c r="N816" s="91"/>
      <c r="O816" s="91"/>
      <c r="P816" s="61"/>
    </row>
    <row r="817" spans="1:16" ht="15" customHeight="1">
      <c r="A817" s="293"/>
      <c r="B817" s="37"/>
      <c r="C817" s="204" cm="1">
        <f t="array" ref="C817">IFERROR(LOOKUP(2,1/(C792:C816&gt;0),C792:C816-C792),0)</f>
        <v>0</v>
      </c>
      <c r="D817" s="204" cm="1">
        <f t="array" ref="D817">IFERROR(LOOKUP(2,1/(D792:D816&gt;0),D792:D816-D792),0)</f>
        <v>0</v>
      </c>
      <c r="E817" s="207" cm="1">
        <f t="array" ref="E817">IFERROR(LOOKUP(2,1/(E792:E816&gt;0),E792:E816-E792),0)</f>
        <v>0</v>
      </c>
      <c r="F817" s="207" cm="1">
        <f t="array" ref="F817">IFERROR(LOOKUP(2,1/(F792:F816&gt;0),F792:F816-F792),0)</f>
        <v>0</v>
      </c>
      <c r="G817" s="41">
        <f>E817+F817</f>
        <v>0</v>
      </c>
      <c r="H817" s="205" cm="1">
        <f t="array" ref="H817">IFERROR(LOOKUP(2,1/(H792:H816&gt;0),H792:H816-H792),0)</f>
        <v>0</v>
      </c>
      <c r="I817" s="204" cm="1">
        <f t="array" ref="I817">IFERROR(LOOKUP(2,1/(I792:I816&gt;0),I792:I816-I792),0)</f>
        <v>0</v>
      </c>
      <c r="J817" s="242">
        <f t="shared" ref="J817:O817" si="30">IFERROR(AVERAGE(J792:J816),0)</f>
        <v>0</v>
      </c>
      <c r="K817" s="242">
        <f t="shared" si="30"/>
        <v>0</v>
      </c>
      <c r="L817" s="242">
        <f t="shared" si="30"/>
        <v>0</v>
      </c>
      <c r="M817" s="242">
        <f t="shared" si="30"/>
        <v>0</v>
      </c>
      <c r="N817" s="242">
        <f t="shared" si="30"/>
        <v>0</v>
      </c>
      <c r="O817" s="242">
        <f t="shared" si="30"/>
        <v>0</v>
      </c>
      <c r="P817" s="206">
        <f>COUNT(P792:P816)</f>
        <v>0</v>
      </c>
    </row>
    <row r="818" spans="1:16" ht="14.45" customHeight="1">
      <c r="C818" s="7"/>
      <c r="D818" s="7"/>
      <c r="E818" s="7"/>
      <c r="F818" s="7"/>
      <c r="G818" s="7"/>
      <c r="H818" s="7"/>
      <c r="I818" s="7"/>
    </row>
  </sheetData>
  <mergeCells count="51">
    <mergeCell ref="A220:A245"/>
    <mergeCell ref="A90:A115"/>
    <mergeCell ref="A116:A141"/>
    <mergeCell ref="A142:A167"/>
    <mergeCell ref="A168:A193"/>
    <mergeCell ref="A194:A219"/>
    <mergeCell ref="A532:A557"/>
    <mergeCell ref="A714:A739"/>
    <mergeCell ref="A740:A765"/>
    <mergeCell ref="A246:A271"/>
    <mergeCell ref="A272:A297"/>
    <mergeCell ref="A298:A323"/>
    <mergeCell ref="A324:A349"/>
    <mergeCell ref="A350:A375"/>
    <mergeCell ref="A376:A401"/>
    <mergeCell ref="A402:A427"/>
    <mergeCell ref="A428:A453"/>
    <mergeCell ref="A454:A479"/>
    <mergeCell ref="A480:A505"/>
    <mergeCell ref="A506:A531"/>
    <mergeCell ref="A766:A791"/>
    <mergeCell ref="A792:A817"/>
    <mergeCell ref="A558:A583"/>
    <mergeCell ref="A584:A609"/>
    <mergeCell ref="A610:A635"/>
    <mergeCell ref="A636:A661"/>
    <mergeCell ref="A662:A687"/>
    <mergeCell ref="A688:A713"/>
    <mergeCell ref="A12:A37"/>
    <mergeCell ref="A38:A63"/>
    <mergeCell ref="A64:A89"/>
    <mergeCell ref="C9:D10"/>
    <mergeCell ref="E9:F10"/>
    <mergeCell ref="B9:B11"/>
    <mergeCell ref="L3:M5"/>
    <mergeCell ref="N3:P5"/>
    <mergeCell ref="L6:M7"/>
    <mergeCell ref="J9:K9"/>
    <mergeCell ref="L9:M9"/>
    <mergeCell ref="N9:O9"/>
    <mergeCell ref="P9:P10"/>
    <mergeCell ref="N6:P7"/>
    <mergeCell ref="H9:I9"/>
    <mergeCell ref="H10:I10"/>
    <mergeCell ref="A3:C7"/>
    <mergeCell ref="D3:K5"/>
    <mergeCell ref="D6:D7"/>
    <mergeCell ref="E6:F7"/>
    <mergeCell ref="G6:G7"/>
    <mergeCell ref="H6:K7"/>
    <mergeCell ref="A9:A11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3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16383" man="1"/>
    <brk id="739" max="16383" man="1"/>
    <brk id="765" max="16383" man="1"/>
    <brk id="791" max="16383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85040-FCD8-4C90-AAFE-0D9FC5275092}">
  <sheetPr>
    <tabColor rgb="FFFFFF00"/>
    <pageSetUpPr fitToPage="1"/>
  </sheetPr>
  <dimension ref="B2:Q825"/>
  <sheetViews>
    <sheetView view="pageBreakPreview" zoomScale="170" zoomScaleNormal="100" zoomScaleSheetLayoutView="170" workbookViewId="0">
      <pane xSplit="4" ySplit="10" topLeftCell="E26" activePane="bottomRight" state="frozen"/>
      <selection pane="bottomRight" activeCell="N34" sqref="N34"/>
      <selection pane="bottomLeft" activeCell="D107" sqref="D107"/>
      <selection pane="topRight" activeCell="D107" sqref="D107"/>
    </sheetView>
  </sheetViews>
  <sheetFormatPr defaultRowHeight="15"/>
  <cols>
    <col min="2" max="2" width="2.42578125" customWidth="1"/>
    <col min="3" max="3" width="10.5703125" style="44" customWidth="1"/>
    <col min="4" max="4" width="7" customWidth="1"/>
    <col min="5" max="6" width="10.7109375" customWidth="1"/>
    <col min="7" max="7" width="9.42578125" customWidth="1"/>
    <col min="8" max="8" width="7.7109375" customWidth="1"/>
    <col min="9" max="10" width="10.7109375" customWidth="1"/>
    <col min="11" max="11" width="9.42578125" customWidth="1"/>
    <col min="12" max="12" width="7.7109375" customWidth="1"/>
    <col min="13" max="13" width="10.7109375" style="31" customWidth="1"/>
    <col min="14" max="14" width="10.7109375" customWidth="1"/>
    <col min="15" max="15" width="9.42578125" customWidth="1"/>
    <col min="16" max="16" width="7.7109375" customWidth="1"/>
    <col min="17" max="17" width="2.42578125" customWidth="1"/>
  </cols>
  <sheetData>
    <row r="2" spans="2:16" ht="15" customHeight="1"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</row>
    <row r="3" spans="2:16" ht="15" customHeight="1">
      <c r="B3" s="66"/>
      <c r="C3" s="279"/>
      <c r="D3" s="279"/>
      <c r="E3" s="279"/>
      <c r="F3" s="279" t="s">
        <v>46</v>
      </c>
      <c r="G3" s="279"/>
      <c r="H3" s="279"/>
      <c r="I3" s="279"/>
      <c r="J3" s="279"/>
      <c r="K3" s="279"/>
      <c r="L3" s="279"/>
      <c r="M3" s="279"/>
      <c r="N3" s="105" t="s">
        <v>7</v>
      </c>
      <c r="O3" s="331">
        <f>SUM('DATA B1'!S6)</f>
        <v>46023</v>
      </c>
      <c r="P3" s="332"/>
    </row>
    <row r="4" spans="2:16" ht="15" customHeight="1">
      <c r="C4" s="279"/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105" t="s">
        <v>3</v>
      </c>
      <c r="O4" s="333" t="s">
        <v>47</v>
      </c>
      <c r="P4" s="333"/>
    </row>
    <row r="5" spans="2:16" ht="14.45" customHeight="1"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105" t="s">
        <v>5</v>
      </c>
      <c r="O5" s="334" t="s">
        <v>47</v>
      </c>
      <c r="P5" s="334"/>
    </row>
    <row r="6" spans="2:16">
      <c r="C6" s="315" t="s">
        <v>48</v>
      </c>
      <c r="D6" s="315"/>
      <c r="E6" s="336" t="s">
        <v>49</v>
      </c>
      <c r="F6" s="336"/>
      <c r="G6" s="336"/>
      <c r="H6" s="336"/>
      <c r="I6" s="336" t="s">
        <v>50</v>
      </c>
      <c r="J6" s="336"/>
      <c r="K6" s="336"/>
      <c r="L6" s="336"/>
      <c r="M6" s="336" t="s">
        <v>51</v>
      </c>
      <c r="N6" s="336"/>
      <c r="O6" s="336"/>
      <c r="P6" s="336"/>
    </row>
    <row r="7" spans="2:16">
      <c r="C7" s="315"/>
      <c r="D7" s="315"/>
      <c r="E7" s="336"/>
      <c r="F7" s="336"/>
      <c r="G7" s="336"/>
      <c r="H7" s="336"/>
      <c r="I7" s="336"/>
      <c r="J7" s="336"/>
      <c r="K7" s="336"/>
      <c r="L7" s="336"/>
      <c r="M7" s="336"/>
      <c r="N7" s="336"/>
      <c r="O7" s="336"/>
      <c r="P7" s="336"/>
    </row>
    <row r="8" spans="2:16" ht="15" customHeight="1">
      <c r="C8" s="340" t="s">
        <v>8</v>
      </c>
      <c r="D8" s="340" t="s">
        <v>9</v>
      </c>
      <c r="E8" s="330" t="s">
        <v>52</v>
      </c>
      <c r="F8" s="337" t="s">
        <v>53</v>
      </c>
      <c r="G8" s="339" t="s">
        <v>54</v>
      </c>
      <c r="H8" s="285" t="s">
        <v>55</v>
      </c>
      <c r="I8" s="330" t="s">
        <v>52</v>
      </c>
      <c r="J8" s="337" t="s">
        <v>53</v>
      </c>
      <c r="K8" s="339" t="s">
        <v>54</v>
      </c>
      <c r="L8" s="285" t="s">
        <v>55</v>
      </c>
      <c r="M8" s="341" t="s">
        <v>56</v>
      </c>
      <c r="N8" s="337" t="s">
        <v>53</v>
      </c>
      <c r="O8" s="339" t="s">
        <v>54</v>
      </c>
      <c r="P8" s="285" t="s">
        <v>55</v>
      </c>
    </row>
    <row r="9" spans="2:16" ht="15" customHeight="1">
      <c r="C9" s="340"/>
      <c r="D9" s="340"/>
      <c r="E9" s="330"/>
      <c r="F9" s="338"/>
      <c r="G9" s="339"/>
      <c r="H9" s="286"/>
      <c r="I9" s="330"/>
      <c r="J9" s="338"/>
      <c r="K9" s="339"/>
      <c r="L9" s="286"/>
      <c r="M9" s="341"/>
      <c r="N9" s="338"/>
      <c r="O9" s="339"/>
      <c r="P9" s="286"/>
    </row>
    <row r="10" spans="2:16">
      <c r="C10" s="340"/>
      <c r="D10" s="340"/>
      <c r="E10" s="1" t="s">
        <v>57</v>
      </c>
      <c r="F10" s="3" t="s">
        <v>58</v>
      </c>
      <c r="G10" s="339"/>
      <c r="H10" s="287"/>
      <c r="I10" s="1" t="s">
        <v>57</v>
      </c>
      <c r="J10" s="3" t="s">
        <v>58</v>
      </c>
      <c r="K10" s="339"/>
      <c r="L10" s="287"/>
      <c r="M10" s="260" t="s">
        <v>57</v>
      </c>
      <c r="N10" s="60" t="s">
        <v>58</v>
      </c>
      <c r="O10" s="339"/>
      <c r="P10" s="286"/>
    </row>
    <row r="11" spans="2:16">
      <c r="C11" s="291">
        <f>SUM('WATER_STEAM RATIO'!B11:B36)</f>
        <v>46023</v>
      </c>
      <c r="D11" s="43">
        <v>1.2916666666666701</v>
      </c>
      <c r="E11" s="5">
        <f>SUM('WATER_STEAM RATIO'!E11)</f>
        <v>0</v>
      </c>
      <c r="F11" s="9"/>
      <c r="G11" s="28"/>
      <c r="H11" s="28"/>
      <c r="I11" s="24">
        <f>SUM('WATER_STEAM RATIO'!K11)</f>
        <v>0</v>
      </c>
      <c r="J11" s="30"/>
      <c r="K11" s="28"/>
      <c r="L11" s="28"/>
      <c r="M11" s="89">
        <f>SUM('WATER_STEAM RATIO'!Q11)</f>
        <v>0</v>
      </c>
      <c r="N11" s="9"/>
      <c r="O11" s="88"/>
      <c r="P11" s="15"/>
    </row>
    <row r="12" spans="2:16">
      <c r="C12" s="292"/>
      <c r="D12" s="43">
        <v>0.33333333333333298</v>
      </c>
      <c r="E12" s="5">
        <f>SUM('WATER_STEAM RATIO'!E12)</f>
        <v>0</v>
      </c>
      <c r="F12" s="9">
        <f>SUM('DATA B1'!I13-'DATA B1'!I12)+('DATA B1'!J13-'DATA B1'!J12)</f>
        <v>0</v>
      </c>
      <c r="G12" s="28">
        <f>IFERROR(F12/(E12),0)</f>
        <v>0</v>
      </c>
      <c r="H12" s="28">
        <f>IFERROR((E12/18)*100,0)</f>
        <v>0</v>
      </c>
      <c r="I12" s="24">
        <f>SUM('WATER_STEAM RATIO'!K12)</f>
        <v>18</v>
      </c>
      <c r="J12" s="30">
        <f>SUM('DATA B2'!I13-'DATA B2'!I12)+('DATA B2'!J13-'DATA B2'!J12)</f>
        <v>1225</v>
      </c>
      <c r="K12" s="28">
        <f>IFERROR(J12/(I12),0)</f>
        <v>68.055555555555557</v>
      </c>
      <c r="L12" s="28">
        <f>IFERROR((I12/18)*100,0)</f>
        <v>100</v>
      </c>
      <c r="M12" s="89">
        <f>SUM('WATER_STEAM RATIO'!Q12)</f>
        <v>11</v>
      </c>
      <c r="N12" s="9">
        <f>SUM('DATA B3'!H13-'DATA B3'!H12)</f>
        <v>486</v>
      </c>
      <c r="O12" s="88">
        <f>IFERROR(N12/(M12),0)</f>
        <v>44.18181818181818</v>
      </c>
      <c r="P12" s="15">
        <f>IFERROR((M12/16)*100,0)</f>
        <v>68.75</v>
      </c>
    </row>
    <row r="13" spans="2:16">
      <c r="C13" s="292"/>
      <c r="D13" s="43">
        <v>0.375</v>
      </c>
      <c r="E13" s="5">
        <f>SUM('WATER_STEAM RATIO'!E13)</f>
        <v>0</v>
      </c>
      <c r="F13" s="9">
        <f>SUM('DATA B1'!I14-'DATA B1'!I13)+('DATA B1'!J14-'DATA B1'!J13)</f>
        <v>0</v>
      </c>
      <c r="G13" s="28">
        <f t="shared" ref="G13:G35" si="0">IFERROR(F13/(E13),0)</f>
        <v>0</v>
      </c>
      <c r="H13" s="28">
        <f t="shared" ref="H13:H35" si="1">IFERROR((E13/18)*100,0)</f>
        <v>0</v>
      </c>
      <c r="I13" s="24">
        <f>SUM('WATER_STEAM RATIO'!K13)</f>
        <v>11</v>
      </c>
      <c r="J13" s="30">
        <f>SUM('DATA B2'!I14-'DATA B2'!I13)+('DATA B2'!J14-'DATA B2'!J13)</f>
        <v>670</v>
      </c>
      <c r="K13" s="28">
        <f t="shared" ref="K13:K35" si="2">IFERROR(J13/(I13),0)</f>
        <v>60.909090909090907</v>
      </c>
      <c r="L13" s="28">
        <f t="shared" ref="L13:L35" si="3">IFERROR((I13/18)*100,0)</f>
        <v>61.111111111111114</v>
      </c>
      <c r="M13" s="89">
        <f>SUM('WATER_STEAM RATIO'!Q13)</f>
        <v>7</v>
      </c>
      <c r="N13" s="9">
        <f>SUM('DATA B3'!H14-'DATA B3'!H13)</f>
        <v>327</v>
      </c>
      <c r="O13" s="88">
        <f t="shared" ref="O13:O35" si="4">IFERROR(N13/(M13),0)</f>
        <v>46.714285714285715</v>
      </c>
      <c r="P13" s="15">
        <f t="shared" ref="P13:P35" si="5">IFERROR((M13/16)*100,0)</f>
        <v>43.75</v>
      </c>
    </row>
    <row r="14" spans="2:16">
      <c r="C14" s="292"/>
      <c r="D14" s="43">
        <v>0.41666666666666702</v>
      </c>
      <c r="E14" s="5">
        <f>SUM('WATER_STEAM RATIO'!E14)</f>
        <v>0</v>
      </c>
      <c r="F14" s="9">
        <f>SUM('DATA B1'!I15-'DATA B1'!I14)+('DATA B1'!J15-'DATA B1'!J14)</f>
        <v>0</v>
      </c>
      <c r="G14" s="28">
        <f t="shared" si="0"/>
        <v>0</v>
      </c>
      <c r="H14" s="28">
        <f t="shared" si="1"/>
        <v>0</v>
      </c>
      <c r="I14" s="24">
        <f>SUM('WATER_STEAM RATIO'!K14)</f>
        <v>11</v>
      </c>
      <c r="J14" s="30">
        <f>SUM('DATA B2'!I15-'DATA B2'!I14)+('DATA B2'!J15-'DATA B2'!J14)</f>
        <v>681</v>
      </c>
      <c r="K14" s="28">
        <f t="shared" si="2"/>
        <v>61.909090909090907</v>
      </c>
      <c r="L14" s="28">
        <f t="shared" si="3"/>
        <v>61.111111111111114</v>
      </c>
      <c r="M14" s="89">
        <f>SUM('WATER_STEAM RATIO'!Q14)</f>
        <v>7</v>
      </c>
      <c r="N14" s="9">
        <f>SUM('DATA B3'!H15-'DATA B3'!H14)</f>
        <v>330</v>
      </c>
      <c r="O14" s="88">
        <f t="shared" si="4"/>
        <v>47.142857142857146</v>
      </c>
      <c r="P14" s="15">
        <f t="shared" si="5"/>
        <v>43.75</v>
      </c>
    </row>
    <row r="15" spans="2:16">
      <c r="C15" s="292"/>
      <c r="D15" s="43">
        <v>0.45833333333333298</v>
      </c>
      <c r="E15" s="5">
        <f>SUM('WATER_STEAM RATIO'!E15)</f>
        <v>0</v>
      </c>
      <c r="F15" s="9">
        <f>SUM('DATA B1'!I16-'DATA B1'!I15)+('DATA B1'!J16-'DATA B1'!J15)</f>
        <v>0</v>
      </c>
      <c r="G15" s="28">
        <f t="shared" si="0"/>
        <v>0</v>
      </c>
      <c r="H15" s="28">
        <f t="shared" si="1"/>
        <v>0</v>
      </c>
      <c r="I15" s="24">
        <f>SUM('WATER_STEAM RATIO'!K15)</f>
        <v>11</v>
      </c>
      <c r="J15" s="30">
        <f>SUM('DATA B2'!I16-'DATA B2'!I15)+('DATA B2'!J16-'DATA B2'!J15)</f>
        <v>688</v>
      </c>
      <c r="K15" s="28">
        <f t="shared" si="2"/>
        <v>62.545454545454547</v>
      </c>
      <c r="L15" s="28">
        <f t="shared" si="3"/>
        <v>61.111111111111114</v>
      </c>
      <c r="M15" s="89">
        <f>SUM('WATER_STEAM RATIO'!Q15)</f>
        <v>7</v>
      </c>
      <c r="N15" s="9">
        <f>SUM('DATA B3'!H16-'DATA B3'!H15)</f>
        <v>339</v>
      </c>
      <c r="O15" s="88">
        <f t="shared" si="4"/>
        <v>48.428571428571431</v>
      </c>
      <c r="P15" s="15">
        <f t="shared" si="5"/>
        <v>43.75</v>
      </c>
    </row>
    <row r="16" spans="2:16">
      <c r="C16" s="292"/>
      <c r="D16" s="43">
        <v>0.5</v>
      </c>
      <c r="E16" s="5">
        <f>SUM('WATER_STEAM RATIO'!E16)</f>
        <v>0</v>
      </c>
      <c r="F16" s="9">
        <f>SUM('DATA B1'!I17-'DATA B1'!I16)+('DATA B1'!J17-'DATA B1'!J16)</f>
        <v>0</v>
      </c>
      <c r="G16" s="28">
        <f t="shared" si="0"/>
        <v>0</v>
      </c>
      <c r="H16" s="28">
        <f t="shared" si="1"/>
        <v>0</v>
      </c>
      <c r="I16" s="24">
        <f>SUM('WATER_STEAM RATIO'!K16)</f>
        <v>14</v>
      </c>
      <c r="J16" s="30">
        <f>SUM('DATA B2'!I17-'DATA B2'!I16)+('DATA B2'!J17-'DATA B2'!J16)</f>
        <v>775</v>
      </c>
      <c r="K16" s="28">
        <f t="shared" si="2"/>
        <v>55.357142857142854</v>
      </c>
      <c r="L16" s="28">
        <f t="shared" si="3"/>
        <v>77.777777777777786</v>
      </c>
      <c r="M16" s="89">
        <f>SUM('WATER_STEAM RATIO'!Q16)</f>
        <v>9</v>
      </c>
      <c r="N16" s="9">
        <f>SUM('DATA B3'!H17-'DATA B3'!H16)</f>
        <v>406</v>
      </c>
      <c r="O16" s="88">
        <f t="shared" si="4"/>
        <v>45.111111111111114</v>
      </c>
      <c r="P16" s="15">
        <f t="shared" si="5"/>
        <v>56.25</v>
      </c>
    </row>
    <row r="17" spans="2:16">
      <c r="C17" s="292"/>
      <c r="D17" s="43">
        <v>0.54166666666666696</v>
      </c>
      <c r="E17" s="5">
        <f>SUM('WATER_STEAM RATIO'!E17)</f>
        <v>0</v>
      </c>
      <c r="F17" s="9">
        <f>SUM('DATA B1'!I18-'DATA B1'!I17)+('DATA B1'!J18-'DATA B1'!J17)</f>
        <v>0</v>
      </c>
      <c r="G17" s="28">
        <f t="shared" si="0"/>
        <v>0</v>
      </c>
      <c r="H17" s="28">
        <f t="shared" si="1"/>
        <v>0</v>
      </c>
      <c r="I17" s="24">
        <f>SUM('WATER_STEAM RATIO'!K17)</f>
        <v>14</v>
      </c>
      <c r="J17" s="30">
        <f>SUM('DATA B2'!I18-'DATA B2'!I17)+('DATA B2'!J18-'DATA B2'!J17)</f>
        <v>783</v>
      </c>
      <c r="K17" s="28">
        <f t="shared" si="2"/>
        <v>55.928571428571431</v>
      </c>
      <c r="L17" s="28">
        <f t="shared" si="3"/>
        <v>77.777777777777786</v>
      </c>
      <c r="M17" s="89">
        <f>SUM('WATER_STEAM RATIO'!Q17)</f>
        <v>9</v>
      </c>
      <c r="N17" s="9">
        <f>SUM('DATA B3'!H18-'DATA B3'!H17)</f>
        <v>410</v>
      </c>
      <c r="O17" s="88">
        <f t="shared" si="4"/>
        <v>45.555555555555557</v>
      </c>
      <c r="P17" s="15">
        <f t="shared" si="5"/>
        <v>56.25</v>
      </c>
    </row>
    <row r="18" spans="2:16">
      <c r="C18" s="292"/>
      <c r="D18" s="43">
        <v>0.58333333333333304</v>
      </c>
      <c r="E18" s="5">
        <f>SUM('WATER_STEAM RATIO'!E18)</f>
        <v>0</v>
      </c>
      <c r="F18" s="9">
        <f>SUM('DATA B1'!I19-'DATA B1'!I18)+('DATA B1'!J19-'DATA B1'!J18)</f>
        <v>0</v>
      </c>
      <c r="G18" s="28">
        <f t="shared" si="0"/>
        <v>0</v>
      </c>
      <c r="H18" s="28">
        <f t="shared" si="1"/>
        <v>0</v>
      </c>
      <c r="I18" s="24">
        <f>SUM('WATER_STEAM RATIO'!K18)</f>
        <v>13</v>
      </c>
      <c r="J18" s="30">
        <f>SUM('DATA B2'!I19-'DATA B2'!I18)+('DATA B2'!J19-'DATA B2'!J18)</f>
        <v>769</v>
      </c>
      <c r="K18" s="28">
        <f t="shared" si="2"/>
        <v>59.153846153846153</v>
      </c>
      <c r="L18" s="28">
        <f t="shared" si="3"/>
        <v>72.222222222222214</v>
      </c>
      <c r="M18" s="89">
        <f>SUM('WATER_STEAM RATIO'!Q18)</f>
        <v>9</v>
      </c>
      <c r="N18" s="9">
        <f>SUM('DATA B3'!H19-'DATA B3'!H18)</f>
        <v>403</v>
      </c>
      <c r="O18" s="88">
        <f t="shared" si="4"/>
        <v>44.777777777777779</v>
      </c>
      <c r="P18" s="15">
        <f t="shared" si="5"/>
        <v>56.25</v>
      </c>
    </row>
    <row r="19" spans="2:16">
      <c r="C19" s="292"/>
      <c r="D19" s="43">
        <v>0.625</v>
      </c>
      <c r="E19" s="5">
        <f>SUM('WATER_STEAM RATIO'!E19)</f>
        <v>0</v>
      </c>
      <c r="F19" s="9">
        <f>SUM('DATA B1'!I20-'DATA B1'!I19)+('DATA B1'!J20-'DATA B1'!J19)</f>
        <v>0</v>
      </c>
      <c r="G19" s="28">
        <f t="shared" si="0"/>
        <v>0</v>
      </c>
      <c r="H19" s="28">
        <f t="shared" si="1"/>
        <v>0</v>
      </c>
      <c r="I19" s="24">
        <f>SUM('WATER_STEAM RATIO'!K19)</f>
        <v>14</v>
      </c>
      <c r="J19" s="30">
        <f>SUM('DATA B2'!I20-'DATA B2'!I19)+('DATA B2'!J20-'DATA B2'!J19)</f>
        <v>793</v>
      </c>
      <c r="K19" s="28">
        <f t="shared" si="2"/>
        <v>56.642857142857146</v>
      </c>
      <c r="L19" s="28">
        <f t="shared" si="3"/>
        <v>77.777777777777786</v>
      </c>
      <c r="M19" s="89">
        <f>SUM('WATER_STEAM RATIO'!Q19)</f>
        <v>9</v>
      </c>
      <c r="N19" s="9">
        <f>SUM('DATA B3'!H20-'DATA B3'!H19)</f>
        <v>415</v>
      </c>
      <c r="O19" s="88">
        <f t="shared" si="4"/>
        <v>46.111111111111114</v>
      </c>
      <c r="P19" s="15">
        <f t="shared" si="5"/>
        <v>56.25</v>
      </c>
    </row>
    <row r="20" spans="2:16">
      <c r="C20" s="292"/>
      <c r="D20" s="43">
        <v>0.66666666666666596</v>
      </c>
      <c r="E20" s="5">
        <f>SUM('WATER_STEAM RATIO'!E20)</f>
        <v>0</v>
      </c>
      <c r="F20" s="9">
        <f>SUM('DATA B1'!I21-'DATA B1'!I20)+('DATA B1'!J21-'DATA B1'!J20)</f>
        <v>0</v>
      </c>
      <c r="G20" s="28">
        <f t="shared" si="0"/>
        <v>0</v>
      </c>
      <c r="H20" s="28">
        <f t="shared" si="1"/>
        <v>0</v>
      </c>
      <c r="I20" s="24">
        <f>SUM('WATER_STEAM RATIO'!K20)</f>
        <v>10</v>
      </c>
      <c r="J20" s="30">
        <f>SUM('DATA B2'!I21-'DATA B2'!I20)+('DATA B2'!J21-'DATA B2'!J20)</f>
        <v>716</v>
      </c>
      <c r="K20" s="28">
        <f t="shared" si="2"/>
        <v>71.599999999999994</v>
      </c>
      <c r="L20" s="28">
        <f t="shared" si="3"/>
        <v>55.555555555555557</v>
      </c>
      <c r="M20" s="89">
        <f>SUM('WATER_STEAM RATIO'!Q20)</f>
        <v>8</v>
      </c>
      <c r="N20" s="9">
        <f>SUM('DATA B3'!H21-'DATA B3'!H20)</f>
        <v>375</v>
      </c>
      <c r="O20" s="88">
        <f t="shared" si="4"/>
        <v>46.875</v>
      </c>
      <c r="P20" s="15">
        <f t="shared" si="5"/>
        <v>50</v>
      </c>
    </row>
    <row r="21" spans="2:16">
      <c r="C21" s="292"/>
      <c r="D21" s="43">
        <v>0.70833333333333304</v>
      </c>
      <c r="E21" s="5">
        <f>SUM('WATER_STEAM RATIO'!E21)</f>
        <v>0</v>
      </c>
      <c r="F21" s="9">
        <f>SUM('DATA B1'!I22-'DATA B1'!I21)+('DATA B1'!J22-'DATA B1'!J21)</f>
        <v>0</v>
      </c>
      <c r="G21" s="28">
        <f t="shared" si="0"/>
        <v>0</v>
      </c>
      <c r="H21" s="28">
        <f t="shared" si="1"/>
        <v>0</v>
      </c>
      <c r="I21" s="24">
        <f>SUM('WATER_STEAM RATIO'!K21)</f>
        <v>10</v>
      </c>
      <c r="J21" s="30">
        <f>SUM('DATA B2'!I22-'DATA B2'!I21)+('DATA B2'!J22-'DATA B2'!J21)</f>
        <v>724</v>
      </c>
      <c r="K21" s="28">
        <f t="shared" si="2"/>
        <v>72.400000000000006</v>
      </c>
      <c r="L21" s="28">
        <f t="shared" si="3"/>
        <v>55.555555555555557</v>
      </c>
      <c r="M21" s="89">
        <f>SUM('WATER_STEAM RATIO'!Q21)</f>
        <v>8</v>
      </c>
      <c r="N21" s="9">
        <f>SUM('DATA B3'!H22-'DATA B3'!H21)</f>
        <v>379</v>
      </c>
      <c r="O21" s="88">
        <f t="shared" si="4"/>
        <v>47.375</v>
      </c>
      <c r="P21" s="15">
        <f t="shared" si="5"/>
        <v>50</v>
      </c>
    </row>
    <row r="22" spans="2:16">
      <c r="C22" s="292"/>
      <c r="D22" s="43">
        <v>0.75</v>
      </c>
      <c r="E22" s="5">
        <f>SUM('WATER_STEAM RATIO'!E22)</f>
        <v>0</v>
      </c>
      <c r="F22" s="9">
        <f>SUM('DATA B1'!I23-'DATA B1'!I22)+('DATA B1'!J23-'DATA B1'!J22)</f>
        <v>0</v>
      </c>
      <c r="G22" s="28">
        <f t="shared" si="0"/>
        <v>0</v>
      </c>
      <c r="H22" s="28">
        <f t="shared" si="1"/>
        <v>0</v>
      </c>
      <c r="I22" s="24">
        <f>SUM('WATER_STEAM RATIO'!K22)</f>
        <v>10</v>
      </c>
      <c r="J22" s="30">
        <f>SUM('DATA B2'!I23-'DATA B2'!I22)+('DATA B2'!J23-'DATA B2'!J22)</f>
        <v>710</v>
      </c>
      <c r="K22" s="28">
        <f t="shared" si="2"/>
        <v>71</v>
      </c>
      <c r="L22" s="28">
        <f t="shared" si="3"/>
        <v>55.555555555555557</v>
      </c>
      <c r="M22" s="89">
        <f>SUM('WATER_STEAM RATIO'!Q22)</f>
        <v>8</v>
      </c>
      <c r="N22" s="9">
        <f>SUM('DATA B3'!H23-'DATA B3'!H22)</f>
        <v>372</v>
      </c>
      <c r="O22" s="88">
        <f t="shared" si="4"/>
        <v>46.5</v>
      </c>
      <c r="P22" s="15">
        <f t="shared" si="5"/>
        <v>50</v>
      </c>
    </row>
    <row r="23" spans="2:16">
      <c r="C23" s="292"/>
      <c r="D23" s="43">
        <v>0.79166666666666596</v>
      </c>
      <c r="E23" s="5">
        <f>SUM('WATER_STEAM RATIO'!E23)</f>
        <v>0</v>
      </c>
      <c r="F23" s="9">
        <f>SUM('DATA B1'!I24-'DATA B1'!I23)+('DATA B1'!J24-'DATA B1'!J23)</f>
        <v>0</v>
      </c>
      <c r="G23" s="28">
        <f t="shared" si="0"/>
        <v>0</v>
      </c>
      <c r="H23" s="28">
        <f t="shared" si="1"/>
        <v>0</v>
      </c>
      <c r="I23" s="24">
        <f>SUM('WATER_STEAM RATIO'!K23)</f>
        <v>11</v>
      </c>
      <c r="J23" s="30">
        <f>SUM('DATA B2'!I24-'DATA B2'!I23)+('DATA B2'!J24-'DATA B2'!J23)</f>
        <v>733</v>
      </c>
      <c r="K23" s="28">
        <f t="shared" si="2"/>
        <v>66.63636363636364</v>
      </c>
      <c r="L23" s="28">
        <f t="shared" si="3"/>
        <v>61.111111111111114</v>
      </c>
      <c r="M23" s="89">
        <f>SUM('WATER_STEAM RATIO'!Q23)</f>
        <v>9</v>
      </c>
      <c r="N23" s="9">
        <f>SUM('DATA B3'!H24-'DATA B3'!H23)</f>
        <v>384</v>
      </c>
      <c r="O23" s="88">
        <f t="shared" si="4"/>
        <v>42.666666666666664</v>
      </c>
      <c r="P23" s="15">
        <f t="shared" si="5"/>
        <v>56.25</v>
      </c>
    </row>
    <row r="24" spans="2:16">
      <c r="C24" s="292"/>
      <c r="D24" s="43">
        <v>0.83333333333333304</v>
      </c>
      <c r="E24" s="5">
        <f>SUM('WATER_STEAM RATIO'!E24)</f>
        <v>0</v>
      </c>
      <c r="F24" s="9">
        <f>SUM('DATA B1'!I25-'DATA B1'!I24)+('DATA B1'!J25-'DATA B1'!J24)</f>
        <v>0</v>
      </c>
      <c r="G24" s="28">
        <f t="shared" si="0"/>
        <v>0</v>
      </c>
      <c r="H24" s="28">
        <f t="shared" si="1"/>
        <v>0</v>
      </c>
      <c r="I24" s="24">
        <f>SUM('WATER_STEAM RATIO'!K24)</f>
        <v>12</v>
      </c>
      <c r="J24" s="30">
        <f>SUM('DATA B2'!I25-'DATA B2'!I24)+('DATA B2'!J25-'DATA B2'!J24)</f>
        <v>729</v>
      </c>
      <c r="K24" s="28">
        <f t="shared" si="2"/>
        <v>60.75</v>
      </c>
      <c r="L24" s="28">
        <f>IFERROR((I24/18)*100,0)</f>
        <v>66.666666666666657</v>
      </c>
      <c r="M24" s="89">
        <f>SUM('WATER_STEAM RATIO'!Q24)</f>
        <v>9</v>
      </c>
      <c r="N24" s="9">
        <f>SUM('DATA B3'!H25-'DATA B3'!H24)</f>
        <v>427</v>
      </c>
      <c r="O24" s="88">
        <f t="shared" si="4"/>
        <v>47.444444444444443</v>
      </c>
      <c r="P24" s="15">
        <f t="shared" si="5"/>
        <v>56.25</v>
      </c>
    </row>
    <row r="25" spans="2:16">
      <c r="C25" s="292"/>
      <c r="D25" s="43">
        <v>0.875</v>
      </c>
      <c r="E25" s="5">
        <f>SUM('WATER_STEAM RATIO'!E25)</f>
        <v>0</v>
      </c>
      <c r="F25" s="9">
        <f>SUM('DATA B1'!I26-'DATA B1'!I25)+('DATA B1'!J26-'DATA B1'!J25)</f>
        <v>0</v>
      </c>
      <c r="G25" s="28">
        <f t="shared" si="0"/>
        <v>0</v>
      </c>
      <c r="H25" s="28">
        <f t="shared" si="1"/>
        <v>0</v>
      </c>
      <c r="I25" s="24">
        <f>SUM('WATER_STEAM RATIO'!K25)</f>
        <v>9</v>
      </c>
      <c r="J25" s="30">
        <f>SUM('DATA B2'!I26-'DATA B2'!I25)+('DATA B2'!J26-'DATA B2'!J25)</f>
        <v>523</v>
      </c>
      <c r="K25" s="28">
        <f t="shared" si="2"/>
        <v>58.111111111111114</v>
      </c>
      <c r="L25" s="28">
        <f t="shared" si="3"/>
        <v>50</v>
      </c>
      <c r="M25" s="89">
        <f>SUM('WATER_STEAM RATIO'!Q25)</f>
        <v>6</v>
      </c>
      <c r="N25" s="9">
        <f>SUM('DATA B3'!H26-'DATA B3'!H25)</f>
        <v>281</v>
      </c>
      <c r="O25" s="88">
        <f t="shared" si="4"/>
        <v>46.833333333333336</v>
      </c>
      <c r="P25" s="15">
        <f t="shared" si="5"/>
        <v>37.5</v>
      </c>
    </row>
    <row r="26" spans="2:16">
      <c r="C26" s="292"/>
      <c r="D26" s="43">
        <v>0.91666666666666596</v>
      </c>
      <c r="E26" s="5">
        <f>SUM('WATER_STEAM RATIO'!E26)</f>
        <v>0</v>
      </c>
      <c r="F26" s="9">
        <f>SUM('DATA B1'!I27-'DATA B1'!I26)+('DATA B1'!J27-'DATA B1'!J26)</f>
        <v>0</v>
      </c>
      <c r="G26" s="28">
        <f t="shared" si="0"/>
        <v>0</v>
      </c>
      <c r="H26" s="28">
        <f t="shared" si="1"/>
        <v>0</v>
      </c>
      <c r="I26" s="24">
        <f>SUM('WATER_STEAM RATIO'!K26)</f>
        <v>9</v>
      </c>
      <c r="J26" s="30">
        <f>SUM('DATA B2'!I27-'DATA B2'!I26)+('DATA B2'!J27-'DATA B2'!J26)</f>
        <v>532</v>
      </c>
      <c r="K26" s="28">
        <f t="shared" si="2"/>
        <v>59.111111111111114</v>
      </c>
      <c r="L26" s="28">
        <f t="shared" si="3"/>
        <v>50</v>
      </c>
      <c r="M26" s="89">
        <f>SUM('WATER_STEAM RATIO'!Q26)</f>
        <v>6</v>
      </c>
      <c r="N26" s="9">
        <f>SUM('DATA B3'!H27-'DATA B3'!H26)</f>
        <v>307</v>
      </c>
      <c r="O26" s="88">
        <f t="shared" si="4"/>
        <v>51.166666666666664</v>
      </c>
      <c r="P26" s="15">
        <f>IFERROR((M26/16)*100,0)</f>
        <v>37.5</v>
      </c>
    </row>
    <row r="27" spans="2:16">
      <c r="C27" s="292"/>
      <c r="D27" s="43">
        <v>0.95833333333333304</v>
      </c>
      <c r="E27" s="5">
        <f>SUM('WATER_STEAM RATIO'!E27)</f>
        <v>0</v>
      </c>
      <c r="F27" s="9">
        <f>SUM('DATA B1'!I28-'DATA B1'!I27)+('DATA B1'!J28-'DATA B1'!J27)</f>
        <v>0</v>
      </c>
      <c r="G27" s="28">
        <f t="shared" si="0"/>
        <v>0</v>
      </c>
      <c r="H27" s="28">
        <f t="shared" si="1"/>
        <v>0</v>
      </c>
      <c r="I27" s="24">
        <f>SUM('WATER_STEAM RATIO'!K27)</f>
        <v>10</v>
      </c>
      <c r="J27" s="30">
        <f>SUM('DATA B2'!I28-'DATA B2'!I27)+('DATA B2'!J28-'DATA B2'!J27)</f>
        <v>635</v>
      </c>
      <c r="K27" s="28">
        <f t="shared" si="2"/>
        <v>63.5</v>
      </c>
      <c r="L27" s="28">
        <f t="shared" si="3"/>
        <v>55.555555555555557</v>
      </c>
      <c r="M27" s="89">
        <f>SUM('WATER_STEAM RATIO'!Q27)</f>
        <v>6</v>
      </c>
      <c r="N27" s="9">
        <f>SUM('DATA B3'!H28-'DATA B3'!H27)</f>
        <v>306</v>
      </c>
      <c r="O27" s="88">
        <f t="shared" si="4"/>
        <v>51</v>
      </c>
      <c r="P27" s="15">
        <f t="shared" si="5"/>
        <v>37.5</v>
      </c>
    </row>
    <row r="28" spans="2:16">
      <c r="B28" t="s">
        <v>59</v>
      </c>
      <c r="C28" s="292"/>
      <c r="D28" s="43">
        <v>1</v>
      </c>
      <c r="E28" s="5">
        <f>SUM('WATER_STEAM RATIO'!E28)</f>
        <v>0</v>
      </c>
      <c r="F28" s="9">
        <f>SUM('DATA B1'!I29-'DATA B1'!I28)+('DATA B1'!J29-'DATA B1'!J28)</f>
        <v>0</v>
      </c>
      <c r="G28" s="28">
        <f t="shared" si="0"/>
        <v>0</v>
      </c>
      <c r="H28" s="28">
        <f t="shared" si="1"/>
        <v>0</v>
      </c>
      <c r="I28" s="24">
        <f>SUM('WATER_STEAM RATIO'!K28)</f>
        <v>10</v>
      </c>
      <c r="J28" s="30">
        <f>SUM('DATA B2'!I29-'DATA B2'!I28)+('DATA B2'!J29-'DATA B2'!J28)</f>
        <v>639</v>
      </c>
      <c r="K28" s="28">
        <f t="shared" si="2"/>
        <v>63.9</v>
      </c>
      <c r="L28" s="28">
        <f t="shared" si="3"/>
        <v>55.555555555555557</v>
      </c>
      <c r="M28" s="89">
        <f>SUM('WATER_STEAM RATIO'!Q28)</f>
        <v>6</v>
      </c>
      <c r="N28" s="9">
        <f>SUM('DATA B3'!H29-'DATA B3'!H28)</f>
        <v>352</v>
      </c>
      <c r="O28" s="88">
        <f t="shared" si="4"/>
        <v>58.666666666666664</v>
      </c>
      <c r="P28" s="15">
        <f t="shared" si="5"/>
        <v>37.5</v>
      </c>
    </row>
    <row r="29" spans="2:16">
      <c r="C29" s="292"/>
      <c r="D29" s="43">
        <v>1.0416666666666701</v>
      </c>
      <c r="E29" s="5">
        <f>SUM('WATER_STEAM RATIO'!E29)</f>
        <v>0</v>
      </c>
      <c r="F29" s="9">
        <f>SUM('DATA B1'!I30-'DATA B1'!I29)+('DATA B1'!J30-'DATA B1'!J29)</f>
        <v>0</v>
      </c>
      <c r="G29" s="28">
        <f t="shared" si="0"/>
        <v>0</v>
      </c>
      <c r="H29" s="28">
        <f t="shared" si="1"/>
        <v>0</v>
      </c>
      <c r="I29" s="24">
        <f>SUM('WATER_STEAM RATIO'!K29)</f>
        <v>10</v>
      </c>
      <c r="J29" s="30">
        <f>SUM('DATA B2'!I30-'DATA B2'!I29)+('DATA B2'!J30-'DATA B2'!J29)</f>
        <v>642</v>
      </c>
      <c r="K29" s="28">
        <f t="shared" si="2"/>
        <v>64.2</v>
      </c>
      <c r="L29" s="28">
        <f t="shared" si="3"/>
        <v>55.555555555555557</v>
      </c>
      <c r="M29" s="89">
        <f>SUM('WATER_STEAM RATIO'!Q29)</f>
        <v>6</v>
      </c>
      <c r="N29" s="9">
        <f>SUM('DATA B3'!H30-'DATA B3'!H29)</f>
        <v>359</v>
      </c>
      <c r="O29" s="88">
        <f t="shared" si="4"/>
        <v>59.833333333333336</v>
      </c>
      <c r="P29" s="15">
        <f t="shared" si="5"/>
        <v>37.5</v>
      </c>
    </row>
    <row r="30" spans="2:16">
      <c r="C30" s="292"/>
      <c r="D30" s="43">
        <v>1.0833333333333399</v>
      </c>
      <c r="E30" s="5">
        <f>SUM('WATER_STEAM RATIO'!E30)</f>
        <v>0</v>
      </c>
      <c r="F30" s="9">
        <f>SUM('DATA B1'!I31-'DATA B1'!I30)+('DATA B1'!J31-'DATA B1'!J30)</f>
        <v>0</v>
      </c>
      <c r="G30" s="28">
        <f t="shared" si="0"/>
        <v>0</v>
      </c>
      <c r="H30" s="28">
        <f t="shared" si="1"/>
        <v>0</v>
      </c>
      <c r="I30" s="24">
        <f>SUM('WATER_STEAM RATIO'!K30)</f>
        <v>11</v>
      </c>
      <c r="J30" s="30">
        <f>SUM('DATA B2'!I31-'DATA B2'!I30)+('DATA B2'!J31-'DATA B2'!J30)</f>
        <v>647</v>
      </c>
      <c r="K30" s="28">
        <f t="shared" si="2"/>
        <v>58.81818181818182</v>
      </c>
      <c r="L30" s="28">
        <f t="shared" si="3"/>
        <v>61.111111111111114</v>
      </c>
      <c r="M30" s="89">
        <f>SUM('WATER_STEAM RATIO'!Q30)</f>
        <v>7</v>
      </c>
      <c r="N30" s="9">
        <f>SUM('DATA B3'!H31-'DATA B3'!H30)</f>
        <v>369</v>
      </c>
      <c r="O30" s="88">
        <f t="shared" si="4"/>
        <v>52.714285714285715</v>
      </c>
      <c r="P30" s="15">
        <f t="shared" si="5"/>
        <v>43.75</v>
      </c>
    </row>
    <row r="31" spans="2:16">
      <c r="C31" s="292"/>
      <c r="D31" s="43">
        <v>1.125</v>
      </c>
      <c r="E31" s="5">
        <f>SUM('WATER_STEAM RATIO'!E31)</f>
        <v>0</v>
      </c>
      <c r="F31" s="9">
        <f>SUM('DATA B1'!I32-'DATA B1'!I31)+('DATA B1'!J32-'DATA B1'!J31)</f>
        <v>0</v>
      </c>
      <c r="G31" s="28">
        <f t="shared" si="0"/>
        <v>0</v>
      </c>
      <c r="H31" s="28">
        <f t="shared" si="1"/>
        <v>0</v>
      </c>
      <c r="I31" s="24">
        <f>SUM('WATER_STEAM RATIO'!K31)</f>
        <v>12</v>
      </c>
      <c r="J31" s="30">
        <f>SUM('DATA B2'!I32-'DATA B2'!I31)+('DATA B2'!J32-'DATA B2'!J31)</f>
        <v>691</v>
      </c>
      <c r="K31" s="28">
        <f t="shared" si="2"/>
        <v>57.583333333333336</v>
      </c>
      <c r="L31" s="28">
        <f t="shared" si="3"/>
        <v>66.666666666666657</v>
      </c>
      <c r="M31" s="89">
        <f>SUM('WATER_STEAM RATIO'!Q31)</f>
        <v>8</v>
      </c>
      <c r="N31" s="9">
        <f>SUM('DATA B3'!H32-'DATA B3'!H31)</f>
        <v>386</v>
      </c>
      <c r="O31" s="88">
        <f>IFERROR(N31/(M31),0)</f>
        <v>48.25</v>
      </c>
      <c r="P31" s="15">
        <f t="shared" si="5"/>
        <v>50</v>
      </c>
    </row>
    <row r="32" spans="2:16">
      <c r="C32" s="292"/>
      <c r="D32" s="43">
        <v>1.1666666666666701</v>
      </c>
      <c r="E32" s="5">
        <f>SUM('WATER_STEAM RATIO'!E32)</f>
        <v>0</v>
      </c>
      <c r="F32" s="9">
        <f>SUM('DATA B1'!I33-'DATA B1'!I32)+('DATA B1'!J33-'DATA B1'!J32)</f>
        <v>0</v>
      </c>
      <c r="G32" s="28">
        <f t="shared" si="0"/>
        <v>0</v>
      </c>
      <c r="H32" s="28">
        <f t="shared" si="1"/>
        <v>0</v>
      </c>
      <c r="I32" s="24">
        <f>SUM('WATER_STEAM RATIO'!K32)</f>
        <v>9</v>
      </c>
      <c r="J32" s="30">
        <f>SUM('DATA B2'!I33-'DATA B2'!I32)+('DATA B2'!J33-'DATA B2'!J32)</f>
        <v>547</v>
      </c>
      <c r="K32" s="28">
        <f>IFERROR(J32/(I32),0)</f>
        <v>60.777777777777779</v>
      </c>
      <c r="L32" s="28">
        <f t="shared" si="3"/>
        <v>50</v>
      </c>
      <c r="M32" s="89">
        <f>SUM('WATER_STEAM RATIO'!Q32)</f>
        <v>7</v>
      </c>
      <c r="N32" s="9">
        <f>SUM('DATA B3'!H33-'DATA B3'!H32)</f>
        <v>288</v>
      </c>
      <c r="O32" s="88">
        <f t="shared" si="4"/>
        <v>41.142857142857146</v>
      </c>
      <c r="P32" s="15">
        <f t="shared" si="5"/>
        <v>43.75</v>
      </c>
    </row>
    <row r="33" spans="3:16">
      <c r="C33" s="292"/>
      <c r="D33" s="43">
        <v>1.2083333333333399</v>
      </c>
      <c r="E33" s="5">
        <f>SUM('WATER_STEAM RATIO'!E33)</f>
        <v>0</v>
      </c>
      <c r="F33" s="9">
        <f>SUM('DATA B1'!I34-'DATA B1'!I33)+('DATA B1'!J34-'DATA B1'!J33)</f>
        <v>0</v>
      </c>
      <c r="G33" s="28">
        <f t="shared" si="0"/>
        <v>0</v>
      </c>
      <c r="H33" s="28">
        <f t="shared" si="1"/>
        <v>0</v>
      </c>
      <c r="I33" s="24">
        <f>SUM('WATER_STEAM RATIO'!K33)</f>
        <v>9</v>
      </c>
      <c r="J33" s="30">
        <f>SUM('DATA B2'!I34-'DATA B2'!I33)+('DATA B2'!J34-'DATA B2'!J33)</f>
        <v>525</v>
      </c>
      <c r="K33" s="28">
        <f t="shared" si="2"/>
        <v>58.333333333333336</v>
      </c>
      <c r="L33" s="28">
        <f t="shared" si="3"/>
        <v>50</v>
      </c>
      <c r="M33" s="89">
        <f>SUM('WATER_STEAM RATIO'!Q33)</f>
        <v>8</v>
      </c>
      <c r="N33" s="9">
        <f>SUM('DATA B3'!H34-'DATA B3'!H33)</f>
        <v>323</v>
      </c>
      <c r="O33" s="88">
        <f t="shared" si="4"/>
        <v>40.375</v>
      </c>
      <c r="P33" s="15">
        <f t="shared" si="5"/>
        <v>50</v>
      </c>
    </row>
    <row r="34" spans="3:16">
      <c r="C34" s="292"/>
      <c r="D34" s="43">
        <v>1.25</v>
      </c>
      <c r="E34" s="5">
        <f>SUM('WATER_STEAM RATIO'!E34)</f>
        <v>0</v>
      </c>
      <c r="F34" s="9">
        <f>SUM('DATA B1'!I35-'DATA B1'!I34)+('DATA B1'!J35-'DATA B1'!J34)</f>
        <v>0</v>
      </c>
      <c r="G34" s="28">
        <f t="shared" si="0"/>
        <v>0</v>
      </c>
      <c r="H34" s="28">
        <f t="shared" si="1"/>
        <v>0</v>
      </c>
      <c r="I34" s="24">
        <f>SUM('WATER_STEAM RATIO'!K34)</f>
        <v>10</v>
      </c>
      <c r="J34" s="30">
        <f>SUM('DATA B2'!I35-'DATA B2'!I34)+('DATA B2'!J35-'DATA B2'!J34)</f>
        <v>610</v>
      </c>
      <c r="K34" s="28">
        <f t="shared" si="2"/>
        <v>61</v>
      </c>
      <c r="L34" s="28">
        <f t="shared" si="3"/>
        <v>55.555555555555557</v>
      </c>
      <c r="M34" s="89">
        <f>SUM('WATER_STEAM RATIO'!Q34)</f>
        <v>8</v>
      </c>
      <c r="N34" s="9">
        <f>SUM('DATA B3'!H35-'DATA B3'!H34)</f>
        <v>323</v>
      </c>
      <c r="O34" s="88">
        <f t="shared" si="4"/>
        <v>40.375</v>
      </c>
      <c r="P34" s="15">
        <f t="shared" si="5"/>
        <v>50</v>
      </c>
    </row>
    <row r="35" spans="3:16">
      <c r="C35" s="292"/>
      <c r="D35" s="43">
        <v>1.2916666666666701</v>
      </c>
      <c r="E35" s="5">
        <f>SUM('WATER_STEAM RATIO'!E35)</f>
        <v>0</v>
      </c>
      <c r="F35" s="9">
        <f>SUM('DATA B1'!I36-'DATA B1'!I35)+('DATA B1'!J36-'DATA B1'!J35)</f>
        <v>0</v>
      </c>
      <c r="G35" s="28">
        <f t="shared" si="0"/>
        <v>0</v>
      </c>
      <c r="H35" s="28">
        <f t="shared" si="1"/>
        <v>0</v>
      </c>
      <c r="I35" s="24">
        <f>SUM('WATER_STEAM RATIO'!K35)</f>
        <v>10</v>
      </c>
      <c r="J35" s="30">
        <f>SUM('DATA B2'!I36-'DATA B2'!I35)+('DATA B2'!J36-'DATA B2'!J35)</f>
        <v>615</v>
      </c>
      <c r="K35" s="28">
        <f t="shared" si="2"/>
        <v>61.5</v>
      </c>
      <c r="L35" s="28">
        <f t="shared" si="3"/>
        <v>55.555555555555557</v>
      </c>
      <c r="M35" s="89">
        <f>SUM('WATER_STEAM RATIO'!Q35)</f>
        <v>8</v>
      </c>
      <c r="N35" s="9">
        <f>SUM('DATA B3'!H36-'DATA B3'!H35)</f>
        <v>316</v>
      </c>
      <c r="O35" s="88">
        <f t="shared" si="4"/>
        <v>39.5</v>
      </c>
      <c r="P35" s="15">
        <f t="shared" si="5"/>
        <v>50</v>
      </c>
    </row>
    <row r="36" spans="3:16">
      <c r="C36" s="293"/>
      <c r="D36" s="258"/>
      <c r="E36" s="91">
        <f>SUMIF(E11:E35,"&gt;=0",E11:E35)</f>
        <v>0</v>
      </c>
      <c r="F36" s="91">
        <f>SUMIF(F11:F35,"&gt;=0",F11:F35)</f>
        <v>0</v>
      </c>
      <c r="G36" s="54">
        <f>IFERROR(F36/E36,0)</f>
        <v>0</v>
      </c>
      <c r="H36" s="54">
        <f>IFERROR(AVERAGE(H12:H35),0)</f>
        <v>0</v>
      </c>
      <c r="I36" s="91">
        <f>SUMIF(I11:I35,"&gt;=0",I11:I35)</f>
        <v>268</v>
      </c>
      <c r="J36" s="91">
        <f>SUMIF(J11:J35,"&gt;=0",J11:J35)</f>
        <v>16602</v>
      </c>
      <c r="K36" s="54">
        <f>IFERROR(J36/(I36),0)</f>
        <v>61.947761194029852</v>
      </c>
      <c r="L36" s="54">
        <f>IFERROR(AVERAGE(L12:L35),0)</f>
        <v>62.037037037037059</v>
      </c>
      <c r="M36" s="91">
        <f>SUMIF(M11:M35,"&gt;=0",M11:M35)</f>
        <v>186</v>
      </c>
      <c r="N36" s="91">
        <f>SUMIF(N11:N35,"&gt;=0",N11:N35)</f>
        <v>8663</v>
      </c>
      <c r="O36" s="239">
        <f>IFERROR(N36/(M36),0)</f>
        <v>46.575268817204304</v>
      </c>
      <c r="P36" s="215">
        <f>IFERROR(AVERAGE(P12:P35),0)</f>
        <v>48.4375</v>
      </c>
    </row>
    <row r="37" spans="3:16" ht="15" customHeight="1">
      <c r="C37" s="291">
        <f>SUM('WATER_STEAM RATIO'!B37:B62)</f>
        <v>46024</v>
      </c>
      <c r="D37" s="43">
        <v>0.29166666666666669</v>
      </c>
      <c r="E37" s="5">
        <f>SUM('WATER_STEAM RATIO'!E37)</f>
        <v>0</v>
      </c>
      <c r="F37" s="9"/>
      <c r="G37" s="28"/>
      <c r="H37" s="28"/>
      <c r="I37" s="24">
        <f>SUM('WATER_STEAM RATIO'!K37)</f>
        <v>10</v>
      </c>
      <c r="J37" s="30"/>
      <c r="K37" s="28"/>
      <c r="L37" s="28"/>
      <c r="M37" s="89">
        <f>SUM('WATER_STEAM RATIO'!Q37)</f>
        <v>8</v>
      </c>
      <c r="N37" s="9"/>
      <c r="O37" s="88"/>
      <c r="P37" s="15"/>
    </row>
    <row r="38" spans="3:16">
      <c r="C38" s="292"/>
      <c r="D38" s="43">
        <v>0.33333333333333298</v>
      </c>
      <c r="E38" s="5">
        <f>SUM('WATER_STEAM RATIO'!E38)</f>
        <v>0</v>
      </c>
      <c r="F38" s="9">
        <f>SUM('DATA B1'!I39-'DATA B1'!I38)+('DATA B1'!J39-'DATA B1'!J38)</f>
        <v>0</v>
      </c>
      <c r="G38" s="28">
        <f>IFERROR(F38/(E38),0)</f>
        <v>0</v>
      </c>
      <c r="H38" s="28">
        <f>IFERROR((E38/18)*100,0)</f>
        <v>0</v>
      </c>
      <c r="I38" s="24">
        <f>SUM('WATER_STEAM RATIO'!K38)</f>
        <v>20</v>
      </c>
      <c r="J38" s="30">
        <f>SUM('DATA B2'!I39-'DATA B2'!I38)+('DATA B2'!J39-'DATA B2'!J38)</f>
        <v>902</v>
      </c>
      <c r="K38" s="28">
        <f>IFERROR(J38/(I38),0)</f>
        <v>45.1</v>
      </c>
      <c r="L38" s="28">
        <f>IFERROR((I38/18)*100,0)</f>
        <v>111.11111111111111</v>
      </c>
      <c r="M38" s="89">
        <f>SUM('WATER_STEAM RATIO'!Q38)</f>
        <v>8</v>
      </c>
      <c r="N38" s="9">
        <f>SUM('DATA B3'!H39-'DATA B3'!H38)</f>
        <v>458</v>
      </c>
      <c r="O38" s="88">
        <f>IFERROR(N38/(M38),0)</f>
        <v>57.25</v>
      </c>
      <c r="P38" s="15">
        <f>IFERROR((M38/16)*100,0)</f>
        <v>50</v>
      </c>
    </row>
    <row r="39" spans="3:16">
      <c r="C39" s="292"/>
      <c r="D39" s="43">
        <v>0.375</v>
      </c>
      <c r="E39" s="5">
        <f>SUM('WATER_STEAM RATIO'!E39)</f>
        <v>0</v>
      </c>
      <c r="F39" s="9">
        <f>SUM('DATA B1'!I40-'DATA B1'!I39)+('DATA B1'!J40-'DATA B1'!J39)</f>
        <v>0</v>
      </c>
      <c r="G39" s="28">
        <f t="shared" ref="G39:G61" si="6">IFERROR(F39/(E39),0)</f>
        <v>0</v>
      </c>
      <c r="H39" s="28">
        <f t="shared" ref="H39:H61" si="7">IFERROR((E39/18)*100,0)</f>
        <v>0</v>
      </c>
      <c r="I39" s="24">
        <f>SUM('WATER_STEAM RATIO'!K39)</f>
        <v>6</v>
      </c>
      <c r="J39" s="30">
        <f>SUM('DATA B2'!I40-'DATA B2'!I39)+('DATA B2'!J40-'DATA B2'!J39)</f>
        <v>475</v>
      </c>
      <c r="K39" s="28">
        <f t="shared" ref="K39:K57" si="8">IFERROR(J39/(I39),0)</f>
        <v>79.166666666666671</v>
      </c>
      <c r="L39" s="28">
        <f t="shared" ref="L39:L49" si="9">IFERROR((I39/18)*100,0)</f>
        <v>33.333333333333329</v>
      </c>
      <c r="M39" s="89">
        <f>SUM('WATER_STEAM RATIO'!Q39)</f>
        <v>5</v>
      </c>
      <c r="N39" s="9">
        <f>SUM('DATA B3'!H40-'DATA B3'!H39)</f>
        <v>235</v>
      </c>
      <c r="O39" s="88">
        <f t="shared" ref="O39:O56" si="10">IFERROR(N39/(M39),0)</f>
        <v>47</v>
      </c>
      <c r="P39" s="15">
        <f t="shared" ref="P39:P61" si="11">IFERROR((M39/16)*100,0)</f>
        <v>31.25</v>
      </c>
    </row>
    <row r="40" spans="3:16">
      <c r="C40" s="292"/>
      <c r="D40" s="43">
        <v>0.41666666666666702</v>
      </c>
      <c r="E40" s="5">
        <f>SUM('WATER_STEAM RATIO'!E40)</f>
        <v>0</v>
      </c>
      <c r="F40" s="9">
        <f>SUM('DATA B1'!I41-'DATA B1'!I40)+('DATA B1'!J41-'DATA B1'!J40)</f>
        <v>0</v>
      </c>
      <c r="G40" s="28">
        <f t="shared" si="6"/>
        <v>0</v>
      </c>
      <c r="H40" s="28">
        <f t="shared" si="7"/>
        <v>0</v>
      </c>
      <c r="I40" s="24">
        <f>SUM('WATER_STEAM RATIO'!K40)</f>
        <v>6</v>
      </c>
      <c r="J40" s="30">
        <f>SUM('DATA B2'!I41-'DATA B2'!I40)+('DATA B2'!J41-'DATA B2'!J40)</f>
        <v>465</v>
      </c>
      <c r="K40" s="28">
        <f t="shared" si="8"/>
        <v>77.5</v>
      </c>
      <c r="L40" s="28">
        <f t="shared" si="9"/>
        <v>33.333333333333329</v>
      </c>
      <c r="M40" s="89">
        <f>SUM('WATER_STEAM RATIO'!Q40)</f>
        <v>5</v>
      </c>
      <c r="N40" s="9">
        <f>SUM('DATA B3'!H41-'DATA B3'!H40)</f>
        <v>230</v>
      </c>
      <c r="O40" s="88">
        <f t="shared" si="10"/>
        <v>46</v>
      </c>
      <c r="P40" s="15">
        <f t="shared" si="11"/>
        <v>31.25</v>
      </c>
    </row>
    <row r="41" spans="3:16">
      <c r="C41" s="292"/>
      <c r="D41" s="43">
        <v>0.45833333333333298</v>
      </c>
      <c r="E41" s="5">
        <f>SUM('WATER_STEAM RATIO'!E41)</f>
        <v>0</v>
      </c>
      <c r="F41" s="9">
        <f>SUM('DATA B1'!I42-'DATA B1'!I41)+('DATA B1'!J42-'DATA B1'!J41)</f>
        <v>0</v>
      </c>
      <c r="G41" s="28">
        <f t="shared" si="6"/>
        <v>0</v>
      </c>
      <c r="H41" s="28">
        <f t="shared" si="7"/>
        <v>0</v>
      </c>
      <c r="I41" s="24">
        <f>SUM('WATER_STEAM RATIO'!K41)</f>
        <v>12</v>
      </c>
      <c r="J41" s="30">
        <f>SUM('DATA B2'!I42-'DATA B2'!I41)+('DATA B2'!J42-'DATA B2'!J41)</f>
        <v>962</v>
      </c>
      <c r="K41" s="28">
        <f t="shared" si="8"/>
        <v>80.166666666666671</v>
      </c>
      <c r="L41" s="28">
        <f t="shared" si="9"/>
        <v>66.666666666666657</v>
      </c>
      <c r="M41" s="89">
        <f>SUM('WATER_STEAM RATIO'!Q41)</f>
        <v>12</v>
      </c>
      <c r="N41" s="9">
        <f>SUM('DATA B3'!H42-'DATA B3'!H41)</f>
        <v>476</v>
      </c>
      <c r="O41" s="88">
        <f t="shared" si="10"/>
        <v>39.666666666666664</v>
      </c>
      <c r="P41" s="15">
        <f t="shared" si="11"/>
        <v>75</v>
      </c>
    </row>
    <row r="42" spans="3:16">
      <c r="C42" s="292"/>
      <c r="D42" s="43">
        <v>0.5</v>
      </c>
      <c r="E42" s="5">
        <f>SUM('WATER_STEAM RATIO'!E42)</f>
        <v>0</v>
      </c>
      <c r="F42" s="9">
        <f>SUM('DATA B1'!I43-'DATA B1'!I42)+('DATA B1'!J43-'DATA B1'!J42)</f>
        <v>0</v>
      </c>
      <c r="G42" s="28">
        <f t="shared" si="6"/>
        <v>0</v>
      </c>
      <c r="H42" s="28">
        <f t="shared" si="7"/>
        <v>0</v>
      </c>
      <c r="I42" s="24">
        <f>SUM('WATER_STEAM RATIO'!K42)</f>
        <v>10</v>
      </c>
      <c r="J42" s="30">
        <f>SUM('DATA B2'!I43-'DATA B2'!I42)+('DATA B2'!J43-'DATA B2'!J42)</f>
        <v>625</v>
      </c>
      <c r="K42" s="28">
        <f t="shared" si="8"/>
        <v>62.5</v>
      </c>
      <c r="L42" s="28">
        <f t="shared" si="9"/>
        <v>55.555555555555557</v>
      </c>
      <c r="M42" s="89">
        <f>SUM('WATER_STEAM RATIO'!Q42)</f>
        <v>8</v>
      </c>
      <c r="N42" s="9">
        <f>SUM('DATA B3'!H43-'DATA B3'!H42)</f>
        <v>341</v>
      </c>
      <c r="O42" s="88">
        <f t="shared" si="10"/>
        <v>42.625</v>
      </c>
      <c r="P42" s="15">
        <f t="shared" si="11"/>
        <v>50</v>
      </c>
    </row>
    <row r="43" spans="3:16">
      <c r="C43" s="292"/>
      <c r="D43" s="43">
        <v>0.54166666666666696</v>
      </c>
      <c r="E43" s="5">
        <f>SUM('WATER_STEAM RATIO'!E43)</f>
        <v>0</v>
      </c>
      <c r="F43" s="9">
        <f>SUM('DATA B1'!I44-'DATA B1'!I43)+('DATA B1'!J44-'DATA B1'!J43)</f>
        <v>0</v>
      </c>
      <c r="G43" s="28">
        <f t="shared" si="6"/>
        <v>0</v>
      </c>
      <c r="H43" s="28">
        <f t="shared" si="7"/>
        <v>0</v>
      </c>
      <c r="I43" s="24">
        <f>SUM('WATER_STEAM RATIO'!K43)</f>
        <v>10</v>
      </c>
      <c r="J43" s="30">
        <f>SUM('DATA B2'!I44-'DATA B2'!I43)+('DATA B2'!J44-'DATA B2'!J43)</f>
        <v>637</v>
      </c>
      <c r="K43" s="28">
        <f t="shared" si="8"/>
        <v>63.7</v>
      </c>
      <c r="L43" s="28">
        <f t="shared" si="9"/>
        <v>55.555555555555557</v>
      </c>
      <c r="M43" s="89">
        <f>SUM('WATER_STEAM RATIO'!Q43)</f>
        <v>8</v>
      </c>
      <c r="N43" s="9">
        <f>SUM('DATA B3'!H44-'DATA B3'!H43)</f>
        <v>356</v>
      </c>
      <c r="O43" s="88">
        <f t="shared" si="10"/>
        <v>44.5</v>
      </c>
      <c r="P43" s="15">
        <f t="shared" si="11"/>
        <v>50</v>
      </c>
    </row>
    <row r="44" spans="3:16">
      <c r="C44" s="292"/>
      <c r="D44" s="43">
        <v>0.58333333333333304</v>
      </c>
      <c r="E44" s="5">
        <f>SUM('WATER_STEAM RATIO'!E44)</f>
        <v>0</v>
      </c>
      <c r="F44" s="9">
        <f>SUM('DATA B1'!I45-'DATA B1'!I44)+('DATA B1'!J45-'DATA B1'!J44)</f>
        <v>0</v>
      </c>
      <c r="G44" s="28">
        <f t="shared" si="6"/>
        <v>0</v>
      </c>
      <c r="H44" s="28">
        <f t="shared" si="7"/>
        <v>0</v>
      </c>
      <c r="I44" s="24">
        <f>SUM('WATER_STEAM RATIO'!K44)</f>
        <v>10</v>
      </c>
      <c r="J44" s="30">
        <f>SUM('DATA B2'!I45-'DATA B2'!I44)+('DATA B2'!J45-'DATA B2'!J44)</f>
        <v>647</v>
      </c>
      <c r="K44" s="28">
        <f t="shared" si="8"/>
        <v>64.7</v>
      </c>
      <c r="L44" s="28">
        <f t="shared" si="9"/>
        <v>55.555555555555557</v>
      </c>
      <c r="M44" s="89">
        <f>SUM('WATER_STEAM RATIO'!Q44)</f>
        <v>9</v>
      </c>
      <c r="N44" s="9">
        <f>SUM('DATA B3'!H45-'DATA B3'!H44)</f>
        <v>376</v>
      </c>
      <c r="O44" s="88">
        <f t="shared" si="10"/>
        <v>41.777777777777779</v>
      </c>
      <c r="P44" s="15">
        <f t="shared" si="11"/>
        <v>56.25</v>
      </c>
    </row>
    <row r="45" spans="3:16">
      <c r="C45" s="292"/>
      <c r="D45" s="43">
        <v>0.625</v>
      </c>
      <c r="E45" s="5">
        <f>SUM('WATER_STEAM RATIO'!E45)</f>
        <v>0</v>
      </c>
      <c r="F45" s="9">
        <f>SUM('DATA B1'!I46-'DATA B1'!I45)+('DATA B1'!J46-'DATA B1'!J45)</f>
        <v>0</v>
      </c>
      <c r="G45" s="28">
        <f t="shared" si="6"/>
        <v>0</v>
      </c>
      <c r="H45" s="28">
        <f t="shared" si="7"/>
        <v>0</v>
      </c>
      <c r="I45" s="24">
        <f>SUM('WATER_STEAM RATIO'!K45)</f>
        <v>11</v>
      </c>
      <c r="J45" s="30">
        <f>SUM('DATA B2'!I46-'DATA B2'!I45)+('DATA B2'!J46-'DATA B2'!J45)</f>
        <v>669</v>
      </c>
      <c r="K45" s="28">
        <f t="shared" si="8"/>
        <v>60.81818181818182</v>
      </c>
      <c r="L45" s="28">
        <f t="shared" si="9"/>
        <v>61.111111111111114</v>
      </c>
      <c r="M45" s="89">
        <f>SUM('WATER_STEAM RATIO'!Q45)</f>
        <v>9</v>
      </c>
      <c r="N45" s="9">
        <f>SUM('DATA B3'!H46-'DATA B3'!H45)</f>
        <v>372</v>
      </c>
      <c r="O45" s="88">
        <f t="shared" si="10"/>
        <v>41.333333333333336</v>
      </c>
      <c r="P45" s="15">
        <f t="shared" si="11"/>
        <v>56.25</v>
      </c>
    </row>
    <row r="46" spans="3:16">
      <c r="C46" s="292"/>
      <c r="D46" s="43">
        <v>0.66666666666666596</v>
      </c>
      <c r="E46" s="5">
        <f>SUM('WATER_STEAM RATIO'!E46)</f>
        <v>0</v>
      </c>
      <c r="F46" s="9">
        <f>SUM('DATA B1'!I47-'DATA B1'!I46)+('DATA B1'!J47-'DATA B1'!J46)</f>
        <v>0</v>
      </c>
      <c r="G46" s="28">
        <f t="shared" si="6"/>
        <v>0</v>
      </c>
      <c r="H46" s="28">
        <f t="shared" si="7"/>
        <v>0</v>
      </c>
      <c r="I46" s="24">
        <f>SUM('WATER_STEAM RATIO'!K46)</f>
        <v>10</v>
      </c>
      <c r="J46" s="30">
        <f>SUM('DATA B2'!I47-'DATA B2'!I46)+('DATA B2'!J47-'DATA B2'!J46)</f>
        <v>595</v>
      </c>
      <c r="K46" s="28">
        <f t="shared" si="8"/>
        <v>59.5</v>
      </c>
      <c r="L46" s="28">
        <f t="shared" si="9"/>
        <v>55.555555555555557</v>
      </c>
      <c r="M46" s="89">
        <f>SUM('WATER_STEAM RATIO'!Q46)</f>
        <v>6</v>
      </c>
      <c r="N46" s="9">
        <f>SUM('DATA B3'!H47-'DATA B3'!H46)</f>
        <v>319</v>
      </c>
      <c r="O46" s="88">
        <f t="shared" si="10"/>
        <v>53.166666666666664</v>
      </c>
      <c r="P46" s="15">
        <f t="shared" si="11"/>
        <v>37.5</v>
      </c>
    </row>
    <row r="47" spans="3:16">
      <c r="C47" s="292"/>
      <c r="D47" s="43">
        <v>0.70833333333333304</v>
      </c>
      <c r="E47" s="5">
        <f>SUM('WATER_STEAM RATIO'!E47)</f>
        <v>0</v>
      </c>
      <c r="F47" s="9">
        <f>SUM('DATA B1'!I48-'DATA B1'!I47)+('DATA B1'!J48-'DATA B1'!J47)</f>
        <v>0</v>
      </c>
      <c r="G47" s="28">
        <f t="shared" si="6"/>
        <v>0</v>
      </c>
      <c r="H47" s="28">
        <f t="shared" si="7"/>
        <v>0</v>
      </c>
      <c r="I47" s="24">
        <f>SUM('WATER_STEAM RATIO'!K47)</f>
        <v>10</v>
      </c>
      <c r="J47" s="30">
        <f>SUM('DATA B2'!I48-'DATA B2'!I47)+('DATA B2'!J48-'DATA B2'!J47)</f>
        <v>585</v>
      </c>
      <c r="K47" s="28">
        <f t="shared" si="8"/>
        <v>58.5</v>
      </c>
      <c r="L47" s="28">
        <f t="shared" si="9"/>
        <v>55.555555555555557</v>
      </c>
      <c r="M47" s="89">
        <f>SUM('WATER_STEAM RATIO'!Q47)</f>
        <v>6</v>
      </c>
      <c r="N47" s="9">
        <f>SUM('DATA B3'!H48-'DATA B3'!H47)</f>
        <v>325</v>
      </c>
      <c r="O47" s="88">
        <f t="shared" si="10"/>
        <v>54.166666666666664</v>
      </c>
      <c r="P47" s="15">
        <f t="shared" si="11"/>
        <v>37.5</v>
      </c>
    </row>
    <row r="48" spans="3:16">
      <c r="C48" s="292"/>
      <c r="D48" s="43">
        <v>0.75</v>
      </c>
      <c r="E48" s="5">
        <f>SUM('WATER_STEAM RATIO'!E48)</f>
        <v>0</v>
      </c>
      <c r="F48" s="9">
        <f>SUM('DATA B1'!I49-'DATA B1'!I48)+('DATA B1'!J49-'DATA B1'!J48)</f>
        <v>0</v>
      </c>
      <c r="G48" s="28">
        <f t="shared" si="6"/>
        <v>0</v>
      </c>
      <c r="H48" s="28">
        <f t="shared" si="7"/>
        <v>0</v>
      </c>
      <c r="I48" s="24">
        <f>SUM('WATER_STEAM RATIO'!K48)</f>
        <v>10</v>
      </c>
      <c r="J48" s="30">
        <f>SUM('DATA B2'!I49-'DATA B2'!I48)+('DATA B2'!J49-'DATA B2'!J48)</f>
        <v>605</v>
      </c>
      <c r="K48" s="28">
        <f t="shared" si="8"/>
        <v>60.5</v>
      </c>
      <c r="L48" s="28">
        <f t="shared" si="9"/>
        <v>55.555555555555557</v>
      </c>
      <c r="M48" s="89">
        <f>SUM('WATER_STEAM RATIO'!Q48)</f>
        <v>7</v>
      </c>
      <c r="N48" s="9">
        <f>SUM('DATA B3'!H49-'DATA B3'!H48)</f>
        <v>340</v>
      </c>
      <c r="O48" s="88">
        <f t="shared" si="10"/>
        <v>48.571428571428569</v>
      </c>
      <c r="P48" s="15">
        <f t="shared" si="11"/>
        <v>43.75</v>
      </c>
    </row>
    <row r="49" spans="3:16">
      <c r="C49" s="292"/>
      <c r="D49" s="43">
        <v>0.79166666666666596</v>
      </c>
      <c r="E49" s="5">
        <f>SUM('WATER_STEAM RATIO'!E49)</f>
        <v>0</v>
      </c>
      <c r="F49" s="9">
        <f>SUM('DATA B1'!I50-'DATA B1'!I49)+('DATA B1'!J50-'DATA B1'!J49)</f>
        <v>0</v>
      </c>
      <c r="G49" s="28">
        <f t="shared" si="6"/>
        <v>0</v>
      </c>
      <c r="H49" s="28">
        <f t="shared" si="7"/>
        <v>0</v>
      </c>
      <c r="I49" s="24">
        <f>SUM('WATER_STEAM RATIO'!K49)</f>
        <v>11</v>
      </c>
      <c r="J49" s="30">
        <f>SUM('DATA B2'!I50-'DATA B2'!I49)+('DATA B2'!J50-'DATA B2'!J49)</f>
        <v>637</v>
      </c>
      <c r="K49" s="28">
        <f t="shared" si="8"/>
        <v>57.909090909090907</v>
      </c>
      <c r="L49" s="28">
        <f t="shared" si="9"/>
        <v>61.111111111111114</v>
      </c>
      <c r="M49" s="89">
        <f>SUM('WATER_STEAM RATIO'!Q49)</f>
        <v>7</v>
      </c>
      <c r="N49" s="9">
        <f>SUM('DATA B3'!H50-'DATA B3'!H49)</f>
        <v>346</v>
      </c>
      <c r="O49" s="88">
        <f t="shared" si="10"/>
        <v>49.428571428571431</v>
      </c>
      <c r="P49" s="15">
        <f t="shared" si="11"/>
        <v>43.75</v>
      </c>
    </row>
    <row r="50" spans="3:16">
      <c r="C50" s="292"/>
      <c r="D50" s="43">
        <v>0.83333333333333304</v>
      </c>
      <c r="E50" s="5">
        <f>SUM('WATER_STEAM RATIO'!E50)</f>
        <v>0</v>
      </c>
      <c r="F50" s="9">
        <f>SUM('DATA B1'!I51-'DATA B1'!I50)+('DATA B1'!J51-'DATA B1'!J50)</f>
        <v>0</v>
      </c>
      <c r="G50" s="28">
        <f t="shared" si="6"/>
        <v>0</v>
      </c>
      <c r="H50" s="28">
        <f t="shared" si="7"/>
        <v>0</v>
      </c>
      <c r="I50" s="24">
        <f>SUM('WATER_STEAM RATIO'!K50)</f>
        <v>13</v>
      </c>
      <c r="J50" s="30">
        <f>SUM('DATA B2'!I51-'DATA B2'!I50)+('DATA B2'!J51-'DATA B2'!J50)</f>
        <v>786</v>
      </c>
      <c r="K50" s="28">
        <f t="shared" si="8"/>
        <v>60.46153846153846</v>
      </c>
      <c r="L50" s="28">
        <f>IFERROR((I50/18)*100,0)</f>
        <v>72.222222222222214</v>
      </c>
      <c r="M50" s="89">
        <f>SUM('WATER_STEAM RATIO'!Q50)</f>
        <v>11</v>
      </c>
      <c r="N50" s="9">
        <f>SUM('DATA B3'!H51-'DATA B3'!H50)</f>
        <v>485</v>
      </c>
      <c r="O50" s="88">
        <f t="shared" si="10"/>
        <v>44.090909090909093</v>
      </c>
      <c r="P50" s="15">
        <f t="shared" si="11"/>
        <v>68.75</v>
      </c>
    </row>
    <row r="51" spans="3:16">
      <c r="C51" s="292"/>
      <c r="D51" s="43">
        <v>0.875</v>
      </c>
      <c r="E51" s="5">
        <f>SUM('WATER_STEAM RATIO'!E51)</f>
        <v>0</v>
      </c>
      <c r="F51" s="9">
        <f>SUM('DATA B1'!I52-'DATA B1'!I51)+('DATA B1'!J52-'DATA B1'!J51)</f>
        <v>0</v>
      </c>
      <c r="G51" s="28">
        <f t="shared" si="6"/>
        <v>0</v>
      </c>
      <c r="H51" s="28">
        <f t="shared" si="7"/>
        <v>0</v>
      </c>
      <c r="I51" s="24">
        <f>SUM('WATER_STEAM RATIO'!K51)</f>
        <v>9</v>
      </c>
      <c r="J51" s="30">
        <f>SUM('DATA B2'!I52-'DATA B2'!I51)+('DATA B2'!J52-'DATA B2'!J51)</f>
        <v>557</v>
      </c>
      <c r="K51" s="28">
        <f t="shared" si="8"/>
        <v>61.888888888888886</v>
      </c>
      <c r="L51" s="28">
        <f t="shared" ref="L51:L61" si="12">IFERROR((I51/18)*100,0)</f>
        <v>50</v>
      </c>
      <c r="M51" s="89">
        <f>SUM('WATER_STEAM RATIO'!Q51)</f>
        <v>6</v>
      </c>
      <c r="N51" s="9">
        <f>SUM('DATA B3'!H52-'DATA B3'!H51)</f>
        <v>288</v>
      </c>
      <c r="O51" s="88">
        <f t="shared" si="10"/>
        <v>48</v>
      </c>
      <c r="P51" s="15">
        <f t="shared" si="11"/>
        <v>37.5</v>
      </c>
    </row>
    <row r="52" spans="3:16">
      <c r="C52" s="292"/>
      <c r="D52" s="43">
        <v>0.91666666666666596</v>
      </c>
      <c r="E52" s="5">
        <f>SUM('WATER_STEAM RATIO'!E52)</f>
        <v>0</v>
      </c>
      <c r="F52" s="9">
        <f>SUM('DATA B1'!I53-'DATA B1'!I52)+('DATA B1'!J53-'DATA B1'!J52)</f>
        <v>0</v>
      </c>
      <c r="G52" s="28">
        <f t="shared" si="6"/>
        <v>0</v>
      </c>
      <c r="H52" s="28">
        <f t="shared" si="7"/>
        <v>0</v>
      </c>
      <c r="I52" s="24">
        <f>SUM('WATER_STEAM RATIO'!K52)</f>
        <v>9</v>
      </c>
      <c r="J52" s="30">
        <f>SUM('DATA B2'!I53-'DATA B2'!I52)+('DATA B2'!J53-'DATA B2'!J52)</f>
        <v>572</v>
      </c>
      <c r="K52" s="28">
        <f t="shared" si="8"/>
        <v>63.555555555555557</v>
      </c>
      <c r="L52" s="28">
        <f t="shared" si="12"/>
        <v>50</v>
      </c>
      <c r="M52" s="89">
        <f>SUM('WATER_STEAM RATIO'!Q52)</f>
        <v>7</v>
      </c>
      <c r="N52" s="9">
        <f>SUM('DATA B3'!H53-'DATA B3'!H52)</f>
        <v>328</v>
      </c>
      <c r="O52" s="88">
        <f t="shared" si="10"/>
        <v>46.857142857142854</v>
      </c>
      <c r="P52" s="15">
        <f>IFERROR((M52/16)*100,0)</f>
        <v>43.75</v>
      </c>
    </row>
    <row r="53" spans="3:16">
      <c r="C53" s="292"/>
      <c r="D53" s="43">
        <v>0.95833333333333304</v>
      </c>
      <c r="E53" s="5">
        <f>SUM('WATER_STEAM RATIO'!E53)</f>
        <v>0</v>
      </c>
      <c r="F53" s="9">
        <f>SUM('DATA B1'!I54-'DATA B1'!I53)+('DATA B1'!J54-'DATA B1'!J53)</f>
        <v>0</v>
      </c>
      <c r="G53" s="28">
        <f t="shared" si="6"/>
        <v>0</v>
      </c>
      <c r="H53" s="28">
        <f t="shared" si="7"/>
        <v>0</v>
      </c>
      <c r="I53" s="24">
        <f>SUM('WATER_STEAM RATIO'!K53)</f>
        <v>10</v>
      </c>
      <c r="J53" s="30">
        <f>SUM('DATA B2'!I54-'DATA B2'!I53)+('DATA B2'!J54-'DATA B2'!J53)</f>
        <v>609</v>
      </c>
      <c r="K53" s="28">
        <f t="shared" si="8"/>
        <v>60.9</v>
      </c>
      <c r="L53" s="28">
        <f t="shared" si="12"/>
        <v>55.555555555555557</v>
      </c>
      <c r="M53" s="89">
        <f>SUM('WATER_STEAM RATIO'!Q53)</f>
        <v>7</v>
      </c>
      <c r="N53" s="9">
        <f>SUM('DATA B3'!H54-'DATA B3'!H53)</f>
        <v>336</v>
      </c>
      <c r="O53" s="88">
        <f t="shared" si="10"/>
        <v>48</v>
      </c>
      <c r="P53" s="15">
        <f t="shared" si="11"/>
        <v>43.75</v>
      </c>
    </row>
    <row r="54" spans="3:16">
      <c r="C54" s="292"/>
      <c r="D54" s="43">
        <v>1</v>
      </c>
      <c r="E54" s="5">
        <f>SUM('WATER_STEAM RATIO'!E54)</f>
        <v>0</v>
      </c>
      <c r="F54" s="9">
        <f>SUM('DATA B1'!I55-'DATA B1'!I54)+('DATA B1'!J55-'DATA B1'!J54)</f>
        <v>0</v>
      </c>
      <c r="G54" s="28">
        <f t="shared" si="6"/>
        <v>0</v>
      </c>
      <c r="H54" s="28">
        <f t="shared" si="7"/>
        <v>0</v>
      </c>
      <c r="I54" s="24">
        <f>SUM('WATER_STEAM RATIO'!K54)</f>
        <v>11</v>
      </c>
      <c r="J54" s="30">
        <f>SUM('DATA B2'!I55-'DATA B2'!I54)+('DATA B2'!J55-'DATA B2'!J54)</f>
        <v>617</v>
      </c>
      <c r="K54" s="28">
        <f t="shared" si="8"/>
        <v>56.090909090909093</v>
      </c>
      <c r="L54" s="28">
        <f t="shared" si="12"/>
        <v>61.111111111111114</v>
      </c>
      <c r="M54" s="89">
        <f>SUM('WATER_STEAM RATIO'!Q54)</f>
        <v>7</v>
      </c>
      <c r="N54" s="9">
        <f>SUM('DATA B3'!H55-'DATA B3'!H54)</f>
        <v>347</v>
      </c>
      <c r="O54" s="88">
        <f t="shared" si="10"/>
        <v>49.571428571428569</v>
      </c>
      <c r="P54" s="15">
        <f t="shared" si="11"/>
        <v>43.75</v>
      </c>
    </row>
    <row r="55" spans="3:16">
      <c r="C55" s="292"/>
      <c r="D55" s="43">
        <v>1.0416666666666701</v>
      </c>
      <c r="E55" s="5">
        <f>SUM('WATER_STEAM RATIO'!E55)</f>
        <v>0</v>
      </c>
      <c r="F55" s="9">
        <f>SUM('DATA B1'!I56-'DATA B1'!I55)+('DATA B1'!J56-'DATA B1'!J55)</f>
        <v>0</v>
      </c>
      <c r="G55" s="28">
        <f t="shared" si="6"/>
        <v>0</v>
      </c>
      <c r="H55" s="28">
        <f t="shared" si="7"/>
        <v>0</v>
      </c>
      <c r="I55" s="24">
        <f>SUM('WATER_STEAM RATIO'!K55)</f>
        <v>11</v>
      </c>
      <c r="J55" s="30">
        <f>SUM('DATA B2'!I56-'DATA B2'!I55)+('DATA B2'!J56-'DATA B2'!J55)</f>
        <v>610</v>
      </c>
      <c r="K55" s="28">
        <f t="shared" si="8"/>
        <v>55.454545454545453</v>
      </c>
      <c r="L55" s="28">
        <f t="shared" si="12"/>
        <v>61.111111111111114</v>
      </c>
      <c r="M55" s="89">
        <f>SUM('WATER_STEAM RATIO'!Q55)</f>
        <v>7</v>
      </c>
      <c r="N55" s="9">
        <f>SUM('DATA B3'!H56-'DATA B3'!H55)</f>
        <v>331</v>
      </c>
      <c r="O55" s="88">
        <f t="shared" si="10"/>
        <v>47.285714285714285</v>
      </c>
      <c r="P55" s="15">
        <f t="shared" si="11"/>
        <v>43.75</v>
      </c>
    </row>
    <row r="56" spans="3:16">
      <c r="C56" s="292"/>
      <c r="D56" s="43">
        <v>1.0833333333333399</v>
      </c>
      <c r="E56" s="5">
        <f>SUM('WATER_STEAM RATIO'!E56)</f>
        <v>0</v>
      </c>
      <c r="F56" s="9">
        <f>SUM('DATA B1'!I57-'DATA B1'!I56)+('DATA B1'!J57-'DATA B1'!J56)</f>
        <v>0</v>
      </c>
      <c r="G56" s="28">
        <f t="shared" si="6"/>
        <v>0</v>
      </c>
      <c r="H56" s="28">
        <f t="shared" si="7"/>
        <v>0</v>
      </c>
      <c r="I56" s="24">
        <f>SUM('WATER_STEAM RATIO'!K56)</f>
        <v>11</v>
      </c>
      <c r="J56" s="30">
        <f>SUM('DATA B2'!I57-'DATA B2'!I56)+('DATA B2'!J57-'DATA B2'!J56)</f>
        <v>612</v>
      </c>
      <c r="K56" s="28">
        <f t="shared" si="8"/>
        <v>55.636363636363633</v>
      </c>
      <c r="L56" s="28">
        <f t="shared" si="12"/>
        <v>61.111111111111114</v>
      </c>
      <c r="M56" s="89">
        <f>SUM('WATER_STEAM RATIO'!Q56)</f>
        <v>8</v>
      </c>
      <c r="N56" s="9">
        <f>SUM('DATA B3'!H57-'DATA B3'!H56)</f>
        <v>354</v>
      </c>
      <c r="O56" s="88">
        <f t="shared" si="10"/>
        <v>44.25</v>
      </c>
      <c r="P56" s="15">
        <f t="shared" si="11"/>
        <v>50</v>
      </c>
    </row>
    <row r="57" spans="3:16">
      <c r="C57" s="292"/>
      <c r="D57" s="43">
        <v>1.125</v>
      </c>
      <c r="E57" s="5">
        <f>SUM('WATER_STEAM RATIO'!E57)</f>
        <v>0</v>
      </c>
      <c r="F57" s="9">
        <f>SUM('DATA B1'!I58-'DATA B1'!I57)+('DATA B1'!J58-'DATA B1'!J57)</f>
        <v>0</v>
      </c>
      <c r="G57" s="28">
        <f t="shared" si="6"/>
        <v>0</v>
      </c>
      <c r="H57" s="28">
        <f t="shared" si="7"/>
        <v>0</v>
      </c>
      <c r="I57" s="24">
        <f>SUM('WATER_STEAM RATIO'!K57)</f>
        <v>11</v>
      </c>
      <c r="J57" s="30">
        <f>SUM('DATA B2'!I58-'DATA B2'!I57)+('DATA B2'!J58-'DATA B2'!J57)</f>
        <v>615</v>
      </c>
      <c r="K57" s="28">
        <f t="shared" si="8"/>
        <v>55.909090909090907</v>
      </c>
      <c r="L57" s="28">
        <f t="shared" si="12"/>
        <v>61.111111111111114</v>
      </c>
      <c r="M57" s="89">
        <f>SUM('WATER_STEAM RATIO'!Q57)</f>
        <v>8</v>
      </c>
      <c r="N57" s="9">
        <f>SUM('DATA B3'!H58-'DATA B3'!H57)</f>
        <v>357</v>
      </c>
      <c r="O57" s="88">
        <f t="shared" ref="O57:O61" si="13">IFERROR(N57/(M57),0)</f>
        <v>44.625</v>
      </c>
      <c r="P57" s="15">
        <f t="shared" si="11"/>
        <v>50</v>
      </c>
    </row>
    <row r="58" spans="3:16">
      <c r="C58" s="292"/>
      <c r="D58" s="43">
        <v>1.1666666666666701</v>
      </c>
      <c r="E58" s="5">
        <f>SUM('WATER_STEAM RATIO'!E58)</f>
        <v>0</v>
      </c>
      <c r="F58" s="9">
        <f>SUM('DATA B1'!I59-'DATA B1'!I58)+('DATA B1'!J59-'DATA B1'!J58)</f>
        <v>0</v>
      </c>
      <c r="G58" s="28">
        <f t="shared" si="6"/>
        <v>0</v>
      </c>
      <c r="H58" s="28">
        <f t="shared" si="7"/>
        <v>0</v>
      </c>
      <c r="I58" s="24">
        <f>SUM('WATER_STEAM RATIO'!K58)</f>
        <v>10</v>
      </c>
      <c r="J58" s="30">
        <f>SUM('DATA B2'!I59-'DATA B2'!I58)+('DATA B2'!J59-'DATA B2'!J58)</f>
        <v>646</v>
      </c>
      <c r="K58" s="28">
        <f>IFERROR(J58/(I58),0)</f>
        <v>64.599999999999994</v>
      </c>
      <c r="L58" s="28">
        <f t="shared" si="12"/>
        <v>55.555555555555557</v>
      </c>
      <c r="M58" s="89">
        <f>SUM('WATER_STEAM RATIO'!Q58)</f>
        <v>6</v>
      </c>
      <c r="N58" s="9">
        <f>SUM('DATA B3'!H59-'DATA B3'!H58)</f>
        <v>305</v>
      </c>
      <c r="O58" s="88">
        <f t="shared" si="13"/>
        <v>50.833333333333336</v>
      </c>
      <c r="P58" s="15">
        <f t="shared" si="11"/>
        <v>37.5</v>
      </c>
    </row>
    <row r="59" spans="3:16">
      <c r="C59" s="292"/>
      <c r="D59" s="43">
        <v>1.2083333333333399</v>
      </c>
      <c r="E59" s="5">
        <f>SUM('WATER_STEAM RATIO'!E59)</f>
        <v>0</v>
      </c>
      <c r="F59" s="9">
        <f>SUM('DATA B1'!I60-'DATA B1'!I59)+('DATA B1'!J60-'DATA B1'!J59)</f>
        <v>0</v>
      </c>
      <c r="G59" s="28">
        <f t="shared" si="6"/>
        <v>0</v>
      </c>
      <c r="H59" s="28">
        <f t="shared" si="7"/>
        <v>0</v>
      </c>
      <c r="I59" s="24">
        <f>SUM('WATER_STEAM RATIO'!K59)</f>
        <v>10</v>
      </c>
      <c r="J59" s="30">
        <f>SUM('DATA B2'!I60-'DATA B2'!I59)+('DATA B2'!J60-'DATA B2'!J59)</f>
        <v>649</v>
      </c>
      <c r="K59" s="28">
        <f>IFERROR(J59/(I59),0)</f>
        <v>64.900000000000006</v>
      </c>
      <c r="L59" s="28">
        <f t="shared" si="12"/>
        <v>55.555555555555557</v>
      </c>
      <c r="M59" s="89">
        <f>SUM('WATER_STEAM RATIO'!Q59)</f>
        <v>7</v>
      </c>
      <c r="N59" s="9">
        <f>SUM('DATA B3'!H60-'DATA B3'!H59)</f>
        <v>339</v>
      </c>
      <c r="O59" s="88">
        <f t="shared" si="13"/>
        <v>48.428571428571431</v>
      </c>
      <c r="P59" s="15">
        <f t="shared" si="11"/>
        <v>43.75</v>
      </c>
    </row>
    <row r="60" spans="3:16">
      <c r="C60" s="292"/>
      <c r="D60" s="43">
        <v>1.25</v>
      </c>
      <c r="E60" s="5">
        <f>SUM('WATER_STEAM RATIO'!E60)</f>
        <v>0</v>
      </c>
      <c r="F60" s="9">
        <f>SUM('DATA B1'!I61-'DATA B1'!I60)+('DATA B1'!J61-'DATA B1'!J60)</f>
        <v>0</v>
      </c>
      <c r="G60" s="28">
        <f t="shared" si="6"/>
        <v>0</v>
      </c>
      <c r="H60" s="28">
        <f t="shared" si="7"/>
        <v>0</v>
      </c>
      <c r="I60" s="24">
        <f>SUM('WATER_STEAM RATIO'!K60)</f>
        <v>10</v>
      </c>
      <c r="J60" s="30">
        <f>SUM('DATA B2'!I61-'DATA B2'!I60)+('DATA B2'!J61-'DATA B2'!J60)</f>
        <v>651</v>
      </c>
      <c r="K60" s="28">
        <f>IFERROR(J60/(I60),0)</f>
        <v>65.099999999999994</v>
      </c>
      <c r="L60" s="28">
        <f t="shared" si="12"/>
        <v>55.555555555555557</v>
      </c>
      <c r="M60" s="89">
        <f>SUM('WATER_STEAM RATIO'!Q60)</f>
        <v>7</v>
      </c>
      <c r="N60" s="9">
        <f>SUM('DATA B3'!H61-'DATA B3'!H60)</f>
        <v>329</v>
      </c>
      <c r="O60" s="88">
        <f t="shared" si="13"/>
        <v>47</v>
      </c>
      <c r="P60" s="15">
        <f t="shared" si="11"/>
        <v>43.75</v>
      </c>
    </row>
    <row r="61" spans="3:16">
      <c r="C61" s="292"/>
      <c r="D61" s="43">
        <v>1.2916666666666701</v>
      </c>
      <c r="E61" s="5">
        <f>SUM('WATER_STEAM RATIO'!E61)</f>
        <v>0</v>
      </c>
      <c r="F61" s="9">
        <f>SUM('DATA B1'!I62-'DATA B1'!I61)+('DATA B1'!J62-'DATA B1'!J61)</f>
        <v>0</v>
      </c>
      <c r="G61" s="28">
        <f t="shared" si="6"/>
        <v>0</v>
      </c>
      <c r="H61" s="28">
        <f t="shared" si="7"/>
        <v>0</v>
      </c>
      <c r="I61" s="24">
        <f>SUM('WATER_STEAM RATIO'!K61)</f>
        <v>11</v>
      </c>
      <c r="J61" s="30">
        <f>SUM('DATA B2'!I62-'DATA B2'!I61)+('DATA B2'!J62-'DATA B2'!J61)</f>
        <v>744</v>
      </c>
      <c r="K61" s="28">
        <f>IFERROR(J61/(I61),0)</f>
        <v>67.63636363636364</v>
      </c>
      <c r="L61" s="28">
        <f t="shared" si="12"/>
        <v>61.111111111111114</v>
      </c>
      <c r="M61" s="89">
        <f>SUM('WATER_STEAM RATIO'!Q61)</f>
        <v>7</v>
      </c>
      <c r="N61" s="9">
        <f>SUM('DATA B3'!H62-'DATA B3'!H61)</f>
        <v>338</v>
      </c>
      <c r="O61" s="88">
        <f t="shared" si="13"/>
        <v>48.285714285714285</v>
      </c>
      <c r="P61" s="15">
        <f t="shared" si="11"/>
        <v>43.75</v>
      </c>
    </row>
    <row r="62" spans="3:16">
      <c r="C62" s="293"/>
      <c r="D62" s="258"/>
      <c r="E62" s="91">
        <f>SUMIF(E37:E61,"&gt;=0",E37:E61)</f>
        <v>0</v>
      </c>
      <c r="F62" s="91">
        <f>SUMIF(F37:F61,"&gt;=0",F37:F61)</f>
        <v>0</v>
      </c>
      <c r="G62" s="54">
        <f>IFERROR(F62/E62,0)</f>
        <v>0</v>
      </c>
      <c r="H62" s="54">
        <f>IFERROR(AVERAGE(H38:H61),0)</f>
        <v>0</v>
      </c>
      <c r="I62" s="91">
        <f>SUMIF(I37:I61,"&gt;=0",I37:I61)</f>
        <v>262</v>
      </c>
      <c r="J62" s="91">
        <f>SUMIF(J37:J61,"&gt;=0",J37:J61)</f>
        <v>15472</v>
      </c>
      <c r="K62" s="54">
        <f>IFERROR(J62/(I62),0)</f>
        <v>59.05343511450382</v>
      </c>
      <c r="L62" s="54">
        <f>IFERROR(AVERAGE(L38:L61),0)</f>
        <v>58.333333333333336</v>
      </c>
      <c r="M62" s="91">
        <f>SUMIF(M37:M61,"&gt;=0",M37:M61)</f>
        <v>186</v>
      </c>
      <c r="N62" s="91">
        <f>SUMIF(N37:N61,"&gt;=0",N37:N61)</f>
        <v>8311</v>
      </c>
      <c r="O62" s="239">
        <f>IFERROR(N62/(M62),0)</f>
        <v>44.682795698924728</v>
      </c>
      <c r="P62" s="215">
        <f>IFERROR(AVERAGE(P38:P61),0)</f>
        <v>46.354166666666664</v>
      </c>
    </row>
    <row r="63" spans="3:16" ht="15" customHeight="1">
      <c r="C63" s="291">
        <f>SUM('WATER_STEAM RATIO'!B63:B88)</f>
        <v>46025</v>
      </c>
      <c r="D63" s="43">
        <v>0.29166666666666669</v>
      </c>
      <c r="E63" s="5">
        <f>SUM('WATER_STEAM RATIO'!E63)</f>
        <v>0</v>
      </c>
      <c r="F63" s="9"/>
      <c r="G63" s="28"/>
      <c r="H63" s="28"/>
      <c r="I63" s="24">
        <f>SUM('WATER_STEAM RATIO'!K63)</f>
        <v>11</v>
      </c>
      <c r="J63" s="30"/>
      <c r="K63" s="28"/>
      <c r="L63" s="28"/>
      <c r="M63" s="89">
        <f>SUM('WATER_STEAM RATIO'!Q63)</f>
        <v>7</v>
      </c>
      <c r="N63" s="9"/>
      <c r="O63" s="88"/>
      <c r="P63" s="15"/>
    </row>
    <row r="64" spans="3:16">
      <c r="C64" s="292"/>
      <c r="D64" s="43">
        <v>0.33333333333333298</v>
      </c>
      <c r="E64" s="5">
        <f>SUM('WATER_STEAM RATIO'!E64)</f>
        <v>0</v>
      </c>
      <c r="F64" s="9">
        <f>SUM('DATA B1'!I65-'DATA B1'!I64)+('DATA B1'!J65-'DATA B1'!J64)</f>
        <v>0</v>
      </c>
      <c r="G64" s="28">
        <f>IFERROR(F64/(E64),0)</f>
        <v>0</v>
      </c>
      <c r="H64" s="28">
        <f>IFERROR((E64/18)*100,0)</f>
        <v>0</v>
      </c>
      <c r="I64" s="24">
        <f>SUM('WATER_STEAM RATIO'!K64)</f>
        <v>18</v>
      </c>
      <c r="J64" s="30">
        <f>SUM('DATA B2'!I65-'DATA B2'!I64)+('DATA B2'!J65-'DATA B2'!J64)</f>
        <v>857</v>
      </c>
      <c r="K64" s="28">
        <f>IFERROR(J64/(I64),0)</f>
        <v>47.611111111111114</v>
      </c>
      <c r="L64" s="28">
        <f>IFERROR((I64/18)*100,0)</f>
        <v>100</v>
      </c>
      <c r="M64" s="89">
        <f>SUM('WATER_STEAM RATIO'!Q64)</f>
        <v>10</v>
      </c>
      <c r="N64" s="9">
        <f>SUM('DATA B3'!H65-'DATA B3'!H64)</f>
        <v>425</v>
      </c>
      <c r="O64" s="88">
        <f>IFERROR(N64/(M64),0)</f>
        <v>42.5</v>
      </c>
      <c r="P64" s="15">
        <f>IFERROR((M64/16)*100,0)</f>
        <v>62.5</v>
      </c>
    </row>
    <row r="65" spans="3:16">
      <c r="C65" s="292"/>
      <c r="D65" s="43">
        <v>0.375</v>
      </c>
      <c r="E65" s="5">
        <f>SUM('WATER_STEAM RATIO'!E65)</f>
        <v>0</v>
      </c>
      <c r="F65" s="9">
        <f>SUM('DATA B1'!I66-'DATA B1'!I65)+('DATA B1'!J66-'DATA B1'!J65)</f>
        <v>0</v>
      </c>
      <c r="G65" s="28">
        <f t="shared" ref="G65:G87" si="14">IFERROR(F65/(E65),0)</f>
        <v>0</v>
      </c>
      <c r="H65" s="28">
        <f t="shared" ref="H65:H87" si="15">IFERROR((E65/18)*100,0)</f>
        <v>0</v>
      </c>
      <c r="I65" s="24">
        <f>SUM('WATER_STEAM RATIO'!K65)</f>
        <v>15</v>
      </c>
      <c r="J65" s="30">
        <f>SUM('DATA B2'!I66-'DATA B2'!I65)+('DATA B2'!J66-'DATA B2'!J65)</f>
        <v>599</v>
      </c>
      <c r="K65" s="28">
        <f t="shared" ref="K65:K83" si="16">IFERROR(J65/(I65),0)</f>
        <v>39.93333333333333</v>
      </c>
      <c r="L65" s="28">
        <f t="shared" ref="L65:L75" si="17">IFERROR((I65/18)*100,0)</f>
        <v>83.333333333333343</v>
      </c>
      <c r="M65" s="89">
        <f>SUM('WATER_STEAM RATIO'!Q65)</f>
        <v>6</v>
      </c>
      <c r="N65" s="9">
        <f>SUM('DATA B3'!H66-'DATA B3'!H65)</f>
        <v>291</v>
      </c>
      <c r="O65" s="88">
        <f t="shared" ref="O65:O82" si="18">IFERROR(N65/(M65),0)</f>
        <v>48.5</v>
      </c>
      <c r="P65" s="15">
        <f t="shared" ref="P65:P87" si="19">IFERROR((M65/16)*100,0)</f>
        <v>37.5</v>
      </c>
    </row>
    <row r="66" spans="3:16">
      <c r="C66" s="292"/>
      <c r="D66" s="43">
        <v>0.41666666666666702</v>
      </c>
      <c r="E66" s="5">
        <f>SUM('WATER_STEAM RATIO'!E66)</f>
        <v>0</v>
      </c>
      <c r="F66" s="9">
        <f>SUM('DATA B1'!I67-'DATA B1'!I66)+('DATA B1'!J67-'DATA B1'!J66)</f>
        <v>0</v>
      </c>
      <c r="G66" s="28">
        <f t="shared" si="14"/>
        <v>0</v>
      </c>
      <c r="H66" s="28">
        <f t="shared" si="15"/>
        <v>0</v>
      </c>
      <c r="I66" s="24">
        <f>SUM('WATER_STEAM RATIO'!K66)</f>
        <v>14</v>
      </c>
      <c r="J66" s="30">
        <f>SUM('DATA B2'!I67-'DATA B2'!I66)+('DATA B2'!J67-'DATA B2'!J66)</f>
        <v>589</v>
      </c>
      <c r="K66" s="28">
        <f t="shared" si="16"/>
        <v>42.071428571428569</v>
      </c>
      <c r="L66" s="28">
        <f t="shared" si="17"/>
        <v>77.777777777777786</v>
      </c>
      <c r="M66" s="89">
        <f>SUM('WATER_STEAM RATIO'!Q66)</f>
        <v>6</v>
      </c>
      <c r="N66" s="9">
        <f>SUM('DATA B3'!H67-'DATA B3'!H66)</f>
        <v>286</v>
      </c>
      <c r="O66" s="88">
        <f t="shared" si="18"/>
        <v>47.666666666666664</v>
      </c>
      <c r="P66" s="15">
        <f t="shared" si="19"/>
        <v>37.5</v>
      </c>
    </row>
    <row r="67" spans="3:16">
      <c r="C67" s="292"/>
      <c r="D67" s="43">
        <v>0.45833333333333298</v>
      </c>
      <c r="E67" s="5">
        <f>SUM('WATER_STEAM RATIO'!E67)</f>
        <v>0</v>
      </c>
      <c r="F67" s="9">
        <f>SUM('DATA B1'!I68-'DATA B1'!I67)+('DATA B1'!J68-'DATA B1'!J67)</f>
        <v>0</v>
      </c>
      <c r="G67" s="28">
        <f t="shared" si="14"/>
        <v>0</v>
      </c>
      <c r="H67" s="28">
        <f t="shared" si="15"/>
        <v>0</v>
      </c>
      <c r="I67" s="24">
        <f>SUM('WATER_STEAM RATIO'!K67)</f>
        <v>14</v>
      </c>
      <c r="J67" s="30">
        <f>SUM('DATA B2'!I68-'DATA B2'!I67)+('DATA B2'!J68-'DATA B2'!J67)</f>
        <v>613</v>
      </c>
      <c r="K67" s="28">
        <f t="shared" si="16"/>
        <v>43.785714285714285</v>
      </c>
      <c r="L67" s="28">
        <f t="shared" si="17"/>
        <v>77.777777777777786</v>
      </c>
      <c r="M67" s="89">
        <f>SUM('WATER_STEAM RATIO'!Q67)</f>
        <v>7</v>
      </c>
      <c r="N67" s="9">
        <f>SUM('DATA B3'!H68-'DATA B3'!H67)</f>
        <v>297</v>
      </c>
      <c r="O67" s="88">
        <f t="shared" si="18"/>
        <v>42.428571428571431</v>
      </c>
      <c r="P67" s="15">
        <f t="shared" si="19"/>
        <v>43.75</v>
      </c>
    </row>
    <row r="68" spans="3:16">
      <c r="C68" s="292"/>
      <c r="D68" s="43">
        <v>0.5</v>
      </c>
      <c r="E68" s="5">
        <f>SUM('WATER_STEAM RATIO'!E68)</f>
        <v>0</v>
      </c>
      <c r="F68" s="9">
        <f>SUM('DATA B1'!I69-'DATA B1'!I68)+('DATA B1'!J69-'DATA B1'!J68)</f>
        <v>0</v>
      </c>
      <c r="G68" s="28">
        <f t="shared" si="14"/>
        <v>0</v>
      </c>
      <c r="H68" s="28">
        <f t="shared" si="15"/>
        <v>0</v>
      </c>
      <c r="I68" s="24">
        <f>SUM('WATER_STEAM RATIO'!K68)</f>
        <v>8</v>
      </c>
      <c r="J68" s="30">
        <f>SUM('DATA B2'!I69-'DATA B2'!I68)+('DATA B2'!J69-'DATA B2'!J68)</f>
        <v>664</v>
      </c>
      <c r="K68" s="28">
        <f t="shared" si="16"/>
        <v>83</v>
      </c>
      <c r="L68" s="28">
        <f t="shared" si="17"/>
        <v>44.444444444444443</v>
      </c>
      <c r="M68" s="89">
        <f>SUM('WATER_STEAM RATIO'!Q68)</f>
        <v>7</v>
      </c>
      <c r="N68" s="9">
        <f>SUM('DATA B3'!H69-'DATA B3'!H68)</f>
        <v>341</v>
      </c>
      <c r="O68" s="88">
        <f t="shared" si="18"/>
        <v>48.714285714285715</v>
      </c>
      <c r="P68" s="15">
        <f t="shared" si="19"/>
        <v>43.75</v>
      </c>
    </row>
    <row r="69" spans="3:16">
      <c r="C69" s="292"/>
      <c r="D69" s="43">
        <v>0.54166666666666696</v>
      </c>
      <c r="E69" s="5">
        <f>SUM('WATER_STEAM RATIO'!E69)</f>
        <v>0</v>
      </c>
      <c r="F69" s="9">
        <f>SUM('DATA B1'!I70-'DATA B1'!I69)+('DATA B1'!J70-'DATA B1'!J69)</f>
        <v>0</v>
      </c>
      <c r="G69" s="28">
        <f t="shared" si="14"/>
        <v>0</v>
      </c>
      <c r="H69" s="28">
        <f t="shared" si="15"/>
        <v>0</v>
      </c>
      <c r="I69" s="24">
        <f>SUM('WATER_STEAM RATIO'!K69)</f>
        <v>9</v>
      </c>
      <c r="J69" s="30">
        <f>SUM('DATA B2'!I70-'DATA B2'!I69)+('DATA B2'!J70-'DATA B2'!J69)</f>
        <v>678</v>
      </c>
      <c r="K69" s="28">
        <f t="shared" si="16"/>
        <v>75.333333333333329</v>
      </c>
      <c r="L69" s="28">
        <f t="shared" si="17"/>
        <v>50</v>
      </c>
      <c r="M69" s="89">
        <f>SUM('WATER_STEAM RATIO'!Q69)</f>
        <v>10</v>
      </c>
      <c r="N69" s="9">
        <f>SUM('DATA B3'!H70-'DATA B3'!H69)</f>
        <v>363</v>
      </c>
      <c r="O69" s="88">
        <f t="shared" si="18"/>
        <v>36.299999999999997</v>
      </c>
      <c r="P69" s="15">
        <f t="shared" si="19"/>
        <v>62.5</v>
      </c>
    </row>
    <row r="70" spans="3:16">
      <c r="C70" s="292"/>
      <c r="D70" s="43">
        <v>0.58333333333333304</v>
      </c>
      <c r="E70" s="5">
        <f>SUM('WATER_STEAM RATIO'!E70)</f>
        <v>0</v>
      </c>
      <c r="F70" s="9">
        <f>SUM('DATA B1'!I71-'DATA B1'!I70)+('DATA B1'!J71-'DATA B1'!J70)</f>
        <v>0</v>
      </c>
      <c r="G70" s="28">
        <f t="shared" si="14"/>
        <v>0</v>
      </c>
      <c r="H70" s="28">
        <f t="shared" si="15"/>
        <v>0</v>
      </c>
      <c r="I70" s="24">
        <f>SUM('WATER_STEAM RATIO'!K70)</f>
        <v>9</v>
      </c>
      <c r="J70" s="30">
        <f>SUM('DATA B2'!I71-'DATA B2'!I70)+('DATA B2'!J71-'DATA B2'!J70)</f>
        <v>674</v>
      </c>
      <c r="K70" s="28">
        <f t="shared" si="16"/>
        <v>74.888888888888886</v>
      </c>
      <c r="L70" s="28">
        <f t="shared" si="17"/>
        <v>50</v>
      </c>
      <c r="M70" s="89">
        <f>SUM('WATER_STEAM RATIO'!Q70)</f>
        <v>6</v>
      </c>
      <c r="N70" s="9">
        <f>SUM('DATA B3'!H71-'DATA B3'!H70)</f>
        <v>369</v>
      </c>
      <c r="O70" s="88">
        <f t="shared" si="18"/>
        <v>61.5</v>
      </c>
      <c r="P70" s="15">
        <f t="shared" si="19"/>
        <v>37.5</v>
      </c>
    </row>
    <row r="71" spans="3:16">
      <c r="C71" s="292"/>
      <c r="D71" s="43">
        <v>0.625</v>
      </c>
      <c r="E71" s="5">
        <f>SUM('WATER_STEAM RATIO'!E71)</f>
        <v>0</v>
      </c>
      <c r="F71" s="9">
        <f>SUM('DATA B1'!I72-'DATA B1'!I71)+('DATA B1'!J72-'DATA B1'!J71)</f>
        <v>0</v>
      </c>
      <c r="G71" s="28">
        <f t="shared" si="14"/>
        <v>0</v>
      </c>
      <c r="H71" s="28">
        <f t="shared" si="15"/>
        <v>0</v>
      </c>
      <c r="I71" s="24">
        <f>SUM('WATER_STEAM RATIO'!K71)</f>
        <v>9</v>
      </c>
      <c r="J71" s="30">
        <f>SUM('DATA B2'!I72-'DATA B2'!I71)+('DATA B2'!J72-'DATA B2'!J71)</f>
        <v>670</v>
      </c>
      <c r="K71" s="28">
        <f t="shared" si="16"/>
        <v>74.444444444444443</v>
      </c>
      <c r="L71" s="28">
        <f t="shared" si="17"/>
        <v>50</v>
      </c>
      <c r="M71" s="89">
        <f>SUM('WATER_STEAM RATIO'!Q71)</f>
        <v>8</v>
      </c>
      <c r="N71" s="9">
        <f>SUM('DATA B3'!H72-'DATA B3'!H71)</f>
        <v>374</v>
      </c>
      <c r="O71" s="88">
        <f t="shared" si="18"/>
        <v>46.75</v>
      </c>
      <c r="P71" s="15">
        <f t="shared" si="19"/>
        <v>50</v>
      </c>
    </row>
    <row r="72" spans="3:16">
      <c r="C72" s="292"/>
      <c r="D72" s="43">
        <v>0.66666666666666596</v>
      </c>
      <c r="E72" s="5">
        <f>SUM('WATER_STEAM RATIO'!E72)</f>
        <v>0</v>
      </c>
      <c r="F72" s="9">
        <f>SUM('DATA B1'!I73-'DATA B1'!I72)+('DATA B1'!J73-'DATA B1'!J72)</f>
        <v>0</v>
      </c>
      <c r="G72" s="28">
        <f t="shared" si="14"/>
        <v>0</v>
      </c>
      <c r="H72" s="28">
        <f t="shared" si="15"/>
        <v>0</v>
      </c>
      <c r="I72" s="24">
        <f>SUM('WATER_STEAM RATIO'!K72)</f>
        <v>7</v>
      </c>
      <c r="J72" s="30">
        <f>SUM('DATA B2'!I73-'DATA B2'!I72)+('DATA B2'!J73-'DATA B2'!J72)</f>
        <v>610</v>
      </c>
      <c r="K72" s="28">
        <f t="shared" si="16"/>
        <v>87.142857142857139</v>
      </c>
      <c r="L72" s="28">
        <f t="shared" si="17"/>
        <v>38.888888888888893</v>
      </c>
      <c r="M72" s="89">
        <f>SUM('WATER_STEAM RATIO'!Q72)</f>
        <v>7</v>
      </c>
      <c r="N72" s="9">
        <f>SUM('DATA B3'!H73-'DATA B3'!H72)</f>
        <v>329</v>
      </c>
      <c r="O72" s="88">
        <f t="shared" si="18"/>
        <v>47</v>
      </c>
      <c r="P72" s="15">
        <f t="shared" si="19"/>
        <v>43.75</v>
      </c>
    </row>
    <row r="73" spans="3:16">
      <c r="C73" s="292"/>
      <c r="D73" s="43">
        <v>0.70833333333333304</v>
      </c>
      <c r="E73" s="5">
        <f>SUM('WATER_STEAM RATIO'!E73)</f>
        <v>0</v>
      </c>
      <c r="F73" s="9">
        <f>SUM('DATA B1'!I74-'DATA B1'!I73)+('DATA B1'!J74-'DATA B1'!J73)</f>
        <v>0</v>
      </c>
      <c r="G73" s="28">
        <f t="shared" si="14"/>
        <v>0</v>
      </c>
      <c r="H73" s="28">
        <f t="shared" si="15"/>
        <v>0</v>
      </c>
      <c r="I73" s="24">
        <f>SUM('WATER_STEAM RATIO'!K73)</f>
        <v>7</v>
      </c>
      <c r="J73" s="30">
        <f>SUM('DATA B2'!I74-'DATA B2'!I73)+('DATA B2'!J74-'DATA B2'!J73)</f>
        <v>609</v>
      </c>
      <c r="K73" s="28">
        <f t="shared" si="16"/>
        <v>87</v>
      </c>
      <c r="L73" s="28">
        <f t="shared" si="17"/>
        <v>38.888888888888893</v>
      </c>
      <c r="M73" s="89">
        <f>SUM('WATER_STEAM RATIO'!Q73)</f>
        <v>7</v>
      </c>
      <c r="N73" s="9">
        <f>SUM('DATA B3'!H74-'DATA B3'!H73)</f>
        <v>339</v>
      </c>
      <c r="O73" s="88">
        <f t="shared" si="18"/>
        <v>48.428571428571431</v>
      </c>
      <c r="P73" s="15">
        <f t="shared" si="19"/>
        <v>43.75</v>
      </c>
    </row>
    <row r="74" spans="3:16">
      <c r="C74" s="292"/>
      <c r="D74" s="43">
        <v>0.75</v>
      </c>
      <c r="E74" s="5">
        <f>SUM('WATER_STEAM RATIO'!E74)</f>
        <v>0</v>
      </c>
      <c r="F74" s="9">
        <f>SUM('DATA B1'!I75-'DATA B1'!I74)+('DATA B1'!J75-'DATA B1'!J74)</f>
        <v>0</v>
      </c>
      <c r="G74" s="28">
        <f t="shared" si="14"/>
        <v>0</v>
      </c>
      <c r="H74" s="28">
        <f t="shared" si="15"/>
        <v>0</v>
      </c>
      <c r="I74" s="24">
        <f>SUM('WATER_STEAM RATIO'!K74)</f>
        <v>7</v>
      </c>
      <c r="J74" s="30">
        <f>SUM('DATA B2'!I75-'DATA B2'!I74)+('DATA B2'!J75-'DATA B2'!J74)</f>
        <v>602</v>
      </c>
      <c r="K74" s="28">
        <f t="shared" si="16"/>
        <v>86</v>
      </c>
      <c r="L74" s="28">
        <f t="shared" si="17"/>
        <v>38.888888888888893</v>
      </c>
      <c r="M74" s="89">
        <f>SUM('WATER_STEAM RATIO'!Q74)</f>
        <v>7</v>
      </c>
      <c r="N74" s="9">
        <f>SUM('DATA B3'!H75-'DATA B3'!H74)</f>
        <v>330</v>
      </c>
      <c r="O74" s="88">
        <f t="shared" si="18"/>
        <v>47.142857142857146</v>
      </c>
      <c r="P74" s="15">
        <f t="shared" si="19"/>
        <v>43.75</v>
      </c>
    </row>
    <row r="75" spans="3:16">
      <c r="C75" s="292"/>
      <c r="D75" s="43">
        <v>0.79166666666666596</v>
      </c>
      <c r="E75" s="5">
        <f>SUM('WATER_STEAM RATIO'!E75)</f>
        <v>0</v>
      </c>
      <c r="F75" s="9">
        <f>SUM('DATA B1'!I76-'DATA B1'!I75)+('DATA B1'!J76-'DATA B1'!J75)</f>
        <v>0</v>
      </c>
      <c r="G75" s="28">
        <f t="shared" si="14"/>
        <v>0</v>
      </c>
      <c r="H75" s="28">
        <f t="shared" si="15"/>
        <v>0</v>
      </c>
      <c r="I75" s="24">
        <f>SUM('WATER_STEAM RATIO'!K75)</f>
        <v>8</v>
      </c>
      <c r="J75" s="30">
        <f>SUM('DATA B2'!I76-'DATA B2'!I75)+('DATA B2'!J76-'DATA B2'!J75)</f>
        <v>623</v>
      </c>
      <c r="K75" s="28">
        <f t="shared" si="16"/>
        <v>77.875</v>
      </c>
      <c r="L75" s="28">
        <f t="shared" si="17"/>
        <v>44.444444444444443</v>
      </c>
      <c r="M75" s="89">
        <f>SUM('WATER_STEAM RATIO'!Q75)</f>
        <v>7</v>
      </c>
      <c r="N75" s="9">
        <f>SUM('DATA B3'!H76-'DATA B3'!H75)</f>
        <v>338</v>
      </c>
      <c r="O75" s="88">
        <f t="shared" si="18"/>
        <v>48.285714285714285</v>
      </c>
      <c r="P75" s="15">
        <f t="shared" si="19"/>
        <v>43.75</v>
      </c>
    </row>
    <row r="76" spans="3:16">
      <c r="C76" s="292"/>
      <c r="D76" s="43">
        <v>0.83333333333333304</v>
      </c>
      <c r="E76" s="5">
        <f>SUM('WATER_STEAM RATIO'!E76)</f>
        <v>0</v>
      </c>
      <c r="F76" s="9">
        <f>SUM('DATA B1'!I77-'DATA B1'!I76)+('DATA B1'!J77-'DATA B1'!J76)</f>
        <v>0</v>
      </c>
      <c r="G76" s="28">
        <f t="shared" si="14"/>
        <v>0</v>
      </c>
      <c r="H76" s="28">
        <f t="shared" si="15"/>
        <v>0</v>
      </c>
      <c r="I76" s="24">
        <f>SUM('WATER_STEAM RATIO'!K76)</f>
        <v>15</v>
      </c>
      <c r="J76" s="30">
        <f>SUM('DATA B2'!I77-'DATA B2'!I76)+('DATA B2'!J77-'DATA B2'!J76)</f>
        <v>848</v>
      </c>
      <c r="K76" s="28">
        <f t="shared" si="16"/>
        <v>56.533333333333331</v>
      </c>
      <c r="L76" s="28">
        <f>IFERROR((I76/18)*100,0)</f>
        <v>83.333333333333343</v>
      </c>
      <c r="M76" s="89">
        <f>SUM('WATER_STEAM RATIO'!Q76)</f>
        <v>11</v>
      </c>
      <c r="N76" s="9">
        <f>SUM('DATA B3'!H77-'DATA B3'!H76)</f>
        <v>456</v>
      </c>
      <c r="O76" s="88">
        <f t="shared" si="18"/>
        <v>41.454545454545453</v>
      </c>
      <c r="P76" s="15">
        <f t="shared" si="19"/>
        <v>68.75</v>
      </c>
    </row>
    <row r="77" spans="3:16">
      <c r="C77" s="292"/>
      <c r="D77" s="43">
        <v>0.875</v>
      </c>
      <c r="E77" s="5">
        <f>SUM('WATER_STEAM RATIO'!E77)</f>
        <v>0</v>
      </c>
      <c r="F77" s="9">
        <f>SUM('DATA B1'!I78-'DATA B1'!I77)+('DATA B1'!J78-'DATA B1'!J77)</f>
        <v>0</v>
      </c>
      <c r="G77" s="28">
        <f t="shared" si="14"/>
        <v>0</v>
      </c>
      <c r="H77" s="28">
        <f t="shared" si="15"/>
        <v>0</v>
      </c>
      <c r="I77" s="24">
        <f>SUM('WATER_STEAM RATIO'!K77)</f>
        <v>9</v>
      </c>
      <c r="J77" s="30">
        <f>SUM('DATA B2'!I78-'DATA B2'!I77)+('DATA B2'!J78-'DATA B2'!J77)</f>
        <v>533</v>
      </c>
      <c r="K77" s="28">
        <f t="shared" si="16"/>
        <v>59.222222222222221</v>
      </c>
      <c r="L77" s="28">
        <f t="shared" ref="L77:L87" si="20">IFERROR((I77/18)*100,0)</f>
        <v>50</v>
      </c>
      <c r="M77" s="89">
        <f>SUM('WATER_STEAM RATIO'!Q77)</f>
        <v>6</v>
      </c>
      <c r="N77" s="9">
        <f>SUM('DATA B3'!H78-'DATA B3'!H77)</f>
        <v>287</v>
      </c>
      <c r="O77" s="88">
        <f t="shared" si="18"/>
        <v>47.833333333333336</v>
      </c>
      <c r="P77" s="15">
        <f t="shared" si="19"/>
        <v>37.5</v>
      </c>
    </row>
    <row r="78" spans="3:16">
      <c r="C78" s="292"/>
      <c r="D78" s="43">
        <v>0.91666666666666596</v>
      </c>
      <c r="E78" s="5">
        <f>SUM('WATER_STEAM RATIO'!E78)</f>
        <v>0</v>
      </c>
      <c r="F78" s="9">
        <f>SUM('DATA B1'!I79-'DATA B1'!I78)+('DATA B1'!J79-'DATA B1'!J78)</f>
        <v>0</v>
      </c>
      <c r="G78" s="28">
        <f t="shared" si="14"/>
        <v>0</v>
      </c>
      <c r="H78" s="28">
        <f t="shared" si="15"/>
        <v>0</v>
      </c>
      <c r="I78" s="24">
        <f>SUM('WATER_STEAM RATIO'!K78)</f>
        <v>9</v>
      </c>
      <c r="J78" s="30">
        <f>SUM('DATA B2'!I79-'DATA B2'!I78)+('DATA B2'!J79-'DATA B2'!J78)</f>
        <v>531</v>
      </c>
      <c r="K78" s="28">
        <f t="shared" si="16"/>
        <v>59</v>
      </c>
      <c r="L78" s="28">
        <f t="shared" si="20"/>
        <v>50</v>
      </c>
      <c r="M78" s="89">
        <f>SUM('WATER_STEAM RATIO'!Q78)</f>
        <v>6</v>
      </c>
      <c r="N78" s="9">
        <f>SUM('DATA B3'!H79-'DATA B3'!H78)</f>
        <v>298</v>
      </c>
      <c r="O78" s="88">
        <f t="shared" si="18"/>
        <v>49.666666666666664</v>
      </c>
      <c r="P78" s="15">
        <f>IFERROR((M78/16)*100,0)</f>
        <v>37.5</v>
      </c>
    </row>
    <row r="79" spans="3:16">
      <c r="C79" s="292"/>
      <c r="D79" s="43">
        <v>0.95833333333333304</v>
      </c>
      <c r="E79" s="5">
        <f>SUM('WATER_STEAM RATIO'!E79)</f>
        <v>0</v>
      </c>
      <c r="F79" s="9">
        <f>SUM('DATA B1'!I80-'DATA B1'!I79)+('DATA B1'!J80-'DATA B1'!J79)</f>
        <v>0</v>
      </c>
      <c r="G79" s="28">
        <f t="shared" si="14"/>
        <v>0</v>
      </c>
      <c r="H79" s="28">
        <f t="shared" si="15"/>
        <v>0</v>
      </c>
      <c r="I79" s="24">
        <f>SUM('WATER_STEAM RATIO'!K79)</f>
        <v>10</v>
      </c>
      <c r="J79" s="30">
        <f>SUM('DATA B2'!I80-'DATA B2'!I79)+('DATA B2'!J80-'DATA B2'!J79)</f>
        <v>594</v>
      </c>
      <c r="K79" s="28">
        <f t="shared" si="16"/>
        <v>59.4</v>
      </c>
      <c r="L79" s="28">
        <f t="shared" si="20"/>
        <v>55.555555555555557</v>
      </c>
      <c r="M79" s="89">
        <f>SUM('WATER_STEAM RATIO'!Q79)</f>
        <v>7</v>
      </c>
      <c r="N79" s="9">
        <f>SUM('DATA B3'!H80-'DATA B3'!H79)</f>
        <v>338</v>
      </c>
      <c r="O79" s="88">
        <f t="shared" si="18"/>
        <v>48.285714285714285</v>
      </c>
      <c r="P79" s="15">
        <f t="shared" si="19"/>
        <v>43.75</v>
      </c>
    </row>
    <row r="80" spans="3:16">
      <c r="C80" s="292"/>
      <c r="D80" s="43">
        <v>1</v>
      </c>
      <c r="E80" s="5">
        <f>SUM('WATER_STEAM RATIO'!E80)</f>
        <v>0</v>
      </c>
      <c r="F80" s="9">
        <f>SUM('DATA B1'!I81-'DATA B1'!I80)+('DATA B1'!J81-'DATA B1'!J80)</f>
        <v>0</v>
      </c>
      <c r="G80" s="28">
        <f t="shared" si="14"/>
        <v>0</v>
      </c>
      <c r="H80" s="28">
        <f t="shared" si="15"/>
        <v>0</v>
      </c>
      <c r="I80" s="24">
        <f>SUM('WATER_STEAM RATIO'!K80)</f>
        <v>10</v>
      </c>
      <c r="J80" s="30">
        <f>SUM('DATA B2'!I81-'DATA B2'!I80)+('DATA B2'!J81-'DATA B2'!J80)</f>
        <v>623</v>
      </c>
      <c r="K80" s="28">
        <f t="shared" si="16"/>
        <v>62.3</v>
      </c>
      <c r="L80" s="28">
        <f t="shared" si="20"/>
        <v>55.555555555555557</v>
      </c>
      <c r="M80" s="89">
        <f>SUM('WATER_STEAM RATIO'!Q80)</f>
        <v>7</v>
      </c>
      <c r="N80" s="9">
        <f>SUM('DATA B3'!H81-'DATA B3'!H80)</f>
        <v>332</v>
      </c>
      <c r="O80" s="88">
        <f t="shared" si="18"/>
        <v>47.428571428571431</v>
      </c>
      <c r="P80" s="15">
        <f t="shared" si="19"/>
        <v>43.75</v>
      </c>
    </row>
    <row r="81" spans="3:17">
      <c r="C81" s="292"/>
      <c r="D81" s="43">
        <v>1.0416666666666701</v>
      </c>
      <c r="E81" s="5">
        <f>SUM('WATER_STEAM RATIO'!E81)</f>
        <v>0</v>
      </c>
      <c r="F81" s="9">
        <f>SUM('DATA B1'!I82-'DATA B1'!I81)+('DATA B1'!J82-'DATA B1'!J81)</f>
        <v>0</v>
      </c>
      <c r="G81" s="28">
        <f t="shared" si="14"/>
        <v>0</v>
      </c>
      <c r="H81" s="28">
        <f t="shared" si="15"/>
        <v>0</v>
      </c>
      <c r="I81" s="24">
        <f>SUM('WATER_STEAM RATIO'!K81)</f>
        <v>10</v>
      </c>
      <c r="J81" s="30">
        <f>SUM('DATA B2'!I82-'DATA B2'!I81)+('DATA B2'!J82-'DATA B2'!J81)</f>
        <v>622</v>
      </c>
      <c r="K81" s="28">
        <f t="shared" si="16"/>
        <v>62.2</v>
      </c>
      <c r="L81" s="28">
        <f t="shared" si="20"/>
        <v>55.555555555555557</v>
      </c>
      <c r="M81" s="89">
        <f>SUM('WATER_STEAM RATIO'!Q81)</f>
        <v>7</v>
      </c>
      <c r="N81" s="9">
        <f>SUM('DATA B3'!H82-'DATA B3'!H81)</f>
        <v>334</v>
      </c>
      <c r="O81" s="88">
        <f t="shared" si="18"/>
        <v>47.714285714285715</v>
      </c>
      <c r="P81" s="15">
        <f t="shared" si="19"/>
        <v>43.75</v>
      </c>
    </row>
    <row r="82" spans="3:17">
      <c r="C82" s="292"/>
      <c r="D82" s="43">
        <v>1.0833333333333399</v>
      </c>
      <c r="E82" s="5">
        <f>SUM('WATER_STEAM RATIO'!E82)</f>
        <v>0</v>
      </c>
      <c r="F82" s="9">
        <f>SUM('DATA B1'!I83-'DATA B1'!I82)+('DATA B1'!J83-'DATA B1'!J82)</f>
        <v>0</v>
      </c>
      <c r="G82" s="28">
        <f t="shared" si="14"/>
        <v>0</v>
      </c>
      <c r="H82" s="28">
        <f t="shared" si="15"/>
        <v>0</v>
      </c>
      <c r="I82" s="24">
        <f>SUM('WATER_STEAM RATIO'!K82)</f>
        <v>10</v>
      </c>
      <c r="J82" s="30">
        <f>SUM('DATA B2'!I83-'DATA B2'!I82)+('DATA B2'!J83-'DATA B2'!J82)</f>
        <v>616</v>
      </c>
      <c r="K82" s="28">
        <f t="shared" si="16"/>
        <v>61.6</v>
      </c>
      <c r="L82" s="28">
        <f t="shared" si="20"/>
        <v>55.555555555555557</v>
      </c>
      <c r="M82" s="89">
        <f>SUM('WATER_STEAM RATIO'!Q82)</f>
        <v>7</v>
      </c>
      <c r="N82" s="9">
        <f>SUM('DATA B3'!H83-'DATA B3'!H82)</f>
        <v>336</v>
      </c>
      <c r="O82" s="88">
        <f t="shared" si="18"/>
        <v>48</v>
      </c>
      <c r="P82" s="15">
        <f t="shared" si="19"/>
        <v>43.75</v>
      </c>
    </row>
    <row r="83" spans="3:17">
      <c r="C83" s="292"/>
      <c r="D83" s="43">
        <v>1.125</v>
      </c>
      <c r="E83" s="5">
        <f>SUM('WATER_STEAM RATIO'!E83)</f>
        <v>0</v>
      </c>
      <c r="F83" s="9">
        <f>SUM('DATA B1'!I84-'DATA B1'!I83)+('DATA B1'!J84-'DATA B1'!J83)</f>
        <v>0</v>
      </c>
      <c r="G83" s="28">
        <f t="shared" si="14"/>
        <v>0</v>
      </c>
      <c r="H83" s="28">
        <f t="shared" si="15"/>
        <v>0</v>
      </c>
      <c r="I83" s="24">
        <f>SUM('WATER_STEAM RATIO'!K83)</f>
        <v>10</v>
      </c>
      <c r="J83" s="30">
        <f>SUM('DATA B2'!I84-'DATA B2'!I83)+('DATA B2'!J84-'DATA B2'!J83)</f>
        <v>620</v>
      </c>
      <c r="K83" s="28">
        <f t="shared" si="16"/>
        <v>62</v>
      </c>
      <c r="L83" s="28">
        <f t="shared" si="20"/>
        <v>55.555555555555557</v>
      </c>
      <c r="M83" s="89">
        <f>SUM('WATER_STEAM RATIO'!Q83)</f>
        <v>8</v>
      </c>
      <c r="N83" s="9">
        <f>SUM('DATA B3'!H84-'DATA B3'!H83)</f>
        <v>369</v>
      </c>
      <c r="O83" s="88">
        <f t="shared" ref="O83:O87" si="21">IFERROR(N83/(M83),0)</f>
        <v>46.125</v>
      </c>
      <c r="P83" s="15">
        <f t="shared" si="19"/>
        <v>50</v>
      </c>
    </row>
    <row r="84" spans="3:17">
      <c r="C84" s="292"/>
      <c r="D84" s="43">
        <v>1.1666666666666701</v>
      </c>
      <c r="E84" s="5">
        <f>SUM('WATER_STEAM RATIO'!E84)</f>
        <v>0</v>
      </c>
      <c r="F84" s="9">
        <f>SUM('DATA B1'!I85-'DATA B1'!I84)+('DATA B1'!J85-'DATA B1'!J84)</f>
        <v>0</v>
      </c>
      <c r="G84" s="28">
        <f t="shared" si="14"/>
        <v>0</v>
      </c>
      <c r="H84" s="28">
        <f t="shared" si="15"/>
        <v>0</v>
      </c>
      <c r="I84" s="24">
        <f>SUM('WATER_STEAM RATIO'!K84)</f>
        <v>10</v>
      </c>
      <c r="J84" s="30">
        <f>SUM('DATA B2'!I85-'DATA B2'!I84)+('DATA B2'!J85-'DATA B2'!J84)</f>
        <v>605</v>
      </c>
      <c r="K84" s="28">
        <f>IFERROR(J84/(I84),0)</f>
        <v>60.5</v>
      </c>
      <c r="L84" s="28">
        <f t="shared" si="20"/>
        <v>55.555555555555557</v>
      </c>
      <c r="M84" s="89">
        <f>SUM('WATER_STEAM RATIO'!Q84)</f>
        <v>6</v>
      </c>
      <c r="N84" s="9">
        <f>SUM('DATA B3'!H85-'DATA B3'!H84)</f>
        <v>296</v>
      </c>
      <c r="O84" s="88">
        <f t="shared" si="21"/>
        <v>49.333333333333336</v>
      </c>
      <c r="P84" s="15">
        <f t="shared" si="19"/>
        <v>37.5</v>
      </c>
    </row>
    <row r="85" spans="3:17">
      <c r="C85" s="292"/>
      <c r="D85" s="43">
        <v>1.2083333333333399</v>
      </c>
      <c r="E85" s="5">
        <f>SUM('WATER_STEAM RATIO'!E85)</f>
        <v>0</v>
      </c>
      <c r="F85" s="9">
        <f>SUM('DATA B1'!I86-'DATA B1'!I85)+('DATA B1'!J86-'DATA B1'!J85)</f>
        <v>0</v>
      </c>
      <c r="G85" s="28">
        <f t="shared" si="14"/>
        <v>0</v>
      </c>
      <c r="H85" s="28">
        <f t="shared" si="15"/>
        <v>0</v>
      </c>
      <c r="I85" s="24">
        <f>SUM('WATER_STEAM RATIO'!K85)</f>
        <v>10</v>
      </c>
      <c r="J85" s="30">
        <f>SUM('DATA B2'!I86-'DATA B2'!I85)+('DATA B2'!J86-'DATA B2'!J85)</f>
        <v>607</v>
      </c>
      <c r="K85" s="28">
        <f>IFERROR(J85/(I85),0)</f>
        <v>60.7</v>
      </c>
      <c r="L85" s="28">
        <f t="shared" si="20"/>
        <v>55.555555555555557</v>
      </c>
      <c r="M85" s="89">
        <f>SUM('WATER_STEAM RATIO'!Q85)</f>
        <v>6</v>
      </c>
      <c r="N85" s="9">
        <f>SUM('DATA B3'!H86-'DATA B3'!H85)</f>
        <v>295</v>
      </c>
      <c r="O85" s="88">
        <f t="shared" si="21"/>
        <v>49.166666666666664</v>
      </c>
      <c r="P85" s="15">
        <f t="shared" si="19"/>
        <v>37.5</v>
      </c>
    </row>
    <row r="86" spans="3:17">
      <c r="C86" s="292"/>
      <c r="D86" s="43">
        <v>1.25</v>
      </c>
      <c r="E86" s="5">
        <f>SUM('WATER_STEAM RATIO'!E86)</f>
        <v>0</v>
      </c>
      <c r="F86" s="9">
        <f>SUM('DATA B1'!I87-'DATA B1'!I86)+('DATA B1'!J87-'DATA B1'!J86)</f>
        <v>0</v>
      </c>
      <c r="G86" s="28">
        <f t="shared" si="14"/>
        <v>0</v>
      </c>
      <c r="H86" s="28">
        <f t="shared" si="15"/>
        <v>0</v>
      </c>
      <c r="I86" s="24">
        <f>SUM('WATER_STEAM RATIO'!K86)</f>
        <v>10</v>
      </c>
      <c r="J86" s="30">
        <f>SUM('DATA B2'!I87-'DATA B2'!I86)+('DATA B2'!J87-'DATA B2'!J86)</f>
        <v>604</v>
      </c>
      <c r="K86" s="28">
        <f>IFERROR(J86/(I86),0)</f>
        <v>60.4</v>
      </c>
      <c r="L86" s="28">
        <f t="shared" si="20"/>
        <v>55.555555555555557</v>
      </c>
      <c r="M86" s="89">
        <f>SUM('WATER_STEAM RATIO'!Q86)</f>
        <v>6</v>
      </c>
      <c r="N86" s="9">
        <f>SUM('DATA B3'!H87-'DATA B3'!H86)</f>
        <v>296</v>
      </c>
      <c r="O86" s="88">
        <f t="shared" si="21"/>
        <v>49.333333333333336</v>
      </c>
      <c r="P86" s="15">
        <f t="shared" si="19"/>
        <v>37.5</v>
      </c>
    </row>
    <row r="87" spans="3:17">
      <c r="C87" s="292"/>
      <c r="D87" s="43">
        <v>1.2916666666666701</v>
      </c>
      <c r="E87" s="5">
        <f>SUM('WATER_STEAM RATIO'!E87)</f>
        <v>0</v>
      </c>
      <c r="F87" s="9">
        <f>SUM('DATA B1'!I88-'DATA B1'!I87)+('DATA B1'!J88-'DATA B1'!J87)</f>
        <v>0</v>
      </c>
      <c r="G87" s="28">
        <f t="shared" si="14"/>
        <v>0</v>
      </c>
      <c r="H87" s="28">
        <f t="shared" si="15"/>
        <v>0</v>
      </c>
      <c r="I87" s="24">
        <f>SUM('WATER_STEAM RATIO'!K87)</f>
        <v>11</v>
      </c>
      <c r="J87" s="30">
        <f>SUM('DATA B2'!I88-'DATA B2'!I87)+('DATA B2'!J88-'DATA B2'!J87)</f>
        <v>621</v>
      </c>
      <c r="K87" s="28">
        <f>IFERROR(J87/(I87),0)</f>
        <v>56.454545454545453</v>
      </c>
      <c r="L87" s="28">
        <f t="shared" si="20"/>
        <v>61.111111111111114</v>
      </c>
      <c r="M87" s="89">
        <f>SUM('WATER_STEAM RATIO'!Q87)</f>
        <v>7</v>
      </c>
      <c r="N87" s="9">
        <f>SUM('DATA B3'!H88-'DATA B3'!H87)</f>
        <v>339</v>
      </c>
      <c r="O87" s="88">
        <f t="shared" si="21"/>
        <v>48.428571428571431</v>
      </c>
      <c r="P87" s="15">
        <f t="shared" si="19"/>
        <v>43.75</v>
      </c>
    </row>
    <row r="88" spans="3:17">
      <c r="C88" s="293"/>
      <c r="D88" s="258"/>
      <c r="E88" s="91">
        <f>SUMIF(E63:E87,"&gt;=0",E63:E87)</f>
        <v>0</v>
      </c>
      <c r="F88" s="91">
        <f>SUMIF(F63:F87,"&gt;=0",F63:F87)</f>
        <v>0</v>
      </c>
      <c r="G88" s="54">
        <f>IFERROR(F88/E88,0)</f>
        <v>0</v>
      </c>
      <c r="H88" s="54">
        <f>IFERROR(AVERAGE(H64:H87),0)</f>
        <v>0</v>
      </c>
      <c r="I88" s="91">
        <f>SUMIF(I63:I87,"&gt;=0",I63:I87)</f>
        <v>260</v>
      </c>
      <c r="J88" s="91">
        <f>SUMIF(J63:J87,"&gt;=0",J63:J87)</f>
        <v>15212</v>
      </c>
      <c r="K88" s="54">
        <f>IFERROR(J88/(I88),0)</f>
        <v>58.507692307692309</v>
      </c>
      <c r="L88" s="54">
        <f>IFERROR(AVERAGE(L64:L87),0)</f>
        <v>57.638888888888914</v>
      </c>
      <c r="M88" s="91">
        <f>SUMIF(M63:M87,"&gt;=0",M63:M87)</f>
        <v>179</v>
      </c>
      <c r="N88" s="91">
        <f>SUMIF(N63:N87,"&gt;=0",N63:N87)</f>
        <v>8058</v>
      </c>
      <c r="O88" s="239">
        <f>IFERROR(N88/(M88),0)</f>
        <v>45.016759776536311</v>
      </c>
      <c r="P88" s="215">
        <f>IFERROR(AVERAGE(P64:P87),0)</f>
        <v>44.791666666666664</v>
      </c>
    </row>
    <row r="89" spans="3:17" ht="15" customHeight="1">
      <c r="C89" s="291">
        <f>SUM('WATER_STEAM RATIO'!B89:B114)</f>
        <v>46026</v>
      </c>
      <c r="D89" s="43">
        <v>0.29166666666666669</v>
      </c>
      <c r="E89" s="5">
        <f>SUM('WATER_STEAM RATIO'!E89)</f>
        <v>0</v>
      </c>
      <c r="F89" s="9"/>
      <c r="G89" s="28"/>
      <c r="H89" s="28"/>
      <c r="I89" s="24">
        <f>SUM('WATER_STEAM RATIO'!K89)</f>
        <v>11</v>
      </c>
      <c r="J89" s="30"/>
      <c r="K89" s="28"/>
      <c r="L89" s="28"/>
      <c r="M89" s="89">
        <f>SUM('WATER_STEAM RATIO'!Q89)</f>
        <v>7</v>
      </c>
      <c r="N89" s="9"/>
      <c r="O89" s="88"/>
      <c r="P89" s="15"/>
    </row>
    <row r="90" spans="3:17">
      <c r="C90" s="292"/>
      <c r="D90" s="43">
        <v>0.33333333333333298</v>
      </c>
      <c r="E90" s="5">
        <f>SUM('WATER_STEAM RATIO'!E90)</f>
        <v>0</v>
      </c>
      <c r="F90" s="9">
        <f>SUM('DATA B1'!I91-'DATA B1'!I90)+('DATA B1'!J91-'DATA B1'!J90)</f>
        <v>0</v>
      </c>
      <c r="G90" s="28">
        <f>IFERROR(F90/(E90),0)</f>
        <v>0</v>
      </c>
      <c r="H90" s="28">
        <f>IFERROR((E90/18)*100,0)</f>
        <v>0</v>
      </c>
      <c r="I90" s="24">
        <f>SUM('WATER_STEAM RATIO'!K90)</f>
        <v>13</v>
      </c>
      <c r="J90" s="30">
        <f>SUM('DATA B2'!I91-'DATA B2'!I90)+('DATA B2'!J91-'DATA B2'!J90)</f>
        <v>868</v>
      </c>
      <c r="K90" s="28">
        <f>IFERROR(J90/(I90),0)</f>
        <v>66.769230769230774</v>
      </c>
      <c r="L90" s="28">
        <f>IFERROR((I90/18)*100,0)</f>
        <v>72.222222222222214</v>
      </c>
      <c r="M90" s="89">
        <f>SUM('WATER_STEAM RATIO'!Q90)</f>
        <v>9</v>
      </c>
      <c r="N90" s="9">
        <f>SUM('DATA B3'!H91-'DATA B3'!H90)</f>
        <v>365</v>
      </c>
      <c r="O90" s="88">
        <f>IFERROR(N90/(M90),0)</f>
        <v>40.555555555555557</v>
      </c>
      <c r="P90" s="15">
        <f>IFERROR((M90/16)*100,0)</f>
        <v>56.25</v>
      </c>
    </row>
    <row r="91" spans="3:17">
      <c r="C91" s="292"/>
      <c r="D91" s="43">
        <v>0.375</v>
      </c>
      <c r="E91" s="5">
        <f>SUM('WATER_STEAM RATIO'!E91)</f>
        <v>0</v>
      </c>
      <c r="F91" s="9">
        <f>SUM('DATA B1'!I92-'DATA B1'!I91)+('DATA B1'!J92-'DATA B1'!J91)</f>
        <v>0</v>
      </c>
      <c r="G91" s="28">
        <f t="shared" ref="G91:G113" si="22">IFERROR(F91/(E91),0)</f>
        <v>0</v>
      </c>
      <c r="H91" s="28">
        <f t="shared" ref="H91:H113" si="23">IFERROR((E91/18)*100,0)</f>
        <v>0</v>
      </c>
      <c r="I91" s="24">
        <f>SUM('WATER_STEAM RATIO'!K91)</f>
        <v>10</v>
      </c>
      <c r="J91" s="30">
        <f>SUM('DATA B2'!I92-'DATA B2'!I91)+('DATA B2'!J92-'DATA B2'!J91)</f>
        <v>581</v>
      </c>
      <c r="K91" s="28">
        <f t="shared" ref="K91:K109" si="24">IFERROR(J91/(I91),0)</f>
        <v>58.1</v>
      </c>
      <c r="L91" s="28">
        <f t="shared" ref="L91:L101" si="25">IFERROR((I91/18)*100,0)</f>
        <v>55.555555555555557</v>
      </c>
      <c r="M91" s="89">
        <f>SUM('WATER_STEAM RATIO'!Q91)</f>
        <v>6</v>
      </c>
      <c r="N91" s="9">
        <f>SUM('DATA B3'!H92-'DATA B3'!H91)</f>
        <v>280</v>
      </c>
      <c r="O91" s="88">
        <f t="shared" ref="O91:O108" si="26">IFERROR(N91/(M91),0)</f>
        <v>46.666666666666664</v>
      </c>
      <c r="P91" s="15">
        <f t="shared" ref="P91:P113" si="27">IFERROR((M91/16)*100,0)</f>
        <v>37.5</v>
      </c>
    </row>
    <row r="92" spans="3:17">
      <c r="C92" s="292"/>
      <c r="D92" s="43">
        <v>0.41666666666666702</v>
      </c>
      <c r="E92" s="5">
        <f>SUM('WATER_STEAM RATIO'!E92)</f>
        <v>0</v>
      </c>
      <c r="F92" s="9">
        <f>SUM('DATA B1'!I93-'DATA B1'!I92)+('DATA B1'!J93-'DATA B1'!J92)</f>
        <v>0</v>
      </c>
      <c r="G92" s="28">
        <f t="shared" si="22"/>
        <v>0</v>
      </c>
      <c r="H92" s="28">
        <f t="shared" si="23"/>
        <v>0</v>
      </c>
      <c r="I92" s="24">
        <f>SUM('WATER_STEAM RATIO'!K92)</f>
        <v>10</v>
      </c>
      <c r="J92" s="30">
        <f>SUM('DATA B2'!I93-'DATA B2'!I92)+('DATA B2'!J93-'DATA B2'!J92)</f>
        <v>579</v>
      </c>
      <c r="K92" s="28">
        <f t="shared" si="24"/>
        <v>57.9</v>
      </c>
      <c r="L92" s="28">
        <f t="shared" si="25"/>
        <v>55.555555555555557</v>
      </c>
      <c r="M92" s="89">
        <f>SUM('WATER_STEAM RATIO'!Q92)</f>
        <v>6</v>
      </c>
      <c r="N92" s="9">
        <f>SUM('DATA B3'!H93-'DATA B3'!H92)</f>
        <v>284</v>
      </c>
      <c r="O92" s="88">
        <f t="shared" si="26"/>
        <v>47.333333333333336</v>
      </c>
      <c r="P92" s="15">
        <f t="shared" si="27"/>
        <v>37.5</v>
      </c>
    </row>
    <row r="93" spans="3:17">
      <c r="C93" s="292"/>
      <c r="D93" s="43">
        <v>0.45833333333333298</v>
      </c>
      <c r="E93" s="5">
        <f>SUM('WATER_STEAM RATIO'!E93)</f>
        <v>0</v>
      </c>
      <c r="F93" s="9">
        <f>SUM('DATA B1'!I94-'DATA B1'!I93)+('DATA B1'!J94-'DATA B1'!J93)</f>
        <v>0</v>
      </c>
      <c r="G93" s="28">
        <f t="shared" si="22"/>
        <v>0</v>
      </c>
      <c r="H93" s="28">
        <f t="shared" si="23"/>
        <v>0</v>
      </c>
      <c r="I93" s="24">
        <f>SUM('WATER_STEAM RATIO'!K93)</f>
        <v>10</v>
      </c>
      <c r="J93" s="30">
        <f>SUM('DATA B2'!I94-'DATA B2'!I93)+('DATA B2'!J94-'DATA B2'!J93)</f>
        <v>575</v>
      </c>
      <c r="K93" s="28">
        <f t="shared" si="24"/>
        <v>57.5</v>
      </c>
      <c r="L93" s="28">
        <f t="shared" si="25"/>
        <v>55.555555555555557</v>
      </c>
      <c r="M93" s="89">
        <f>SUM('WATER_STEAM RATIO'!Q93)</f>
        <v>6</v>
      </c>
      <c r="N93" s="9">
        <f>SUM('DATA B3'!H94-'DATA B3'!H93)</f>
        <v>278</v>
      </c>
      <c r="O93" s="88">
        <f t="shared" si="26"/>
        <v>46.333333333333336</v>
      </c>
      <c r="P93" s="15">
        <f t="shared" si="27"/>
        <v>37.5</v>
      </c>
    </row>
    <row r="94" spans="3:17">
      <c r="C94" s="292"/>
      <c r="D94" s="43">
        <v>0.5</v>
      </c>
      <c r="E94" s="5">
        <f>SUM('WATER_STEAM RATIO'!E94)</f>
        <v>0</v>
      </c>
      <c r="F94" s="9">
        <f>SUM('DATA B1'!I95-'DATA B1'!I94)+('DATA B1'!J95-'DATA B1'!J94)</f>
        <v>0</v>
      </c>
      <c r="G94" s="28">
        <f t="shared" si="22"/>
        <v>0</v>
      </c>
      <c r="H94" s="28">
        <f t="shared" si="23"/>
        <v>0</v>
      </c>
      <c r="I94" s="24">
        <f>SUM('WATER_STEAM RATIO'!K94)</f>
        <v>12</v>
      </c>
      <c r="J94" s="30">
        <f>SUM('DATA B2'!I95-'DATA B2'!I94)+('DATA B2'!J95-'DATA B2'!J94)</f>
        <v>673</v>
      </c>
      <c r="K94" s="28">
        <f t="shared" si="24"/>
        <v>56.083333333333336</v>
      </c>
      <c r="L94" s="28">
        <f t="shared" si="25"/>
        <v>66.666666666666657</v>
      </c>
      <c r="M94" s="89">
        <f>SUM('WATER_STEAM RATIO'!Q94)</f>
        <v>6</v>
      </c>
      <c r="N94" s="9">
        <f>SUM('DATA B3'!H95-'DATA B3'!H94)</f>
        <v>303</v>
      </c>
      <c r="O94" s="88">
        <f t="shared" si="26"/>
        <v>50.5</v>
      </c>
      <c r="P94" s="15">
        <f t="shared" si="27"/>
        <v>37.5</v>
      </c>
    </row>
    <row r="95" spans="3:17">
      <c r="C95" s="292"/>
      <c r="D95" s="43">
        <v>0.54166666666666696</v>
      </c>
      <c r="E95" s="5">
        <f>SUM('WATER_STEAM RATIO'!E95)</f>
        <v>0</v>
      </c>
      <c r="F95" s="9">
        <f>SUM('DATA B1'!I96-'DATA B1'!I95)+('DATA B1'!J96-'DATA B1'!J95)</f>
        <v>0</v>
      </c>
      <c r="G95" s="28">
        <f t="shared" si="22"/>
        <v>0</v>
      </c>
      <c r="H95" s="28">
        <f t="shared" si="23"/>
        <v>0</v>
      </c>
      <c r="I95" s="24">
        <f>SUM('WATER_STEAM RATIO'!K95)</f>
        <v>13</v>
      </c>
      <c r="J95" s="30">
        <f>SUM('DATA B2'!I96-'DATA B2'!I95)+('DATA B2'!J96-'DATA B2'!J95)</f>
        <v>679</v>
      </c>
      <c r="K95" s="28">
        <f t="shared" si="24"/>
        <v>52.230769230769234</v>
      </c>
      <c r="L95" s="28">
        <f t="shared" si="25"/>
        <v>72.222222222222214</v>
      </c>
      <c r="M95" s="89">
        <f>SUM('WATER_STEAM RATIO'!Q95)</f>
        <v>7</v>
      </c>
      <c r="N95" s="9">
        <f>SUM('DATA B3'!H96-'DATA B3'!H95)</f>
        <v>307</v>
      </c>
      <c r="O95" s="88">
        <f t="shared" si="26"/>
        <v>43.857142857142854</v>
      </c>
      <c r="P95" s="15">
        <f t="shared" si="27"/>
        <v>43.75</v>
      </c>
      <c r="Q95" t="s">
        <v>59</v>
      </c>
    </row>
    <row r="96" spans="3:17">
      <c r="C96" s="292"/>
      <c r="D96" s="43">
        <v>0.58333333333333304</v>
      </c>
      <c r="E96" s="5">
        <f>SUM('WATER_STEAM RATIO'!E96)</f>
        <v>0</v>
      </c>
      <c r="F96" s="9">
        <f>SUM('DATA B1'!I97-'DATA B1'!I96)+('DATA B1'!J97-'DATA B1'!J96)</f>
        <v>0</v>
      </c>
      <c r="G96" s="28">
        <f t="shared" si="22"/>
        <v>0</v>
      </c>
      <c r="H96" s="28">
        <f t="shared" si="23"/>
        <v>0</v>
      </c>
      <c r="I96" s="24">
        <f>SUM('WATER_STEAM RATIO'!K96)</f>
        <v>13</v>
      </c>
      <c r="J96" s="30">
        <f>SUM('DATA B2'!I97-'DATA B2'!I96)+('DATA B2'!J97-'DATA B2'!J96)</f>
        <v>666</v>
      </c>
      <c r="K96" s="28">
        <f t="shared" si="24"/>
        <v>51.230769230769234</v>
      </c>
      <c r="L96" s="28">
        <f t="shared" si="25"/>
        <v>72.222222222222214</v>
      </c>
      <c r="M96" s="89">
        <f>SUM('WATER_STEAM RATIO'!Q96)</f>
        <v>6</v>
      </c>
      <c r="N96" s="9">
        <f>SUM('DATA B3'!H97-'DATA B3'!H96)</f>
        <v>300</v>
      </c>
      <c r="O96" s="88">
        <f t="shared" si="26"/>
        <v>50</v>
      </c>
      <c r="P96" s="15">
        <f t="shared" si="27"/>
        <v>37.5</v>
      </c>
    </row>
    <row r="97" spans="3:17">
      <c r="C97" s="292"/>
      <c r="D97" s="43">
        <v>0.625</v>
      </c>
      <c r="E97" s="5">
        <f>SUM('WATER_STEAM RATIO'!E97)</f>
        <v>0</v>
      </c>
      <c r="F97" s="9">
        <f>SUM('DATA B1'!I98-'DATA B1'!I97)+('DATA B1'!J98-'DATA B1'!J97)</f>
        <v>0</v>
      </c>
      <c r="G97" s="28">
        <f t="shared" si="22"/>
        <v>0</v>
      </c>
      <c r="H97" s="28">
        <f t="shared" si="23"/>
        <v>0</v>
      </c>
      <c r="I97" s="24">
        <f>SUM('WATER_STEAM RATIO'!K97)</f>
        <v>12</v>
      </c>
      <c r="J97" s="30">
        <f>SUM('DATA B2'!I98-'DATA B2'!I97)+('DATA B2'!J98-'DATA B2'!J97)</f>
        <v>689</v>
      </c>
      <c r="K97" s="28">
        <f t="shared" si="24"/>
        <v>57.416666666666664</v>
      </c>
      <c r="L97" s="28">
        <f t="shared" si="25"/>
        <v>66.666666666666657</v>
      </c>
      <c r="M97" s="89">
        <f>SUM('WATER_STEAM RATIO'!Q97)</f>
        <v>7</v>
      </c>
      <c r="N97" s="9">
        <f>SUM('DATA B3'!H98-'DATA B3'!H97)</f>
        <v>313</v>
      </c>
      <c r="O97" s="88">
        <f t="shared" si="26"/>
        <v>44.714285714285715</v>
      </c>
      <c r="P97" s="15">
        <f t="shared" si="27"/>
        <v>43.75</v>
      </c>
    </row>
    <row r="98" spans="3:17">
      <c r="C98" s="292"/>
      <c r="D98" s="43">
        <v>0.66666666666666596</v>
      </c>
      <c r="E98" s="5">
        <f>SUM('WATER_STEAM RATIO'!E98)</f>
        <v>0</v>
      </c>
      <c r="F98" s="9">
        <f>SUM('DATA B1'!I99-'DATA B1'!I98)+('DATA B1'!J99-'DATA B1'!J98)</f>
        <v>0</v>
      </c>
      <c r="G98" s="28">
        <f t="shared" si="22"/>
        <v>0</v>
      </c>
      <c r="H98" s="28">
        <f t="shared" si="23"/>
        <v>0</v>
      </c>
      <c r="I98" s="24">
        <f>SUM('WATER_STEAM RATIO'!K98)</f>
        <v>9</v>
      </c>
      <c r="J98" s="30">
        <f>SUM('DATA B2'!I99-'DATA B2'!I98)+('DATA B2'!J99-'DATA B2'!J98)</f>
        <v>632</v>
      </c>
      <c r="K98" s="28">
        <f t="shared" si="24"/>
        <v>70.222222222222229</v>
      </c>
      <c r="L98" s="28">
        <f t="shared" si="25"/>
        <v>50</v>
      </c>
      <c r="M98" s="89">
        <f>SUM('WATER_STEAM RATIO'!Q98)</f>
        <v>6</v>
      </c>
      <c r="N98" s="9">
        <f>SUM('DATA B3'!H99-'DATA B3'!H98)</f>
        <v>285</v>
      </c>
      <c r="O98" s="88">
        <f t="shared" si="26"/>
        <v>47.5</v>
      </c>
      <c r="P98" s="15">
        <f t="shared" si="27"/>
        <v>37.5</v>
      </c>
    </row>
    <row r="99" spans="3:17">
      <c r="C99" s="292"/>
      <c r="D99" s="43">
        <v>0.70833333333333304</v>
      </c>
      <c r="E99" s="5">
        <f>SUM('WATER_STEAM RATIO'!E99)</f>
        <v>0</v>
      </c>
      <c r="F99" s="9">
        <f>SUM('DATA B1'!I100-'DATA B1'!I99)+('DATA B1'!J100-'DATA B1'!J99)</f>
        <v>0</v>
      </c>
      <c r="G99" s="28">
        <f t="shared" si="22"/>
        <v>0</v>
      </c>
      <c r="H99" s="28">
        <f t="shared" si="23"/>
        <v>0</v>
      </c>
      <c r="I99" s="24">
        <f>SUM('WATER_STEAM RATIO'!K99)</f>
        <v>8</v>
      </c>
      <c r="J99" s="30">
        <f>SUM('DATA B2'!I100-'DATA B2'!I99)+('DATA B2'!J100-'DATA B2'!J99)</f>
        <v>640</v>
      </c>
      <c r="K99" s="28">
        <f t="shared" si="24"/>
        <v>80</v>
      </c>
      <c r="L99" s="28">
        <f t="shared" si="25"/>
        <v>44.444444444444443</v>
      </c>
      <c r="M99" s="89">
        <f>SUM('WATER_STEAM RATIO'!Q99)</f>
        <v>5</v>
      </c>
      <c r="N99" s="9">
        <f>SUM('DATA B3'!H100-'DATA B3'!H99)</f>
        <v>289</v>
      </c>
      <c r="O99" s="88">
        <f t="shared" si="26"/>
        <v>57.8</v>
      </c>
      <c r="P99" s="15">
        <f t="shared" si="27"/>
        <v>31.25</v>
      </c>
    </row>
    <row r="100" spans="3:17">
      <c r="C100" s="292"/>
      <c r="D100" s="43">
        <v>0.75</v>
      </c>
      <c r="E100" s="5">
        <f>SUM('WATER_STEAM RATIO'!E100)</f>
        <v>0</v>
      </c>
      <c r="F100" s="9">
        <f>SUM('DATA B1'!I101-'DATA B1'!I100)+('DATA B1'!J101-'DATA B1'!J100)</f>
        <v>0</v>
      </c>
      <c r="G100" s="28">
        <f t="shared" si="22"/>
        <v>0</v>
      </c>
      <c r="H100" s="28">
        <f t="shared" si="23"/>
        <v>0</v>
      </c>
      <c r="I100" s="24">
        <f>SUM('WATER_STEAM RATIO'!K100)</f>
        <v>7</v>
      </c>
      <c r="J100" s="30">
        <f>SUM('DATA B2'!I101-'DATA B2'!I100)+('DATA B2'!J101-'DATA B2'!J100)</f>
        <v>626</v>
      </c>
      <c r="K100" s="28">
        <f t="shared" si="24"/>
        <v>89.428571428571431</v>
      </c>
      <c r="L100" s="28">
        <f t="shared" si="25"/>
        <v>38.888888888888893</v>
      </c>
      <c r="M100" s="89">
        <f>SUM('WATER_STEAM RATIO'!Q100)</f>
        <v>6</v>
      </c>
      <c r="N100" s="9">
        <f>SUM('DATA B3'!H101-'DATA B3'!H100)</f>
        <v>282</v>
      </c>
      <c r="O100" s="88">
        <f t="shared" si="26"/>
        <v>47</v>
      </c>
      <c r="P100" s="15">
        <f t="shared" si="27"/>
        <v>37.5</v>
      </c>
      <c r="Q100" t="s">
        <v>59</v>
      </c>
    </row>
    <row r="101" spans="3:17">
      <c r="C101" s="292"/>
      <c r="D101" s="43">
        <v>0.79166666666666596</v>
      </c>
      <c r="E101" s="5">
        <f>SUM('WATER_STEAM RATIO'!E101)</f>
        <v>0</v>
      </c>
      <c r="F101" s="9">
        <f>SUM('DATA B1'!I102-'DATA B1'!I101)+('DATA B1'!J102-'DATA B1'!J101)</f>
        <v>0</v>
      </c>
      <c r="G101" s="28">
        <f t="shared" si="22"/>
        <v>0</v>
      </c>
      <c r="H101" s="28">
        <f t="shared" si="23"/>
        <v>0</v>
      </c>
      <c r="I101" s="24">
        <f>SUM('WATER_STEAM RATIO'!K101)</f>
        <v>10</v>
      </c>
      <c r="J101" s="30">
        <f>SUM('DATA B2'!I102-'DATA B2'!I101)+('DATA B2'!J102-'DATA B2'!J101)</f>
        <v>651</v>
      </c>
      <c r="K101" s="28">
        <f t="shared" si="24"/>
        <v>65.099999999999994</v>
      </c>
      <c r="L101" s="28">
        <f t="shared" si="25"/>
        <v>55.555555555555557</v>
      </c>
      <c r="M101" s="89">
        <f>SUM('WATER_STEAM RATIO'!Q101)</f>
        <v>5</v>
      </c>
      <c r="N101" s="9">
        <f>SUM('DATA B3'!H102-'DATA B3'!H101)</f>
        <v>292</v>
      </c>
      <c r="O101" s="88">
        <f t="shared" si="26"/>
        <v>58.4</v>
      </c>
      <c r="P101" s="15">
        <f t="shared" si="27"/>
        <v>31.25</v>
      </c>
    </row>
    <row r="102" spans="3:17">
      <c r="C102" s="292"/>
      <c r="D102" s="43">
        <v>0.83333333333333304</v>
      </c>
      <c r="E102" s="5">
        <f>SUM('WATER_STEAM RATIO'!E102)</f>
        <v>0</v>
      </c>
      <c r="F102" s="9">
        <f>SUM('DATA B1'!I103-'DATA B1'!I102)+('DATA B1'!J103-'DATA B1'!J102)</f>
        <v>0</v>
      </c>
      <c r="G102" s="28">
        <f t="shared" si="22"/>
        <v>0</v>
      </c>
      <c r="H102" s="28">
        <f t="shared" si="23"/>
        <v>0</v>
      </c>
      <c r="I102" s="24">
        <f>SUM('WATER_STEAM RATIO'!K102)</f>
        <v>15</v>
      </c>
      <c r="J102" s="30">
        <f>SUM('DATA B2'!I103-'DATA B2'!I102)+('DATA B2'!J103-'DATA B2'!J102)</f>
        <v>935</v>
      </c>
      <c r="K102" s="28">
        <f t="shared" si="24"/>
        <v>62.333333333333336</v>
      </c>
      <c r="L102" s="28">
        <f>IFERROR((I102/18)*100,0)</f>
        <v>83.333333333333343</v>
      </c>
      <c r="M102" s="89">
        <f>SUM('WATER_STEAM RATIO'!Q102)</f>
        <v>9</v>
      </c>
      <c r="N102" s="9">
        <f>SUM('DATA B3'!H103-'DATA B3'!H102)</f>
        <v>410</v>
      </c>
      <c r="O102" s="88">
        <f t="shared" si="26"/>
        <v>45.555555555555557</v>
      </c>
      <c r="P102" s="15">
        <f t="shared" si="27"/>
        <v>56.25</v>
      </c>
    </row>
    <row r="103" spans="3:17">
      <c r="C103" s="292"/>
      <c r="D103" s="43">
        <v>0.875</v>
      </c>
      <c r="E103" s="5">
        <f>SUM('WATER_STEAM RATIO'!E103)</f>
        <v>0</v>
      </c>
      <c r="F103" s="9">
        <f>SUM('DATA B1'!I104-'DATA B1'!I103)+('DATA B1'!J104-'DATA B1'!J103)</f>
        <v>0</v>
      </c>
      <c r="G103" s="28">
        <f t="shared" si="22"/>
        <v>0</v>
      </c>
      <c r="H103" s="28">
        <f t="shared" si="23"/>
        <v>0</v>
      </c>
      <c r="I103" s="24">
        <f>SUM('WATER_STEAM RATIO'!K103)</f>
        <v>10</v>
      </c>
      <c r="J103" s="30">
        <f>SUM('DATA B2'!I104-'DATA B2'!I103)+('DATA B2'!J104-'DATA B2'!J103)</f>
        <v>555</v>
      </c>
      <c r="K103" s="28">
        <f t="shared" si="24"/>
        <v>55.5</v>
      </c>
      <c r="L103" s="28">
        <f t="shared" ref="L103:L113" si="28">IFERROR((I103/18)*100,0)</f>
        <v>55.555555555555557</v>
      </c>
      <c r="M103" s="89">
        <f>SUM('WATER_STEAM RATIO'!Q103)</f>
        <v>6</v>
      </c>
      <c r="N103" s="9">
        <f>SUM('DATA B3'!H104-'DATA B3'!H103)</f>
        <v>245</v>
      </c>
      <c r="O103" s="88">
        <f t="shared" si="26"/>
        <v>40.833333333333336</v>
      </c>
      <c r="P103" s="15">
        <f t="shared" si="27"/>
        <v>37.5</v>
      </c>
    </row>
    <row r="104" spans="3:17">
      <c r="C104" s="292"/>
      <c r="D104" s="43">
        <v>0.91666666666666596</v>
      </c>
      <c r="E104" s="5">
        <f>SUM('WATER_STEAM RATIO'!E104)</f>
        <v>0</v>
      </c>
      <c r="F104" s="9">
        <f>SUM('DATA B1'!I105-'DATA B1'!I104)+('DATA B1'!J105-'DATA B1'!J104)</f>
        <v>0</v>
      </c>
      <c r="G104" s="28">
        <f t="shared" si="22"/>
        <v>0</v>
      </c>
      <c r="H104" s="28">
        <f t="shared" si="23"/>
        <v>0</v>
      </c>
      <c r="I104" s="24">
        <f>SUM('WATER_STEAM RATIO'!K104)</f>
        <v>10</v>
      </c>
      <c r="J104" s="30">
        <f>SUM('DATA B2'!I105-'DATA B2'!I104)+('DATA B2'!J105-'DATA B2'!J104)</f>
        <v>550</v>
      </c>
      <c r="K104" s="28">
        <f t="shared" si="24"/>
        <v>55</v>
      </c>
      <c r="L104" s="28">
        <f t="shared" si="28"/>
        <v>55.555555555555557</v>
      </c>
      <c r="M104" s="89">
        <f>SUM('WATER_STEAM RATIO'!Q104)</f>
        <v>6</v>
      </c>
      <c r="N104" s="9">
        <f>SUM('DATA B3'!H105-'DATA B3'!H104)</f>
        <v>243</v>
      </c>
      <c r="O104" s="88">
        <f t="shared" si="26"/>
        <v>40.5</v>
      </c>
      <c r="P104" s="15">
        <f>IFERROR((M104/16)*100,0)</f>
        <v>37.5</v>
      </c>
    </row>
    <row r="105" spans="3:17">
      <c r="C105" s="292"/>
      <c r="D105" s="43">
        <v>0.95833333333333304</v>
      </c>
      <c r="E105" s="5">
        <f>SUM('WATER_STEAM RATIO'!E105)</f>
        <v>0</v>
      </c>
      <c r="F105" s="9">
        <f>SUM('DATA B1'!I106-'DATA B1'!I105)+('DATA B1'!J106-'DATA B1'!J105)</f>
        <v>0</v>
      </c>
      <c r="G105" s="28">
        <f t="shared" si="22"/>
        <v>0</v>
      </c>
      <c r="H105" s="28">
        <f t="shared" si="23"/>
        <v>0</v>
      </c>
      <c r="I105" s="24">
        <f>SUM('WATER_STEAM RATIO'!K105)</f>
        <v>11</v>
      </c>
      <c r="J105" s="30">
        <f>SUM('DATA B2'!I106-'DATA B2'!I105)+('DATA B2'!J106-'DATA B2'!J105)</f>
        <v>593</v>
      </c>
      <c r="K105" s="28">
        <f t="shared" si="24"/>
        <v>53.909090909090907</v>
      </c>
      <c r="L105" s="28">
        <f t="shared" si="28"/>
        <v>61.111111111111114</v>
      </c>
      <c r="M105" s="89">
        <f>SUM('WATER_STEAM RATIO'!Q105)</f>
        <v>6</v>
      </c>
      <c r="N105" s="9">
        <f>SUM('DATA B3'!H106-'DATA B3'!H105)</f>
        <v>248</v>
      </c>
      <c r="O105" s="88">
        <f t="shared" si="26"/>
        <v>41.333333333333336</v>
      </c>
      <c r="P105" s="15">
        <f t="shared" si="27"/>
        <v>37.5</v>
      </c>
    </row>
    <row r="106" spans="3:17">
      <c r="C106" s="292"/>
      <c r="D106" s="43">
        <v>1</v>
      </c>
      <c r="E106" s="5">
        <f>SUM('WATER_STEAM RATIO'!E106)</f>
        <v>0</v>
      </c>
      <c r="F106" s="9">
        <f>SUM('DATA B1'!I107-'DATA B1'!I106)+('DATA B1'!J107-'DATA B1'!J106)</f>
        <v>0</v>
      </c>
      <c r="G106" s="28">
        <f t="shared" si="22"/>
        <v>0</v>
      </c>
      <c r="H106" s="28">
        <f t="shared" si="23"/>
        <v>0</v>
      </c>
      <c r="I106" s="24">
        <f>SUM('WATER_STEAM RATIO'!K106)</f>
        <v>10</v>
      </c>
      <c r="J106" s="30">
        <f>SUM('DATA B2'!I107-'DATA B2'!I106)+('DATA B2'!J107-'DATA B2'!J106)</f>
        <v>587</v>
      </c>
      <c r="K106" s="28">
        <f t="shared" si="24"/>
        <v>58.7</v>
      </c>
      <c r="L106" s="28">
        <f t="shared" si="28"/>
        <v>55.555555555555557</v>
      </c>
      <c r="M106" s="89">
        <f>SUM('WATER_STEAM RATIO'!Q106)</f>
        <v>6</v>
      </c>
      <c r="N106" s="9">
        <f>SUM('DATA B3'!H107-'DATA B3'!H106)</f>
        <v>268</v>
      </c>
      <c r="O106" s="88">
        <f t="shared" si="26"/>
        <v>44.666666666666664</v>
      </c>
      <c r="P106" s="15">
        <f t="shared" si="27"/>
        <v>37.5</v>
      </c>
    </row>
    <row r="107" spans="3:17">
      <c r="C107" s="292"/>
      <c r="D107" s="43">
        <v>1.0416666666666701</v>
      </c>
      <c r="E107" s="5">
        <f>SUM('WATER_STEAM RATIO'!E107)</f>
        <v>0</v>
      </c>
      <c r="F107" s="9">
        <f>SUM('DATA B1'!I108-'DATA B1'!I107)+('DATA B1'!J108-'DATA B1'!J107)</f>
        <v>0</v>
      </c>
      <c r="G107" s="28">
        <f t="shared" si="22"/>
        <v>0</v>
      </c>
      <c r="H107" s="28">
        <f t="shared" si="23"/>
        <v>0</v>
      </c>
      <c r="I107" s="24">
        <f>SUM('WATER_STEAM RATIO'!K107)</f>
        <v>10</v>
      </c>
      <c r="J107" s="30">
        <f>SUM('DATA B2'!I108-'DATA B2'!I107)+('DATA B2'!J108-'DATA B2'!J107)</f>
        <v>590</v>
      </c>
      <c r="K107" s="28">
        <f t="shared" si="24"/>
        <v>59</v>
      </c>
      <c r="L107" s="28">
        <f t="shared" si="28"/>
        <v>55.555555555555557</v>
      </c>
      <c r="M107" s="89">
        <f>SUM('WATER_STEAM RATIO'!Q107)</f>
        <v>6</v>
      </c>
      <c r="N107" s="9">
        <f>SUM('DATA B3'!H108-'DATA B3'!H107)</f>
        <v>265</v>
      </c>
      <c r="O107" s="88">
        <f t="shared" si="26"/>
        <v>44.166666666666664</v>
      </c>
      <c r="P107" s="15">
        <f t="shared" si="27"/>
        <v>37.5</v>
      </c>
    </row>
    <row r="108" spans="3:17">
      <c r="C108" s="292"/>
      <c r="D108" s="43">
        <v>1.0833333333333399</v>
      </c>
      <c r="E108" s="5">
        <f>SUM('WATER_STEAM RATIO'!E108)</f>
        <v>0</v>
      </c>
      <c r="F108" s="9">
        <f>SUM('DATA B1'!I109-'DATA B1'!I108)+('DATA B1'!J109-'DATA B1'!J108)</f>
        <v>0</v>
      </c>
      <c r="G108" s="28">
        <f t="shared" si="22"/>
        <v>0</v>
      </c>
      <c r="H108" s="28">
        <f t="shared" si="23"/>
        <v>0</v>
      </c>
      <c r="I108" s="24">
        <f>SUM('WATER_STEAM RATIO'!K108)</f>
        <v>10</v>
      </c>
      <c r="J108" s="30">
        <f>SUM('DATA B2'!I109-'DATA B2'!I108)+('DATA B2'!J109-'DATA B2'!J108)</f>
        <v>582</v>
      </c>
      <c r="K108" s="28">
        <f t="shared" si="24"/>
        <v>58.2</v>
      </c>
      <c r="L108" s="28">
        <f t="shared" si="28"/>
        <v>55.555555555555557</v>
      </c>
      <c r="M108" s="89">
        <f>SUM('WATER_STEAM RATIO'!Q108)</f>
        <v>6</v>
      </c>
      <c r="N108" s="9">
        <f>SUM('DATA B3'!H109-'DATA B3'!H108)</f>
        <v>262</v>
      </c>
      <c r="O108" s="88">
        <f t="shared" si="26"/>
        <v>43.666666666666664</v>
      </c>
      <c r="P108" s="15">
        <f t="shared" si="27"/>
        <v>37.5</v>
      </c>
    </row>
    <row r="109" spans="3:17">
      <c r="C109" s="292"/>
      <c r="D109" s="43">
        <v>1.125</v>
      </c>
      <c r="E109" s="5">
        <f>SUM('WATER_STEAM RATIO'!E109)</f>
        <v>0</v>
      </c>
      <c r="F109" s="9">
        <f>SUM('DATA B1'!I110-'DATA B1'!I109)+('DATA B1'!J110-'DATA B1'!J109)</f>
        <v>0</v>
      </c>
      <c r="G109" s="28">
        <f t="shared" si="22"/>
        <v>0</v>
      </c>
      <c r="H109" s="28">
        <f t="shared" si="23"/>
        <v>0</v>
      </c>
      <c r="I109" s="24">
        <f>SUM('WATER_STEAM RATIO'!K109)</f>
        <v>10</v>
      </c>
      <c r="J109" s="30">
        <f>SUM('DATA B2'!I110-'DATA B2'!I109)+('DATA B2'!J110-'DATA B2'!J109)</f>
        <v>580</v>
      </c>
      <c r="K109" s="28">
        <f t="shared" si="24"/>
        <v>58</v>
      </c>
      <c r="L109" s="28">
        <f t="shared" si="28"/>
        <v>55.555555555555557</v>
      </c>
      <c r="M109" s="89">
        <f>SUM('WATER_STEAM RATIO'!Q109)</f>
        <v>7</v>
      </c>
      <c r="N109" s="9">
        <f>SUM('DATA B3'!H110-'DATA B3'!H109)</f>
        <v>304</v>
      </c>
      <c r="O109" s="88">
        <f t="shared" ref="O109:O113" si="29">IFERROR(N109/(M109),0)</f>
        <v>43.428571428571431</v>
      </c>
      <c r="P109" s="15">
        <f t="shared" si="27"/>
        <v>43.75</v>
      </c>
    </row>
    <row r="110" spans="3:17">
      <c r="C110" s="292"/>
      <c r="D110" s="43">
        <v>1.1666666666666701</v>
      </c>
      <c r="E110" s="5">
        <f>SUM('WATER_STEAM RATIO'!E110)</f>
        <v>0</v>
      </c>
      <c r="F110" s="9">
        <f>SUM('DATA B1'!I111-'DATA B1'!I110)+('DATA B1'!J111-'DATA B1'!J110)</f>
        <v>0</v>
      </c>
      <c r="G110" s="28">
        <f t="shared" si="22"/>
        <v>0</v>
      </c>
      <c r="H110" s="28">
        <f t="shared" si="23"/>
        <v>0</v>
      </c>
      <c r="I110" s="24">
        <f>SUM('WATER_STEAM RATIO'!K110)</f>
        <v>11</v>
      </c>
      <c r="J110" s="30">
        <f>SUM('DATA B2'!I111-'DATA B2'!I110)+('DATA B2'!J111-'DATA B2'!J110)</f>
        <v>742</v>
      </c>
      <c r="K110" s="28">
        <f>IFERROR(J110/(I110),0)</f>
        <v>67.454545454545453</v>
      </c>
      <c r="L110" s="28">
        <f t="shared" si="28"/>
        <v>61.111111111111114</v>
      </c>
      <c r="M110" s="89">
        <f>SUM('WATER_STEAM RATIO'!Q110)</f>
        <v>5</v>
      </c>
      <c r="N110" s="9">
        <f>SUM('DATA B3'!H111-'DATA B3'!H110)</f>
        <v>340</v>
      </c>
      <c r="O110" s="88">
        <f t="shared" si="29"/>
        <v>68</v>
      </c>
      <c r="P110" s="15">
        <f t="shared" si="27"/>
        <v>31.25</v>
      </c>
    </row>
    <row r="111" spans="3:17">
      <c r="C111" s="292"/>
      <c r="D111" s="43">
        <v>1.2083333333333399</v>
      </c>
      <c r="E111" s="5">
        <f>SUM('WATER_STEAM RATIO'!E111)</f>
        <v>0</v>
      </c>
      <c r="F111" s="9">
        <f>SUM('DATA B1'!I112-'DATA B1'!I111)+('DATA B1'!J112-'DATA B1'!J111)</f>
        <v>0</v>
      </c>
      <c r="G111" s="28">
        <f t="shared" si="22"/>
        <v>0</v>
      </c>
      <c r="H111" s="28">
        <f t="shared" si="23"/>
        <v>0</v>
      </c>
      <c r="I111" s="24">
        <f>SUM('WATER_STEAM RATIO'!K111)</f>
        <v>12</v>
      </c>
      <c r="J111" s="30">
        <f>SUM('DATA B2'!I112-'DATA B2'!I111)+('DATA B2'!J112-'DATA B2'!J111)</f>
        <v>760</v>
      </c>
      <c r="K111" s="28">
        <f>IFERROR(J111/(I111),0)</f>
        <v>63.333333333333336</v>
      </c>
      <c r="L111" s="28">
        <f t="shared" si="28"/>
        <v>66.666666666666657</v>
      </c>
      <c r="M111" s="89">
        <f>SUM('WATER_STEAM RATIO'!Q111)</f>
        <v>6</v>
      </c>
      <c r="N111" s="9">
        <f>SUM('DATA B3'!H112-'DATA B3'!H111)</f>
        <v>323</v>
      </c>
      <c r="O111" s="88">
        <f t="shared" si="29"/>
        <v>53.833333333333336</v>
      </c>
      <c r="P111" s="15">
        <f t="shared" si="27"/>
        <v>37.5</v>
      </c>
    </row>
    <row r="112" spans="3:17">
      <c r="C112" s="292"/>
      <c r="D112" s="43">
        <v>1.25</v>
      </c>
      <c r="E112" s="5">
        <f>SUM('WATER_STEAM RATIO'!E112)</f>
        <v>0</v>
      </c>
      <c r="F112" s="9">
        <f>SUM('DATA B1'!I113-'DATA B1'!I112)+('DATA B1'!J113-'DATA B1'!J112)</f>
        <v>0</v>
      </c>
      <c r="G112" s="28">
        <f t="shared" si="22"/>
        <v>0</v>
      </c>
      <c r="H112" s="28">
        <f t="shared" si="23"/>
        <v>0</v>
      </c>
      <c r="I112" s="24">
        <f>SUM('WATER_STEAM RATIO'!K112)</f>
        <v>12</v>
      </c>
      <c r="J112" s="30">
        <f>SUM('DATA B2'!I113-'DATA B2'!I112)+('DATA B2'!J113-'DATA B2'!J112)</f>
        <v>759</v>
      </c>
      <c r="K112" s="28">
        <f>IFERROR(J112/(I112),0)</f>
        <v>63.25</v>
      </c>
      <c r="L112" s="28">
        <f t="shared" si="28"/>
        <v>66.666666666666657</v>
      </c>
      <c r="M112" s="89">
        <f>SUM('WATER_STEAM RATIO'!Q112)</f>
        <v>6</v>
      </c>
      <c r="N112" s="9">
        <f>SUM('DATA B3'!H113-'DATA B3'!H112)</f>
        <v>359</v>
      </c>
      <c r="O112" s="88">
        <f t="shared" si="29"/>
        <v>59.833333333333336</v>
      </c>
      <c r="P112" s="15">
        <f t="shared" si="27"/>
        <v>37.5</v>
      </c>
    </row>
    <row r="113" spans="3:16">
      <c r="C113" s="292"/>
      <c r="D113" s="43">
        <v>1.2916666666666701</v>
      </c>
      <c r="E113" s="5">
        <f>SUM('WATER_STEAM RATIO'!E113)</f>
        <v>0</v>
      </c>
      <c r="F113" s="9">
        <f>SUM('DATA B1'!I114-'DATA B1'!I113)+('DATA B1'!J114-'DATA B1'!J113)</f>
        <v>0</v>
      </c>
      <c r="G113" s="28">
        <f t="shared" si="22"/>
        <v>0</v>
      </c>
      <c r="H113" s="28">
        <f t="shared" si="23"/>
        <v>0</v>
      </c>
      <c r="I113" s="24">
        <f>SUM('WATER_STEAM RATIO'!K113)</f>
        <v>12</v>
      </c>
      <c r="J113" s="30">
        <f>SUM('DATA B2'!I114-'DATA B2'!I113)+('DATA B2'!J114-'DATA B2'!J113)</f>
        <v>761</v>
      </c>
      <c r="K113" s="28">
        <f>IFERROR(J113/(I113),0)</f>
        <v>63.416666666666664</v>
      </c>
      <c r="L113" s="28">
        <f t="shared" si="28"/>
        <v>66.666666666666657</v>
      </c>
      <c r="M113" s="89">
        <f>SUM('WATER_STEAM RATIO'!Q113)</f>
        <v>6</v>
      </c>
      <c r="N113" s="9">
        <f>SUM('DATA B3'!H114-'DATA B3'!H113)</f>
        <v>365</v>
      </c>
      <c r="O113" s="88">
        <f t="shared" si="29"/>
        <v>60.833333333333336</v>
      </c>
      <c r="P113" s="15">
        <f t="shared" si="27"/>
        <v>37.5</v>
      </c>
    </row>
    <row r="114" spans="3:16">
      <c r="C114" s="293"/>
      <c r="D114" s="258"/>
      <c r="E114" s="91">
        <f>SUMIF(E89:E113,"&gt;=0",E89:E113)</f>
        <v>0</v>
      </c>
      <c r="F114" s="91">
        <f>SUMIF(F89:F113,"&gt;=0",F89:F113)</f>
        <v>0</v>
      </c>
      <c r="G114" s="54">
        <f>IFERROR(F114/E114,0)</f>
        <v>0</v>
      </c>
      <c r="H114" s="54">
        <f>IFERROR(AVERAGE(H90:H113),0)</f>
        <v>0</v>
      </c>
      <c r="I114" s="91">
        <f>SUMIF(I89:I113,"&gt;=0",I89:I113)</f>
        <v>271</v>
      </c>
      <c r="J114" s="91">
        <f>SUMIF(J89:J113,"&gt;=0",J89:J113)</f>
        <v>15853</v>
      </c>
      <c r="K114" s="54">
        <f>IFERROR(J114/(I114),0)</f>
        <v>58.498154981549817</v>
      </c>
      <c r="L114" s="54">
        <f>IFERROR(AVERAGE(L90:L113),0)</f>
        <v>60.185185185185198</v>
      </c>
      <c r="M114" s="91">
        <f>SUMIF(M89:M113,"&gt;=0",M89:M113)</f>
        <v>157</v>
      </c>
      <c r="N114" s="91">
        <f>SUMIF(N89:N113,"&gt;=0",N89:N113)</f>
        <v>7210</v>
      </c>
      <c r="O114" s="239">
        <f>IFERROR(N114/(M114),0)</f>
        <v>45.923566878980893</v>
      </c>
      <c r="P114" s="215">
        <f>IFERROR(AVERAGE(P90:P113),0)</f>
        <v>39.0625</v>
      </c>
    </row>
    <row r="115" spans="3:16" ht="15" customHeight="1">
      <c r="C115" s="291">
        <f>SUM('WATER_STEAM RATIO'!B115:B140)</f>
        <v>46027</v>
      </c>
      <c r="D115" s="43">
        <v>0.29166666666666669</v>
      </c>
      <c r="E115" s="5">
        <f>SUM('WATER_STEAM RATIO'!E115)</f>
        <v>0</v>
      </c>
      <c r="F115" s="9"/>
      <c r="G115" s="28"/>
      <c r="H115" s="28"/>
      <c r="I115" s="24">
        <f>SUM('WATER_STEAM RATIO'!K115)</f>
        <v>12</v>
      </c>
      <c r="J115" s="30"/>
      <c r="K115" s="28"/>
      <c r="L115" s="28"/>
      <c r="M115" s="89">
        <f>SUM('WATER_STEAM RATIO'!Q115)</f>
        <v>6</v>
      </c>
      <c r="N115" s="9"/>
      <c r="O115" s="88"/>
      <c r="P115" s="15"/>
    </row>
    <row r="116" spans="3:16">
      <c r="C116" s="292"/>
      <c r="D116" s="43">
        <v>0.33333333333333298</v>
      </c>
      <c r="E116" s="5">
        <f>SUM('WATER_STEAM RATIO'!E116)</f>
        <v>0</v>
      </c>
      <c r="F116" s="9">
        <f>SUM('DATA B1'!I117-'DATA B1'!I116)+('DATA B1'!J117-'DATA B1'!J116)</f>
        <v>0</v>
      </c>
      <c r="G116" s="28">
        <f>IFERROR(F116/(E116),0)</f>
        <v>0</v>
      </c>
      <c r="H116" s="28">
        <f>IFERROR((E116/18)*100,0)</f>
        <v>0</v>
      </c>
      <c r="I116" s="24">
        <f>SUM('WATER_STEAM RATIO'!K116)</f>
        <v>16</v>
      </c>
      <c r="J116" s="30">
        <f>SUM('DATA B2'!I117-'DATA B2'!I116)+('DATA B2'!J117-'DATA B2'!J116)</f>
        <v>1039</v>
      </c>
      <c r="K116" s="28">
        <f>IFERROR(J116/(I116),0)</f>
        <v>64.9375</v>
      </c>
      <c r="L116" s="28">
        <f>IFERROR((I116/18)*100,0)</f>
        <v>88.888888888888886</v>
      </c>
      <c r="M116" s="89">
        <f>SUM('WATER_STEAM RATIO'!Q116)</f>
        <v>8</v>
      </c>
      <c r="N116" s="9">
        <f>SUM('DATA B3'!H117-'DATA B3'!H116)</f>
        <v>396</v>
      </c>
      <c r="O116" s="88">
        <f>IFERROR(N116/(M116),0)</f>
        <v>49.5</v>
      </c>
      <c r="P116" s="15">
        <f>IFERROR((M116/16)*100,0)</f>
        <v>50</v>
      </c>
    </row>
    <row r="117" spans="3:16">
      <c r="C117" s="292"/>
      <c r="D117" s="43">
        <v>0.375</v>
      </c>
      <c r="E117" s="5">
        <f>SUM('WATER_STEAM RATIO'!E117)</f>
        <v>0</v>
      </c>
      <c r="F117" s="9">
        <f>SUM('DATA B1'!I118-'DATA B1'!I117)+('DATA B1'!J118-'DATA B1'!J117)</f>
        <v>0</v>
      </c>
      <c r="G117" s="28">
        <f t="shared" ref="G117:G139" si="30">IFERROR(F117/(E117),0)</f>
        <v>0</v>
      </c>
      <c r="H117" s="28">
        <f t="shared" ref="H117:H139" si="31">IFERROR((E117/18)*100,0)</f>
        <v>0</v>
      </c>
      <c r="I117" s="24">
        <f>SUM('WATER_STEAM RATIO'!K117)</f>
        <v>9</v>
      </c>
      <c r="J117" s="30">
        <f>SUM('DATA B2'!I118-'DATA B2'!I117)+('DATA B2'!J118-'DATA B2'!J117)</f>
        <v>548</v>
      </c>
      <c r="K117" s="28">
        <f t="shared" ref="K117:K135" si="32">IFERROR(J117/(I117),0)</f>
        <v>60.888888888888886</v>
      </c>
      <c r="L117" s="28">
        <f t="shared" ref="L117:L127" si="33">IFERROR((I117/18)*100,0)</f>
        <v>50</v>
      </c>
      <c r="M117" s="89">
        <f>SUM('WATER_STEAM RATIO'!Q117)</f>
        <v>5</v>
      </c>
      <c r="N117" s="9">
        <f>SUM('DATA B3'!H118-'DATA B3'!H117)</f>
        <v>253</v>
      </c>
      <c r="O117" s="88">
        <f t="shared" ref="O117:O134" si="34">IFERROR(N117/(M117),0)</f>
        <v>50.6</v>
      </c>
      <c r="P117" s="15">
        <f t="shared" ref="P117:P139" si="35">IFERROR((M117/16)*100,0)</f>
        <v>31.25</v>
      </c>
    </row>
    <row r="118" spans="3:16">
      <c r="C118" s="292"/>
      <c r="D118" s="43">
        <v>0.41666666666666702</v>
      </c>
      <c r="E118" s="5">
        <f>SUM('WATER_STEAM RATIO'!E118)</f>
        <v>0</v>
      </c>
      <c r="F118" s="9">
        <f>SUM('DATA B1'!I119-'DATA B1'!I118)+('DATA B1'!J119-'DATA B1'!J118)</f>
        <v>0</v>
      </c>
      <c r="G118" s="28">
        <f t="shared" si="30"/>
        <v>0</v>
      </c>
      <c r="H118" s="28">
        <f t="shared" si="31"/>
        <v>0</v>
      </c>
      <c r="I118" s="24">
        <f>SUM('WATER_STEAM RATIO'!K118)</f>
        <v>9</v>
      </c>
      <c r="J118" s="30">
        <f>SUM('DATA B2'!I119-'DATA B2'!I118)+('DATA B2'!J119-'DATA B2'!J118)</f>
        <v>525</v>
      </c>
      <c r="K118" s="28">
        <f t="shared" si="32"/>
        <v>58.333333333333336</v>
      </c>
      <c r="L118" s="28">
        <f t="shared" si="33"/>
        <v>50</v>
      </c>
      <c r="M118" s="89">
        <f>SUM('WATER_STEAM RATIO'!Q118)</f>
        <v>6</v>
      </c>
      <c r="N118" s="9">
        <f>SUM('DATA B3'!H119-'DATA B3'!H118)</f>
        <v>290</v>
      </c>
      <c r="O118" s="88">
        <f t="shared" si="34"/>
        <v>48.333333333333336</v>
      </c>
      <c r="P118" s="15">
        <f t="shared" si="35"/>
        <v>37.5</v>
      </c>
    </row>
    <row r="119" spans="3:16">
      <c r="C119" s="292"/>
      <c r="D119" s="43">
        <v>0.45833333333333298</v>
      </c>
      <c r="E119" s="5">
        <f>SUM('WATER_STEAM RATIO'!E119)</f>
        <v>0</v>
      </c>
      <c r="F119" s="9">
        <f>SUM('DATA B1'!I120-'DATA B1'!I119)+('DATA B1'!J120-'DATA B1'!J119)</f>
        <v>0</v>
      </c>
      <c r="G119" s="28">
        <f t="shared" si="30"/>
        <v>0</v>
      </c>
      <c r="H119" s="28">
        <f t="shared" si="31"/>
        <v>0</v>
      </c>
      <c r="I119" s="24">
        <f>SUM('WATER_STEAM RATIO'!K119)</f>
        <v>9</v>
      </c>
      <c r="J119" s="30">
        <f>SUM('DATA B2'!I120-'DATA B2'!I119)+('DATA B2'!J120-'DATA B2'!J119)</f>
        <v>569</v>
      </c>
      <c r="K119" s="28">
        <f t="shared" si="32"/>
        <v>63.222222222222221</v>
      </c>
      <c r="L119" s="28">
        <f t="shared" si="33"/>
        <v>50</v>
      </c>
      <c r="M119" s="89">
        <f>SUM('WATER_STEAM RATIO'!Q119)</f>
        <v>6</v>
      </c>
      <c r="N119" s="9">
        <f>SUM('DATA B3'!H120-'DATA B3'!H119)</f>
        <v>288</v>
      </c>
      <c r="O119" s="88">
        <f t="shared" si="34"/>
        <v>48</v>
      </c>
      <c r="P119" s="15">
        <f t="shared" si="35"/>
        <v>37.5</v>
      </c>
    </row>
    <row r="120" spans="3:16">
      <c r="C120" s="292"/>
      <c r="D120" s="43">
        <v>0.5</v>
      </c>
      <c r="E120" s="5">
        <f>SUM('WATER_STEAM RATIO'!E120)</f>
        <v>0</v>
      </c>
      <c r="F120" s="9">
        <f>SUM('DATA B1'!I121-'DATA B1'!I120)+('DATA B1'!J121-'DATA B1'!J120)</f>
        <v>0</v>
      </c>
      <c r="G120" s="28">
        <f t="shared" si="30"/>
        <v>0</v>
      </c>
      <c r="H120" s="28">
        <f t="shared" si="31"/>
        <v>0</v>
      </c>
      <c r="I120" s="24">
        <f>SUM('WATER_STEAM RATIO'!K120)</f>
        <v>11</v>
      </c>
      <c r="J120" s="30">
        <f>SUM('DATA B2'!I121-'DATA B2'!I120)+('DATA B2'!J121-'DATA B2'!J120)</f>
        <v>685</v>
      </c>
      <c r="K120" s="28">
        <f t="shared" si="32"/>
        <v>62.272727272727273</v>
      </c>
      <c r="L120" s="28">
        <f t="shared" si="33"/>
        <v>61.111111111111114</v>
      </c>
      <c r="M120" s="89">
        <f>SUM('WATER_STEAM RATIO'!Q120)</f>
        <v>6</v>
      </c>
      <c r="N120" s="9">
        <f>SUM('DATA B3'!H121-'DATA B3'!H120)</f>
        <v>316</v>
      </c>
      <c r="O120" s="88">
        <f t="shared" si="34"/>
        <v>52.666666666666664</v>
      </c>
      <c r="P120" s="15">
        <f t="shared" si="35"/>
        <v>37.5</v>
      </c>
    </row>
    <row r="121" spans="3:16">
      <c r="C121" s="292"/>
      <c r="D121" s="43">
        <v>0.54166666666666696</v>
      </c>
      <c r="E121" s="5">
        <f>SUM('WATER_STEAM RATIO'!E121)</f>
        <v>0</v>
      </c>
      <c r="F121" s="9">
        <f>SUM('DATA B1'!I122-'DATA B1'!I121)+('DATA B1'!J122-'DATA B1'!J121)</f>
        <v>0</v>
      </c>
      <c r="G121" s="28">
        <f t="shared" si="30"/>
        <v>0</v>
      </c>
      <c r="H121" s="28">
        <f t="shared" si="31"/>
        <v>0</v>
      </c>
      <c r="I121" s="24">
        <f>SUM('WATER_STEAM RATIO'!K121)</f>
        <v>11</v>
      </c>
      <c r="J121" s="30">
        <f>SUM('DATA B2'!I122-'DATA B2'!I121)+('DATA B2'!J122-'DATA B2'!J121)</f>
        <v>699</v>
      </c>
      <c r="K121" s="28">
        <f t="shared" si="32"/>
        <v>63.545454545454547</v>
      </c>
      <c r="L121" s="28">
        <f t="shared" si="33"/>
        <v>61.111111111111114</v>
      </c>
      <c r="M121" s="89">
        <f>SUM('WATER_STEAM RATIO'!Q121)</f>
        <v>6</v>
      </c>
      <c r="N121" s="9">
        <f>SUM('DATA B3'!H122-'DATA B3'!H121)</f>
        <v>320</v>
      </c>
      <c r="O121" s="88">
        <f t="shared" si="34"/>
        <v>53.333333333333336</v>
      </c>
      <c r="P121" s="15">
        <f t="shared" si="35"/>
        <v>37.5</v>
      </c>
    </row>
    <row r="122" spans="3:16">
      <c r="C122" s="292"/>
      <c r="D122" s="43">
        <v>0.58333333333333304</v>
      </c>
      <c r="E122" s="5">
        <f>SUM('WATER_STEAM RATIO'!E122)</f>
        <v>0</v>
      </c>
      <c r="F122" s="9">
        <f>SUM('DATA B1'!I123-'DATA B1'!I122)+('DATA B1'!J123-'DATA B1'!J122)</f>
        <v>0</v>
      </c>
      <c r="G122" s="28">
        <f t="shared" si="30"/>
        <v>0</v>
      </c>
      <c r="H122" s="28">
        <f t="shared" si="31"/>
        <v>0</v>
      </c>
      <c r="I122" s="24">
        <f>SUM('WATER_STEAM RATIO'!K122)</f>
        <v>11</v>
      </c>
      <c r="J122" s="30">
        <f>SUM('DATA B2'!I123-'DATA B2'!I122)+('DATA B2'!J123-'DATA B2'!J122)</f>
        <v>681</v>
      </c>
      <c r="K122" s="28">
        <f t="shared" si="32"/>
        <v>61.909090909090907</v>
      </c>
      <c r="L122" s="28">
        <f t="shared" si="33"/>
        <v>61.111111111111114</v>
      </c>
      <c r="M122" s="89">
        <f>SUM('WATER_STEAM RATIO'!Q122)</f>
        <v>6</v>
      </c>
      <c r="N122" s="9">
        <f>SUM('DATA B3'!H123-'DATA B3'!H122)</f>
        <v>313</v>
      </c>
      <c r="O122" s="88">
        <f t="shared" si="34"/>
        <v>52.166666666666664</v>
      </c>
      <c r="P122" s="15">
        <f t="shared" si="35"/>
        <v>37.5</v>
      </c>
    </row>
    <row r="123" spans="3:16">
      <c r="C123" s="292"/>
      <c r="D123" s="43">
        <v>0.625</v>
      </c>
      <c r="E123" s="5">
        <f>SUM('WATER_STEAM RATIO'!E123)</f>
        <v>0</v>
      </c>
      <c r="F123" s="9">
        <f>SUM('DATA B1'!I124-'DATA B1'!I123)+('DATA B1'!J124-'DATA B1'!J123)</f>
        <v>0</v>
      </c>
      <c r="G123" s="28">
        <f t="shared" si="30"/>
        <v>0</v>
      </c>
      <c r="H123" s="28">
        <f t="shared" si="31"/>
        <v>0</v>
      </c>
      <c r="I123" s="24">
        <f>SUM('WATER_STEAM RATIO'!K123)</f>
        <v>12</v>
      </c>
      <c r="J123" s="30">
        <f>SUM('DATA B2'!I124-'DATA B2'!I123)+('DATA B2'!J124-'DATA B2'!J123)</f>
        <v>706</v>
      </c>
      <c r="K123" s="28">
        <f t="shared" si="32"/>
        <v>58.833333333333336</v>
      </c>
      <c r="L123" s="28">
        <f t="shared" si="33"/>
        <v>66.666666666666657</v>
      </c>
      <c r="M123" s="89">
        <f>SUM('WATER_STEAM RATIO'!Q123)</f>
        <v>8</v>
      </c>
      <c r="N123" s="9">
        <f>SUM('DATA B3'!H124-'DATA B3'!H123)</f>
        <v>325</v>
      </c>
      <c r="O123" s="88">
        <f t="shared" si="34"/>
        <v>40.625</v>
      </c>
      <c r="P123" s="15">
        <f t="shared" si="35"/>
        <v>50</v>
      </c>
    </row>
    <row r="124" spans="3:16">
      <c r="C124" s="292"/>
      <c r="D124" s="43">
        <v>0.66666666666666596</v>
      </c>
      <c r="E124" s="5">
        <f>SUM('WATER_STEAM RATIO'!E124)</f>
        <v>0</v>
      </c>
      <c r="F124" s="9">
        <f>SUM('DATA B1'!I125-'DATA B1'!I124)+('DATA B1'!J125-'DATA B1'!J124)</f>
        <v>0</v>
      </c>
      <c r="G124" s="28">
        <f t="shared" si="30"/>
        <v>0</v>
      </c>
      <c r="H124" s="28">
        <f t="shared" si="31"/>
        <v>0</v>
      </c>
      <c r="I124" s="24">
        <f>SUM('WATER_STEAM RATIO'!K124)</f>
        <v>10</v>
      </c>
      <c r="J124" s="30">
        <f>SUM('DATA B2'!I125-'DATA B2'!I124)+('DATA B2'!J125-'DATA B2'!J124)</f>
        <v>604</v>
      </c>
      <c r="K124" s="28">
        <f t="shared" si="32"/>
        <v>60.4</v>
      </c>
      <c r="L124" s="28">
        <f t="shared" si="33"/>
        <v>55.555555555555557</v>
      </c>
      <c r="M124" s="89">
        <f>SUM('WATER_STEAM RATIO'!Q124)</f>
        <v>5</v>
      </c>
      <c r="N124" s="9">
        <f>SUM('DATA B3'!H125-'DATA B3'!H124)</f>
        <v>249</v>
      </c>
      <c r="O124" s="88">
        <f t="shared" si="34"/>
        <v>49.8</v>
      </c>
      <c r="P124" s="15">
        <f t="shared" si="35"/>
        <v>31.25</v>
      </c>
    </row>
    <row r="125" spans="3:16">
      <c r="C125" s="292"/>
      <c r="D125" s="43">
        <v>0.70833333333333304</v>
      </c>
      <c r="E125" s="5">
        <f>SUM('WATER_STEAM RATIO'!E125)</f>
        <v>0</v>
      </c>
      <c r="F125" s="9">
        <f>SUM('DATA B1'!I126-'DATA B1'!I125)+('DATA B1'!J126-'DATA B1'!J125)</f>
        <v>0</v>
      </c>
      <c r="G125" s="28">
        <f t="shared" si="30"/>
        <v>0</v>
      </c>
      <c r="H125" s="28">
        <f t="shared" si="31"/>
        <v>0</v>
      </c>
      <c r="I125" s="24">
        <f>SUM('WATER_STEAM RATIO'!K125)</f>
        <v>10</v>
      </c>
      <c r="J125" s="30">
        <f>SUM('DATA B2'!I126-'DATA B2'!I125)+('DATA B2'!J126-'DATA B2'!J125)</f>
        <v>616</v>
      </c>
      <c r="K125" s="28">
        <f t="shared" si="32"/>
        <v>61.6</v>
      </c>
      <c r="L125" s="28">
        <f t="shared" si="33"/>
        <v>55.555555555555557</v>
      </c>
      <c r="M125" s="89">
        <f>SUM('WATER_STEAM RATIO'!Q125)</f>
        <v>5</v>
      </c>
      <c r="N125" s="9">
        <f>SUM('DATA B3'!H126-'DATA B3'!H125)</f>
        <v>260</v>
      </c>
      <c r="O125" s="88">
        <f t="shared" si="34"/>
        <v>52</v>
      </c>
      <c r="P125" s="15">
        <f t="shared" si="35"/>
        <v>31.25</v>
      </c>
    </row>
    <row r="126" spans="3:16">
      <c r="C126" s="292"/>
      <c r="D126" s="43">
        <v>0.75</v>
      </c>
      <c r="E126" s="5">
        <f>SUM('WATER_STEAM RATIO'!E126)</f>
        <v>0</v>
      </c>
      <c r="F126" s="9">
        <f>SUM('DATA B1'!I127-'DATA B1'!I126)+('DATA B1'!J127-'DATA B1'!J126)</f>
        <v>0</v>
      </c>
      <c r="G126" s="28">
        <f t="shared" si="30"/>
        <v>0</v>
      </c>
      <c r="H126" s="28">
        <f t="shared" si="31"/>
        <v>0</v>
      </c>
      <c r="I126" s="24">
        <f>SUM('WATER_STEAM RATIO'!K126)</f>
        <v>11</v>
      </c>
      <c r="J126" s="30">
        <f>SUM('DATA B2'!I127-'DATA B2'!I126)+('DATA B2'!J127-'DATA B2'!J126)</f>
        <v>728</v>
      </c>
      <c r="K126" s="28">
        <f t="shared" si="32"/>
        <v>66.181818181818187</v>
      </c>
      <c r="L126" s="28">
        <f t="shared" si="33"/>
        <v>61.111111111111114</v>
      </c>
      <c r="M126" s="89">
        <f>SUM('WATER_STEAM RATIO'!Q126)</f>
        <v>6</v>
      </c>
      <c r="N126" s="9">
        <f>SUM('DATA B3'!H127-'DATA B3'!H126)</f>
        <v>318</v>
      </c>
      <c r="O126" s="88">
        <f t="shared" si="34"/>
        <v>53</v>
      </c>
      <c r="P126" s="15">
        <f t="shared" si="35"/>
        <v>37.5</v>
      </c>
    </row>
    <row r="127" spans="3:16">
      <c r="C127" s="292"/>
      <c r="D127" s="43">
        <v>0.79166666666666596</v>
      </c>
      <c r="E127" s="5">
        <f>SUM('WATER_STEAM RATIO'!E127)</f>
        <v>0</v>
      </c>
      <c r="F127" s="9">
        <f>SUM('DATA B1'!I128-'DATA B1'!I127)+('DATA B1'!J128-'DATA B1'!J127)</f>
        <v>0</v>
      </c>
      <c r="G127" s="28">
        <f t="shared" si="30"/>
        <v>0</v>
      </c>
      <c r="H127" s="28">
        <f t="shared" si="31"/>
        <v>0</v>
      </c>
      <c r="I127" s="24">
        <f>SUM('WATER_STEAM RATIO'!K127)</f>
        <v>11</v>
      </c>
      <c r="J127" s="30">
        <f>SUM('DATA B2'!I128-'DATA B2'!I127)+('DATA B2'!J128-'DATA B2'!J127)</f>
        <v>715</v>
      </c>
      <c r="K127" s="28">
        <f t="shared" si="32"/>
        <v>65</v>
      </c>
      <c r="L127" s="28">
        <f t="shared" si="33"/>
        <v>61.111111111111114</v>
      </c>
      <c r="M127" s="89">
        <f>SUM('WATER_STEAM RATIO'!Q127)</f>
        <v>6</v>
      </c>
      <c r="N127" s="9">
        <f>SUM('DATA B3'!H128-'DATA B3'!H127)</f>
        <v>311</v>
      </c>
      <c r="O127" s="88">
        <f t="shared" si="34"/>
        <v>51.833333333333336</v>
      </c>
      <c r="P127" s="15">
        <f t="shared" si="35"/>
        <v>37.5</v>
      </c>
    </row>
    <row r="128" spans="3:16">
      <c r="C128" s="292"/>
      <c r="D128" s="43">
        <v>0.83333333333333304</v>
      </c>
      <c r="E128" s="5">
        <f>SUM('WATER_STEAM RATIO'!E128)</f>
        <v>0</v>
      </c>
      <c r="F128" s="9">
        <f>SUM('DATA B1'!I129-'DATA B1'!I128)+('DATA B1'!J129-'DATA B1'!J128)</f>
        <v>0</v>
      </c>
      <c r="G128" s="28">
        <f t="shared" si="30"/>
        <v>0</v>
      </c>
      <c r="H128" s="28">
        <f t="shared" si="31"/>
        <v>0</v>
      </c>
      <c r="I128" s="24">
        <f>SUM('WATER_STEAM RATIO'!K128)</f>
        <v>12</v>
      </c>
      <c r="J128" s="30">
        <f>SUM('DATA B2'!I129-'DATA B2'!I128)+('DATA B2'!J129-'DATA B2'!J128)</f>
        <v>779</v>
      </c>
      <c r="K128" s="28">
        <f t="shared" si="32"/>
        <v>64.916666666666671</v>
      </c>
      <c r="L128" s="28">
        <f>IFERROR((I128/18)*100,0)</f>
        <v>66.666666666666657</v>
      </c>
      <c r="M128" s="89">
        <f>SUM('WATER_STEAM RATIO'!Q128)</f>
        <v>8</v>
      </c>
      <c r="N128" s="9">
        <f>SUM('DATA B3'!H129-'DATA B3'!H128)</f>
        <v>320</v>
      </c>
      <c r="O128" s="88">
        <f t="shared" si="34"/>
        <v>40</v>
      </c>
      <c r="P128" s="15">
        <f t="shared" si="35"/>
        <v>50</v>
      </c>
    </row>
    <row r="129" spans="3:16">
      <c r="C129" s="292"/>
      <c r="D129" s="43">
        <v>0.875</v>
      </c>
      <c r="E129" s="5">
        <f>SUM('WATER_STEAM RATIO'!E129)</f>
        <v>0</v>
      </c>
      <c r="F129" s="9">
        <f>SUM('DATA B1'!I130-'DATA B1'!I129)+('DATA B1'!J130-'DATA B1'!J129)</f>
        <v>0</v>
      </c>
      <c r="G129" s="28">
        <f t="shared" si="30"/>
        <v>0</v>
      </c>
      <c r="H129" s="28">
        <f t="shared" si="31"/>
        <v>0</v>
      </c>
      <c r="I129" s="24">
        <f>SUM('WATER_STEAM RATIO'!K129)</f>
        <v>10</v>
      </c>
      <c r="J129" s="30">
        <f>SUM('DATA B2'!I130-'DATA B2'!I129)+('DATA B2'!J130-'DATA B2'!J129)</f>
        <v>590</v>
      </c>
      <c r="K129" s="28">
        <f t="shared" si="32"/>
        <v>59</v>
      </c>
      <c r="L129" s="28">
        <f t="shared" ref="L129:L139" si="36">IFERROR((I129/18)*100,0)</f>
        <v>55.555555555555557</v>
      </c>
      <c r="M129" s="89">
        <f>SUM('WATER_STEAM RATIO'!Q129)</f>
        <v>6</v>
      </c>
      <c r="N129" s="9">
        <f>SUM('DATA B3'!H130-'DATA B3'!H129)</f>
        <v>280</v>
      </c>
      <c r="O129" s="88">
        <f t="shared" si="34"/>
        <v>46.666666666666664</v>
      </c>
      <c r="P129" s="15">
        <f t="shared" si="35"/>
        <v>37.5</v>
      </c>
    </row>
    <row r="130" spans="3:16">
      <c r="C130" s="292"/>
      <c r="D130" s="43">
        <v>0.91666666666666596</v>
      </c>
      <c r="E130" s="5">
        <f>SUM('WATER_STEAM RATIO'!E130)</f>
        <v>0</v>
      </c>
      <c r="F130" s="9">
        <f>SUM('DATA B1'!I131-'DATA B1'!I130)+('DATA B1'!J131-'DATA B1'!J130)</f>
        <v>0</v>
      </c>
      <c r="G130" s="28">
        <f t="shared" si="30"/>
        <v>0</v>
      </c>
      <c r="H130" s="28">
        <f t="shared" si="31"/>
        <v>0</v>
      </c>
      <c r="I130" s="24">
        <f>SUM('WATER_STEAM RATIO'!K130)</f>
        <v>10</v>
      </c>
      <c r="J130" s="30">
        <f>SUM('DATA B2'!I131-'DATA B2'!I130)+('DATA B2'!J131-'DATA B2'!J130)</f>
        <v>587</v>
      </c>
      <c r="K130" s="28">
        <f t="shared" si="32"/>
        <v>58.7</v>
      </c>
      <c r="L130" s="28">
        <f t="shared" si="36"/>
        <v>55.555555555555557</v>
      </c>
      <c r="M130" s="89">
        <f>SUM('WATER_STEAM RATIO'!Q130)</f>
        <v>6</v>
      </c>
      <c r="N130" s="9">
        <f>SUM('DATA B3'!H131-'DATA B3'!H130)</f>
        <v>286</v>
      </c>
      <c r="O130" s="88">
        <f t="shared" si="34"/>
        <v>47.666666666666664</v>
      </c>
      <c r="P130" s="15">
        <f>IFERROR((M130/16)*100,0)</f>
        <v>37.5</v>
      </c>
    </row>
    <row r="131" spans="3:16">
      <c r="C131" s="292"/>
      <c r="D131" s="43">
        <v>0.95833333333333304</v>
      </c>
      <c r="E131" s="5">
        <f>SUM('WATER_STEAM RATIO'!E131)</f>
        <v>0</v>
      </c>
      <c r="F131" s="9">
        <f>SUM('DATA B1'!I132-'DATA B1'!I131)+('DATA B1'!J132-'DATA B1'!J131)</f>
        <v>0</v>
      </c>
      <c r="G131" s="28">
        <f t="shared" si="30"/>
        <v>0</v>
      </c>
      <c r="H131" s="28">
        <f t="shared" si="31"/>
        <v>0</v>
      </c>
      <c r="I131" s="24">
        <f>SUM('WATER_STEAM RATIO'!K131)</f>
        <v>10</v>
      </c>
      <c r="J131" s="30">
        <f>SUM('DATA B2'!I132-'DATA B2'!I131)+('DATA B2'!J132-'DATA B2'!J131)</f>
        <v>593</v>
      </c>
      <c r="K131" s="28">
        <f t="shared" si="32"/>
        <v>59.3</v>
      </c>
      <c r="L131" s="28">
        <f t="shared" si="36"/>
        <v>55.555555555555557</v>
      </c>
      <c r="M131" s="89">
        <f>SUM('WATER_STEAM RATIO'!Q131)</f>
        <v>7</v>
      </c>
      <c r="N131" s="9">
        <f>SUM('DATA B3'!H132-'DATA B3'!H131)</f>
        <v>304</v>
      </c>
      <c r="O131" s="88">
        <f t="shared" si="34"/>
        <v>43.428571428571431</v>
      </c>
      <c r="P131" s="15">
        <f t="shared" si="35"/>
        <v>43.75</v>
      </c>
    </row>
    <row r="132" spans="3:16">
      <c r="C132" s="292"/>
      <c r="D132" s="43">
        <v>1</v>
      </c>
      <c r="E132" s="5">
        <f>SUM('WATER_STEAM RATIO'!E132)</f>
        <v>0</v>
      </c>
      <c r="F132" s="9">
        <f>SUM('DATA B1'!I133-'DATA B1'!I132)+('DATA B1'!J133-'DATA B1'!J132)</f>
        <v>0</v>
      </c>
      <c r="G132" s="28">
        <f t="shared" si="30"/>
        <v>0</v>
      </c>
      <c r="H132" s="28">
        <f t="shared" si="31"/>
        <v>0</v>
      </c>
      <c r="I132" s="24">
        <f>SUM('WATER_STEAM RATIO'!K132)</f>
        <v>9</v>
      </c>
      <c r="J132" s="30">
        <f>SUM('DATA B2'!I133-'DATA B2'!I132)+('DATA B2'!J133-'DATA B2'!J132)</f>
        <v>533</v>
      </c>
      <c r="K132" s="28">
        <f t="shared" si="32"/>
        <v>59.222222222222221</v>
      </c>
      <c r="L132" s="28">
        <f t="shared" si="36"/>
        <v>50</v>
      </c>
      <c r="M132" s="89">
        <f>SUM('WATER_STEAM RATIO'!Q132)</f>
        <v>2</v>
      </c>
      <c r="N132" s="9">
        <f>SUM('DATA B3'!H133-'DATA B3'!H132)</f>
        <v>142</v>
      </c>
      <c r="O132" s="88">
        <f t="shared" si="34"/>
        <v>71</v>
      </c>
      <c r="P132" s="15">
        <f t="shared" si="35"/>
        <v>12.5</v>
      </c>
    </row>
    <row r="133" spans="3:16">
      <c r="C133" s="292"/>
      <c r="D133" s="43">
        <v>1.0416666666666701</v>
      </c>
      <c r="E133" s="5">
        <f>SUM('WATER_STEAM RATIO'!E133)</f>
        <v>0</v>
      </c>
      <c r="F133" s="9">
        <f>SUM('DATA B1'!I134-'DATA B1'!I133)+('DATA B1'!J134-'DATA B1'!J133)</f>
        <v>0</v>
      </c>
      <c r="G133" s="28">
        <f t="shared" si="30"/>
        <v>0</v>
      </c>
      <c r="H133" s="28">
        <f t="shared" si="31"/>
        <v>0</v>
      </c>
      <c r="I133" s="24">
        <f>SUM('WATER_STEAM RATIO'!K133)</f>
        <v>9</v>
      </c>
      <c r="J133" s="30">
        <f>SUM('DATA B2'!I134-'DATA B2'!I133)+('DATA B2'!J134-'DATA B2'!J133)</f>
        <v>535</v>
      </c>
      <c r="K133" s="28">
        <f t="shared" si="32"/>
        <v>59.444444444444443</v>
      </c>
      <c r="L133" s="28">
        <f t="shared" si="36"/>
        <v>50</v>
      </c>
      <c r="M133" s="89">
        <f>SUM('WATER_STEAM RATIO'!Q133)</f>
        <v>0</v>
      </c>
      <c r="N133" s="9">
        <f>SUM('DATA B3'!H134-'DATA B3'!H133)</f>
        <v>0</v>
      </c>
      <c r="O133" s="88">
        <f t="shared" si="34"/>
        <v>0</v>
      </c>
      <c r="P133" s="15">
        <f t="shared" si="35"/>
        <v>0</v>
      </c>
    </row>
    <row r="134" spans="3:16">
      <c r="C134" s="292"/>
      <c r="D134" s="43">
        <v>1.0833333333333399</v>
      </c>
      <c r="E134" s="5">
        <f>SUM('WATER_STEAM RATIO'!E134)</f>
        <v>0</v>
      </c>
      <c r="F134" s="9">
        <f>SUM('DATA B1'!I135-'DATA B1'!I134)+('DATA B1'!J135-'DATA B1'!J134)</f>
        <v>0</v>
      </c>
      <c r="G134" s="28">
        <f t="shared" si="30"/>
        <v>0</v>
      </c>
      <c r="H134" s="28">
        <f t="shared" si="31"/>
        <v>0</v>
      </c>
      <c r="I134" s="24">
        <f>SUM('WATER_STEAM RATIO'!K134)</f>
        <v>10</v>
      </c>
      <c r="J134" s="30">
        <f>SUM('DATA B2'!I135-'DATA B2'!I134)+('DATA B2'!J135-'DATA B2'!J134)</f>
        <v>574</v>
      </c>
      <c r="K134" s="28">
        <f t="shared" si="32"/>
        <v>57.4</v>
      </c>
      <c r="L134" s="28">
        <f t="shared" si="36"/>
        <v>55.555555555555557</v>
      </c>
      <c r="M134" s="89">
        <f>SUM('WATER_STEAM RATIO'!Q134)</f>
        <v>0</v>
      </c>
      <c r="N134" s="9">
        <f>SUM('DATA B3'!H135-'DATA B3'!H134)</f>
        <v>0</v>
      </c>
      <c r="O134" s="88">
        <f t="shared" si="34"/>
        <v>0</v>
      </c>
      <c r="P134" s="15">
        <f t="shared" si="35"/>
        <v>0</v>
      </c>
    </row>
    <row r="135" spans="3:16">
      <c r="C135" s="292"/>
      <c r="D135" s="43">
        <v>1.125</v>
      </c>
      <c r="E135" s="5">
        <f>SUM('WATER_STEAM RATIO'!E135)</f>
        <v>0</v>
      </c>
      <c r="F135" s="9">
        <f>SUM('DATA B1'!I136-'DATA B1'!I135)+('DATA B1'!J136-'DATA B1'!J135)</f>
        <v>0</v>
      </c>
      <c r="G135" s="28">
        <f t="shared" si="30"/>
        <v>0</v>
      </c>
      <c r="H135" s="28">
        <f t="shared" si="31"/>
        <v>0</v>
      </c>
      <c r="I135" s="24">
        <f>SUM('WATER_STEAM RATIO'!K135)</f>
        <v>10</v>
      </c>
      <c r="J135" s="30">
        <f>SUM('DATA B2'!I136-'DATA B2'!I135)+('DATA B2'!J136-'DATA B2'!J135)</f>
        <v>556</v>
      </c>
      <c r="K135" s="28">
        <f t="shared" si="32"/>
        <v>55.6</v>
      </c>
      <c r="L135" s="28">
        <f t="shared" si="36"/>
        <v>55.555555555555557</v>
      </c>
      <c r="M135" s="89">
        <f>SUM('WATER_STEAM RATIO'!Q135)</f>
        <v>0</v>
      </c>
      <c r="N135" s="9">
        <f>SUM('DATA B3'!H136-'DATA B3'!H135)</f>
        <v>0</v>
      </c>
      <c r="O135" s="88">
        <f t="shared" ref="O135:O139" si="37">IFERROR(N135/(M135),0)</f>
        <v>0</v>
      </c>
      <c r="P135" s="15">
        <f t="shared" si="35"/>
        <v>0</v>
      </c>
    </row>
    <row r="136" spans="3:16">
      <c r="C136" s="292"/>
      <c r="D136" s="43">
        <v>1.1666666666666701</v>
      </c>
      <c r="E136" s="5">
        <f>SUM('WATER_STEAM RATIO'!E136)</f>
        <v>0</v>
      </c>
      <c r="F136" s="9">
        <f>SUM('DATA B1'!I137-'DATA B1'!I136)+('DATA B1'!J137-'DATA B1'!J136)</f>
        <v>0</v>
      </c>
      <c r="G136" s="28">
        <f t="shared" si="30"/>
        <v>0</v>
      </c>
      <c r="H136" s="28">
        <f t="shared" si="31"/>
        <v>0</v>
      </c>
      <c r="I136" s="24">
        <f>SUM('WATER_STEAM RATIO'!K136)</f>
        <v>8</v>
      </c>
      <c r="J136" s="30">
        <f>SUM('DATA B2'!I137-'DATA B2'!I136)+('DATA B2'!J137-'DATA B2'!J136)</f>
        <v>483</v>
      </c>
      <c r="K136" s="28">
        <f>IFERROR(J136/(I136),0)</f>
        <v>60.375</v>
      </c>
      <c r="L136" s="28">
        <f t="shared" si="36"/>
        <v>44.444444444444443</v>
      </c>
      <c r="M136" s="89">
        <f>SUM('WATER_STEAM RATIO'!Q136)</f>
        <v>0</v>
      </c>
      <c r="N136" s="9">
        <f>SUM('DATA B3'!H137-'DATA B3'!H136)</f>
        <v>0</v>
      </c>
      <c r="O136" s="88">
        <f t="shared" si="37"/>
        <v>0</v>
      </c>
      <c r="P136" s="15">
        <f t="shared" si="35"/>
        <v>0</v>
      </c>
    </row>
    <row r="137" spans="3:16">
      <c r="C137" s="292"/>
      <c r="D137" s="43">
        <v>1.2083333333333399</v>
      </c>
      <c r="E137" s="5">
        <f>SUM('WATER_STEAM RATIO'!E137)</f>
        <v>0</v>
      </c>
      <c r="F137" s="9">
        <f>SUM('DATA B1'!I138-'DATA B1'!I137)+('DATA B1'!J138-'DATA B1'!J137)</f>
        <v>0</v>
      </c>
      <c r="G137" s="28">
        <f t="shared" si="30"/>
        <v>0</v>
      </c>
      <c r="H137" s="28">
        <f t="shared" si="31"/>
        <v>0</v>
      </c>
      <c r="I137" s="24">
        <f>SUM('WATER_STEAM RATIO'!K137)</f>
        <v>8</v>
      </c>
      <c r="J137" s="30">
        <f>SUM('DATA B2'!I138-'DATA B2'!I137)+('DATA B2'!J138-'DATA B2'!J137)</f>
        <v>482</v>
      </c>
      <c r="K137" s="28">
        <f>IFERROR(J137/(I137),0)</f>
        <v>60.25</v>
      </c>
      <c r="L137" s="28">
        <f t="shared" si="36"/>
        <v>44.444444444444443</v>
      </c>
      <c r="M137" s="89">
        <f>SUM('WATER_STEAM RATIO'!Q137)</f>
        <v>0</v>
      </c>
      <c r="N137" s="9">
        <f>SUM('DATA B3'!H138-'DATA B3'!H137)</f>
        <v>0</v>
      </c>
      <c r="O137" s="88">
        <f t="shared" si="37"/>
        <v>0</v>
      </c>
      <c r="P137" s="15">
        <f t="shared" si="35"/>
        <v>0</v>
      </c>
    </row>
    <row r="138" spans="3:16">
      <c r="C138" s="292"/>
      <c r="D138" s="43">
        <v>1.25</v>
      </c>
      <c r="E138" s="5">
        <f>SUM('WATER_STEAM RATIO'!E138)</f>
        <v>0</v>
      </c>
      <c r="F138" s="9">
        <f>SUM('DATA B1'!I139-'DATA B1'!I138)+('DATA B1'!J139-'DATA B1'!J138)</f>
        <v>0</v>
      </c>
      <c r="G138" s="28">
        <f t="shared" si="30"/>
        <v>0</v>
      </c>
      <c r="H138" s="28">
        <f t="shared" si="31"/>
        <v>0</v>
      </c>
      <c r="I138" s="24">
        <f>SUM('WATER_STEAM RATIO'!K138)</f>
        <v>9</v>
      </c>
      <c r="J138" s="30">
        <f>SUM('DATA B2'!I139-'DATA B2'!I138)+('DATA B2'!J139-'DATA B2'!J138)</f>
        <v>487</v>
      </c>
      <c r="K138" s="28">
        <f>IFERROR(J138/(I138),0)</f>
        <v>54.111111111111114</v>
      </c>
      <c r="L138" s="28">
        <f t="shared" si="36"/>
        <v>50</v>
      </c>
      <c r="M138" s="89">
        <f>SUM('WATER_STEAM RATIO'!Q138)</f>
        <v>0</v>
      </c>
      <c r="N138" s="9">
        <f>SUM('DATA B3'!H139-'DATA B3'!H138)</f>
        <v>0</v>
      </c>
      <c r="O138" s="88">
        <f t="shared" si="37"/>
        <v>0</v>
      </c>
      <c r="P138" s="15">
        <f t="shared" si="35"/>
        <v>0</v>
      </c>
    </row>
    <row r="139" spans="3:16">
      <c r="C139" s="292"/>
      <c r="D139" s="43">
        <v>1.2916666666666701</v>
      </c>
      <c r="E139" s="5">
        <f>SUM('WATER_STEAM RATIO'!E139)</f>
        <v>0</v>
      </c>
      <c r="F139" s="9">
        <f>SUM('DATA B1'!I140-'DATA B1'!I139)+('DATA B1'!J140-'DATA B1'!J139)</f>
        <v>0</v>
      </c>
      <c r="G139" s="28">
        <f t="shared" si="30"/>
        <v>0</v>
      </c>
      <c r="H139" s="28">
        <f t="shared" si="31"/>
        <v>0</v>
      </c>
      <c r="I139" s="24">
        <f>SUM('WATER_STEAM RATIO'!K139)</f>
        <v>9</v>
      </c>
      <c r="J139" s="30">
        <f>SUM('DATA B2'!I140-'DATA B2'!I139)+('DATA B2'!J140-'DATA B2'!J139)</f>
        <v>484</v>
      </c>
      <c r="K139" s="28">
        <f>IFERROR(J139/(I139),0)</f>
        <v>53.777777777777779</v>
      </c>
      <c r="L139" s="28">
        <f t="shared" si="36"/>
        <v>50</v>
      </c>
      <c r="M139" s="89">
        <f>SUM('WATER_STEAM RATIO'!Q139)</f>
        <v>0</v>
      </c>
      <c r="N139" s="9">
        <f>SUM('DATA B3'!H140-'DATA B3'!H139)</f>
        <v>0</v>
      </c>
      <c r="O139" s="88">
        <f t="shared" si="37"/>
        <v>0</v>
      </c>
      <c r="P139" s="15">
        <f t="shared" si="35"/>
        <v>0</v>
      </c>
    </row>
    <row r="140" spans="3:16">
      <c r="C140" s="293"/>
      <c r="D140" s="258"/>
      <c r="E140" s="91">
        <f>SUMIF(E115:E139,"&gt;=0",E115:E139)</f>
        <v>0</v>
      </c>
      <c r="F140" s="91">
        <f>SUMIF(F115:F139,"&gt;=0",F115:F139)</f>
        <v>0</v>
      </c>
      <c r="G140" s="54">
        <f>IFERROR(F140/E140,0)</f>
        <v>0</v>
      </c>
      <c r="H140" s="54">
        <f>IFERROR(AVERAGE(H116:H139),0)</f>
        <v>0</v>
      </c>
      <c r="I140" s="91">
        <f>SUMIF(I115:I139,"&gt;=0",I115:I139)</f>
        <v>256</v>
      </c>
      <c r="J140" s="91">
        <f>SUMIF(J115:J139,"&gt;=0",J115:J139)</f>
        <v>14798</v>
      </c>
      <c r="K140" s="54">
        <f>IFERROR(J140/(I140),0)</f>
        <v>57.8046875</v>
      </c>
      <c r="L140" s="54">
        <f>IFERROR(AVERAGE(L116:L139),0)</f>
        <v>56.481481481481467</v>
      </c>
      <c r="M140" s="91">
        <f>SUMIF(M115:M139,"&gt;=0",M115:M139)</f>
        <v>108</v>
      </c>
      <c r="N140" s="91">
        <f>SUMIF(N115:N139,"&gt;=0",N115:N139)</f>
        <v>4971</v>
      </c>
      <c r="O140" s="239">
        <f>IFERROR(N140/(M140),0)</f>
        <v>46.027777777777779</v>
      </c>
      <c r="P140" s="215">
        <f>IFERROR(AVERAGE(P116:P139),0)</f>
        <v>26.5625</v>
      </c>
    </row>
    <row r="141" spans="3:16" ht="15" customHeight="1">
      <c r="C141" s="291">
        <f>SUM('WATER_STEAM RATIO'!B141:B166)</f>
        <v>46028</v>
      </c>
      <c r="D141" s="43">
        <v>0.29166666666666669</v>
      </c>
      <c r="E141" s="5">
        <f>SUM('WATER_STEAM RATIO'!E141)</f>
        <v>0</v>
      </c>
      <c r="F141" s="9"/>
      <c r="G141" s="28"/>
      <c r="H141" s="28"/>
      <c r="I141" s="24">
        <f>SUM('WATER_STEAM RATIO'!K141)</f>
        <v>9</v>
      </c>
      <c r="J141" s="30"/>
      <c r="K141" s="28"/>
      <c r="L141" s="28"/>
      <c r="M141" s="89">
        <f>SUM('WATER_STEAM RATIO'!Q141)</f>
        <v>0</v>
      </c>
      <c r="N141" s="9"/>
      <c r="O141" s="88"/>
      <c r="P141" s="15"/>
    </row>
    <row r="142" spans="3:16">
      <c r="C142" s="292"/>
      <c r="D142" s="43">
        <v>0.33333333333333298</v>
      </c>
      <c r="E142" s="5">
        <f>SUM('WATER_STEAM RATIO'!E142)</f>
        <v>0</v>
      </c>
      <c r="F142" s="9">
        <f>SUM('DATA B1'!I143-'DATA B1'!I142)+('DATA B1'!J143-'DATA B1'!J142)</f>
        <v>0</v>
      </c>
      <c r="G142" s="28">
        <f>IFERROR(F142/(E142),0)</f>
        <v>0</v>
      </c>
      <c r="H142" s="28">
        <f>IFERROR((E142/18)*100,0)</f>
        <v>0</v>
      </c>
      <c r="I142" s="24">
        <f>SUM('WATER_STEAM RATIO'!K142)</f>
        <v>11</v>
      </c>
      <c r="J142" s="30">
        <f>SUM('DATA B2'!I143-'DATA B2'!I142)+('DATA B2'!J143-'DATA B2'!J142)</f>
        <v>725</v>
      </c>
      <c r="K142" s="28">
        <f>IFERROR(J142/(I142),0)</f>
        <v>65.909090909090907</v>
      </c>
      <c r="L142" s="28">
        <f>IFERROR((I142/18)*100,0)</f>
        <v>61.111111111111114</v>
      </c>
      <c r="M142" s="89">
        <f>SUM('WATER_STEAM RATIO'!Q142)</f>
        <v>0</v>
      </c>
      <c r="N142" s="9">
        <f>SUM('DATA B3'!H143-'DATA B3'!H142)</f>
        <v>0</v>
      </c>
      <c r="O142" s="88">
        <f>IFERROR(N142/(M142),0)</f>
        <v>0</v>
      </c>
      <c r="P142" s="15">
        <f>IFERROR((M142/16)*100,0)</f>
        <v>0</v>
      </c>
    </row>
    <row r="143" spans="3:16">
      <c r="C143" s="292"/>
      <c r="D143" s="43">
        <v>0.375</v>
      </c>
      <c r="E143" s="5">
        <f>SUM('WATER_STEAM RATIO'!E143)</f>
        <v>0</v>
      </c>
      <c r="F143" s="9">
        <f>SUM('DATA B1'!I144-'DATA B1'!I143)+('DATA B1'!J144-'DATA B1'!J143)</f>
        <v>0</v>
      </c>
      <c r="G143" s="28">
        <f t="shared" ref="G143:G165" si="38">IFERROR(F143/(E143),0)</f>
        <v>0</v>
      </c>
      <c r="H143" s="28">
        <f t="shared" ref="H143:H165" si="39">IFERROR((E143/18)*100,0)</f>
        <v>0</v>
      </c>
      <c r="I143" s="24">
        <f>SUM('WATER_STEAM RATIO'!K143)</f>
        <v>7</v>
      </c>
      <c r="J143" s="30">
        <f>SUM('DATA B2'!I144-'DATA B2'!I143)+('DATA B2'!J144-'DATA B2'!J143)</f>
        <v>425</v>
      </c>
      <c r="K143" s="28">
        <f t="shared" ref="K143:K161" si="40">IFERROR(J143/(I143),0)</f>
        <v>60.714285714285715</v>
      </c>
      <c r="L143" s="28">
        <f t="shared" ref="L143:L153" si="41">IFERROR((I143/18)*100,0)</f>
        <v>38.888888888888893</v>
      </c>
      <c r="M143" s="89">
        <f>SUM('WATER_STEAM RATIO'!Q143)</f>
        <v>0</v>
      </c>
      <c r="N143" s="9">
        <f>SUM('DATA B3'!H144-'DATA B3'!H143)</f>
        <v>0</v>
      </c>
      <c r="O143" s="88">
        <f t="shared" ref="O143:O160" si="42">IFERROR(N143/(M143),0)</f>
        <v>0</v>
      </c>
      <c r="P143" s="15">
        <f t="shared" ref="P143:P165" si="43">IFERROR((M143/16)*100,0)</f>
        <v>0</v>
      </c>
    </row>
    <row r="144" spans="3:16">
      <c r="C144" s="292"/>
      <c r="D144" s="43">
        <v>0.41666666666666702</v>
      </c>
      <c r="E144" s="5">
        <f>SUM('WATER_STEAM RATIO'!E144)</f>
        <v>0</v>
      </c>
      <c r="F144" s="9">
        <f>SUM('DATA B1'!I145-'DATA B1'!I144)+('DATA B1'!J145-'DATA B1'!J144)</f>
        <v>0</v>
      </c>
      <c r="G144" s="28">
        <f t="shared" si="38"/>
        <v>0</v>
      </c>
      <c r="H144" s="28">
        <f t="shared" si="39"/>
        <v>0</v>
      </c>
      <c r="I144" s="24">
        <f>SUM('WATER_STEAM RATIO'!K144)</f>
        <v>7</v>
      </c>
      <c r="J144" s="30">
        <f>SUM('DATA B2'!I145-'DATA B2'!I144)+('DATA B2'!J145-'DATA B2'!J144)</f>
        <v>409</v>
      </c>
      <c r="K144" s="28">
        <f t="shared" si="40"/>
        <v>58.428571428571431</v>
      </c>
      <c r="L144" s="28">
        <f t="shared" si="41"/>
        <v>38.888888888888893</v>
      </c>
      <c r="M144" s="89">
        <f>SUM('WATER_STEAM RATIO'!Q144)</f>
        <v>0</v>
      </c>
      <c r="N144" s="9">
        <f>SUM('DATA B3'!H145-'DATA B3'!H144)</f>
        <v>0</v>
      </c>
      <c r="O144" s="88">
        <f t="shared" si="42"/>
        <v>0</v>
      </c>
      <c r="P144" s="15">
        <f t="shared" si="43"/>
        <v>0</v>
      </c>
    </row>
    <row r="145" spans="3:16">
      <c r="C145" s="292"/>
      <c r="D145" s="43">
        <v>0.45833333333333298</v>
      </c>
      <c r="E145" s="5">
        <f>SUM('WATER_STEAM RATIO'!E145)</f>
        <v>0</v>
      </c>
      <c r="F145" s="9">
        <f>SUM('DATA B1'!I146-'DATA B1'!I145)+('DATA B1'!J146-'DATA B1'!J145)</f>
        <v>0</v>
      </c>
      <c r="G145" s="28">
        <f t="shared" si="38"/>
        <v>0</v>
      </c>
      <c r="H145" s="28">
        <f t="shared" si="39"/>
        <v>0</v>
      </c>
      <c r="I145" s="24">
        <f>SUM('WATER_STEAM RATIO'!K145)</f>
        <v>8</v>
      </c>
      <c r="J145" s="30">
        <f>SUM('DATA B2'!I146-'DATA B2'!I145)+('DATA B2'!J146-'DATA B2'!J145)</f>
        <v>444</v>
      </c>
      <c r="K145" s="28">
        <f t="shared" si="40"/>
        <v>55.5</v>
      </c>
      <c r="L145" s="28">
        <f t="shared" si="41"/>
        <v>44.444444444444443</v>
      </c>
      <c r="M145" s="89">
        <f>SUM('WATER_STEAM RATIO'!Q145)</f>
        <v>0</v>
      </c>
      <c r="N145" s="9">
        <f>SUM('DATA B3'!H146-'DATA B3'!H145)</f>
        <v>0</v>
      </c>
      <c r="O145" s="88">
        <f t="shared" si="42"/>
        <v>0</v>
      </c>
      <c r="P145" s="15">
        <f t="shared" si="43"/>
        <v>0</v>
      </c>
    </row>
    <row r="146" spans="3:16">
      <c r="C146" s="292"/>
      <c r="D146" s="43">
        <v>0.5</v>
      </c>
      <c r="E146" s="5">
        <f>SUM('WATER_STEAM RATIO'!E146)</f>
        <v>0</v>
      </c>
      <c r="F146" s="9">
        <f>SUM('DATA B1'!I147-'DATA B1'!I146)+('DATA B1'!J147-'DATA B1'!J146)</f>
        <v>0</v>
      </c>
      <c r="G146" s="28">
        <f t="shared" si="38"/>
        <v>0</v>
      </c>
      <c r="H146" s="28">
        <f t="shared" si="39"/>
        <v>0</v>
      </c>
      <c r="I146" s="24">
        <f>SUM('WATER_STEAM RATIO'!K146)</f>
        <v>8</v>
      </c>
      <c r="J146" s="30">
        <f>SUM('DATA B2'!I147-'DATA B2'!I146)+('DATA B2'!J147-'DATA B2'!J146)</f>
        <v>458</v>
      </c>
      <c r="K146" s="28">
        <f t="shared" si="40"/>
        <v>57.25</v>
      </c>
      <c r="L146" s="28">
        <f t="shared" si="41"/>
        <v>44.444444444444443</v>
      </c>
      <c r="M146" s="89">
        <f>SUM('WATER_STEAM RATIO'!Q146)</f>
        <v>0</v>
      </c>
      <c r="N146" s="9">
        <f>SUM('DATA B3'!H147-'DATA B3'!H146)</f>
        <v>0</v>
      </c>
      <c r="O146" s="88">
        <f t="shared" si="42"/>
        <v>0</v>
      </c>
      <c r="P146" s="15">
        <f t="shared" si="43"/>
        <v>0</v>
      </c>
    </row>
    <row r="147" spans="3:16">
      <c r="C147" s="292"/>
      <c r="D147" s="43">
        <v>0.54166666666666696</v>
      </c>
      <c r="E147" s="5">
        <f>SUM('WATER_STEAM RATIO'!E147)</f>
        <v>0</v>
      </c>
      <c r="F147" s="9">
        <f>SUM('DATA B1'!I148-'DATA B1'!I147)+('DATA B1'!J148-'DATA B1'!J147)</f>
        <v>0</v>
      </c>
      <c r="G147" s="28">
        <f t="shared" si="38"/>
        <v>0</v>
      </c>
      <c r="H147" s="28">
        <f t="shared" si="39"/>
        <v>0</v>
      </c>
      <c r="I147" s="24">
        <f>SUM('WATER_STEAM RATIO'!K147)</f>
        <v>8</v>
      </c>
      <c r="J147" s="30">
        <f>SUM('DATA B2'!I148-'DATA B2'!I147)+('DATA B2'!J148-'DATA B2'!J147)</f>
        <v>463</v>
      </c>
      <c r="K147" s="28">
        <f t="shared" si="40"/>
        <v>57.875</v>
      </c>
      <c r="L147" s="28">
        <f t="shared" si="41"/>
        <v>44.444444444444443</v>
      </c>
      <c r="M147" s="89">
        <f>SUM('WATER_STEAM RATIO'!Q147)</f>
        <v>0</v>
      </c>
      <c r="N147" s="9">
        <f>SUM('DATA B3'!H148-'DATA B3'!H147)</f>
        <v>0</v>
      </c>
      <c r="O147" s="88">
        <f t="shared" si="42"/>
        <v>0</v>
      </c>
      <c r="P147" s="15">
        <f t="shared" si="43"/>
        <v>0</v>
      </c>
    </row>
    <row r="148" spans="3:16">
      <c r="C148" s="292"/>
      <c r="D148" s="43">
        <v>0.58333333333333304</v>
      </c>
      <c r="E148" s="5">
        <f>SUM('WATER_STEAM RATIO'!E148)</f>
        <v>0</v>
      </c>
      <c r="F148" s="9">
        <f>SUM('DATA B1'!I149-'DATA B1'!I148)+('DATA B1'!J149-'DATA B1'!J148)</f>
        <v>0</v>
      </c>
      <c r="G148" s="28">
        <f t="shared" si="38"/>
        <v>0</v>
      </c>
      <c r="H148" s="28">
        <f t="shared" si="39"/>
        <v>0</v>
      </c>
      <c r="I148" s="24">
        <f>SUM('WATER_STEAM RATIO'!K148)</f>
        <v>9</v>
      </c>
      <c r="J148" s="30">
        <f>SUM('DATA B2'!I149-'DATA B2'!I148)+('DATA B2'!J149-'DATA B2'!J148)</f>
        <v>591</v>
      </c>
      <c r="K148" s="28">
        <f t="shared" si="40"/>
        <v>65.666666666666671</v>
      </c>
      <c r="L148" s="28">
        <f t="shared" si="41"/>
        <v>50</v>
      </c>
      <c r="M148" s="89">
        <f>SUM('WATER_STEAM RATIO'!Q148)</f>
        <v>0</v>
      </c>
      <c r="N148" s="9">
        <f>SUM('DATA B3'!H149-'DATA B3'!H148)</f>
        <v>0</v>
      </c>
      <c r="O148" s="88">
        <f t="shared" si="42"/>
        <v>0</v>
      </c>
      <c r="P148" s="15">
        <f t="shared" si="43"/>
        <v>0</v>
      </c>
    </row>
    <row r="149" spans="3:16">
      <c r="C149" s="292"/>
      <c r="D149" s="43">
        <v>0.625</v>
      </c>
      <c r="E149" s="5">
        <f>SUM('WATER_STEAM RATIO'!E149)</f>
        <v>0</v>
      </c>
      <c r="F149" s="9">
        <f>SUM('DATA B1'!I150-'DATA B1'!I149)+('DATA B1'!J150-'DATA B1'!J149)</f>
        <v>0</v>
      </c>
      <c r="G149" s="28">
        <f t="shared" si="38"/>
        <v>0</v>
      </c>
      <c r="H149" s="28">
        <f t="shared" si="39"/>
        <v>0</v>
      </c>
      <c r="I149" s="24">
        <f>SUM('WATER_STEAM RATIO'!K149)</f>
        <v>9</v>
      </c>
      <c r="J149" s="30">
        <f>SUM('DATA B2'!I150-'DATA B2'!I149)+('DATA B2'!J150-'DATA B2'!J149)</f>
        <v>597</v>
      </c>
      <c r="K149" s="28">
        <f t="shared" si="40"/>
        <v>66.333333333333329</v>
      </c>
      <c r="L149" s="28">
        <f t="shared" si="41"/>
        <v>50</v>
      </c>
      <c r="M149" s="89">
        <f>SUM('WATER_STEAM RATIO'!Q149)</f>
        <v>0</v>
      </c>
      <c r="N149" s="9">
        <f>SUM('DATA B3'!H150-'DATA B3'!H149)</f>
        <v>0</v>
      </c>
      <c r="O149" s="88">
        <f t="shared" si="42"/>
        <v>0</v>
      </c>
      <c r="P149" s="15">
        <f t="shared" si="43"/>
        <v>0</v>
      </c>
    </row>
    <row r="150" spans="3:16">
      <c r="C150" s="292"/>
      <c r="D150" s="43">
        <v>0.66666666666666596</v>
      </c>
      <c r="E150" s="5">
        <f>SUM('WATER_STEAM RATIO'!E150)</f>
        <v>0</v>
      </c>
      <c r="F150" s="9">
        <f>SUM('DATA B1'!I151-'DATA B1'!I150)+('DATA B1'!J151-'DATA B1'!J150)</f>
        <v>0</v>
      </c>
      <c r="G150" s="28">
        <f t="shared" si="38"/>
        <v>0</v>
      </c>
      <c r="H150" s="28">
        <f t="shared" si="39"/>
        <v>0</v>
      </c>
      <c r="I150" s="24">
        <f>SUM('WATER_STEAM RATIO'!K150)</f>
        <v>8</v>
      </c>
      <c r="J150" s="30">
        <f>SUM('DATA B2'!I151-'DATA B2'!I150)+('DATA B2'!J151-'DATA B2'!J150)</f>
        <v>465</v>
      </c>
      <c r="K150" s="28">
        <f t="shared" si="40"/>
        <v>58.125</v>
      </c>
      <c r="L150" s="28">
        <f t="shared" si="41"/>
        <v>44.444444444444443</v>
      </c>
      <c r="M150" s="89">
        <f>SUM('WATER_STEAM RATIO'!Q150)</f>
        <v>0</v>
      </c>
      <c r="N150" s="9">
        <f>SUM('DATA B3'!H151-'DATA B3'!H150)</f>
        <v>0</v>
      </c>
      <c r="O150" s="88">
        <f t="shared" si="42"/>
        <v>0</v>
      </c>
      <c r="P150" s="15">
        <f t="shared" si="43"/>
        <v>0</v>
      </c>
    </row>
    <row r="151" spans="3:16">
      <c r="C151" s="292"/>
      <c r="D151" s="43">
        <v>0.70833333333333304</v>
      </c>
      <c r="E151" s="5">
        <f>SUM('WATER_STEAM RATIO'!E151)</f>
        <v>0</v>
      </c>
      <c r="F151" s="9">
        <f>SUM('DATA B1'!I152-'DATA B1'!I151)+('DATA B1'!J152-'DATA B1'!J151)</f>
        <v>0</v>
      </c>
      <c r="G151" s="28">
        <f t="shared" si="38"/>
        <v>0</v>
      </c>
      <c r="H151" s="28">
        <f t="shared" si="39"/>
        <v>0</v>
      </c>
      <c r="I151" s="24">
        <f>SUM('WATER_STEAM RATIO'!K151)</f>
        <v>8</v>
      </c>
      <c r="J151" s="30">
        <f>SUM('DATA B2'!I152-'DATA B2'!I151)+('DATA B2'!J152-'DATA B2'!J151)</f>
        <v>455</v>
      </c>
      <c r="K151" s="28">
        <f t="shared" si="40"/>
        <v>56.875</v>
      </c>
      <c r="L151" s="28">
        <f t="shared" si="41"/>
        <v>44.444444444444443</v>
      </c>
      <c r="M151" s="89">
        <f>SUM('WATER_STEAM RATIO'!Q151)</f>
        <v>0</v>
      </c>
      <c r="N151" s="9">
        <f>SUM('DATA B3'!H152-'DATA B3'!H151)</f>
        <v>0</v>
      </c>
      <c r="O151" s="88">
        <f t="shared" si="42"/>
        <v>0</v>
      </c>
      <c r="P151" s="15">
        <f t="shared" si="43"/>
        <v>0</v>
      </c>
    </row>
    <row r="152" spans="3:16">
      <c r="C152" s="292"/>
      <c r="D152" s="43">
        <v>0.75</v>
      </c>
      <c r="E152" s="5">
        <f>SUM('WATER_STEAM RATIO'!E152)</f>
        <v>0</v>
      </c>
      <c r="F152" s="9">
        <f>SUM('DATA B1'!I153-'DATA B1'!I152)+('DATA B1'!J153-'DATA B1'!J152)</f>
        <v>0</v>
      </c>
      <c r="G152" s="28">
        <f t="shared" si="38"/>
        <v>0</v>
      </c>
      <c r="H152" s="28">
        <f t="shared" si="39"/>
        <v>0</v>
      </c>
      <c r="I152" s="24">
        <f>SUM('WATER_STEAM RATIO'!K152)</f>
        <v>8</v>
      </c>
      <c r="J152" s="30">
        <f>SUM('DATA B2'!I153-'DATA B2'!I152)+('DATA B2'!J153-'DATA B2'!J152)</f>
        <v>460</v>
      </c>
      <c r="K152" s="28">
        <f t="shared" si="40"/>
        <v>57.5</v>
      </c>
      <c r="L152" s="28">
        <f t="shared" si="41"/>
        <v>44.444444444444443</v>
      </c>
      <c r="M152" s="89">
        <f>SUM('WATER_STEAM RATIO'!Q152)</f>
        <v>0</v>
      </c>
      <c r="N152" s="9">
        <f>SUM('DATA B3'!H153-'DATA B3'!H152)</f>
        <v>0</v>
      </c>
      <c r="O152" s="88">
        <f t="shared" si="42"/>
        <v>0</v>
      </c>
      <c r="P152" s="15">
        <f t="shared" si="43"/>
        <v>0</v>
      </c>
    </row>
    <row r="153" spans="3:16">
      <c r="C153" s="292"/>
      <c r="D153" s="43">
        <v>0.79166666666666596</v>
      </c>
      <c r="E153" s="5">
        <f>SUM('WATER_STEAM RATIO'!E153)</f>
        <v>0</v>
      </c>
      <c r="F153" s="9">
        <f>SUM('DATA B1'!I154-'DATA B1'!I153)+('DATA B1'!J154-'DATA B1'!J153)</f>
        <v>0</v>
      </c>
      <c r="G153" s="28">
        <f t="shared" si="38"/>
        <v>0</v>
      </c>
      <c r="H153" s="28">
        <f t="shared" si="39"/>
        <v>0</v>
      </c>
      <c r="I153" s="24">
        <f>SUM('WATER_STEAM RATIO'!K153)</f>
        <v>9</v>
      </c>
      <c r="J153" s="30">
        <f>SUM('DATA B2'!I154-'DATA B2'!I153)+('DATA B2'!J154-'DATA B2'!J153)</f>
        <v>497</v>
      </c>
      <c r="K153" s="28">
        <f t="shared" si="40"/>
        <v>55.222222222222221</v>
      </c>
      <c r="L153" s="28">
        <f t="shared" si="41"/>
        <v>50</v>
      </c>
      <c r="M153" s="89">
        <f>SUM('WATER_STEAM RATIO'!Q153)</f>
        <v>0</v>
      </c>
      <c r="N153" s="9">
        <f>SUM('DATA B3'!H154-'DATA B3'!H153)</f>
        <v>0</v>
      </c>
      <c r="O153" s="88">
        <f t="shared" si="42"/>
        <v>0</v>
      </c>
      <c r="P153" s="15">
        <f t="shared" si="43"/>
        <v>0</v>
      </c>
    </row>
    <row r="154" spans="3:16">
      <c r="C154" s="292"/>
      <c r="D154" s="43">
        <v>0.83333333333333304</v>
      </c>
      <c r="E154" s="5">
        <f>SUM('WATER_STEAM RATIO'!E154)</f>
        <v>0</v>
      </c>
      <c r="F154" s="9">
        <f>SUM('DATA B1'!I155-'DATA B1'!I154)+('DATA B1'!J155-'DATA B1'!J154)</f>
        <v>0</v>
      </c>
      <c r="G154" s="28">
        <f t="shared" si="38"/>
        <v>0</v>
      </c>
      <c r="H154" s="28">
        <f t="shared" si="39"/>
        <v>0</v>
      </c>
      <c r="I154" s="24">
        <f>SUM('WATER_STEAM RATIO'!K154)</f>
        <v>12</v>
      </c>
      <c r="J154" s="30">
        <f>SUM('DATA B2'!I155-'DATA B2'!I154)+('DATA B2'!J155-'DATA B2'!J154)</f>
        <v>682</v>
      </c>
      <c r="K154" s="28">
        <f t="shared" si="40"/>
        <v>56.833333333333336</v>
      </c>
      <c r="L154" s="28">
        <f>IFERROR((I154/18)*100,0)</f>
        <v>66.666666666666657</v>
      </c>
      <c r="M154" s="89">
        <f>SUM('WATER_STEAM RATIO'!Q154)</f>
        <v>0</v>
      </c>
      <c r="N154" s="9">
        <f>SUM('DATA B3'!H155-'DATA B3'!H154)</f>
        <v>0</v>
      </c>
      <c r="O154" s="88">
        <f t="shared" si="42"/>
        <v>0</v>
      </c>
      <c r="P154" s="15">
        <f t="shared" si="43"/>
        <v>0</v>
      </c>
    </row>
    <row r="155" spans="3:16">
      <c r="C155" s="292"/>
      <c r="D155" s="43">
        <v>0.875</v>
      </c>
      <c r="E155" s="5">
        <f>SUM('WATER_STEAM RATIO'!E155)</f>
        <v>0</v>
      </c>
      <c r="F155" s="9">
        <f>SUM('DATA B1'!I156-'DATA B1'!I155)+('DATA B1'!J156-'DATA B1'!J155)</f>
        <v>0</v>
      </c>
      <c r="G155" s="28">
        <f t="shared" si="38"/>
        <v>0</v>
      </c>
      <c r="H155" s="28">
        <f t="shared" si="39"/>
        <v>0</v>
      </c>
      <c r="I155" s="24">
        <f>SUM('WATER_STEAM RATIO'!K155)</f>
        <v>8</v>
      </c>
      <c r="J155" s="30">
        <f>SUM('DATA B2'!I156-'DATA B2'!I155)+('DATA B2'!J156-'DATA B2'!J155)</f>
        <v>476</v>
      </c>
      <c r="K155" s="28">
        <f t="shared" si="40"/>
        <v>59.5</v>
      </c>
      <c r="L155" s="28">
        <f t="shared" ref="L155:L165" si="44">IFERROR((I155/18)*100,0)</f>
        <v>44.444444444444443</v>
      </c>
      <c r="M155" s="89">
        <f>SUM('WATER_STEAM RATIO'!Q155)</f>
        <v>0</v>
      </c>
      <c r="N155" s="9">
        <f>SUM('DATA B3'!H156-'DATA B3'!H155)</f>
        <v>0</v>
      </c>
      <c r="O155" s="88">
        <f t="shared" si="42"/>
        <v>0</v>
      </c>
      <c r="P155" s="15">
        <f t="shared" si="43"/>
        <v>0</v>
      </c>
    </row>
    <row r="156" spans="3:16">
      <c r="C156" s="292"/>
      <c r="D156" s="43">
        <v>0.91666666666666596</v>
      </c>
      <c r="E156" s="5">
        <f>SUM('WATER_STEAM RATIO'!E156)</f>
        <v>0</v>
      </c>
      <c r="F156" s="9">
        <f>SUM('DATA B1'!I157-'DATA B1'!I156)+('DATA B1'!J157-'DATA B1'!J156)</f>
        <v>0</v>
      </c>
      <c r="G156" s="28">
        <f t="shared" si="38"/>
        <v>0</v>
      </c>
      <c r="H156" s="28">
        <f t="shared" si="39"/>
        <v>0</v>
      </c>
      <c r="I156" s="24">
        <f>SUM('WATER_STEAM RATIO'!K156)</f>
        <v>9</v>
      </c>
      <c r="J156" s="30">
        <f>SUM('DATA B2'!I157-'DATA B2'!I156)+('DATA B2'!J157-'DATA B2'!J156)</f>
        <v>586</v>
      </c>
      <c r="K156" s="28">
        <f t="shared" si="40"/>
        <v>65.111111111111114</v>
      </c>
      <c r="L156" s="28">
        <f t="shared" si="44"/>
        <v>50</v>
      </c>
      <c r="M156" s="89">
        <f>SUM('WATER_STEAM RATIO'!Q156)</f>
        <v>0</v>
      </c>
      <c r="N156" s="9">
        <f>SUM('DATA B3'!H157-'DATA B3'!H156)</f>
        <v>0</v>
      </c>
      <c r="O156" s="88">
        <f t="shared" si="42"/>
        <v>0</v>
      </c>
      <c r="P156" s="15">
        <f>IFERROR((M156/16)*100,0)</f>
        <v>0</v>
      </c>
    </row>
    <row r="157" spans="3:16">
      <c r="C157" s="292"/>
      <c r="D157" s="43">
        <v>0.95833333333333304</v>
      </c>
      <c r="E157" s="5">
        <f>SUM('WATER_STEAM RATIO'!E157)</f>
        <v>0</v>
      </c>
      <c r="F157" s="9">
        <f>SUM('DATA B1'!I158-'DATA B1'!I157)+('DATA B1'!J158-'DATA B1'!J157)</f>
        <v>0</v>
      </c>
      <c r="G157" s="28">
        <f t="shared" si="38"/>
        <v>0</v>
      </c>
      <c r="H157" s="28">
        <f t="shared" si="39"/>
        <v>0</v>
      </c>
      <c r="I157" s="24">
        <f>SUM('WATER_STEAM RATIO'!K157)</f>
        <v>9</v>
      </c>
      <c r="J157" s="30">
        <f>SUM('DATA B2'!I158-'DATA B2'!I157)+('DATA B2'!J158-'DATA B2'!J157)</f>
        <v>578</v>
      </c>
      <c r="K157" s="28">
        <f t="shared" si="40"/>
        <v>64.222222222222229</v>
      </c>
      <c r="L157" s="28">
        <f t="shared" si="44"/>
        <v>50</v>
      </c>
      <c r="M157" s="89">
        <f>SUM('WATER_STEAM RATIO'!Q157)</f>
        <v>0</v>
      </c>
      <c r="N157" s="9">
        <f>SUM('DATA B3'!H158-'DATA B3'!H157)</f>
        <v>0</v>
      </c>
      <c r="O157" s="88">
        <f t="shared" si="42"/>
        <v>0</v>
      </c>
      <c r="P157" s="15">
        <f t="shared" si="43"/>
        <v>0</v>
      </c>
    </row>
    <row r="158" spans="3:16">
      <c r="C158" s="292"/>
      <c r="D158" s="43">
        <v>1</v>
      </c>
      <c r="E158" s="5">
        <f>SUM('WATER_STEAM RATIO'!E158)</f>
        <v>0</v>
      </c>
      <c r="F158" s="9">
        <f>SUM('DATA B1'!I159-'DATA B1'!I158)+('DATA B1'!J159-'DATA B1'!J158)</f>
        <v>0</v>
      </c>
      <c r="G158" s="28">
        <f t="shared" si="38"/>
        <v>0</v>
      </c>
      <c r="H158" s="28">
        <f t="shared" si="39"/>
        <v>0</v>
      </c>
      <c r="I158" s="24">
        <f>SUM('WATER_STEAM RATIO'!K158)</f>
        <v>8</v>
      </c>
      <c r="J158" s="30">
        <f>SUM('DATA B2'!I159-'DATA B2'!I158)+('DATA B2'!J159-'DATA B2'!J158)</f>
        <v>488</v>
      </c>
      <c r="K158" s="28">
        <f t="shared" si="40"/>
        <v>61</v>
      </c>
      <c r="L158" s="28">
        <f t="shared" si="44"/>
        <v>44.444444444444443</v>
      </c>
      <c r="M158" s="89">
        <f>SUM('WATER_STEAM RATIO'!Q158)</f>
        <v>0</v>
      </c>
      <c r="N158" s="9">
        <f>SUM('DATA B3'!H159-'DATA B3'!H158)</f>
        <v>0</v>
      </c>
      <c r="O158" s="88">
        <f t="shared" si="42"/>
        <v>0</v>
      </c>
      <c r="P158" s="15">
        <f t="shared" si="43"/>
        <v>0</v>
      </c>
    </row>
    <row r="159" spans="3:16">
      <c r="C159" s="292"/>
      <c r="D159" s="43">
        <v>1.0416666666666701</v>
      </c>
      <c r="E159" s="5">
        <f>SUM('WATER_STEAM RATIO'!E159)</f>
        <v>0</v>
      </c>
      <c r="F159" s="9">
        <f>SUM('DATA B1'!I160-'DATA B1'!I159)+('DATA B1'!J160-'DATA B1'!J159)</f>
        <v>0</v>
      </c>
      <c r="G159" s="28">
        <f t="shared" si="38"/>
        <v>0</v>
      </c>
      <c r="H159" s="28">
        <f t="shared" si="39"/>
        <v>0</v>
      </c>
      <c r="I159" s="24">
        <f>SUM('WATER_STEAM RATIO'!K159)</f>
        <v>8</v>
      </c>
      <c r="J159" s="30">
        <f>SUM('DATA B2'!I160-'DATA B2'!I159)+('DATA B2'!J160-'DATA B2'!J159)</f>
        <v>485</v>
      </c>
      <c r="K159" s="28">
        <f t="shared" si="40"/>
        <v>60.625</v>
      </c>
      <c r="L159" s="28">
        <f t="shared" si="44"/>
        <v>44.444444444444443</v>
      </c>
      <c r="M159" s="89">
        <f>SUM('WATER_STEAM RATIO'!Q159)</f>
        <v>0</v>
      </c>
      <c r="N159" s="9">
        <f>SUM('DATA B3'!H160-'DATA B3'!H159)</f>
        <v>0</v>
      </c>
      <c r="O159" s="88">
        <f t="shared" si="42"/>
        <v>0</v>
      </c>
      <c r="P159" s="15">
        <f t="shared" si="43"/>
        <v>0</v>
      </c>
    </row>
    <row r="160" spans="3:16">
      <c r="C160" s="292"/>
      <c r="D160" s="43">
        <v>1.0833333333333399</v>
      </c>
      <c r="E160" s="5">
        <f>SUM('WATER_STEAM RATIO'!E160)</f>
        <v>0</v>
      </c>
      <c r="F160" s="9">
        <f>SUM('DATA B1'!I161-'DATA B1'!I160)+('DATA B1'!J161-'DATA B1'!J160)</f>
        <v>0</v>
      </c>
      <c r="G160" s="28">
        <f t="shared" si="38"/>
        <v>0</v>
      </c>
      <c r="H160" s="28">
        <f t="shared" si="39"/>
        <v>0</v>
      </c>
      <c r="I160" s="24">
        <f>SUM('WATER_STEAM RATIO'!K160)</f>
        <v>8</v>
      </c>
      <c r="J160" s="30">
        <f>SUM('DATA B2'!I161-'DATA B2'!I160)+('DATA B2'!J161-'DATA B2'!J160)</f>
        <v>487</v>
      </c>
      <c r="K160" s="28">
        <f t="shared" si="40"/>
        <v>60.875</v>
      </c>
      <c r="L160" s="28">
        <f t="shared" si="44"/>
        <v>44.444444444444443</v>
      </c>
      <c r="M160" s="89">
        <f>SUM('WATER_STEAM RATIO'!Q160)</f>
        <v>0</v>
      </c>
      <c r="N160" s="9">
        <f>SUM('DATA B3'!H161-'DATA B3'!H160)</f>
        <v>0</v>
      </c>
      <c r="O160" s="88">
        <f t="shared" si="42"/>
        <v>0</v>
      </c>
      <c r="P160" s="15">
        <f t="shared" si="43"/>
        <v>0</v>
      </c>
    </row>
    <row r="161" spans="3:16">
      <c r="C161" s="292"/>
      <c r="D161" s="43">
        <v>1.125</v>
      </c>
      <c r="E161" s="5">
        <f>SUM('WATER_STEAM RATIO'!E161)</f>
        <v>0</v>
      </c>
      <c r="F161" s="9">
        <f>SUM('DATA B1'!I162-'DATA B1'!I161)+('DATA B1'!J162-'DATA B1'!J161)</f>
        <v>0</v>
      </c>
      <c r="G161" s="28">
        <f t="shared" si="38"/>
        <v>0</v>
      </c>
      <c r="H161" s="28">
        <f t="shared" si="39"/>
        <v>0</v>
      </c>
      <c r="I161" s="24">
        <f>SUM('WATER_STEAM RATIO'!K161)</f>
        <v>9</v>
      </c>
      <c r="J161" s="30">
        <f>SUM('DATA B2'!I162-'DATA B2'!I161)+('DATA B2'!J162-'DATA B2'!J161)</f>
        <v>543</v>
      </c>
      <c r="K161" s="28">
        <f t="shared" si="40"/>
        <v>60.333333333333336</v>
      </c>
      <c r="L161" s="28">
        <f t="shared" si="44"/>
        <v>50</v>
      </c>
      <c r="M161" s="89">
        <f>SUM('WATER_STEAM RATIO'!Q161)</f>
        <v>0</v>
      </c>
      <c r="N161" s="9">
        <f>SUM('DATA B3'!H162-'DATA B3'!H161)</f>
        <v>0</v>
      </c>
      <c r="O161" s="88">
        <f t="shared" ref="O161:O165" si="45">IFERROR(N161/(M161),0)</f>
        <v>0</v>
      </c>
      <c r="P161" s="15">
        <f t="shared" si="43"/>
        <v>0</v>
      </c>
    </row>
    <row r="162" spans="3:16">
      <c r="C162" s="292"/>
      <c r="D162" s="43">
        <v>1.1666666666666701</v>
      </c>
      <c r="E162" s="5">
        <f>SUM('WATER_STEAM RATIO'!E162)</f>
        <v>0</v>
      </c>
      <c r="F162" s="9">
        <f>SUM('DATA B1'!I163-'DATA B1'!I162)+('DATA B1'!J163-'DATA B1'!J162)</f>
        <v>0</v>
      </c>
      <c r="G162" s="28">
        <f t="shared" si="38"/>
        <v>0</v>
      </c>
      <c r="H162" s="28">
        <f t="shared" si="39"/>
        <v>0</v>
      </c>
      <c r="I162" s="24">
        <f>SUM('WATER_STEAM RATIO'!K162)</f>
        <v>8</v>
      </c>
      <c r="J162" s="30">
        <f>SUM('DATA B2'!I163-'DATA B2'!I162)+('DATA B2'!J163-'DATA B2'!J162)</f>
        <v>451</v>
      </c>
      <c r="K162" s="28">
        <f>IFERROR(J162/(I162),0)</f>
        <v>56.375</v>
      </c>
      <c r="L162" s="28">
        <f t="shared" si="44"/>
        <v>44.444444444444443</v>
      </c>
      <c r="M162" s="89">
        <f>SUM('WATER_STEAM RATIO'!Q162)</f>
        <v>0</v>
      </c>
      <c r="N162" s="9">
        <f>SUM('DATA B3'!H163-'DATA B3'!H162)</f>
        <v>0</v>
      </c>
      <c r="O162" s="88">
        <f t="shared" si="45"/>
        <v>0</v>
      </c>
      <c r="P162" s="15">
        <f t="shared" si="43"/>
        <v>0</v>
      </c>
    </row>
    <row r="163" spans="3:16">
      <c r="C163" s="292"/>
      <c r="D163" s="43">
        <v>1.2083333333333399</v>
      </c>
      <c r="E163" s="5">
        <f>SUM('WATER_STEAM RATIO'!E163)</f>
        <v>0</v>
      </c>
      <c r="F163" s="9">
        <f>SUM('DATA B1'!I164-'DATA B1'!I163)+('DATA B1'!J164-'DATA B1'!J163)</f>
        <v>0</v>
      </c>
      <c r="G163" s="28">
        <f t="shared" si="38"/>
        <v>0</v>
      </c>
      <c r="H163" s="28">
        <f t="shared" si="39"/>
        <v>0</v>
      </c>
      <c r="I163" s="24">
        <f>SUM('WATER_STEAM RATIO'!K163)</f>
        <v>8</v>
      </c>
      <c r="J163" s="30">
        <f>SUM('DATA B2'!I164-'DATA B2'!I163)+('DATA B2'!J164-'DATA B2'!J163)</f>
        <v>468</v>
      </c>
      <c r="K163" s="28">
        <f>IFERROR(J163/(I163),0)</f>
        <v>58.5</v>
      </c>
      <c r="L163" s="28">
        <f t="shared" si="44"/>
        <v>44.444444444444443</v>
      </c>
      <c r="M163" s="89">
        <f>SUM('WATER_STEAM RATIO'!Q163)</f>
        <v>0</v>
      </c>
      <c r="N163" s="9">
        <f>SUM('DATA B3'!H164-'DATA B3'!H163)</f>
        <v>0</v>
      </c>
      <c r="O163" s="88">
        <f t="shared" si="45"/>
        <v>0</v>
      </c>
      <c r="P163" s="15">
        <f t="shared" si="43"/>
        <v>0</v>
      </c>
    </row>
    <row r="164" spans="3:16">
      <c r="C164" s="292"/>
      <c r="D164" s="43">
        <v>1.25</v>
      </c>
      <c r="E164" s="5">
        <f>SUM('WATER_STEAM RATIO'!E164)</f>
        <v>0</v>
      </c>
      <c r="F164" s="9">
        <f>SUM('DATA B1'!I165-'DATA B1'!I164)+('DATA B1'!J165-'DATA B1'!J164)</f>
        <v>0</v>
      </c>
      <c r="G164" s="28">
        <f t="shared" si="38"/>
        <v>0</v>
      </c>
      <c r="H164" s="28">
        <f t="shared" si="39"/>
        <v>0</v>
      </c>
      <c r="I164" s="24">
        <f>SUM('WATER_STEAM RATIO'!K164)</f>
        <v>9</v>
      </c>
      <c r="J164" s="30">
        <f>SUM('DATA B2'!I165-'DATA B2'!I164)+('DATA B2'!J165-'DATA B2'!J164)</f>
        <v>524</v>
      </c>
      <c r="K164" s="28">
        <f>IFERROR(J164/(I164),0)</f>
        <v>58.222222222222221</v>
      </c>
      <c r="L164" s="28">
        <f t="shared" si="44"/>
        <v>50</v>
      </c>
      <c r="M164" s="89">
        <f>SUM('WATER_STEAM RATIO'!Q164)</f>
        <v>0</v>
      </c>
      <c r="N164" s="9">
        <f>SUM('DATA B3'!H165-'DATA B3'!H164)</f>
        <v>0</v>
      </c>
      <c r="O164" s="88">
        <f t="shared" si="45"/>
        <v>0</v>
      </c>
      <c r="P164" s="15">
        <f t="shared" si="43"/>
        <v>0</v>
      </c>
    </row>
    <row r="165" spans="3:16">
      <c r="C165" s="292"/>
      <c r="D165" s="43">
        <v>1.2916666666666701</v>
      </c>
      <c r="E165" s="5">
        <f>SUM('WATER_STEAM RATIO'!E165)</f>
        <v>0</v>
      </c>
      <c r="F165" s="9">
        <f>SUM('DATA B1'!I166-'DATA B1'!I165)+('DATA B1'!J166-'DATA B1'!J165)</f>
        <v>0</v>
      </c>
      <c r="G165" s="28">
        <f t="shared" si="38"/>
        <v>0</v>
      </c>
      <c r="H165" s="28">
        <f t="shared" si="39"/>
        <v>0</v>
      </c>
      <c r="I165" s="24">
        <f>SUM('WATER_STEAM RATIO'!K165)</f>
        <v>9</v>
      </c>
      <c r="J165" s="30">
        <f>SUM('DATA B2'!I166-'DATA B2'!I165)+('DATA B2'!J166-'DATA B2'!J165)</f>
        <v>521</v>
      </c>
      <c r="K165" s="28">
        <f>IFERROR(J165/(I165),0)</f>
        <v>57.888888888888886</v>
      </c>
      <c r="L165" s="28">
        <f t="shared" si="44"/>
        <v>50</v>
      </c>
      <c r="M165" s="89">
        <f>SUM('WATER_STEAM RATIO'!Q165)</f>
        <v>0</v>
      </c>
      <c r="N165" s="9">
        <f>SUM('DATA B3'!H166-'DATA B3'!H165)</f>
        <v>0</v>
      </c>
      <c r="O165" s="88">
        <f t="shared" si="45"/>
        <v>0</v>
      </c>
      <c r="P165" s="15">
        <f t="shared" si="43"/>
        <v>0</v>
      </c>
    </row>
    <row r="166" spans="3:16">
      <c r="C166" s="293"/>
      <c r="D166" s="258"/>
      <c r="E166" s="91">
        <f>SUMIF(E141:E165,"&gt;=0",E141:E165)</f>
        <v>0</v>
      </c>
      <c r="F166" s="91">
        <f>SUMIF(F141:F165,"&gt;=0",F141:F165)</f>
        <v>0</v>
      </c>
      <c r="G166" s="54">
        <f>IFERROR(F166/E166,0)</f>
        <v>0</v>
      </c>
      <c r="H166" s="54">
        <f>IFERROR(AVERAGE(H142:H165),0)</f>
        <v>0</v>
      </c>
      <c r="I166" s="91">
        <f>SUMIF(I141:I165,"&gt;=0",I141:I165)</f>
        <v>214</v>
      </c>
      <c r="J166" s="91">
        <f>SUMIF(J141:J165,"&gt;=0",J141:J165)</f>
        <v>12278</v>
      </c>
      <c r="K166" s="54">
        <f>IFERROR(J166/(I166),0)</f>
        <v>57.373831775700936</v>
      </c>
      <c r="L166" s="54">
        <f>IFERROR(AVERAGE(L142:L165),0)</f>
        <v>47.453703703703702</v>
      </c>
      <c r="M166" s="91">
        <f>SUMIF(M141:M165,"&gt;=0",M141:M165)</f>
        <v>0</v>
      </c>
      <c r="N166" s="91">
        <f>SUMIF(N141:N165,"&gt;=0",N141:N165)</f>
        <v>0</v>
      </c>
      <c r="O166" s="239">
        <f>IFERROR(N166/(M166),0)</f>
        <v>0</v>
      </c>
      <c r="P166" s="215">
        <f>IFERROR(AVERAGE(P142:P165),0)</f>
        <v>0</v>
      </c>
    </row>
    <row r="167" spans="3:16" ht="15" customHeight="1">
      <c r="C167" s="291">
        <f>SUM('WATER_STEAM RATIO'!B167:B192)</f>
        <v>46029</v>
      </c>
      <c r="D167" s="43">
        <v>0.29166666666666669</v>
      </c>
      <c r="E167" s="5">
        <f>SUM('WATER_STEAM RATIO'!E167)</f>
        <v>0</v>
      </c>
      <c r="F167" s="9"/>
      <c r="G167" s="28"/>
      <c r="H167" s="28"/>
      <c r="I167" s="24">
        <f>SUM('WATER_STEAM RATIO'!K167)</f>
        <v>9</v>
      </c>
      <c r="J167" s="30"/>
      <c r="K167" s="28"/>
      <c r="L167" s="28"/>
      <c r="M167" s="89">
        <f>SUM('WATER_STEAM RATIO'!Q167)</f>
        <v>0</v>
      </c>
      <c r="N167" s="9"/>
      <c r="O167" s="88"/>
      <c r="P167" s="15"/>
    </row>
    <row r="168" spans="3:16">
      <c r="C168" s="292"/>
      <c r="D168" s="43">
        <v>0.33333333333333298</v>
      </c>
      <c r="E168" s="5">
        <f>SUM('WATER_STEAM RATIO'!E168)</f>
        <v>0</v>
      </c>
      <c r="F168" s="9">
        <f>SUM('DATA B1'!I169-'DATA B1'!I168)+('DATA B1'!J169-'DATA B1'!J168)</f>
        <v>0</v>
      </c>
      <c r="G168" s="28">
        <f>IFERROR(F168/(E168),0)</f>
        <v>0</v>
      </c>
      <c r="H168" s="28">
        <f>IFERROR((E168/18)*100,0)</f>
        <v>0</v>
      </c>
      <c r="I168" s="24">
        <f>SUM('WATER_STEAM RATIO'!K168)</f>
        <v>10</v>
      </c>
      <c r="J168" s="30">
        <f>SUM('DATA B2'!I169-'DATA B2'!I168)+('DATA B2'!J169-'DATA B2'!J168)</f>
        <v>647</v>
      </c>
      <c r="K168" s="28">
        <f>IFERROR(J168/(I168),0)</f>
        <v>64.7</v>
      </c>
      <c r="L168" s="28">
        <f>IFERROR((I168/18)*100,0)</f>
        <v>55.555555555555557</v>
      </c>
      <c r="M168" s="89">
        <f>SUM('WATER_STEAM RATIO'!Q168)</f>
        <v>0</v>
      </c>
      <c r="N168" s="9">
        <f>SUM('DATA B3'!H169-'DATA B3'!H168)</f>
        <v>0</v>
      </c>
      <c r="O168" s="88">
        <f>IFERROR(N168/(M168),0)</f>
        <v>0</v>
      </c>
      <c r="P168" s="15">
        <f>IFERROR((M168/16)*100,0)</f>
        <v>0</v>
      </c>
    </row>
    <row r="169" spans="3:16">
      <c r="C169" s="292"/>
      <c r="D169" s="43">
        <v>0.375</v>
      </c>
      <c r="E169" s="5">
        <f>SUM('WATER_STEAM RATIO'!E169)</f>
        <v>0</v>
      </c>
      <c r="F169" s="9">
        <f>SUM('DATA B1'!I170-'DATA B1'!I169)+('DATA B1'!J170-'DATA B1'!J169)</f>
        <v>0</v>
      </c>
      <c r="G169" s="28">
        <f t="shared" ref="G169:G191" si="46">IFERROR(F169/(E169),0)</f>
        <v>0</v>
      </c>
      <c r="H169" s="28">
        <f t="shared" ref="H169:H191" si="47">IFERROR((E169/18)*100,0)</f>
        <v>0</v>
      </c>
      <c r="I169" s="24">
        <f>SUM('WATER_STEAM RATIO'!K169)</f>
        <v>8</v>
      </c>
      <c r="J169" s="30">
        <f>SUM('DATA B2'!I170-'DATA B2'!I169)+('DATA B2'!J170-'DATA B2'!J169)</f>
        <v>485</v>
      </c>
      <c r="K169" s="28">
        <f t="shared" ref="K169:K187" si="48">IFERROR(J169/(I169),0)</f>
        <v>60.625</v>
      </c>
      <c r="L169" s="28">
        <f t="shared" ref="L169:L179" si="49">IFERROR((I169/18)*100,0)</f>
        <v>44.444444444444443</v>
      </c>
      <c r="M169" s="89">
        <f>SUM('WATER_STEAM RATIO'!Q169)</f>
        <v>0</v>
      </c>
      <c r="N169" s="9">
        <f>SUM('DATA B3'!H170-'DATA B3'!H169)</f>
        <v>0</v>
      </c>
      <c r="O169" s="88">
        <f t="shared" ref="O169:O186" si="50">IFERROR(N169/(M169),0)</f>
        <v>0</v>
      </c>
      <c r="P169" s="15">
        <f t="shared" ref="P169:P191" si="51">IFERROR((M169/16)*100,0)</f>
        <v>0</v>
      </c>
    </row>
    <row r="170" spans="3:16">
      <c r="C170" s="292"/>
      <c r="D170" s="43">
        <v>0.41666666666666702</v>
      </c>
      <c r="E170" s="5">
        <f>SUM('WATER_STEAM RATIO'!E170)</f>
        <v>0</v>
      </c>
      <c r="F170" s="9">
        <f>SUM('DATA B1'!I171-'DATA B1'!I170)+('DATA B1'!J171-'DATA B1'!J170)</f>
        <v>0</v>
      </c>
      <c r="G170" s="28">
        <f t="shared" si="46"/>
        <v>0</v>
      </c>
      <c r="H170" s="28">
        <f t="shared" si="47"/>
        <v>0</v>
      </c>
      <c r="I170" s="24">
        <f>SUM('WATER_STEAM RATIO'!K170)</f>
        <v>8</v>
      </c>
      <c r="J170" s="30">
        <f>SUM('DATA B2'!I171-'DATA B2'!I170)+('DATA B2'!J171-'DATA B2'!J170)</f>
        <v>480</v>
      </c>
      <c r="K170" s="28">
        <f t="shared" si="48"/>
        <v>60</v>
      </c>
      <c r="L170" s="28">
        <f t="shared" si="49"/>
        <v>44.444444444444443</v>
      </c>
      <c r="M170" s="89">
        <f>SUM('WATER_STEAM RATIO'!Q170)</f>
        <v>0</v>
      </c>
      <c r="N170" s="9">
        <f>SUM('DATA B3'!H171-'DATA B3'!H170)</f>
        <v>0</v>
      </c>
      <c r="O170" s="88">
        <f t="shared" si="50"/>
        <v>0</v>
      </c>
      <c r="P170" s="15">
        <f t="shared" si="51"/>
        <v>0</v>
      </c>
    </row>
    <row r="171" spans="3:16">
      <c r="C171" s="292"/>
      <c r="D171" s="43">
        <v>0.45833333333333298</v>
      </c>
      <c r="E171" s="5">
        <f>SUM('WATER_STEAM RATIO'!E171)</f>
        <v>0</v>
      </c>
      <c r="F171" s="9">
        <f>SUM('DATA B1'!I172-'DATA B1'!I171)+('DATA B1'!J172-'DATA B1'!J171)</f>
        <v>0</v>
      </c>
      <c r="G171" s="28">
        <f t="shared" si="46"/>
        <v>0</v>
      </c>
      <c r="H171" s="28">
        <f t="shared" si="47"/>
        <v>0</v>
      </c>
      <c r="I171" s="24">
        <f>SUM('WATER_STEAM RATIO'!K171)</f>
        <v>8</v>
      </c>
      <c r="J171" s="30">
        <f>SUM('DATA B2'!I172-'DATA B2'!I171)+('DATA B2'!J172-'DATA B2'!J171)</f>
        <v>492</v>
      </c>
      <c r="K171" s="28">
        <f t="shared" si="48"/>
        <v>61.5</v>
      </c>
      <c r="L171" s="28">
        <f t="shared" si="49"/>
        <v>44.444444444444443</v>
      </c>
      <c r="M171" s="89">
        <f>SUM('WATER_STEAM RATIO'!Q171)</f>
        <v>0</v>
      </c>
      <c r="N171" s="9">
        <f>SUM('DATA B3'!H172-'DATA B3'!H171)</f>
        <v>0</v>
      </c>
      <c r="O171" s="88">
        <f t="shared" si="50"/>
        <v>0</v>
      </c>
      <c r="P171" s="15">
        <f t="shared" si="51"/>
        <v>0</v>
      </c>
    </row>
    <row r="172" spans="3:16">
      <c r="C172" s="292"/>
      <c r="D172" s="43">
        <v>0.5</v>
      </c>
      <c r="E172" s="5">
        <f>SUM('WATER_STEAM RATIO'!E172)</f>
        <v>0</v>
      </c>
      <c r="F172" s="9">
        <f>SUM('DATA B1'!I173-'DATA B1'!I172)+('DATA B1'!J173-'DATA B1'!J172)</f>
        <v>0</v>
      </c>
      <c r="G172" s="28">
        <f t="shared" si="46"/>
        <v>0</v>
      </c>
      <c r="H172" s="28">
        <f t="shared" si="47"/>
        <v>0</v>
      </c>
      <c r="I172" s="24">
        <f>SUM('WATER_STEAM RATIO'!K172)</f>
        <v>9</v>
      </c>
      <c r="J172" s="30">
        <f>SUM('DATA B2'!I173-'DATA B2'!I172)+('DATA B2'!J173-'DATA B2'!J172)</f>
        <v>532</v>
      </c>
      <c r="K172" s="28">
        <f t="shared" si="48"/>
        <v>59.111111111111114</v>
      </c>
      <c r="L172" s="28">
        <f t="shared" si="49"/>
        <v>50</v>
      </c>
      <c r="M172" s="89">
        <f>SUM('WATER_STEAM RATIO'!Q172)</f>
        <v>0</v>
      </c>
      <c r="N172" s="9">
        <f>SUM('DATA B3'!H173-'DATA B3'!H172)</f>
        <v>0</v>
      </c>
      <c r="O172" s="88">
        <f t="shared" si="50"/>
        <v>0</v>
      </c>
      <c r="P172" s="15">
        <f t="shared" si="51"/>
        <v>0</v>
      </c>
    </row>
    <row r="173" spans="3:16">
      <c r="C173" s="292"/>
      <c r="D173" s="43">
        <v>0.54166666666666696</v>
      </c>
      <c r="E173" s="5">
        <f>SUM('WATER_STEAM RATIO'!E173)</f>
        <v>0</v>
      </c>
      <c r="F173" s="9">
        <f>SUM('DATA B1'!I174-'DATA B1'!I173)+('DATA B1'!J174-'DATA B1'!J173)</f>
        <v>0</v>
      </c>
      <c r="G173" s="28">
        <f t="shared" si="46"/>
        <v>0</v>
      </c>
      <c r="H173" s="28">
        <f t="shared" si="47"/>
        <v>0</v>
      </c>
      <c r="I173" s="24">
        <f>SUM('WATER_STEAM RATIO'!K173)</f>
        <v>9</v>
      </c>
      <c r="J173" s="30">
        <f>SUM('DATA B2'!I174-'DATA B2'!I173)+('DATA B2'!J174-'DATA B2'!J173)</f>
        <v>538</v>
      </c>
      <c r="K173" s="28">
        <f t="shared" si="48"/>
        <v>59.777777777777779</v>
      </c>
      <c r="L173" s="28">
        <f t="shared" si="49"/>
        <v>50</v>
      </c>
      <c r="M173" s="89">
        <f>SUM('WATER_STEAM RATIO'!Q173)</f>
        <v>0</v>
      </c>
      <c r="N173" s="9">
        <f>SUM('DATA B3'!H174-'DATA B3'!H173)</f>
        <v>0</v>
      </c>
      <c r="O173" s="88">
        <f t="shared" si="50"/>
        <v>0</v>
      </c>
      <c r="P173" s="15">
        <f t="shared" si="51"/>
        <v>0</v>
      </c>
    </row>
    <row r="174" spans="3:16">
      <c r="C174" s="292"/>
      <c r="D174" s="43">
        <v>0.58333333333333304</v>
      </c>
      <c r="E174" s="5">
        <f>SUM('WATER_STEAM RATIO'!E174)</f>
        <v>0</v>
      </c>
      <c r="F174" s="9">
        <f>SUM('DATA B1'!I175-'DATA B1'!I174)+('DATA B1'!J175-'DATA B1'!J174)</f>
        <v>0</v>
      </c>
      <c r="G174" s="28">
        <f t="shared" si="46"/>
        <v>0</v>
      </c>
      <c r="H174" s="28">
        <f t="shared" si="47"/>
        <v>0</v>
      </c>
      <c r="I174" s="24">
        <f>SUM('WATER_STEAM RATIO'!K174)</f>
        <v>9</v>
      </c>
      <c r="J174" s="30">
        <f>SUM('DATA B2'!I175-'DATA B2'!I174)+('DATA B2'!J175-'DATA B2'!J174)</f>
        <v>519</v>
      </c>
      <c r="K174" s="28">
        <f t="shared" si="48"/>
        <v>57.666666666666664</v>
      </c>
      <c r="L174" s="28">
        <f t="shared" si="49"/>
        <v>50</v>
      </c>
      <c r="M174" s="89">
        <f>SUM('WATER_STEAM RATIO'!Q174)</f>
        <v>0</v>
      </c>
      <c r="N174" s="9">
        <f>SUM('DATA B3'!H175-'DATA B3'!H174)</f>
        <v>0</v>
      </c>
      <c r="O174" s="88">
        <f t="shared" si="50"/>
        <v>0</v>
      </c>
      <c r="P174" s="15">
        <f t="shared" si="51"/>
        <v>0</v>
      </c>
    </row>
    <row r="175" spans="3:16">
      <c r="C175" s="292"/>
      <c r="D175" s="43">
        <v>0.625</v>
      </c>
      <c r="E175" s="5">
        <f>SUM('WATER_STEAM RATIO'!E175)</f>
        <v>0</v>
      </c>
      <c r="F175" s="9">
        <f>SUM('DATA B1'!I176-'DATA B1'!I175)+('DATA B1'!J176-'DATA B1'!J175)</f>
        <v>0</v>
      </c>
      <c r="G175" s="28">
        <f t="shared" si="46"/>
        <v>0</v>
      </c>
      <c r="H175" s="28">
        <f t="shared" si="47"/>
        <v>0</v>
      </c>
      <c r="I175" s="24">
        <f>SUM('WATER_STEAM RATIO'!K175)</f>
        <v>9</v>
      </c>
      <c r="J175" s="30">
        <f>SUM('DATA B2'!I176-'DATA B2'!I175)+('DATA B2'!J176-'DATA B2'!J175)</f>
        <v>540</v>
      </c>
      <c r="K175" s="28">
        <f t="shared" si="48"/>
        <v>60</v>
      </c>
      <c r="L175" s="28">
        <f t="shared" si="49"/>
        <v>50</v>
      </c>
      <c r="M175" s="89">
        <f>SUM('WATER_STEAM RATIO'!Q175)</f>
        <v>0</v>
      </c>
      <c r="N175" s="9">
        <f>SUM('DATA B3'!H176-'DATA B3'!H175)</f>
        <v>0</v>
      </c>
      <c r="O175" s="88">
        <f t="shared" si="50"/>
        <v>0</v>
      </c>
      <c r="P175" s="15">
        <f t="shared" si="51"/>
        <v>0</v>
      </c>
    </row>
    <row r="176" spans="3:16">
      <c r="C176" s="292"/>
      <c r="D176" s="43">
        <v>0.66666666666666596</v>
      </c>
      <c r="E176" s="5">
        <f>SUM('WATER_STEAM RATIO'!E176)</f>
        <v>0</v>
      </c>
      <c r="F176" s="9">
        <f>SUM('DATA B1'!I177-'DATA B1'!I176)+('DATA B1'!J177-'DATA B1'!J176)</f>
        <v>0</v>
      </c>
      <c r="G176" s="28">
        <f t="shared" si="46"/>
        <v>0</v>
      </c>
      <c r="H176" s="28">
        <f t="shared" si="47"/>
        <v>0</v>
      </c>
      <c r="I176" s="24">
        <f>SUM('WATER_STEAM RATIO'!K176)</f>
        <v>8</v>
      </c>
      <c r="J176" s="30">
        <f>SUM('DATA B2'!I177-'DATA B2'!I176)+('DATA B2'!J177-'DATA B2'!J176)</f>
        <v>497</v>
      </c>
      <c r="K176" s="28">
        <f t="shared" si="48"/>
        <v>62.125</v>
      </c>
      <c r="L176" s="28">
        <f t="shared" si="49"/>
        <v>44.444444444444443</v>
      </c>
      <c r="M176" s="89">
        <f>SUM('WATER_STEAM RATIO'!Q176)</f>
        <v>0</v>
      </c>
      <c r="N176" s="9">
        <f>SUM('DATA B3'!H177-'DATA B3'!H176)</f>
        <v>0</v>
      </c>
      <c r="O176" s="88">
        <f t="shared" si="50"/>
        <v>0</v>
      </c>
      <c r="P176" s="15">
        <f t="shared" si="51"/>
        <v>0</v>
      </c>
    </row>
    <row r="177" spans="3:16">
      <c r="C177" s="292"/>
      <c r="D177" s="43">
        <v>0.70833333333333304</v>
      </c>
      <c r="E177" s="5">
        <f>SUM('WATER_STEAM RATIO'!E177)</f>
        <v>0</v>
      </c>
      <c r="F177" s="9">
        <f>SUM('DATA B1'!I178-'DATA B1'!I177)+('DATA B1'!J178-'DATA B1'!J177)</f>
        <v>0</v>
      </c>
      <c r="G177" s="28">
        <f t="shared" si="46"/>
        <v>0</v>
      </c>
      <c r="H177" s="28">
        <f t="shared" si="47"/>
        <v>0</v>
      </c>
      <c r="I177" s="24">
        <f>SUM('WATER_STEAM RATIO'!K177)</f>
        <v>8</v>
      </c>
      <c r="J177" s="30">
        <f>SUM('DATA B2'!I178-'DATA B2'!I177)+('DATA B2'!J178-'DATA B2'!J177)</f>
        <v>491</v>
      </c>
      <c r="K177" s="28">
        <f t="shared" si="48"/>
        <v>61.375</v>
      </c>
      <c r="L177" s="28">
        <f t="shared" si="49"/>
        <v>44.444444444444443</v>
      </c>
      <c r="M177" s="89">
        <f>SUM('WATER_STEAM RATIO'!Q177)</f>
        <v>0</v>
      </c>
      <c r="N177" s="9">
        <f>SUM('DATA B3'!H178-'DATA B3'!H177)</f>
        <v>0</v>
      </c>
      <c r="O177" s="88">
        <f t="shared" si="50"/>
        <v>0</v>
      </c>
      <c r="P177" s="15">
        <f t="shared" si="51"/>
        <v>0</v>
      </c>
    </row>
    <row r="178" spans="3:16">
      <c r="C178" s="292"/>
      <c r="D178" s="43">
        <v>0.75</v>
      </c>
      <c r="E178" s="5">
        <f>SUM('WATER_STEAM RATIO'!E178)</f>
        <v>0</v>
      </c>
      <c r="F178" s="9">
        <f>SUM('DATA B1'!I179-'DATA B1'!I178)+('DATA B1'!J179-'DATA B1'!J178)</f>
        <v>0</v>
      </c>
      <c r="G178" s="28">
        <f t="shared" si="46"/>
        <v>0</v>
      </c>
      <c r="H178" s="28">
        <f t="shared" si="47"/>
        <v>0</v>
      </c>
      <c r="I178" s="24">
        <f>SUM('WATER_STEAM RATIO'!K178)</f>
        <v>9</v>
      </c>
      <c r="J178" s="30">
        <f>SUM('DATA B2'!I179-'DATA B2'!I178)+('DATA B2'!J179-'DATA B2'!J178)</f>
        <v>513</v>
      </c>
      <c r="K178" s="28">
        <f t="shared" si="48"/>
        <v>57</v>
      </c>
      <c r="L178" s="28">
        <f t="shared" si="49"/>
        <v>50</v>
      </c>
      <c r="M178" s="89">
        <f>SUM('WATER_STEAM RATIO'!Q178)</f>
        <v>0</v>
      </c>
      <c r="N178" s="9">
        <f>SUM('DATA B3'!H179-'DATA B3'!H178)</f>
        <v>0</v>
      </c>
      <c r="O178" s="88">
        <f t="shared" si="50"/>
        <v>0</v>
      </c>
      <c r="P178" s="15">
        <f t="shared" si="51"/>
        <v>0</v>
      </c>
    </row>
    <row r="179" spans="3:16">
      <c r="C179" s="292"/>
      <c r="D179" s="43">
        <v>0.79166666666666596</v>
      </c>
      <c r="E179" s="5">
        <f>SUM('WATER_STEAM RATIO'!E179)</f>
        <v>0</v>
      </c>
      <c r="F179" s="9">
        <f>SUM('DATA B1'!I180-'DATA B1'!I179)+('DATA B1'!J180-'DATA B1'!J179)</f>
        <v>0</v>
      </c>
      <c r="G179" s="28">
        <f t="shared" si="46"/>
        <v>0</v>
      </c>
      <c r="H179" s="28">
        <f t="shared" si="47"/>
        <v>0</v>
      </c>
      <c r="I179" s="24">
        <f>SUM('WATER_STEAM RATIO'!K179)</f>
        <v>10</v>
      </c>
      <c r="J179" s="30">
        <f>SUM('DATA B2'!I180-'DATA B2'!I179)+('DATA B2'!J180-'DATA B2'!J179)</f>
        <v>558</v>
      </c>
      <c r="K179" s="28">
        <f t="shared" si="48"/>
        <v>55.8</v>
      </c>
      <c r="L179" s="28">
        <f t="shared" si="49"/>
        <v>55.555555555555557</v>
      </c>
      <c r="M179" s="89">
        <f>SUM('WATER_STEAM RATIO'!Q179)</f>
        <v>0</v>
      </c>
      <c r="N179" s="9">
        <f>SUM('DATA B3'!H180-'DATA B3'!H179)</f>
        <v>0</v>
      </c>
      <c r="O179" s="88">
        <f t="shared" si="50"/>
        <v>0</v>
      </c>
      <c r="P179" s="15">
        <f t="shared" si="51"/>
        <v>0</v>
      </c>
    </row>
    <row r="180" spans="3:16">
      <c r="C180" s="292"/>
      <c r="D180" s="43">
        <v>0.83333333333333304</v>
      </c>
      <c r="E180" s="5">
        <f>SUM('WATER_STEAM RATIO'!E180)</f>
        <v>0</v>
      </c>
      <c r="F180" s="9">
        <f>SUM('DATA B1'!I181-'DATA B1'!I180)+('DATA B1'!J181-'DATA B1'!J180)</f>
        <v>0</v>
      </c>
      <c r="G180" s="28">
        <f t="shared" si="46"/>
        <v>0</v>
      </c>
      <c r="H180" s="28">
        <f t="shared" si="47"/>
        <v>0</v>
      </c>
      <c r="I180" s="24">
        <f>SUM('WATER_STEAM RATIO'!K180)</f>
        <v>12</v>
      </c>
      <c r="J180" s="30">
        <f>SUM('DATA B2'!I181-'DATA B2'!I180)+('DATA B2'!J181-'DATA B2'!J180)</f>
        <v>721</v>
      </c>
      <c r="K180" s="28">
        <f t="shared" si="48"/>
        <v>60.083333333333336</v>
      </c>
      <c r="L180" s="28">
        <f>IFERROR((I180/18)*100,0)</f>
        <v>66.666666666666657</v>
      </c>
      <c r="M180" s="89">
        <f>SUM('WATER_STEAM RATIO'!Q180)</f>
        <v>0</v>
      </c>
      <c r="N180" s="9">
        <f>SUM('DATA B3'!H181-'DATA B3'!H180)</f>
        <v>0</v>
      </c>
      <c r="O180" s="88">
        <f t="shared" si="50"/>
        <v>0</v>
      </c>
      <c r="P180" s="15">
        <f t="shared" si="51"/>
        <v>0</v>
      </c>
    </row>
    <row r="181" spans="3:16">
      <c r="C181" s="292"/>
      <c r="D181" s="43">
        <v>0.875</v>
      </c>
      <c r="E181" s="5">
        <f>SUM('WATER_STEAM RATIO'!E181)</f>
        <v>0</v>
      </c>
      <c r="F181" s="9">
        <f>SUM('DATA B1'!I182-'DATA B1'!I181)+('DATA B1'!J182-'DATA B1'!J181)</f>
        <v>0</v>
      </c>
      <c r="G181" s="28">
        <f t="shared" si="46"/>
        <v>0</v>
      </c>
      <c r="H181" s="28">
        <f t="shared" si="47"/>
        <v>0</v>
      </c>
      <c r="I181" s="24">
        <f>SUM('WATER_STEAM RATIO'!K181)</f>
        <v>8</v>
      </c>
      <c r="J181" s="30">
        <f>SUM('DATA B2'!I182-'DATA B2'!I181)+('DATA B2'!J182-'DATA B2'!J181)</f>
        <v>481</v>
      </c>
      <c r="K181" s="28">
        <f t="shared" si="48"/>
        <v>60.125</v>
      </c>
      <c r="L181" s="28">
        <f t="shared" ref="L181:L191" si="52">IFERROR((I181/18)*100,0)</f>
        <v>44.444444444444443</v>
      </c>
      <c r="M181" s="89">
        <f>SUM('WATER_STEAM RATIO'!Q181)</f>
        <v>0</v>
      </c>
      <c r="N181" s="9">
        <f>SUM('DATA B3'!H182-'DATA B3'!H181)</f>
        <v>0</v>
      </c>
      <c r="O181" s="88">
        <f t="shared" si="50"/>
        <v>0</v>
      </c>
      <c r="P181" s="15">
        <f t="shared" si="51"/>
        <v>0</v>
      </c>
    </row>
    <row r="182" spans="3:16">
      <c r="C182" s="292"/>
      <c r="D182" s="43">
        <v>0.91666666666666596</v>
      </c>
      <c r="E182" s="5">
        <f>SUM('WATER_STEAM RATIO'!E182)</f>
        <v>0</v>
      </c>
      <c r="F182" s="9">
        <f>SUM('DATA B1'!I183-'DATA B1'!I182)+('DATA B1'!J183-'DATA B1'!J182)</f>
        <v>0</v>
      </c>
      <c r="G182" s="28">
        <f t="shared" si="46"/>
        <v>0</v>
      </c>
      <c r="H182" s="28">
        <f t="shared" si="47"/>
        <v>0</v>
      </c>
      <c r="I182" s="24">
        <f>SUM('WATER_STEAM RATIO'!K182)</f>
        <v>8</v>
      </c>
      <c r="J182" s="30">
        <f>SUM('DATA B2'!I183-'DATA B2'!I182)+('DATA B2'!J183-'DATA B2'!J182)</f>
        <v>475</v>
      </c>
      <c r="K182" s="28">
        <f t="shared" si="48"/>
        <v>59.375</v>
      </c>
      <c r="L182" s="28">
        <f t="shared" si="52"/>
        <v>44.444444444444443</v>
      </c>
      <c r="M182" s="89">
        <f>SUM('WATER_STEAM RATIO'!Q182)</f>
        <v>0</v>
      </c>
      <c r="N182" s="9">
        <f>SUM('DATA B3'!H183-'DATA B3'!H182)</f>
        <v>0</v>
      </c>
      <c r="O182" s="88">
        <f t="shared" si="50"/>
        <v>0</v>
      </c>
      <c r="P182" s="15">
        <f>IFERROR((M182/16)*100,0)</f>
        <v>0</v>
      </c>
    </row>
    <row r="183" spans="3:16">
      <c r="C183" s="292"/>
      <c r="D183" s="43">
        <v>0.95833333333333304</v>
      </c>
      <c r="E183" s="5">
        <f>SUM('WATER_STEAM RATIO'!E183)</f>
        <v>0</v>
      </c>
      <c r="F183" s="9">
        <f>SUM('DATA B1'!I184-'DATA B1'!I183)+('DATA B1'!J184-'DATA B1'!J183)</f>
        <v>0</v>
      </c>
      <c r="G183" s="28">
        <f t="shared" si="46"/>
        <v>0</v>
      </c>
      <c r="H183" s="28">
        <f t="shared" si="47"/>
        <v>0</v>
      </c>
      <c r="I183" s="24">
        <f>SUM('WATER_STEAM RATIO'!K183)</f>
        <v>9</v>
      </c>
      <c r="J183" s="30">
        <f>SUM('DATA B2'!I184-'DATA B2'!I183)+('DATA B2'!J184-'DATA B2'!J183)</f>
        <v>527</v>
      </c>
      <c r="K183" s="28">
        <f t="shared" si="48"/>
        <v>58.555555555555557</v>
      </c>
      <c r="L183" s="28">
        <f t="shared" si="52"/>
        <v>50</v>
      </c>
      <c r="M183" s="89">
        <f>SUM('WATER_STEAM RATIO'!Q183)</f>
        <v>0</v>
      </c>
      <c r="N183" s="9">
        <f>SUM('DATA B3'!H184-'DATA B3'!H183)</f>
        <v>0</v>
      </c>
      <c r="O183" s="88">
        <f t="shared" si="50"/>
        <v>0</v>
      </c>
      <c r="P183" s="15">
        <f t="shared" si="51"/>
        <v>0</v>
      </c>
    </row>
    <row r="184" spans="3:16">
      <c r="C184" s="292"/>
      <c r="D184" s="43">
        <v>1</v>
      </c>
      <c r="E184" s="5">
        <f>SUM('WATER_STEAM RATIO'!E184)</f>
        <v>0</v>
      </c>
      <c r="F184" s="9">
        <f>SUM('DATA B1'!I185-'DATA B1'!I184)+('DATA B1'!J185-'DATA B1'!J184)</f>
        <v>0</v>
      </c>
      <c r="G184" s="28">
        <f t="shared" si="46"/>
        <v>0</v>
      </c>
      <c r="H184" s="28">
        <f t="shared" si="47"/>
        <v>0</v>
      </c>
      <c r="I184" s="24">
        <f>SUM('WATER_STEAM RATIO'!K184)</f>
        <v>9</v>
      </c>
      <c r="J184" s="30">
        <f>SUM('DATA B2'!I185-'DATA B2'!I184)+('DATA B2'!J185-'DATA B2'!J184)</f>
        <v>523</v>
      </c>
      <c r="K184" s="28">
        <f t="shared" si="48"/>
        <v>58.111111111111114</v>
      </c>
      <c r="L184" s="28">
        <f t="shared" si="52"/>
        <v>50</v>
      </c>
      <c r="M184" s="89">
        <f>SUM('WATER_STEAM RATIO'!Q184)</f>
        <v>0</v>
      </c>
      <c r="N184" s="9">
        <f>SUM('DATA B3'!H185-'DATA B3'!H184)</f>
        <v>0</v>
      </c>
      <c r="O184" s="88">
        <f t="shared" si="50"/>
        <v>0</v>
      </c>
      <c r="P184" s="15">
        <f t="shared" si="51"/>
        <v>0</v>
      </c>
    </row>
    <row r="185" spans="3:16">
      <c r="C185" s="292"/>
      <c r="D185" s="43">
        <v>1.0416666666666701</v>
      </c>
      <c r="E185" s="5">
        <f>SUM('WATER_STEAM RATIO'!E185)</f>
        <v>0</v>
      </c>
      <c r="F185" s="9">
        <f>SUM('DATA B1'!I186-'DATA B1'!I185)+('DATA B1'!J186-'DATA B1'!J185)</f>
        <v>0</v>
      </c>
      <c r="G185" s="28">
        <f t="shared" si="46"/>
        <v>0</v>
      </c>
      <c r="H185" s="28">
        <f t="shared" si="47"/>
        <v>0</v>
      </c>
      <c r="I185" s="24">
        <f>SUM('WATER_STEAM RATIO'!K185)</f>
        <v>9</v>
      </c>
      <c r="J185" s="30">
        <f>SUM('DATA B2'!I186-'DATA B2'!I185)+('DATA B2'!J186-'DATA B2'!J185)</f>
        <v>531</v>
      </c>
      <c r="K185" s="28">
        <f t="shared" si="48"/>
        <v>59</v>
      </c>
      <c r="L185" s="28">
        <f t="shared" si="52"/>
        <v>50</v>
      </c>
      <c r="M185" s="89">
        <f>SUM('WATER_STEAM RATIO'!Q185)</f>
        <v>0</v>
      </c>
      <c r="N185" s="9">
        <f>SUM('DATA B3'!H186-'DATA B3'!H185)</f>
        <v>0</v>
      </c>
      <c r="O185" s="88">
        <f t="shared" si="50"/>
        <v>0</v>
      </c>
      <c r="P185" s="15">
        <f t="shared" si="51"/>
        <v>0</v>
      </c>
    </row>
    <row r="186" spans="3:16">
      <c r="C186" s="292"/>
      <c r="D186" s="43">
        <v>1.0833333333333399</v>
      </c>
      <c r="E186" s="5">
        <f>SUM('WATER_STEAM RATIO'!E186)</f>
        <v>0</v>
      </c>
      <c r="F186" s="9">
        <f>SUM('DATA B1'!I187-'DATA B1'!I186)+('DATA B1'!J187-'DATA B1'!J186)</f>
        <v>0</v>
      </c>
      <c r="G186" s="28">
        <f t="shared" si="46"/>
        <v>0</v>
      </c>
      <c r="H186" s="28">
        <f t="shared" si="47"/>
        <v>0</v>
      </c>
      <c r="I186" s="24">
        <f>SUM('WATER_STEAM RATIO'!K186)</f>
        <v>8</v>
      </c>
      <c r="J186" s="30">
        <f>SUM('DATA B2'!I187-'DATA B2'!I186)+('DATA B2'!J187-'DATA B2'!J186)</f>
        <v>551</v>
      </c>
      <c r="K186" s="28">
        <f t="shared" si="48"/>
        <v>68.875</v>
      </c>
      <c r="L186" s="28">
        <f t="shared" si="52"/>
        <v>44.444444444444443</v>
      </c>
      <c r="M186" s="89">
        <f>SUM('WATER_STEAM RATIO'!Q186)</f>
        <v>0</v>
      </c>
      <c r="N186" s="9">
        <f>SUM('DATA B3'!H187-'DATA B3'!H186)</f>
        <v>0</v>
      </c>
      <c r="O186" s="88">
        <f t="shared" si="50"/>
        <v>0</v>
      </c>
      <c r="P186" s="15">
        <f t="shared" si="51"/>
        <v>0</v>
      </c>
    </row>
    <row r="187" spans="3:16">
      <c r="C187" s="292"/>
      <c r="D187" s="43">
        <v>1.125</v>
      </c>
      <c r="E187" s="5">
        <f>SUM('WATER_STEAM RATIO'!E187)</f>
        <v>0</v>
      </c>
      <c r="F187" s="9">
        <f>SUM('DATA B1'!I188-'DATA B1'!I187)+('DATA B1'!J188-'DATA B1'!J187)</f>
        <v>0</v>
      </c>
      <c r="G187" s="28">
        <f t="shared" si="46"/>
        <v>0</v>
      </c>
      <c r="H187" s="28">
        <f t="shared" si="47"/>
        <v>0</v>
      </c>
      <c r="I187" s="24">
        <f>SUM('WATER_STEAM RATIO'!K187)</f>
        <v>10</v>
      </c>
      <c r="J187" s="30">
        <f>SUM('DATA B2'!I188-'DATA B2'!I187)+('DATA B2'!J188-'DATA B2'!J187)</f>
        <v>503</v>
      </c>
      <c r="K187" s="28">
        <f t="shared" si="48"/>
        <v>50.3</v>
      </c>
      <c r="L187" s="28">
        <f t="shared" si="52"/>
        <v>55.555555555555557</v>
      </c>
      <c r="M187" s="89">
        <f>SUM('WATER_STEAM RATIO'!Q187)</f>
        <v>0</v>
      </c>
      <c r="N187" s="9">
        <f>SUM('DATA B3'!H188-'DATA B3'!H187)</f>
        <v>0</v>
      </c>
      <c r="O187" s="88">
        <f t="shared" ref="O187:O191" si="53">IFERROR(N187/(M187),0)</f>
        <v>0</v>
      </c>
      <c r="P187" s="15">
        <f t="shared" si="51"/>
        <v>0</v>
      </c>
    </row>
    <row r="188" spans="3:16">
      <c r="C188" s="292"/>
      <c r="D188" s="43">
        <v>1.1666666666666701</v>
      </c>
      <c r="E188" s="5">
        <f>SUM('WATER_STEAM RATIO'!E188)</f>
        <v>0</v>
      </c>
      <c r="F188" s="9">
        <f>SUM('DATA B1'!I189-'DATA B1'!I188)+('DATA B1'!J189-'DATA B1'!J188)</f>
        <v>0</v>
      </c>
      <c r="G188" s="28">
        <f t="shared" si="46"/>
        <v>0</v>
      </c>
      <c r="H188" s="28">
        <f t="shared" si="47"/>
        <v>0</v>
      </c>
      <c r="I188" s="24">
        <f>SUM('WATER_STEAM RATIO'!K188)</f>
        <v>6</v>
      </c>
      <c r="J188" s="30">
        <f>SUM('DATA B2'!I189-'DATA B2'!I188)+('DATA B2'!J189-'DATA B2'!J188)</f>
        <v>399</v>
      </c>
      <c r="K188" s="28">
        <f>IFERROR(J188/(I188),0)</f>
        <v>66.5</v>
      </c>
      <c r="L188" s="28">
        <f t="shared" si="52"/>
        <v>33.333333333333329</v>
      </c>
      <c r="M188" s="89">
        <f>SUM('WATER_STEAM RATIO'!Q188)</f>
        <v>0</v>
      </c>
      <c r="N188" s="9">
        <f>SUM('DATA B3'!H189-'DATA B3'!H188)</f>
        <v>0</v>
      </c>
      <c r="O188" s="88">
        <f t="shared" si="53"/>
        <v>0</v>
      </c>
      <c r="P188" s="15">
        <f t="shared" si="51"/>
        <v>0</v>
      </c>
    </row>
    <row r="189" spans="3:16">
      <c r="C189" s="292"/>
      <c r="D189" s="43">
        <v>1.2083333333333399</v>
      </c>
      <c r="E189" s="5">
        <f>SUM('WATER_STEAM RATIO'!E189)</f>
        <v>0</v>
      </c>
      <c r="F189" s="9">
        <f>SUM('DATA B1'!I190-'DATA B1'!I189)+('DATA B1'!J190-'DATA B1'!J189)</f>
        <v>0</v>
      </c>
      <c r="G189" s="28">
        <f t="shared" si="46"/>
        <v>0</v>
      </c>
      <c r="H189" s="28">
        <f t="shared" si="47"/>
        <v>0</v>
      </c>
      <c r="I189" s="24">
        <f>SUM('WATER_STEAM RATIO'!K189)</f>
        <v>6</v>
      </c>
      <c r="J189" s="30">
        <f>SUM('DATA B2'!I190-'DATA B2'!I189)+('DATA B2'!J190-'DATA B2'!J189)</f>
        <v>407</v>
      </c>
      <c r="K189" s="28">
        <f>IFERROR(J189/(I189),0)</f>
        <v>67.833333333333329</v>
      </c>
      <c r="L189" s="28">
        <f t="shared" si="52"/>
        <v>33.333333333333329</v>
      </c>
      <c r="M189" s="89">
        <f>SUM('WATER_STEAM RATIO'!Q189)</f>
        <v>0</v>
      </c>
      <c r="N189" s="9">
        <f>SUM('DATA B3'!H190-'DATA B3'!H189)</f>
        <v>0</v>
      </c>
      <c r="O189" s="88">
        <f t="shared" si="53"/>
        <v>0</v>
      </c>
      <c r="P189" s="15">
        <f t="shared" si="51"/>
        <v>0</v>
      </c>
    </row>
    <row r="190" spans="3:16">
      <c r="C190" s="292"/>
      <c r="D190" s="43">
        <v>1.25</v>
      </c>
      <c r="E190" s="5">
        <f>SUM('WATER_STEAM RATIO'!E190)</f>
        <v>0</v>
      </c>
      <c r="F190" s="9">
        <f>SUM('DATA B1'!I191-'DATA B1'!I190)+('DATA B1'!J191-'DATA B1'!J190)</f>
        <v>0</v>
      </c>
      <c r="G190" s="28">
        <f t="shared" si="46"/>
        <v>0</v>
      </c>
      <c r="H190" s="28">
        <f t="shared" si="47"/>
        <v>0</v>
      </c>
      <c r="I190" s="24">
        <f>SUM('WATER_STEAM RATIO'!K190)</f>
        <v>6</v>
      </c>
      <c r="J190" s="30">
        <f>SUM('DATA B2'!I191-'DATA B2'!I190)+('DATA B2'!J191-'DATA B2'!J190)</f>
        <v>393</v>
      </c>
      <c r="K190" s="28">
        <f>IFERROR(J190/(I190),0)</f>
        <v>65.5</v>
      </c>
      <c r="L190" s="28">
        <f t="shared" si="52"/>
        <v>33.333333333333329</v>
      </c>
      <c r="M190" s="89">
        <f>SUM('WATER_STEAM RATIO'!Q190)</f>
        <v>0</v>
      </c>
      <c r="N190" s="9">
        <f>SUM('DATA B3'!H191-'DATA B3'!H190)</f>
        <v>0</v>
      </c>
      <c r="O190" s="88">
        <f t="shared" si="53"/>
        <v>0</v>
      </c>
      <c r="P190" s="15">
        <f t="shared" si="51"/>
        <v>0</v>
      </c>
    </row>
    <row r="191" spans="3:16">
      <c r="C191" s="292"/>
      <c r="D191" s="43">
        <v>1.2916666666666701</v>
      </c>
      <c r="E191" s="5">
        <f>SUM('WATER_STEAM RATIO'!E191)</f>
        <v>0</v>
      </c>
      <c r="F191" s="9">
        <f>SUM('DATA B1'!I192-'DATA B1'!I191)+('DATA B1'!J192-'DATA B1'!J191)</f>
        <v>0</v>
      </c>
      <c r="G191" s="28">
        <f t="shared" si="46"/>
        <v>0</v>
      </c>
      <c r="H191" s="28">
        <f t="shared" si="47"/>
        <v>0</v>
      </c>
      <c r="I191" s="24">
        <f>SUM('WATER_STEAM RATIO'!K191)</f>
        <v>7</v>
      </c>
      <c r="J191" s="30">
        <f>SUM('DATA B2'!I192-'DATA B2'!I191)+('DATA B2'!J192-'DATA B2'!J191)</f>
        <v>416</v>
      </c>
      <c r="K191" s="28">
        <f>IFERROR(J191/(I191),0)</f>
        <v>59.428571428571431</v>
      </c>
      <c r="L191" s="28">
        <f t="shared" si="52"/>
        <v>38.888888888888893</v>
      </c>
      <c r="M191" s="89">
        <f>SUM('WATER_STEAM RATIO'!Q191)</f>
        <v>0</v>
      </c>
      <c r="N191" s="9">
        <f>SUM('DATA B3'!H192-'DATA B3'!H191)</f>
        <v>0</v>
      </c>
      <c r="O191" s="88">
        <f t="shared" si="53"/>
        <v>0</v>
      </c>
      <c r="P191" s="15">
        <f t="shared" si="51"/>
        <v>0</v>
      </c>
    </row>
    <row r="192" spans="3:16">
      <c r="C192" s="293"/>
      <c r="D192" s="258"/>
      <c r="E192" s="91">
        <f>SUMIF(E167:E191,"&gt;=0",E167:E191)</f>
        <v>0</v>
      </c>
      <c r="F192" s="91">
        <f>SUMIF(F167:F191,"&gt;=0",F167:F191)</f>
        <v>0</v>
      </c>
      <c r="G192" s="54">
        <f>IFERROR(F192/E192,0)</f>
        <v>0</v>
      </c>
      <c r="H192" s="54">
        <f>IFERROR(AVERAGE(H168:H191),0)</f>
        <v>0</v>
      </c>
      <c r="I192" s="91">
        <f>SUMIF(I167:I191,"&gt;=0",I167:I191)</f>
        <v>212</v>
      </c>
      <c r="J192" s="91">
        <f>SUMIF(J167:J191,"&gt;=0",J167:J191)</f>
        <v>12219</v>
      </c>
      <c r="K192" s="54">
        <f>IFERROR(J192/(I192),0)</f>
        <v>57.636792452830186</v>
      </c>
      <c r="L192" s="54">
        <f>IFERROR(AVERAGE(L168:L191),0)</f>
        <v>46.99074074074074</v>
      </c>
      <c r="M192" s="91">
        <f>SUMIF(M167:M191,"&gt;=0",M167:M191)</f>
        <v>0</v>
      </c>
      <c r="N192" s="91">
        <f>SUMIF(N167:N191,"&gt;=0",N167:N191)</f>
        <v>0</v>
      </c>
      <c r="O192" s="239">
        <f>IFERROR(N192/(M192),0)</f>
        <v>0</v>
      </c>
      <c r="P192" s="215">
        <f>IFERROR(AVERAGE(P168:P191),0)</f>
        <v>0</v>
      </c>
    </row>
    <row r="193" spans="3:16" ht="15" customHeight="1">
      <c r="C193" s="291">
        <f>SUM('WATER_STEAM RATIO'!B193:B218)</f>
        <v>46030</v>
      </c>
      <c r="D193" s="43">
        <v>0.29166666666666669</v>
      </c>
      <c r="E193" s="5">
        <f>SUM('WATER_STEAM RATIO'!E193)</f>
        <v>0</v>
      </c>
      <c r="F193" s="9"/>
      <c r="G193" s="28"/>
      <c r="H193" s="28"/>
      <c r="I193" s="24">
        <f>SUM('WATER_STEAM RATIO'!K193)</f>
        <v>7</v>
      </c>
      <c r="J193" s="30"/>
      <c r="K193" s="28"/>
      <c r="L193" s="28"/>
      <c r="M193" s="89">
        <f>SUM('WATER_STEAM RATIO'!Q193)</f>
        <v>0</v>
      </c>
      <c r="N193" s="9"/>
      <c r="O193" s="88"/>
      <c r="P193" s="15"/>
    </row>
    <row r="194" spans="3:16">
      <c r="C194" s="292"/>
      <c r="D194" s="43">
        <v>0.33333333333333298</v>
      </c>
      <c r="E194" s="5">
        <f>SUM('WATER_STEAM RATIO'!E194)</f>
        <v>0</v>
      </c>
      <c r="F194" s="9">
        <f>SUM('DATA B1'!I195-'DATA B1'!I194)+('DATA B1'!J195-'DATA B1'!J194)</f>
        <v>0</v>
      </c>
      <c r="G194" s="28">
        <f>IFERROR(F194/(E194),0)</f>
        <v>0</v>
      </c>
      <c r="H194" s="28">
        <f>IFERROR((E194/18)*100,0)</f>
        <v>0</v>
      </c>
      <c r="I194" s="24">
        <f>SUM('WATER_STEAM RATIO'!K194)</f>
        <v>8</v>
      </c>
      <c r="J194" s="30">
        <f>SUM('DATA B2'!I195-'DATA B2'!I194)+('DATA B2'!J195-'DATA B2'!J194)</f>
        <v>445</v>
      </c>
      <c r="K194" s="28">
        <f>IFERROR(J194/(I194),0)</f>
        <v>55.625</v>
      </c>
      <c r="L194" s="28">
        <f>IFERROR((I194/18)*100,0)</f>
        <v>44.444444444444443</v>
      </c>
      <c r="M194" s="89">
        <f>SUM('WATER_STEAM RATIO'!Q194)</f>
        <v>0</v>
      </c>
      <c r="N194" s="9">
        <f>SUM('DATA B3'!H195-'DATA B3'!H194)</f>
        <v>0</v>
      </c>
      <c r="O194" s="88">
        <f>IFERROR(N194/(M194),0)</f>
        <v>0</v>
      </c>
      <c r="P194" s="15">
        <f>IFERROR((M194/16)*100,0)</f>
        <v>0</v>
      </c>
    </row>
    <row r="195" spans="3:16">
      <c r="C195" s="292"/>
      <c r="D195" s="43">
        <v>0.375</v>
      </c>
      <c r="E195" s="5">
        <f>SUM('WATER_STEAM RATIO'!E195)</f>
        <v>0</v>
      </c>
      <c r="F195" s="9">
        <f>SUM('DATA B1'!I196-'DATA B1'!I195)+('DATA B1'!J196-'DATA B1'!J195)</f>
        <v>0</v>
      </c>
      <c r="G195" s="28">
        <f t="shared" ref="G195:G217" si="54">IFERROR(F195/(E195),0)</f>
        <v>0</v>
      </c>
      <c r="H195" s="28">
        <f t="shared" ref="H195:H217" si="55">IFERROR((E195/18)*100,0)</f>
        <v>0</v>
      </c>
      <c r="I195" s="24">
        <f>SUM('WATER_STEAM RATIO'!K195)</f>
        <v>6</v>
      </c>
      <c r="J195" s="30">
        <f>SUM('DATA B2'!I196-'DATA B2'!I195)+('DATA B2'!J196-'DATA B2'!J195)</f>
        <v>390</v>
      </c>
      <c r="K195" s="28">
        <f t="shared" ref="K195:K213" si="56">IFERROR(J195/(I195),0)</f>
        <v>65</v>
      </c>
      <c r="L195" s="28">
        <f t="shared" ref="L195:L205" si="57">IFERROR((I195/18)*100,0)</f>
        <v>33.333333333333329</v>
      </c>
      <c r="M195" s="89">
        <f>SUM('WATER_STEAM RATIO'!Q195)</f>
        <v>0</v>
      </c>
      <c r="N195" s="9">
        <f>SUM('DATA B3'!H196-'DATA B3'!H195)</f>
        <v>0</v>
      </c>
      <c r="O195" s="88">
        <f t="shared" ref="O195:O212" si="58">IFERROR(N195/(M195),0)</f>
        <v>0</v>
      </c>
      <c r="P195" s="15">
        <f t="shared" ref="P195:P217" si="59">IFERROR((M195/16)*100,0)</f>
        <v>0</v>
      </c>
    </row>
    <row r="196" spans="3:16">
      <c r="C196" s="292"/>
      <c r="D196" s="43">
        <v>0.41666666666666702</v>
      </c>
      <c r="E196" s="5">
        <f>SUM('WATER_STEAM RATIO'!E196)</f>
        <v>0</v>
      </c>
      <c r="F196" s="9">
        <f>SUM('DATA B1'!I197-'DATA B1'!I196)+('DATA B1'!J197-'DATA B1'!J196)</f>
        <v>0</v>
      </c>
      <c r="G196" s="28">
        <f t="shared" si="54"/>
        <v>0</v>
      </c>
      <c r="H196" s="28">
        <f t="shared" si="55"/>
        <v>0</v>
      </c>
      <c r="I196" s="24">
        <f>SUM('WATER_STEAM RATIO'!K196)</f>
        <v>6</v>
      </c>
      <c r="J196" s="30">
        <f>SUM('DATA B2'!I197-'DATA B2'!I196)+('DATA B2'!J197-'DATA B2'!J196)</f>
        <v>360</v>
      </c>
      <c r="K196" s="28">
        <f t="shared" si="56"/>
        <v>60</v>
      </c>
      <c r="L196" s="28">
        <f t="shared" si="57"/>
        <v>33.333333333333329</v>
      </c>
      <c r="M196" s="89">
        <f>SUM('WATER_STEAM RATIO'!Q196)</f>
        <v>0</v>
      </c>
      <c r="N196" s="9">
        <f>SUM('DATA B3'!H197-'DATA B3'!H196)</f>
        <v>0</v>
      </c>
      <c r="O196" s="88">
        <f t="shared" si="58"/>
        <v>0</v>
      </c>
      <c r="P196" s="15">
        <f t="shared" si="59"/>
        <v>0</v>
      </c>
    </row>
    <row r="197" spans="3:16">
      <c r="C197" s="292"/>
      <c r="D197" s="43">
        <v>0.45833333333333298</v>
      </c>
      <c r="E197" s="5">
        <f>SUM('WATER_STEAM RATIO'!E197)</f>
        <v>0</v>
      </c>
      <c r="F197" s="9">
        <f>SUM('DATA B1'!I198-'DATA B1'!I197)+('DATA B1'!J198-'DATA B1'!J197)</f>
        <v>0</v>
      </c>
      <c r="G197" s="28">
        <f t="shared" si="54"/>
        <v>0</v>
      </c>
      <c r="H197" s="28">
        <f t="shared" si="55"/>
        <v>0</v>
      </c>
      <c r="I197" s="24">
        <f>SUM('WATER_STEAM RATIO'!K197)</f>
        <v>7</v>
      </c>
      <c r="J197" s="30">
        <f>SUM('DATA B2'!I198-'DATA B2'!I197)+('DATA B2'!J198-'DATA B2'!J197)</f>
        <v>423</v>
      </c>
      <c r="K197" s="28">
        <f t="shared" si="56"/>
        <v>60.428571428571431</v>
      </c>
      <c r="L197" s="28">
        <f t="shared" si="57"/>
        <v>38.888888888888893</v>
      </c>
      <c r="M197" s="89">
        <f>SUM('WATER_STEAM RATIO'!Q197)</f>
        <v>0</v>
      </c>
      <c r="N197" s="9">
        <f>SUM('DATA B3'!H198-'DATA B3'!H197)</f>
        <v>0</v>
      </c>
      <c r="O197" s="88">
        <f t="shared" si="58"/>
        <v>0</v>
      </c>
      <c r="P197" s="15">
        <f t="shared" si="59"/>
        <v>0</v>
      </c>
    </row>
    <row r="198" spans="3:16">
      <c r="C198" s="292"/>
      <c r="D198" s="43">
        <v>0.5</v>
      </c>
      <c r="E198" s="5">
        <f>SUM('WATER_STEAM RATIO'!E198)</f>
        <v>0</v>
      </c>
      <c r="F198" s="9">
        <f>SUM('DATA B1'!I199-'DATA B1'!I198)+('DATA B1'!J199-'DATA B1'!J198)</f>
        <v>0</v>
      </c>
      <c r="G198" s="28">
        <f t="shared" si="54"/>
        <v>0</v>
      </c>
      <c r="H198" s="28">
        <f t="shared" si="55"/>
        <v>0</v>
      </c>
      <c r="I198" s="24">
        <f>SUM('WATER_STEAM RATIO'!K198)</f>
        <v>9</v>
      </c>
      <c r="J198" s="30">
        <f>SUM('DATA B2'!I199-'DATA B2'!I198)+('DATA B2'!J199-'DATA B2'!J198)</f>
        <v>552</v>
      </c>
      <c r="K198" s="28">
        <f t="shared" si="56"/>
        <v>61.333333333333336</v>
      </c>
      <c r="L198" s="28">
        <f t="shared" si="57"/>
        <v>50</v>
      </c>
      <c r="M198" s="89">
        <f>SUM('WATER_STEAM RATIO'!Q198)</f>
        <v>0</v>
      </c>
      <c r="N198" s="9">
        <f>SUM('DATA B3'!H199-'DATA B3'!H198)</f>
        <v>0</v>
      </c>
      <c r="O198" s="88">
        <f t="shared" si="58"/>
        <v>0</v>
      </c>
      <c r="P198" s="15">
        <f t="shared" si="59"/>
        <v>0</v>
      </c>
    </row>
    <row r="199" spans="3:16">
      <c r="C199" s="292"/>
      <c r="D199" s="43">
        <v>0.54166666666666696</v>
      </c>
      <c r="E199" s="5">
        <f>SUM('WATER_STEAM RATIO'!E199)</f>
        <v>0</v>
      </c>
      <c r="F199" s="9">
        <f>SUM('DATA B1'!I200-'DATA B1'!I199)+('DATA B1'!J200-'DATA B1'!J199)</f>
        <v>0</v>
      </c>
      <c r="G199" s="28">
        <f t="shared" si="54"/>
        <v>0</v>
      </c>
      <c r="H199" s="28">
        <f t="shared" si="55"/>
        <v>0</v>
      </c>
      <c r="I199" s="24">
        <f>SUM('WATER_STEAM RATIO'!K199)</f>
        <v>9</v>
      </c>
      <c r="J199" s="30">
        <f>SUM('DATA B2'!I200-'DATA B2'!I199)+('DATA B2'!J200-'DATA B2'!J199)</f>
        <v>551</v>
      </c>
      <c r="K199" s="28">
        <f t="shared" si="56"/>
        <v>61.222222222222221</v>
      </c>
      <c r="L199" s="28">
        <f t="shared" si="57"/>
        <v>50</v>
      </c>
      <c r="M199" s="89">
        <f>SUM('WATER_STEAM RATIO'!Q199)</f>
        <v>0</v>
      </c>
      <c r="N199" s="9">
        <f>SUM('DATA B3'!H200-'DATA B3'!H199)</f>
        <v>0</v>
      </c>
      <c r="O199" s="88">
        <f t="shared" si="58"/>
        <v>0</v>
      </c>
      <c r="P199" s="15">
        <f t="shared" si="59"/>
        <v>0</v>
      </c>
    </row>
    <row r="200" spans="3:16">
      <c r="C200" s="292"/>
      <c r="D200" s="43">
        <v>0.58333333333333304</v>
      </c>
      <c r="E200" s="5">
        <f>SUM('WATER_STEAM RATIO'!E200)</f>
        <v>0</v>
      </c>
      <c r="F200" s="9">
        <f>SUM('DATA B1'!I201-'DATA B1'!I200)+('DATA B1'!J201-'DATA B1'!J200)</f>
        <v>0</v>
      </c>
      <c r="G200" s="28">
        <f t="shared" si="54"/>
        <v>0</v>
      </c>
      <c r="H200" s="28">
        <f t="shared" si="55"/>
        <v>0</v>
      </c>
      <c r="I200" s="24">
        <f>SUM('WATER_STEAM RATIO'!K200)</f>
        <v>9</v>
      </c>
      <c r="J200" s="30">
        <f>SUM('DATA B2'!I201-'DATA B2'!I200)+('DATA B2'!J201-'DATA B2'!J200)</f>
        <v>562</v>
      </c>
      <c r="K200" s="28">
        <f t="shared" si="56"/>
        <v>62.444444444444443</v>
      </c>
      <c r="L200" s="28">
        <f t="shared" si="57"/>
        <v>50</v>
      </c>
      <c r="M200" s="89">
        <f>SUM('WATER_STEAM RATIO'!Q200)</f>
        <v>0</v>
      </c>
      <c r="N200" s="9">
        <f>SUM('DATA B3'!H201-'DATA B3'!H200)</f>
        <v>0</v>
      </c>
      <c r="O200" s="88">
        <f t="shared" si="58"/>
        <v>0</v>
      </c>
      <c r="P200" s="15">
        <f t="shared" si="59"/>
        <v>0</v>
      </c>
    </row>
    <row r="201" spans="3:16">
      <c r="C201" s="292"/>
      <c r="D201" s="43">
        <v>0.625</v>
      </c>
      <c r="E201" s="5">
        <f>SUM('WATER_STEAM RATIO'!E201)</f>
        <v>0</v>
      </c>
      <c r="F201" s="9">
        <f>SUM('DATA B1'!I202-'DATA B1'!I201)+('DATA B1'!J202-'DATA B1'!J201)</f>
        <v>0</v>
      </c>
      <c r="G201" s="28">
        <f t="shared" si="54"/>
        <v>0</v>
      </c>
      <c r="H201" s="28">
        <f t="shared" si="55"/>
        <v>0</v>
      </c>
      <c r="I201" s="24">
        <f>SUM('WATER_STEAM RATIO'!K201)</f>
        <v>9</v>
      </c>
      <c r="J201" s="30">
        <f>SUM('DATA B2'!I202-'DATA B2'!I201)+('DATA B2'!J202-'DATA B2'!J201)</f>
        <v>575</v>
      </c>
      <c r="K201" s="28">
        <f t="shared" si="56"/>
        <v>63.888888888888886</v>
      </c>
      <c r="L201" s="28">
        <f t="shared" si="57"/>
        <v>50</v>
      </c>
      <c r="M201" s="89">
        <f>SUM('WATER_STEAM RATIO'!Q201)</f>
        <v>0</v>
      </c>
      <c r="N201" s="9">
        <f>SUM('DATA B3'!H202-'DATA B3'!H201)</f>
        <v>0</v>
      </c>
      <c r="O201" s="88">
        <f t="shared" si="58"/>
        <v>0</v>
      </c>
      <c r="P201" s="15">
        <f t="shared" si="59"/>
        <v>0</v>
      </c>
    </row>
    <row r="202" spans="3:16">
      <c r="C202" s="292"/>
      <c r="D202" s="43">
        <v>0.66666666666666596</v>
      </c>
      <c r="E202" s="5">
        <f>SUM('WATER_STEAM RATIO'!E202)</f>
        <v>0</v>
      </c>
      <c r="F202" s="9">
        <f>SUM('DATA B1'!I203-'DATA B1'!I202)+('DATA B1'!J203-'DATA B1'!J202)</f>
        <v>0</v>
      </c>
      <c r="G202" s="28">
        <f t="shared" si="54"/>
        <v>0</v>
      </c>
      <c r="H202" s="28">
        <f t="shared" si="55"/>
        <v>0</v>
      </c>
      <c r="I202" s="24">
        <f>SUM('WATER_STEAM RATIO'!K202)</f>
        <v>9</v>
      </c>
      <c r="J202" s="30">
        <f>SUM('DATA B2'!I203-'DATA B2'!I202)+('DATA B2'!J203-'DATA B2'!J202)</f>
        <v>566</v>
      </c>
      <c r="K202" s="28">
        <f t="shared" si="56"/>
        <v>62.888888888888886</v>
      </c>
      <c r="L202" s="28">
        <f t="shared" si="57"/>
        <v>50</v>
      </c>
      <c r="M202" s="89">
        <f>SUM('WATER_STEAM RATIO'!Q202)</f>
        <v>0</v>
      </c>
      <c r="N202" s="9">
        <f>SUM('DATA B3'!H203-'DATA B3'!H202)</f>
        <v>0</v>
      </c>
      <c r="O202" s="88">
        <f t="shared" si="58"/>
        <v>0</v>
      </c>
      <c r="P202" s="15">
        <f t="shared" si="59"/>
        <v>0</v>
      </c>
    </row>
    <row r="203" spans="3:16">
      <c r="C203" s="292"/>
      <c r="D203" s="43">
        <v>0.70833333333333304</v>
      </c>
      <c r="E203" s="5">
        <f>SUM('WATER_STEAM RATIO'!E203)</f>
        <v>0</v>
      </c>
      <c r="F203" s="9">
        <f>SUM('DATA B1'!I204-'DATA B1'!I203)+('DATA B1'!J204-'DATA B1'!J203)</f>
        <v>0</v>
      </c>
      <c r="G203" s="28">
        <f t="shared" si="54"/>
        <v>0</v>
      </c>
      <c r="H203" s="28">
        <f t="shared" si="55"/>
        <v>0</v>
      </c>
      <c r="I203" s="24">
        <f>SUM('WATER_STEAM RATIO'!K203)</f>
        <v>9</v>
      </c>
      <c r="J203" s="30">
        <f>SUM('DATA B2'!I204-'DATA B2'!I203)+('DATA B2'!J204-'DATA B2'!J203)</f>
        <v>539</v>
      </c>
      <c r="K203" s="28">
        <f t="shared" si="56"/>
        <v>59.888888888888886</v>
      </c>
      <c r="L203" s="28">
        <f t="shared" si="57"/>
        <v>50</v>
      </c>
      <c r="M203" s="89">
        <f>SUM('WATER_STEAM RATIO'!Q203)</f>
        <v>0</v>
      </c>
      <c r="N203" s="9">
        <f>SUM('DATA B3'!H204-'DATA B3'!H203)</f>
        <v>0</v>
      </c>
      <c r="O203" s="88">
        <f t="shared" si="58"/>
        <v>0</v>
      </c>
      <c r="P203" s="15">
        <f t="shared" si="59"/>
        <v>0</v>
      </c>
    </row>
    <row r="204" spans="3:16">
      <c r="C204" s="292"/>
      <c r="D204" s="43">
        <v>0.75</v>
      </c>
      <c r="E204" s="5">
        <f>SUM('WATER_STEAM RATIO'!E204)</f>
        <v>0</v>
      </c>
      <c r="F204" s="9">
        <f>SUM('DATA B1'!I205-'DATA B1'!I204)+('DATA B1'!J205-'DATA B1'!J204)</f>
        <v>0</v>
      </c>
      <c r="G204" s="28">
        <f t="shared" si="54"/>
        <v>0</v>
      </c>
      <c r="H204" s="28">
        <f t="shared" si="55"/>
        <v>0</v>
      </c>
      <c r="I204" s="24">
        <f>SUM('WATER_STEAM RATIO'!K204)</f>
        <v>10</v>
      </c>
      <c r="J204" s="30">
        <f>SUM('DATA B2'!I205-'DATA B2'!I204)+('DATA B2'!J205-'DATA B2'!J204)</f>
        <v>595</v>
      </c>
      <c r="K204" s="28">
        <f t="shared" si="56"/>
        <v>59.5</v>
      </c>
      <c r="L204" s="28">
        <f t="shared" si="57"/>
        <v>55.555555555555557</v>
      </c>
      <c r="M204" s="89">
        <f>SUM('WATER_STEAM RATIO'!Q204)</f>
        <v>0</v>
      </c>
      <c r="N204" s="9">
        <f>SUM('DATA B3'!H205-'DATA B3'!H204)</f>
        <v>0</v>
      </c>
      <c r="O204" s="88">
        <f t="shared" si="58"/>
        <v>0</v>
      </c>
      <c r="P204" s="15">
        <f t="shared" si="59"/>
        <v>0</v>
      </c>
    </row>
    <row r="205" spans="3:16">
      <c r="C205" s="292"/>
      <c r="D205" s="43">
        <v>0.79166666666666596</v>
      </c>
      <c r="E205" s="5">
        <f>SUM('WATER_STEAM RATIO'!E205)</f>
        <v>0</v>
      </c>
      <c r="F205" s="9">
        <f>SUM('DATA B1'!I206-'DATA B1'!I205)+('DATA B1'!J206-'DATA B1'!J205)</f>
        <v>0</v>
      </c>
      <c r="G205" s="28">
        <f t="shared" si="54"/>
        <v>0</v>
      </c>
      <c r="H205" s="28">
        <f t="shared" si="55"/>
        <v>0</v>
      </c>
      <c r="I205" s="24">
        <f>SUM('WATER_STEAM RATIO'!K205)</f>
        <v>10</v>
      </c>
      <c r="J205" s="30">
        <f>SUM('DATA B2'!I206-'DATA B2'!I205)+('DATA B2'!J206-'DATA B2'!J205)</f>
        <v>600</v>
      </c>
      <c r="K205" s="28">
        <f t="shared" si="56"/>
        <v>60</v>
      </c>
      <c r="L205" s="28">
        <f t="shared" si="57"/>
        <v>55.555555555555557</v>
      </c>
      <c r="M205" s="89">
        <f>SUM('WATER_STEAM RATIO'!Q205)</f>
        <v>0</v>
      </c>
      <c r="N205" s="9">
        <f>SUM('DATA B3'!H206-'DATA B3'!H205)</f>
        <v>0</v>
      </c>
      <c r="O205" s="88">
        <f t="shared" si="58"/>
        <v>0</v>
      </c>
      <c r="P205" s="15">
        <f t="shared" si="59"/>
        <v>0</v>
      </c>
    </row>
    <row r="206" spans="3:16">
      <c r="C206" s="292"/>
      <c r="D206" s="43">
        <v>0.83333333333333304</v>
      </c>
      <c r="E206" s="5">
        <f>SUM('WATER_STEAM RATIO'!E206)</f>
        <v>0</v>
      </c>
      <c r="F206" s="9">
        <f>SUM('DATA B1'!I207-'DATA B1'!I206)+('DATA B1'!J207-'DATA B1'!J206)</f>
        <v>0</v>
      </c>
      <c r="G206" s="28">
        <f t="shared" si="54"/>
        <v>0</v>
      </c>
      <c r="H206" s="28">
        <f t="shared" si="55"/>
        <v>0</v>
      </c>
      <c r="I206" s="24">
        <f>SUM('WATER_STEAM RATIO'!K206)</f>
        <v>10</v>
      </c>
      <c r="J206" s="30">
        <f>SUM('DATA B2'!I207-'DATA B2'!I206)+('DATA B2'!J207-'DATA B2'!J206)</f>
        <v>614</v>
      </c>
      <c r="K206" s="28">
        <f t="shared" si="56"/>
        <v>61.4</v>
      </c>
      <c r="L206" s="28">
        <f>IFERROR((I206/18)*100,0)</f>
        <v>55.555555555555557</v>
      </c>
      <c r="M206" s="89">
        <f>SUM('WATER_STEAM RATIO'!Q206)</f>
        <v>0</v>
      </c>
      <c r="N206" s="9">
        <f>SUM('DATA B3'!H207-'DATA B3'!H206)</f>
        <v>0</v>
      </c>
      <c r="O206" s="88">
        <f t="shared" si="58"/>
        <v>0</v>
      </c>
      <c r="P206" s="15">
        <f t="shared" si="59"/>
        <v>0</v>
      </c>
    </row>
    <row r="207" spans="3:16">
      <c r="C207" s="292"/>
      <c r="D207" s="43">
        <v>0.875</v>
      </c>
      <c r="E207" s="5">
        <f>SUM('WATER_STEAM RATIO'!E207)</f>
        <v>0</v>
      </c>
      <c r="F207" s="9">
        <f>SUM('DATA B1'!I208-'DATA B1'!I207)+('DATA B1'!J208-'DATA B1'!J207)</f>
        <v>0</v>
      </c>
      <c r="G207" s="28">
        <f t="shared" si="54"/>
        <v>0</v>
      </c>
      <c r="H207" s="28">
        <f t="shared" si="55"/>
        <v>0</v>
      </c>
      <c r="I207" s="24">
        <f>SUM('WATER_STEAM RATIO'!K207)</f>
        <v>7</v>
      </c>
      <c r="J207" s="30">
        <f>SUM('DATA B2'!I208-'DATA B2'!I207)+('DATA B2'!J208-'DATA B2'!J207)</f>
        <v>362</v>
      </c>
      <c r="K207" s="28">
        <f t="shared" si="56"/>
        <v>51.714285714285715</v>
      </c>
      <c r="L207" s="28">
        <f t="shared" ref="L207:L217" si="60">IFERROR((I207/18)*100,0)</f>
        <v>38.888888888888893</v>
      </c>
      <c r="M207" s="89">
        <f>SUM('WATER_STEAM RATIO'!Q207)</f>
        <v>0</v>
      </c>
      <c r="N207" s="9">
        <f>SUM('DATA B3'!H208-'DATA B3'!H207)</f>
        <v>0</v>
      </c>
      <c r="O207" s="88">
        <f t="shared" si="58"/>
        <v>0</v>
      </c>
      <c r="P207" s="15">
        <f t="shared" si="59"/>
        <v>0</v>
      </c>
    </row>
    <row r="208" spans="3:16">
      <c r="C208" s="292"/>
      <c r="D208" s="43">
        <v>0.91666666666666596</v>
      </c>
      <c r="E208" s="5">
        <f>SUM('WATER_STEAM RATIO'!E208)</f>
        <v>0</v>
      </c>
      <c r="F208" s="9">
        <f>SUM('DATA B1'!I209-'DATA B1'!I208)+('DATA B1'!J209-'DATA B1'!J208)</f>
        <v>0</v>
      </c>
      <c r="G208" s="28">
        <f t="shared" si="54"/>
        <v>0</v>
      </c>
      <c r="H208" s="28">
        <f t="shared" si="55"/>
        <v>0</v>
      </c>
      <c r="I208" s="24">
        <f>SUM('WATER_STEAM RATIO'!K208)</f>
        <v>7</v>
      </c>
      <c r="J208" s="30">
        <f>SUM('DATA B2'!I209-'DATA B2'!I208)+('DATA B2'!J209-'DATA B2'!J208)</f>
        <v>357</v>
      </c>
      <c r="K208" s="28">
        <f t="shared" si="56"/>
        <v>51</v>
      </c>
      <c r="L208" s="28">
        <f t="shared" si="60"/>
        <v>38.888888888888893</v>
      </c>
      <c r="M208" s="89">
        <f>SUM('WATER_STEAM RATIO'!Q208)</f>
        <v>0</v>
      </c>
      <c r="N208" s="9">
        <f>SUM('DATA B3'!H209-'DATA B3'!H208)</f>
        <v>0</v>
      </c>
      <c r="O208" s="88">
        <f t="shared" si="58"/>
        <v>0</v>
      </c>
      <c r="P208" s="15">
        <f>IFERROR((M208/16)*100,0)</f>
        <v>0</v>
      </c>
    </row>
    <row r="209" spans="3:16">
      <c r="C209" s="292"/>
      <c r="D209" s="43">
        <v>0.95833333333333304</v>
      </c>
      <c r="E209" s="5">
        <f>SUM('WATER_STEAM RATIO'!E209)</f>
        <v>0</v>
      </c>
      <c r="F209" s="9">
        <f>SUM('DATA B1'!I210-'DATA B1'!I209)+('DATA B1'!J210-'DATA B1'!J209)</f>
        <v>0</v>
      </c>
      <c r="G209" s="28">
        <f t="shared" si="54"/>
        <v>0</v>
      </c>
      <c r="H209" s="28">
        <f t="shared" si="55"/>
        <v>0</v>
      </c>
      <c r="I209" s="24">
        <f>SUM('WATER_STEAM RATIO'!K209)</f>
        <v>7</v>
      </c>
      <c r="J209" s="30">
        <f>SUM('DATA B2'!I210-'DATA B2'!I209)+('DATA B2'!J210-'DATA B2'!J209)</f>
        <v>369</v>
      </c>
      <c r="K209" s="28">
        <f t="shared" si="56"/>
        <v>52.714285714285715</v>
      </c>
      <c r="L209" s="28">
        <f t="shared" si="60"/>
        <v>38.888888888888893</v>
      </c>
      <c r="M209" s="89">
        <f>SUM('WATER_STEAM RATIO'!Q209)</f>
        <v>0</v>
      </c>
      <c r="N209" s="9">
        <f>SUM('DATA B3'!H210-'DATA B3'!H209)</f>
        <v>0</v>
      </c>
      <c r="O209" s="88">
        <f t="shared" si="58"/>
        <v>0</v>
      </c>
      <c r="P209" s="15">
        <f t="shared" si="59"/>
        <v>0</v>
      </c>
    </row>
    <row r="210" spans="3:16">
      <c r="C210" s="292"/>
      <c r="D210" s="43">
        <v>1</v>
      </c>
      <c r="E210" s="5">
        <f>SUM('WATER_STEAM RATIO'!E210)</f>
        <v>0</v>
      </c>
      <c r="F210" s="9">
        <f>SUM('DATA B1'!I211-'DATA B1'!I210)+('DATA B1'!J211-'DATA B1'!J210)</f>
        <v>0</v>
      </c>
      <c r="G210" s="28">
        <f t="shared" si="54"/>
        <v>0</v>
      </c>
      <c r="H210" s="28">
        <f t="shared" si="55"/>
        <v>0</v>
      </c>
      <c r="I210" s="24">
        <f>SUM('WATER_STEAM RATIO'!K210)</f>
        <v>7</v>
      </c>
      <c r="J210" s="30">
        <f>SUM('DATA B2'!I211-'DATA B2'!I210)+('DATA B2'!J211-'DATA B2'!J210)</f>
        <v>366</v>
      </c>
      <c r="K210" s="28">
        <f t="shared" si="56"/>
        <v>52.285714285714285</v>
      </c>
      <c r="L210" s="28">
        <f t="shared" si="60"/>
        <v>38.888888888888893</v>
      </c>
      <c r="M210" s="89">
        <f>SUM('WATER_STEAM RATIO'!Q210)</f>
        <v>0</v>
      </c>
      <c r="N210" s="9">
        <f>SUM('DATA B3'!H211-'DATA B3'!H210)</f>
        <v>0</v>
      </c>
      <c r="O210" s="88">
        <f t="shared" si="58"/>
        <v>0</v>
      </c>
      <c r="P210" s="15">
        <f t="shared" si="59"/>
        <v>0</v>
      </c>
    </row>
    <row r="211" spans="3:16">
      <c r="C211" s="292"/>
      <c r="D211" s="43">
        <v>1.0416666666666701</v>
      </c>
      <c r="E211" s="5">
        <f>SUM('WATER_STEAM RATIO'!E211)</f>
        <v>0</v>
      </c>
      <c r="F211" s="9">
        <f>SUM('DATA B1'!I212-'DATA B1'!I211)+('DATA B1'!J212-'DATA B1'!J211)</f>
        <v>0</v>
      </c>
      <c r="G211" s="28">
        <f t="shared" si="54"/>
        <v>0</v>
      </c>
      <c r="H211" s="28">
        <f t="shared" si="55"/>
        <v>0</v>
      </c>
      <c r="I211" s="24">
        <f>SUM('WATER_STEAM RATIO'!K211)</f>
        <v>7</v>
      </c>
      <c r="J211" s="30">
        <f>SUM('DATA B2'!I212-'DATA B2'!I211)+('DATA B2'!J212-'DATA B2'!J211)</f>
        <v>372</v>
      </c>
      <c r="K211" s="28">
        <f t="shared" si="56"/>
        <v>53.142857142857146</v>
      </c>
      <c r="L211" s="28">
        <f t="shared" si="60"/>
        <v>38.888888888888893</v>
      </c>
      <c r="M211" s="89">
        <f>SUM('WATER_STEAM RATIO'!Q211)</f>
        <v>0</v>
      </c>
      <c r="N211" s="9">
        <f>SUM('DATA B3'!H212-'DATA B3'!H211)</f>
        <v>0</v>
      </c>
      <c r="O211" s="88">
        <f t="shared" si="58"/>
        <v>0</v>
      </c>
      <c r="P211" s="15">
        <f t="shared" si="59"/>
        <v>0</v>
      </c>
    </row>
    <row r="212" spans="3:16">
      <c r="C212" s="292"/>
      <c r="D212" s="43">
        <v>1.0833333333333399</v>
      </c>
      <c r="E212" s="5">
        <f>SUM('WATER_STEAM RATIO'!E212)</f>
        <v>0</v>
      </c>
      <c r="F212" s="9">
        <f>SUM('DATA B1'!I213-'DATA B1'!I212)+('DATA B1'!J213-'DATA B1'!J212)</f>
        <v>0</v>
      </c>
      <c r="G212" s="28">
        <f t="shared" si="54"/>
        <v>0</v>
      </c>
      <c r="H212" s="28">
        <f t="shared" si="55"/>
        <v>0</v>
      </c>
      <c r="I212" s="24">
        <f>SUM('WATER_STEAM RATIO'!K212)</f>
        <v>6</v>
      </c>
      <c r="J212" s="30">
        <f>SUM('DATA B2'!I213-'DATA B2'!I212)+('DATA B2'!J213-'DATA B2'!J212)</f>
        <v>359</v>
      </c>
      <c r="K212" s="28">
        <f t="shared" si="56"/>
        <v>59.833333333333336</v>
      </c>
      <c r="L212" s="28">
        <f t="shared" si="60"/>
        <v>33.333333333333329</v>
      </c>
      <c r="M212" s="89">
        <f>SUM('WATER_STEAM RATIO'!Q212)</f>
        <v>0</v>
      </c>
      <c r="N212" s="9">
        <f>SUM('DATA B3'!H213-'DATA B3'!H212)</f>
        <v>0</v>
      </c>
      <c r="O212" s="88">
        <f t="shared" si="58"/>
        <v>0</v>
      </c>
      <c r="P212" s="15">
        <f t="shared" si="59"/>
        <v>0</v>
      </c>
    </row>
    <row r="213" spans="3:16">
      <c r="C213" s="292"/>
      <c r="D213" s="43">
        <v>1.125</v>
      </c>
      <c r="E213" s="5">
        <f>SUM('WATER_STEAM RATIO'!E213)</f>
        <v>0</v>
      </c>
      <c r="F213" s="9">
        <f>SUM('DATA B1'!I214-'DATA B1'!I213)+('DATA B1'!J214-'DATA B1'!J213)</f>
        <v>0</v>
      </c>
      <c r="G213" s="28">
        <f t="shared" si="54"/>
        <v>0</v>
      </c>
      <c r="H213" s="28">
        <f t="shared" si="55"/>
        <v>0</v>
      </c>
      <c r="I213" s="24">
        <f>SUM('WATER_STEAM RATIO'!K213)</f>
        <v>8</v>
      </c>
      <c r="J213" s="30">
        <f>SUM('DATA B2'!I214-'DATA B2'!I213)+('DATA B2'!J214-'DATA B2'!J213)</f>
        <v>379</v>
      </c>
      <c r="K213" s="28">
        <f t="shared" si="56"/>
        <v>47.375</v>
      </c>
      <c r="L213" s="28">
        <f t="shared" si="60"/>
        <v>44.444444444444443</v>
      </c>
      <c r="M213" s="89">
        <f>SUM('WATER_STEAM RATIO'!Q213)</f>
        <v>0</v>
      </c>
      <c r="N213" s="9">
        <f>SUM('DATA B3'!H214-'DATA B3'!H213)</f>
        <v>0</v>
      </c>
      <c r="O213" s="88">
        <f t="shared" ref="O213:O217" si="61">IFERROR(N213/(M213),0)</f>
        <v>0</v>
      </c>
      <c r="P213" s="15">
        <f t="shared" si="59"/>
        <v>0</v>
      </c>
    </row>
    <row r="214" spans="3:16">
      <c r="C214" s="292"/>
      <c r="D214" s="43">
        <v>1.1666666666666701</v>
      </c>
      <c r="E214" s="5">
        <f>SUM('WATER_STEAM RATIO'!E214)</f>
        <v>0</v>
      </c>
      <c r="F214" s="9">
        <f>SUM('DATA B1'!I215-'DATA B1'!I214)+('DATA B1'!J215-'DATA B1'!J214)</f>
        <v>0</v>
      </c>
      <c r="G214" s="28">
        <f t="shared" si="54"/>
        <v>0</v>
      </c>
      <c r="H214" s="28">
        <f t="shared" si="55"/>
        <v>0</v>
      </c>
      <c r="I214" s="24">
        <f>SUM('WATER_STEAM RATIO'!K214)</f>
        <v>8</v>
      </c>
      <c r="J214" s="30">
        <f>SUM('DATA B2'!I215-'DATA B2'!I214)+('DATA B2'!J215-'DATA B2'!J214)</f>
        <v>614</v>
      </c>
      <c r="K214" s="28">
        <f>IFERROR(J214/(I214),0)</f>
        <v>76.75</v>
      </c>
      <c r="L214" s="28">
        <f t="shared" si="60"/>
        <v>44.444444444444443</v>
      </c>
      <c r="M214" s="89">
        <f>SUM('WATER_STEAM RATIO'!Q214)</f>
        <v>0</v>
      </c>
      <c r="N214" s="9">
        <f>SUM('DATA B3'!H215-'DATA B3'!H214)</f>
        <v>0</v>
      </c>
      <c r="O214" s="88">
        <f t="shared" si="61"/>
        <v>0</v>
      </c>
      <c r="P214" s="15">
        <f t="shared" si="59"/>
        <v>0</v>
      </c>
    </row>
    <row r="215" spans="3:16">
      <c r="C215" s="292"/>
      <c r="D215" s="43">
        <v>1.2083333333333399</v>
      </c>
      <c r="E215" s="5">
        <f>SUM('WATER_STEAM RATIO'!E215)</f>
        <v>0</v>
      </c>
      <c r="F215" s="9">
        <f>SUM('DATA B1'!I216-'DATA B1'!I215)+('DATA B1'!J216-'DATA B1'!J215)</f>
        <v>0</v>
      </c>
      <c r="G215" s="28">
        <f t="shared" si="54"/>
        <v>0</v>
      </c>
      <c r="H215" s="28">
        <f t="shared" si="55"/>
        <v>0</v>
      </c>
      <c r="I215" s="24">
        <f>SUM('WATER_STEAM RATIO'!K215)</f>
        <v>8</v>
      </c>
      <c r="J215" s="30">
        <f>SUM('DATA B2'!I216-'DATA B2'!I215)+('DATA B2'!J216-'DATA B2'!J215)</f>
        <v>622</v>
      </c>
      <c r="K215" s="28">
        <f>IFERROR(J215/(I215),0)</f>
        <v>77.75</v>
      </c>
      <c r="L215" s="28">
        <f t="shared" si="60"/>
        <v>44.444444444444443</v>
      </c>
      <c r="M215" s="89">
        <f>SUM('WATER_STEAM RATIO'!Q215)</f>
        <v>0</v>
      </c>
      <c r="N215" s="9">
        <f>SUM('DATA B3'!H216-'DATA B3'!H215)</f>
        <v>0</v>
      </c>
      <c r="O215" s="88">
        <f t="shared" si="61"/>
        <v>0</v>
      </c>
      <c r="P215" s="15">
        <f t="shared" si="59"/>
        <v>0</v>
      </c>
    </row>
    <row r="216" spans="3:16">
      <c r="C216" s="292"/>
      <c r="D216" s="43">
        <v>1.25</v>
      </c>
      <c r="E216" s="5">
        <f>SUM('WATER_STEAM RATIO'!E216)</f>
        <v>0</v>
      </c>
      <c r="F216" s="9">
        <f>SUM('DATA B1'!I217-'DATA B1'!I216)+('DATA B1'!J217-'DATA B1'!J216)</f>
        <v>0</v>
      </c>
      <c r="G216" s="28">
        <f t="shared" si="54"/>
        <v>0</v>
      </c>
      <c r="H216" s="28">
        <f t="shared" si="55"/>
        <v>0</v>
      </c>
      <c r="I216" s="24">
        <f>SUM('WATER_STEAM RATIO'!K216)</f>
        <v>8</v>
      </c>
      <c r="J216" s="30">
        <f>SUM('DATA B2'!I217-'DATA B2'!I216)+('DATA B2'!J217-'DATA B2'!J216)</f>
        <v>608</v>
      </c>
      <c r="K216" s="28">
        <f>IFERROR(J216/(I216),0)</f>
        <v>76</v>
      </c>
      <c r="L216" s="28">
        <f t="shared" si="60"/>
        <v>44.444444444444443</v>
      </c>
      <c r="M216" s="89">
        <f>SUM('WATER_STEAM RATIO'!Q216)</f>
        <v>0</v>
      </c>
      <c r="N216" s="9">
        <f>SUM('DATA B3'!H217-'DATA B3'!H216)</f>
        <v>0</v>
      </c>
      <c r="O216" s="88">
        <f t="shared" si="61"/>
        <v>0</v>
      </c>
      <c r="P216" s="15">
        <f t="shared" si="59"/>
        <v>0</v>
      </c>
    </row>
    <row r="217" spans="3:16">
      <c r="C217" s="292"/>
      <c r="D217" s="43">
        <v>1.2916666666666701</v>
      </c>
      <c r="E217" s="5">
        <f>SUM('WATER_STEAM RATIO'!E217)</f>
        <v>0</v>
      </c>
      <c r="F217" s="9">
        <f>SUM('DATA B1'!I218-'DATA B1'!I217)+('DATA B1'!J218-'DATA B1'!J217)</f>
        <v>0</v>
      </c>
      <c r="G217" s="28">
        <f t="shared" si="54"/>
        <v>0</v>
      </c>
      <c r="H217" s="28">
        <f t="shared" si="55"/>
        <v>0</v>
      </c>
      <c r="I217" s="24">
        <f>SUM('WATER_STEAM RATIO'!K217)</f>
        <v>11</v>
      </c>
      <c r="J217" s="30">
        <f>SUM('DATA B2'!I218-'DATA B2'!I217)+('DATA B2'!J218-'DATA B2'!J217)</f>
        <v>631</v>
      </c>
      <c r="K217" s="28">
        <f>IFERROR(J217/(I217),0)</f>
        <v>57.363636363636367</v>
      </c>
      <c r="L217" s="28">
        <f t="shared" si="60"/>
        <v>61.111111111111114</v>
      </c>
      <c r="M217" s="89">
        <f>SUM('WATER_STEAM RATIO'!Q217)</f>
        <v>0</v>
      </c>
      <c r="N217" s="9">
        <f>SUM('DATA B3'!H218-'DATA B3'!H217)</f>
        <v>0</v>
      </c>
      <c r="O217" s="88">
        <f t="shared" si="61"/>
        <v>0</v>
      </c>
      <c r="P217" s="15">
        <f t="shared" si="59"/>
        <v>0</v>
      </c>
    </row>
    <row r="218" spans="3:16">
      <c r="C218" s="293"/>
      <c r="D218" s="258"/>
      <c r="E218" s="91">
        <f>SUMIF(E193:E217,"&gt;=0",E193:E217)</f>
        <v>0</v>
      </c>
      <c r="F218" s="91">
        <f>SUMIF(F193:F217,"&gt;=0",F193:F217)</f>
        <v>0</v>
      </c>
      <c r="G218" s="54">
        <f>IFERROR(F218/E218,0)</f>
        <v>0</v>
      </c>
      <c r="H218" s="54">
        <f>IFERROR(AVERAGE(H194:H217),0)</f>
        <v>0</v>
      </c>
      <c r="I218" s="91">
        <f>SUMIF(I193:I217,"&gt;=0",I193:I217)</f>
        <v>202</v>
      </c>
      <c r="J218" s="91">
        <f>SUMIF(J193:J217,"&gt;=0",J193:J217)</f>
        <v>11811</v>
      </c>
      <c r="K218" s="54">
        <f>IFERROR(J218/(I218),0)</f>
        <v>58.470297029702969</v>
      </c>
      <c r="L218" s="54">
        <f>IFERROR(AVERAGE(L194:L217),0)</f>
        <v>45.138888888888893</v>
      </c>
      <c r="M218" s="91">
        <f>SUMIF(M193:M217,"&gt;=0",M193:M217)</f>
        <v>0</v>
      </c>
      <c r="N218" s="91">
        <f>SUMIF(N193:N217,"&gt;=0",N193:N217)</f>
        <v>0</v>
      </c>
      <c r="O218" s="239">
        <f>IFERROR(N218/(M218),0)</f>
        <v>0</v>
      </c>
      <c r="P218" s="215">
        <f>IFERROR(AVERAGE(P194:P217),0)</f>
        <v>0</v>
      </c>
    </row>
    <row r="219" spans="3:16" ht="15" customHeight="1">
      <c r="C219" s="291">
        <f>SUM('WATER_STEAM RATIO'!B219:B244)</f>
        <v>46031</v>
      </c>
      <c r="D219" s="43">
        <v>0.29166666666666669</v>
      </c>
      <c r="E219" s="5">
        <f>SUM('WATER_STEAM RATIO'!E219)</f>
        <v>0</v>
      </c>
      <c r="F219" s="9"/>
      <c r="G219" s="28"/>
      <c r="H219" s="28"/>
      <c r="I219" s="24">
        <f>SUM('WATER_STEAM RATIO'!K219)</f>
        <v>11</v>
      </c>
      <c r="J219" s="30"/>
      <c r="K219" s="28"/>
      <c r="L219" s="28"/>
      <c r="M219" s="89">
        <f>SUM('WATER_STEAM RATIO'!Q219)</f>
        <v>0</v>
      </c>
      <c r="N219" s="9"/>
      <c r="O219" s="88"/>
      <c r="P219" s="15"/>
    </row>
    <row r="220" spans="3:16">
      <c r="C220" s="292"/>
      <c r="D220" s="43">
        <v>0.33333333333333298</v>
      </c>
      <c r="E220" s="5">
        <f>SUM('WATER_STEAM RATIO'!E220)</f>
        <v>0</v>
      </c>
      <c r="F220" s="9">
        <f>SUM('DATA B1'!I221-'DATA B1'!I220)+('DATA B1'!J221-'DATA B1'!J220)</f>
        <v>0</v>
      </c>
      <c r="G220" s="28">
        <f>IFERROR(F220/(E220),0)</f>
        <v>0</v>
      </c>
      <c r="H220" s="28">
        <f>IFERROR((E220/18)*100,0)</f>
        <v>0</v>
      </c>
      <c r="I220" s="24">
        <f>SUM('WATER_STEAM RATIO'!K220)</f>
        <v>8</v>
      </c>
      <c r="J220" s="30">
        <f>SUM('DATA B2'!I221-'DATA B2'!I220)+('DATA B2'!J221-'DATA B2'!J220)</f>
        <v>483</v>
      </c>
      <c r="K220" s="28">
        <f>IFERROR(J220/(I220),0)</f>
        <v>60.375</v>
      </c>
      <c r="L220" s="28">
        <f>IFERROR((I220/18)*100,0)</f>
        <v>44.444444444444443</v>
      </c>
      <c r="M220" s="89">
        <f>SUM('WATER_STEAM RATIO'!Q220)</f>
        <v>0</v>
      </c>
      <c r="N220" s="9">
        <f>SUM('DATA B3'!H221-'DATA B3'!H220)</f>
        <v>0</v>
      </c>
      <c r="O220" s="88">
        <f>IFERROR(N220/(M220),0)</f>
        <v>0</v>
      </c>
      <c r="P220" s="15">
        <f>IFERROR((M220/16)*100,0)</f>
        <v>0</v>
      </c>
    </row>
    <row r="221" spans="3:16">
      <c r="C221" s="292"/>
      <c r="D221" s="43">
        <v>0.375</v>
      </c>
      <c r="E221" s="5">
        <f>SUM('WATER_STEAM RATIO'!E221)</f>
        <v>0</v>
      </c>
      <c r="F221" s="9">
        <f>SUM('DATA B1'!I222-'DATA B1'!I221)+('DATA B1'!J222-'DATA B1'!J221)</f>
        <v>0</v>
      </c>
      <c r="G221" s="28">
        <f t="shared" ref="G221:G243" si="62">IFERROR(F221/(E221),0)</f>
        <v>0</v>
      </c>
      <c r="H221" s="28">
        <f t="shared" ref="H221:H243" si="63">IFERROR((E221/18)*100,0)</f>
        <v>0</v>
      </c>
      <c r="I221" s="24">
        <f>SUM('WATER_STEAM RATIO'!K221)</f>
        <v>8</v>
      </c>
      <c r="J221" s="30">
        <f>SUM('DATA B2'!I222-'DATA B2'!I221)+('DATA B2'!J222-'DATA B2'!J221)</f>
        <v>530</v>
      </c>
      <c r="K221" s="28">
        <f t="shared" ref="K221:K239" si="64">IFERROR(J221/(I221),0)</f>
        <v>66.25</v>
      </c>
      <c r="L221" s="28">
        <f t="shared" ref="L221:L231" si="65">IFERROR((I221/18)*100,0)</f>
        <v>44.444444444444443</v>
      </c>
      <c r="M221" s="89">
        <f>SUM('WATER_STEAM RATIO'!Q221)</f>
        <v>0</v>
      </c>
      <c r="N221" s="9">
        <f>SUM('DATA B3'!H222-'DATA B3'!H221)</f>
        <v>0</v>
      </c>
      <c r="O221" s="88">
        <f t="shared" ref="O221:O238" si="66">IFERROR(N221/(M221),0)</f>
        <v>0</v>
      </c>
      <c r="P221" s="15">
        <f t="shared" ref="P221:P243" si="67">IFERROR((M221/16)*100,0)</f>
        <v>0</v>
      </c>
    </row>
    <row r="222" spans="3:16">
      <c r="C222" s="292"/>
      <c r="D222" s="43">
        <v>0.41666666666666702</v>
      </c>
      <c r="E222" s="5">
        <f>SUM('WATER_STEAM RATIO'!E222)</f>
        <v>0</v>
      </c>
      <c r="F222" s="9">
        <f>SUM('DATA B1'!I223-'DATA B1'!I222)+('DATA B1'!J223-'DATA B1'!J222)</f>
        <v>0</v>
      </c>
      <c r="G222" s="28">
        <f t="shared" si="62"/>
        <v>0</v>
      </c>
      <c r="H222" s="28">
        <f t="shared" si="63"/>
        <v>0</v>
      </c>
      <c r="I222" s="24">
        <f>SUM('WATER_STEAM RATIO'!K222)</f>
        <v>8</v>
      </c>
      <c r="J222" s="30">
        <f>SUM('DATA B2'!I223-'DATA B2'!I222)+('DATA B2'!J223-'DATA B2'!J222)</f>
        <v>532</v>
      </c>
      <c r="K222" s="28">
        <f t="shared" si="64"/>
        <v>66.5</v>
      </c>
      <c r="L222" s="28">
        <f t="shared" si="65"/>
        <v>44.444444444444443</v>
      </c>
      <c r="M222" s="89">
        <f>SUM('WATER_STEAM RATIO'!Q222)</f>
        <v>0</v>
      </c>
      <c r="N222" s="9">
        <f>SUM('DATA B3'!H223-'DATA B3'!H222)</f>
        <v>0</v>
      </c>
      <c r="O222" s="88">
        <f t="shared" si="66"/>
        <v>0</v>
      </c>
      <c r="P222" s="15">
        <f t="shared" si="67"/>
        <v>0</v>
      </c>
    </row>
    <row r="223" spans="3:16">
      <c r="C223" s="292"/>
      <c r="D223" s="43">
        <v>0.45833333333333298</v>
      </c>
      <c r="E223" s="5">
        <f>SUM('WATER_STEAM RATIO'!E223)</f>
        <v>0</v>
      </c>
      <c r="F223" s="9">
        <f>SUM('DATA B1'!I224-'DATA B1'!I223)+('DATA B1'!J224-'DATA B1'!J223)</f>
        <v>0</v>
      </c>
      <c r="G223" s="28">
        <f t="shared" si="62"/>
        <v>0</v>
      </c>
      <c r="H223" s="28">
        <f t="shared" si="63"/>
        <v>0</v>
      </c>
      <c r="I223" s="24">
        <f>SUM('WATER_STEAM RATIO'!K223)</f>
        <v>10</v>
      </c>
      <c r="J223" s="30">
        <f>SUM('DATA B2'!I224-'DATA B2'!I223)+('DATA B2'!J224-'DATA B2'!J223)</f>
        <v>541</v>
      </c>
      <c r="K223" s="28">
        <f t="shared" si="64"/>
        <v>54.1</v>
      </c>
      <c r="L223" s="28">
        <f t="shared" si="65"/>
        <v>55.555555555555557</v>
      </c>
      <c r="M223" s="89">
        <f>SUM('WATER_STEAM RATIO'!Q223)</f>
        <v>0</v>
      </c>
      <c r="N223" s="9">
        <f>SUM('DATA B3'!H224-'DATA B3'!H223)</f>
        <v>0</v>
      </c>
      <c r="O223" s="88">
        <f t="shared" si="66"/>
        <v>0</v>
      </c>
      <c r="P223" s="15">
        <f t="shared" si="67"/>
        <v>0</v>
      </c>
    </row>
    <row r="224" spans="3:16">
      <c r="C224" s="292"/>
      <c r="D224" s="43">
        <v>0.5</v>
      </c>
      <c r="E224" s="5">
        <f>SUM('WATER_STEAM RATIO'!E224)</f>
        <v>0</v>
      </c>
      <c r="F224" s="9">
        <f>SUM('DATA B1'!I225-'DATA B1'!I224)+('DATA B1'!J225-'DATA B1'!J224)</f>
        <v>0</v>
      </c>
      <c r="G224" s="28">
        <f t="shared" si="62"/>
        <v>0</v>
      </c>
      <c r="H224" s="28">
        <f t="shared" si="63"/>
        <v>0</v>
      </c>
      <c r="I224" s="24">
        <f>SUM('WATER_STEAM RATIO'!K224)</f>
        <v>8</v>
      </c>
      <c r="J224" s="30">
        <f>SUM('DATA B2'!I225-'DATA B2'!I224)+('DATA B2'!J225-'DATA B2'!J224)</f>
        <v>478</v>
      </c>
      <c r="K224" s="28">
        <f t="shared" si="64"/>
        <v>59.75</v>
      </c>
      <c r="L224" s="28">
        <f t="shared" si="65"/>
        <v>44.444444444444443</v>
      </c>
      <c r="M224" s="89">
        <f>SUM('WATER_STEAM RATIO'!Q224)</f>
        <v>0</v>
      </c>
      <c r="N224" s="9">
        <f>SUM('DATA B3'!H225-'DATA B3'!H224)</f>
        <v>0</v>
      </c>
      <c r="O224" s="88">
        <f t="shared" si="66"/>
        <v>0</v>
      </c>
      <c r="P224" s="15">
        <f t="shared" si="67"/>
        <v>0</v>
      </c>
    </row>
    <row r="225" spans="3:16">
      <c r="C225" s="292"/>
      <c r="D225" s="43">
        <v>0.54166666666666696</v>
      </c>
      <c r="E225" s="5">
        <f>SUM('WATER_STEAM RATIO'!E225)</f>
        <v>0</v>
      </c>
      <c r="F225" s="9">
        <f>SUM('DATA B1'!I226-'DATA B1'!I225)+('DATA B1'!J226-'DATA B1'!J225)</f>
        <v>0</v>
      </c>
      <c r="G225" s="28">
        <f t="shared" si="62"/>
        <v>0</v>
      </c>
      <c r="H225" s="28">
        <f t="shared" si="63"/>
        <v>0</v>
      </c>
      <c r="I225" s="24">
        <f>SUM('WATER_STEAM RATIO'!K225)</f>
        <v>8</v>
      </c>
      <c r="J225" s="30">
        <f>SUM('DATA B2'!I226-'DATA B2'!I225)+('DATA B2'!J226-'DATA B2'!J225)</f>
        <v>475</v>
      </c>
      <c r="K225" s="28">
        <f t="shared" si="64"/>
        <v>59.375</v>
      </c>
      <c r="L225" s="28">
        <f t="shared" si="65"/>
        <v>44.444444444444443</v>
      </c>
      <c r="M225" s="89">
        <f>SUM('WATER_STEAM RATIO'!Q225)</f>
        <v>0</v>
      </c>
      <c r="N225" s="9">
        <f>SUM('DATA B3'!H226-'DATA B3'!H225)</f>
        <v>0</v>
      </c>
      <c r="O225" s="88">
        <f t="shared" si="66"/>
        <v>0</v>
      </c>
      <c r="P225" s="15">
        <f t="shared" si="67"/>
        <v>0</v>
      </c>
    </row>
    <row r="226" spans="3:16">
      <c r="C226" s="292"/>
      <c r="D226" s="43">
        <v>0.58333333333333304</v>
      </c>
      <c r="E226" s="5">
        <f>SUM('WATER_STEAM RATIO'!E226)</f>
        <v>0</v>
      </c>
      <c r="F226" s="9">
        <f>SUM('DATA B1'!I227-'DATA B1'!I226)+('DATA B1'!J227-'DATA B1'!J226)</f>
        <v>0</v>
      </c>
      <c r="G226" s="28">
        <f t="shared" si="62"/>
        <v>0</v>
      </c>
      <c r="H226" s="28">
        <f t="shared" si="63"/>
        <v>0</v>
      </c>
      <c r="I226" s="24">
        <f>SUM('WATER_STEAM RATIO'!K226)</f>
        <v>8</v>
      </c>
      <c r="J226" s="30">
        <f>SUM('DATA B2'!I227-'DATA B2'!I226)+('DATA B2'!J227-'DATA B2'!J226)</f>
        <v>481</v>
      </c>
      <c r="K226" s="28">
        <f t="shared" si="64"/>
        <v>60.125</v>
      </c>
      <c r="L226" s="28">
        <f t="shared" si="65"/>
        <v>44.444444444444443</v>
      </c>
      <c r="M226" s="89">
        <f>SUM('WATER_STEAM RATIO'!Q226)</f>
        <v>0</v>
      </c>
      <c r="N226" s="9">
        <f>SUM('DATA B3'!H227-'DATA B3'!H226)</f>
        <v>0</v>
      </c>
      <c r="O226" s="88">
        <f t="shared" si="66"/>
        <v>0</v>
      </c>
      <c r="P226" s="15">
        <f t="shared" si="67"/>
        <v>0</v>
      </c>
    </row>
    <row r="227" spans="3:16">
      <c r="C227" s="292"/>
      <c r="D227" s="43">
        <v>0.625</v>
      </c>
      <c r="E227" s="5">
        <f>SUM('WATER_STEAM RATIO'!E227)</f>
        <v>0</v>
      </c>
      <c r="F227" s="9">
        <f>SUM('DATA B1'!I228-'DATA B1'!I227)+('DATA B1'!J228-'DATA B1'!J227)</f>
        <v>0</v>
      </c>
      <c r="G227" s="28">
        <f t="shared" si="62"/>
        <v>0</v>
      </c>
      <c r="H227" s="28">
        <f t="shared" si="63"/>
        <v>0</v>
      </c>
      <c r="I227" s="24">
        <f>SUM('WATER_STEAM RATIO'!K227)</f>
        <v>8</v>
      </c>
      <c r="J227" s="30">
        <f>SUM('DATA B2'!I228-'DATA B2'!I227)+('DATA B2'!J228-'DATA B2'!J227)</f>
        <v>483</v>
      </c>
      <c r="K227" s="28">
        <f t="shared" si="64"/>
        <v>60.375</v>
      </c>
      <c r="L227" s="28">
        <f t="shared" si="65"/>
        <v>44.444444444444443</v>
      </c>
      <c r="M227" s="89">
        <f>SUM('WATER_STEAM RATIO'!Q227)</f>
        <v>0</v>
      </c>
      <c r="N227" s="9">
        <f>SUM('DATA B3'!H228-'DATA B3'!H227)</f>
        <v>0</v>
      </c>
      <c r="O227" s="88">
        <f t="shared" si="66"/>
        <v>0</v>
      </c>
      <c r="P227" s="15">
        <f t="shared" si="67"/>
        <v>0</v>
      </c>
    </row>
    <row r="228" spans="3:16">
      <c r="C228" s="292"/>
      <c r="D228" s="43">
        <v>0.66666666666666596</v>
      </c>
      <c r="E228" s="5">
        <f>SUM('WATER_STEAM RATIO'!E228)</f>
        <v>0</v>
      </c>
      <c r="F228" s="9">
        <f>SUM('DATA B1'!I229-'DATA B1'!I228)+('DATA B1'!J229-'DATA B1'!J228)</f>
        <v>0</v>
      </c>
      <c r="G228" s="28">
        <f t="shared" si="62"/>
        <v>0</v>
      </c>
      <c r="H228" s="28">
        <f t="shared" si="63"/>
        <v>0</v>
      </c>
      <c r="I228" s="24">
        <f>SUM('WATER_STEAM RATIO'!K228)</f>
        <v>8</v>
      </c>
      <c r="J228" s="30">
        <f>SUM('DATA B2'!I229-'DATA B2'!I228)+('DATA B2'!J229-'DATA B2'!J228)</f>
        <v>493</v>
      </c>
      <c r="K228" s="28">
        <f t="shared" si="64"/>
        <v>61.625</v>
      </c>
      <c r="L228" s="28">
        <f t="shared" si="65"/>
        <v>44.444444444444443</v>
      </c>
      <c r="M228" s="89">
        <f>SUM('WATER_STEAM RATIO'!Q228)</f>
        <v>0</v>
      </c>
      <c r="N228" s="9">
        <f>SUM('DATA B3'!H229-'DATA B3'!H228)</f>
        <v>0</v>
      </c>
      <c r="O228" s="88">
        <f t="shared" si="66"/>
        <v>0</v>
      </c>
      <c r="P228" s="15">
        <f t="shared" si="67"/>
        <v>0</v>
      </c>
    </row>
    <row r="229" spans="3:16">
      <c r="C229" s="292"/>
      <c r="D229" s="43">
        <v>0.70833333333333304</v>
      </c>
      <c r="E229" s="5">
        <f>SUM('WATER_STEAM RATIO'!E229)</f>
        <v>0</v>
      </c>
      <c r="F229" s="9">
        <f>SUM('DATA B1'!I230-'DATA B1'!I229)+('DATA B1'!J230-'DATA B1'!J229)</f>
        <v>0</v>
      </c>
      <c r="G229" s="28">
        <f t="shared" si="62"/>
        <v>0</v>
      </c>
      <c r="H229" s="28">
        <f t="shared" si="63"/>
        <v>0</v>
      </c>
      <c r="I229" s="24">
        <f>SUM('WATER_STEAM RATIO'!K229)</f>
        <v>9</v>
      </c>
      <c r="J229" s="30">
        <f>SUM('DATA B2'!I230-'DATA B2'!I229)+('DATA B2'!J230-'DATA B2'!J229)</f>
        <v>573</v>
      </c>
      <c r="K229" s="28">
        <f t="shared" si="64"/>
        <v>63.666666666666664</v>
      </c>
      <c r="L229" s="28">
        <f t="shared" si="65"/>
        <v>50</v>
      </c>
      <c r="M229" s="89">
        <f>SUM('WATER_STEAM RATIO'!Q229)</f>
        <v>0</v>
      </c>
      <c r="N229" s="9">
        <f>SUM('DATA B3'!H230-'DATA B3'!H229)</f>
        <v>0</v>
      </c>
      <c r="O229" s="88">
        <f t="shared" si="66"/>
        <v>0</v>
      </c>
      <c r="P229" s="15">
        <f t="shared" si="67"/>
        <v>0</v>
      </c>
    </row>
    <row r="230" spans="3:16">
      <c r="C230" s="292"/>
      <c r="D230" s="43">
        <v>0.75</v>
      </c>
      <c r="E230" s="5">
        <f>SUM('WATER_STEAM RATIO'!E230)</f>
        <v>0</v>
      </c>
      <c r="F230" s="9">
        <f>SUM('DATA B1'!I231-'DATA B1'!I230)+('DATA B1'!J231-'DATA B1'!J230)</f>
        <v>0</v>
      </c>
      <c r="G230" s="28">
        <f t="shared" si="62"/>
        <v>0</v>
      </c>
      <c r="H230" s="28">
        <f t="shared" si="63"/>
        <v>0</v>
      </c>
      <c r="I230" s="24">
        <f>SUM('WATER_STEAM RATIO'!K230)</f>
        <v>9</v>
      </c>
      <c r="J230" s="30">
        <f>SUM('DATA B2'!I231-'DATA B2'!I230)+('DATA B2'!J231-'DATA B2'!J230)</f>
        <v>563</v>
      </c>
      <c r="K230" s="28">
        <f t="shared" si="64"/>
        <v>62.555555555555557</v>
      </c>
      <c r="L230" s="28">
        <f t="shared" si="65"/>
        <v>50</v>
      </c>
      <c r="M230" s="89">
        <f>SUM('WATER_STEAM RATIO'!Q230)</f>
        <v>0</v>
      </c>
      <c r="N230" s="9">
        <f>SUM('DATA B3'!H231-'DATA B3'!H230)</f>
        <v>0</v>
      </c>
      <c r="O230" s="88">
        <f t="shared" si="66"/>
        <v>0</v>
      </c>
      <c r="P230" s="15">
        <f t="shared" si="67"/>
        <v>0</v>
      </c>
    </row>
    <row r="231" spans="3:16">
      <c r="C231" s="292"/>
      <c r="D231" s="43">
        <v>0.79166666666666596</v>
      </c>
      <c r="E231" s="5">
        <f>SUM('WATER_STEAM RATIO'!E231)</f>
        <v>0</v>
      </c>
      <c r="F231" s="9">
        <f>SUM('DATA B1'!I232-'DATA B1'!I231)+('DATA B1'!J232-'DATA B1'!J231)</f>
        <v>0</v>
      </c>
      <c r="G231" s="28">
        <f t="shared" si="62"/>
        <v>0</v>
      </c>
      <c r="H231" s="28">
        <f t="shared" si="63"/>
        <v>0</v>
      </c>
      <c r="I231" s="24">
        <f>SUM('WATER_STEAM RATIO'!K231)</f>
        <v>9</v>
      </c>
      <c r="J231" s="30">
        <f>SUM('DATA B2'!I232-'DATA B2'!I231)+('DATA B2'!J232-'DATA B2'!J231)</f>
        <v>546</v>
      </c>
      <c r="K231" s="28">
        <f t="shared" si="64"/>
        <v>60.666666666666664</v>
      </c>
      <c r="L231" s="28">
        <f t="shared" si="65"/>
        <v>50</v>
      </c>
      <c r="M231" s="89">
        <f>SUM('WATER_STEAM RATIO'!Q231)</f>
        <v>0</v>
      </c>
      <c r="N231" s="9">
        <f>SUM('DATA B3'!H232-'DATA B3'!H231)</f>
        <v>0</v>
      </c>
      <c r="O231" s="88">
        <f t="shared" si="66"/>
        <v>0</v>
      </c>
      <c r="P231" s="15">
        <f t="shared" si="67"/>
        <v>0</v>
      </c>
    </row>
    <row r="232" spans="3:16">
      <c r="C232" s="292"/>
      <c r="D232" s="43">
        <v>0.83333333333333304</v>
      </c>
      <c r="E232" s="5">
        <f>SUM('WATER_STEAM RATIO'!E232)</f>
        <v>0</v>
      </c>
      <c r="F232" s="9">
        <f>SUM('DATA B1'!I233-'DATA B1'!I232)+('DATA B1'!J233-'DATA B1'!J232)</f>
        <v>0</v>
      </c>
      <c r="G232" s="28">
        <f t="shared" si="62"/>
        <v>0</v>
      </c>
      <c r="H232" s="28">
        <f t="shared" si="63"/>
        <v>0</v>
      </c>
      <c r="I232" s="24">
        <f>SUM('WATER_STEAM RATIO'!K232)</f>
        <v>8</v>
      </c>
      <c r="J232" s="30">
        <f>SUM('DATA B2'!I233-'DATA B2'!I232)+('DATA B2'!J233-'DATA B2'!J232)</f>
        <v>493</v>
      </c>
      <c r="K232" s="28">
        <f t="shared" si="64"/>
        <v>61.625</v>
      </c>
      <c r="L232" s="28">
        <f>IFERROR((I232/18)*100,0)</f>
        <v>44.444444444444443</v>
      </c>
      <c r="M232" s="89">
        <f>SUM('WATER_STEAM RATIO'!Q232)</f>
        <v>0</v>
      </c>
      <c r="N232" s="9">
        <f>SUM('DATA B3'!H233-'DATA B3'!H232)</f>
        <v>0</v>
      </c>
      <c r="O232" s="88">
        <f t="shared" si="66"/>
        <v>0</v>
      </c>
      <c r="P232" s="15">
        <f t="shared" si="67"/>
        <v>0</v>
      </c>
    </row>
    <row r="233" spans="3:16">
      <c r="C233" s="292"/>
      <c r="D233" s="43">
        <v>0.875</v>
      </c>
      <c r="E233" s="5">
        <f>SUM('WATER_STEAM RATIO'!E233)</f>
        <v>0</v>
      </c>
      <c r="F233" s="9">
        <f>SUM('DATA B1'!I234-'DATA B1'!I233)+('DATA B1'!J234-'DATA B1'!J233)</f>
        <v>0</v>
      </c>
      <c r="G233" s="28">
        <f t="shared" si="62"/>
        <v>0</v>
      </c>
      <c r="H233" s="28">
        <f t="shared" si="63"/>
        <v>0</v>
      </c>
      <c r="I233" s="24">
        <f>SUM('WATER_STEAM RATIO'!K233)</f>
        <v>9</v>
      </c>
      <c r="J233" s="30">
        <f>SUM('DATA B2'!I234-'DATA B2'!I233)+('DATA B2'!J234-'DATA B2'!J233)</f>
        <v>518</v>
      </c>
      <c r="K233" s="28">
        <f t="shared" si="64"/>
        <v>57.555555555555557</v>
      </c>
      <c r="L233" s="28">
        <f t="shared" ref="L233:L243" si="68">IFERROR((I233/18)*100,0)</f>
        <v>50</v>
      </c>
      <c r="M233" s="89">
        <f>SUM('WATER_STEAM RATIO'!Q233)</f>
        <v>0</v>
      </c>
      <c r="N233" s="9">
        <f>SUM('DATA B3'!H234-'DATA B3'!H233)</f>
        <v>0</v>
      </c>
      <c r="O233" s="88">
        <f t="shared" si="66"/>
        <v>0</v>
      </c>
      <c r="P233" s="15">
        <f t="shared" si="67"/>
        <v>0</v>
      </c>
    </row>
    <row r="234" spans="3:16">
      <c r="C234" s="292"/>
      <c r="D234" s="43">
        <v>0.91666666666666596</v>
      </c>
      <c r="E234" s="5">
        <f>SUM('WATER_STEAM RATIO'!E234)</f>
        <v>0</v>
      </c>
      <c r="F234" s="9">
        <f>SUM('DATA B1'!I235-'DATA B1'!I234)+('DATA B1'!J235-'DATA B1'!J234)</f>
        <v>0</v>
      </c>
      <c r="G234" s="28">
        <f t="shared" si="62"/>
        <v>0</v>
      </c>
      <c r="H234" s="28">
        <f t="shared" si="63"/>
        <v>0</v>
      </c>
      <c r="I234" s="24">
        <f>SUM('WATER_STEAM RATIO'!K234)</f>
        <v>9</v>
      </c>
      <c r="J234" s="30">
        <f>SUM('DATA B2'!I235-'DATA B2'!I234)+('DATA B2'!J235-'DATA B2'!J234)</f>
        <v>518</v>
      </c>
      <c r="K234" s="28">
        <f t="shared" si="64"/>
        <v>57.555555555555557</v>
      </c>
      <c r="L234" s="28">
        <f t="shared" si="68"/>
        <v>50</v>
      </c>
      <c r="M234" s="89">
        <f>SUM('WATER_STEAM RATIO'!Q234)</f>
        <v>0</v>
      </c>
      <c r="N234" s="9">
        <f>SUM('DATA B3'!H235-'DATA B3'!H234)</f>
        <v>0</v>
      </c>
      <c r="O234" s="88">
        <f t="shared" si="66"/>
        <v>0</v>
      </c>
      <c r="P234" s="15">
        <f>IFERROR((M234/16)*100,0)</f>
        <v>0</v>
      </c>
    </row>
    <row r="235" spans="3:16">
      <c r="C235" s="292"/>
      <c r="D235" s="43">
        <v>0.95833333333333304</v>
      </c>
      <c r="E235" s="5">
        <f>SUM('WATER_STEAM RATIO'!E235)</f>
        <v>0</v>
      </c>
      <c r="F235" s="9">
        <f>SUM('DATA B1'!I236-'DATA B1'!I235)+('DATA B1'!J236-'DATA B1'!J235)</f>
        <v>0</v>
      </c>
      <c r="G235" s="28">
        <f t="shared" si="62"/>
        <v>0</v>
      </c>
      <c r="H235" s="28">
        <f t="shared" si="63"/>
        <v>0</v>
      </c>
      <c r="I235" s="24">
        <f>SUM('WATER_STEAM RATIO'!K235)</f>
        <v>9</v>
      </c>
      <c r="J235" s="30">
        <f>SUM('DATA B2'!I236-'DATA B2'!I235)+('DATA B2'!J236-'DATA B2'!J235)</f>
        <v>520</v>
      </c>
      <c r="K235" s="28">
        <f t="shared" si="64"/>
        <v>57.777777777777779</v>
      </c>
      <c r="L235" s="28">
        <f t="shared" si="68"/>
        <v>50</v>
      </c>
      <c r="M235" s="89">
        <f>SUM('WATER_STEAM RATIO'!Q235)</f>
        <v>0</v>
      </c>
      <c r="N235" s="9">
        <f>SUM('DATA B3'!H236-'DATA B3'!H235)</f>
        <v>0</v>
      </c>
      <c r="O235" s="88">
        <f t="shared" si="66"/>
        <v>0</v>
      </c>
      <c r="P235" s="15">
        <f t="shared" si="67"/>
        <v>0</v>
      </c>
    </row>
    <row r="236" spans="3:16">
      <c r="C236" s="292"/>
      <c r="D236" s="43">
        <v>1</v>
      </c>
      <c r="E236" s="5">
        <f>SUM('WATER_STEAM RATIO'!E236)</f>
        <v>0</v>
      </c>
      <c r="F236" s="9">
        <f>SUM('DATA B1'!I237-'DATA B1'!I236)+('DATA B1'!J237-'DATA B1'!J236)</f>
        <v>0</v>
      </c>
      <c r="G236" s="28">
        <f t="shared" si="62"/>
        <v>0</v>
      </c>
      <c r="H236" s="28">
        <f t="shared" si="63"/>
        <v>0</v>
      </c>
      <c r="I236" s="24">
        <f>SUM('WATER_STEAM RATIO'!K236)</f>
        <v>8</v>
      </c>
      <c r="J236" s="30">
        <f>SUM('DATA B2'!I237-'DATA B2'!I236)+('DATA B2'!J237-'DATA B2'!J236)</f>
        <v>516</v>
      </c>
      <c r="K236" s="28">
        <f t="shared" si="64"/>
        <v>64.5</v>
      </c>
      <c r="L236" s="28">
        <f t="shared" si="68"/>
        <v>44.444444444444443</v>
      </c>
      <c r="M236" s="89">
        <f>SUM('WATER_STEAM RATIO'!Q236)</f>
        <v>0</v>
      </c>
      <c r="N236" s="9">
        <f>SUM('DATA B3'!H237-'DATA B3'!H236)</f>
        <v>0</v>
      </c>
      <c r="O236" s="88">
        <f t="shared" si="66"/>
        <v>0</v>
      </c>
      <c r="P236" s="15">
        <f t="shared" si="67"/>
        <v>0</v>
      </c>
    </row>
    <row r="237" spans="3:16">
      <c r="C237" s="292"/>
      <c r="D237" s="43">
        <v>1.0416666666666701</v>
      </c>
      <c r="E237" s="5">
        <f>SUM('WATER_STEAM RATIO'!E237)</f>
        <v>0</v>
      </c>
      <c r="F237" s="9">
        <f>SUM('DATA B1'!I238-'DATA B1'!I237)+('DATA B1'!J238-'DATA B1'!J237)</f>
        <v>0</v>
      </c>
      <c r="G237" s="28">
        <f t="shared" si="62"/>
        <v>0</v>
      </c>
      <c r="H237" s="28">
        <f t="shared" si="63"/>
        <v>0</v>
      </c>
      <c r="I237" s="24">
        <f>SUM('WATER_STEAM RATIO'!K237)</f>
        <v>10</v>
      </c>
      <c r="J237" s="30">
        <f>SUM('DATA B2'!I238-'DATA B2'!I237)+('DATA B2'!J238-'DATA B2'!J237)</f>
        <v>524</v>
      </c>
      <c r="K237" s="28">
        <f t="shared" si="64"/>
        <v>52.4</v>
      </c>
      <c r="L237" s="28">
        <f t="shared" si="68"/>
        <v>55.555555555555557</v>
      </c>
      <c r="M237" s="89">
        <f>SUM('WATER_STEAM RATIO'!Q237)</f>
        <v>0</v>
      </c>
      <c r="N237" s="9">
        <f>SUM('DATA B3'!H238-'DATA B3'!H237)</f>
        <v>0</v>
      </c>
      <c r="O237" s="88">
        <f t="shared" si="66"/>
        <v>0</v>
      </c>
      <c r="P237" s="15">
        <f t="shared" si="67"/>
        <v>0</v>
      </c>
    </row>
    <row r="238" spans="3:16">
      <c r="C238" s="292"/>
      <c r="D238" s="43">
        <v>1.0833333333333399</v>
      </c>
      <c r="E238" s="5">
        <f>SUM('WATER_STEAM RATIO'!E238)</f>
        <v>0</v>
      </c>
      <c r="F238" s="9">
        <f>SUM('DATA B1'!I239-'DATA B1'!I238)+('DATA B1'!J239-'DATA B1'!J238)</f>
        <v>0</v>
      </c>
      <c r="G238" s="28">
        <f t="shared" si="62"/>
        <v>0</v>
      </c>
      <c r="H238" s="28">
        <f t="shared" si="63"/>
        <v>0</v>
      </c>
      <c r="I238" s="24">
        <f>SUM('WATER_STEAM RATIO'!K238)</f>
        <v>8</v>
      </c>
      <c r="J238" s="30">
        <f>SUM('DATA B2'!I239-'DATA B2'!I238)+('DATA B2'!J239-'DATA B2'!J238)</f>
        <v>510</v>
      </c>
      <c r="K238" s="28">
        <f t="shared" si="64"/>
        <v>63.75</v>
      </c>
      <c r="L238" s="28">
        <f t="shared" si="68"/>
        <v>44.444444444444443</v>
      </c>
      <c r="M238" s="89">
        <f>SUM('WATER_STEAM RATIO'!Q238)</f>
        <v>0</v>
      </c>
      <c r="N238" s="9">
        <f>SUM('DATA B3'!H239-'DATA B3'!H238)</f>
        <v>0</v>
      </c>
      <c r="O238" s="88">
        <f t="shared" si="66"/>
        <v>0</v>
      </c>
      <c r="P238" s="15">
        <f t="shared" si="67"/>
        <v>0</v>
      </c>
    </row>
    <row r="239" spans="3:16">
      <c r="C239" s="292"/>
      <c r="D239" s="43">
        <v>1.125</v>
      </c>
      <c r="E239" s="5">
        <f>SUM('WATER_STEAM RATIO'!E239)</f>
        <v>0</v>
      </c>
      <c r="F239" s="9">
        <f>SUM('DATA B1'!I240-'DATA B1'!I239)+('DATA B1'!J240-'DATA B1'!J239)</f>
        <v>0</v>
      </c>
      <c r="G239" s="28">
        <f t="shared" si="62"/>
        <v>0</v>
      </c>
      <c r="H239" s="28">
        <f t="shared" si="63"/>
        <v>0</v>
      </c>
      <c r="I239" s="24">
        <f>SUM('WATER_STEAM RATIO'!K239)</f>
        <v>10</v>
      </c>
      <c r="J239" s="30">
        <f>SUM('DATA B2'!I240-'DATA B2'!I239)+('DATA B2'!J240-'DATA B2'!J239)</f>
        <v>530</v>
      </c>
      <c r="K239" s="28">
        <f t="shared" si="64"/>
        <v>53</v>
      </c>
      <c r="L239" s="28">
        <f t="shared" si="68"/>
        <v>55.555555555555557</v>
      </c>
      <c r="M239" s="89">
        <f>SUM('WATER_STEAM RATIO'!Q239)</f>
        <v>0</v>
      </c>
      <c r="N239" s="9">
        <f>SUM('DATA B3'!H240-'DATA B3'!H239)</f>
        <v>0</v>
      </c>
      <c r="O239" s="88">
        <f t="shared" ref="O239:O243" si="69">IFERROR(N239/(M239),0)</f>
        <v>0</v>
      </c>
      <c r="P239" s="15">
        <f t="shared" si="67"/>
        <v>0</v>
      </c>
    </row>
    <row r="240" spans="3:16">
      <c r="C240" s="292"/>
      <c r="D240" s="43">
        <v>1.1666666666666701</v>
      </c>
      <c r="E240" s="5">
        <f>SUM('WATER_STEAM RATIO'!E240)</f>
        <v>0</v>
      </c>
      <c r="F240" s="9">
        <f>SUM('DATA B1'!I241-'DATA B1'!I240)+('DATA B1'!J241-'DATA B1'!J240)</f>
        <v>0</v>
      </c>
      <c r="G240" s="28">
        <f t="shared" si="62"/>
        <v>0</v>
      </c>
      <c r="H240" s="28">
        <f t="shared" si="63"/>
        <v>0</v>
      </c>
      <c r="I240" s="24">
        <f>SUM('WATER_STEAM RATIO'!K240)</f>
        <v>8</v>
      </c>
      <c r="J240" s="30">
        <f>SUM('DATA B2'!I241-'DATA B2'!I240)+('DATA B2'!J241-'DATA B2'!J240)</f>
        <v>466</v>
      </c>
      <c r="K240" s="28">
        <f>IFERROR(J240/(I240),0)</f>
        <v>58.25</v>
      </c>
      <c r="L240" s="28">
        <f t="shared" si="68"/>
        <v>44.444444444444443</v>
      </c>
      <c r="M240" s="89">
        <f>SUM('WATER_STEAM RATIO'!Q240)</f>
        <v>0</v>
      </c>
      <c r="N240" s="9">
        <f>SUM('DATA B3'!H241-'DATA B3'!H240)</f>
        <v>0</v>
      </c>
      <c r="O240" s="88">
        <f t="shared" si="69"/>
        <v>0</v>
      </c>
      <c r="P240" s="15">
        <f t="shared" si="67"/>
        <v>0</v>
      </c>
    </row>
    <row r="241" spans="3:16">
      <c r="C241" s="292"/>
      <c r="D241" s="43">
        <v>1.2083333333333399</v>
      </c>
      <c r="E241" s="5">
        <f>SUM('WATER_STEAM RATIO'!E241)</f>
        <v>0</v>
      </c>
      <c r="F241" s="9">
        <f>SUM('DATA B1'!I242-'DATA B1'!I241)+('DATA B1'!J242-'DATA B1'!J241)</f>
        <v>0</v>
      </c>
      <c r="G241" s="28">
        <f t="shared" si="62"/>
        <v>0</v>
      </c>
      <c r="H241" s="28">
        <f t="shared" si="63"/>
        <v>0</v>
      </c>
      <c r="I241" s="24">
        <f>SUM('WATER_STEAM RATIO'!K241)</f>
        <v>7</v>
      </c>
      <c r="J241" s="30">
        <f>SUM('DATA B2'!I242-'DATA B2'!I241)+('DATA B2'!J242-'DATA B2'!J241)</f>
        <v>472</v>
      </c>
      <c r="K241" s="28">
        <f>IFERROR(J241/(I241),0)</f>
        <v>67.428571428571431</v>
      </c>
      <c r="L241" s="28">
        <f t="shared" si="68"/>
        <v>38.888888888888893</v>
      </c>
      <c r="M241" s="89">
        <f>SUM('WATER_STEAM RATIO'!Q241)</f>
        <v>0</v>
      </c>
      <c r="N241" s="9">
        <f>SUM('DATA B3'!H242-'DATA B3'!H241)</f>
        <v>0</v>
      </c>
      <c r="O241" s="88">
        <f t="shared" si="69"/>
        <v>0</v>
      </c>
      <c r="P241" s="15">
        <f t="shared" si="67"/>
        <v>0</v>
      </c>
    </row>
    <row r="242" spans="3:16">
      <c r="C242" s="292"/>
      <c r="D242" s="43">
        <v>1.25</v>
      </c>
      <c r="E242" s="5">
        <f>SUM('WATER_STEAM RATIO'!E242)</f>
        <v>0</v>
      </c>
      <c r="F242" s="9">
        <f>SUM('DATA B1'!I243-'DATA B1'!I242)+('DATA B1'!J243-'DATA B1'!J242)</f>
        <v>0</v>
      </c>
      <c r="G242" s="28">
        <f t="shared" si="62"/>
        <v>0</v>
      </c>
      <c r="H242" s="28">
        <f t="shared" si="63"/>
        <v>0</v>
      </c>
      <c r="I242" s="24">
        <f>SUM('WATER_STEAM RATIO'!K242)</f>
        <v>8</v>
      </c>
      <c r="J242" s="30">
        <f>SUM('DATA B2'!I243-'DATA B2'!I242)+('DATA B2'!J243-'DATA B2'!J242)</f>
        <v>459</v>
      </c>
      <c r="K242" s="28">
        <f>IFERROR(J242/(I242),0)</f>
        <v>57.375</v>
      </c>
      <c r="L242" s="28">
        <f t="shared" si="68"/>
        <v>44.444444444444443</v>
      </c>
      <c r="M242" s="89">
        <f>SUM('WATER_STEAM RATIO'!Q242)</f>
        <v>0</v>
      </c>
      <c r="N242" s="9">
        <f>SUM('DATA B3'!H243-'DATA B3'!H242)</f>
        <v>0</v>
      </c>
      <c r="O242" s="88">
        <f t="shared" si="69"/>
        <v>0</v>
      </c>
      <c r="P242" s="15">
        <f t="shared" si="67"/>
        <v>0</v>
      </c>
    </row>
    <row r="243" spans="3:16">
      <c r="C243" s="292"/>
      <c r="D243" s="43">
        <v>1.2916666666666701</v>
      </c>
      <c r="E243" s="5">
        <f>SUM('WATER_STEAM RATIO'!E243)</f>
        <v>0</v>
      </c>
      <c r="F243" s="9">
        <f>SUM('DATA B1'!I244-'DATA B1'!I243)+('DATA B1'!J244-'DATA B1'!J243)</f>
        <v>0</v>
      </c>
      <c r="G243" s="28">
        <f t="shared" si="62"/>
        <v>0</v>
      </c>
      <c r="H243" s="28">
        <f t="shared" si="63"/>
        <v>0</v>
      </c>
      <c r="I243" s="24">
        <f>SUM('WATER_STEAM RATIO'!K243)</f>
        <v>11</v>
      </c>
      <c r="J243" s="30">
        <f>SUM('DATA B2'!I244-'DATA B2'!I243)+('DATA B2'!J244-'DATA B2'!J243)</f>
        <v>485</v>
      </c>
      <c r="K243" s="28">
        <f>IFERROR(J243/(I243),0)</f>
        <v>44.090909090909093</v>
      </c>
      <c r="L243" s="28">
        <f t="shared" si="68"/>
        <v>61.111111111111114</v>
      </c>
      <c r="M243" s="89">
        <f>SUM('WATER_STEAM RATIO'!Q243)</f>
        <v>0</v>
      </c>
      <c r="N243" s="9">
        <f>SUM('DATA B3'!H244-'DATA B3'!H243)</f>
        <v>0</v>
      </c>
      <c r="O243" s="88">
        <f t="shared" si="69"/>
        <v>0</v>
      </c>
      <c r="P243" s="15">
        <f t="shared" si="67"/>
        <v>0</v>
      </c>
    </row>
    <row r="244" spans="3:16">
      <c r="C244" s="293"/>
      <c r="D244" s="258"/>
      <c r="E244" s="91">
        <f>SUMIF(E219:E243,"&gt;=0",E219:E243)</f>
        <v>0</v>
      </c>
      <c r="F244" s="91">
        <f>SUMIF(F219:F243,"&gt;=0",F219:F243)</f>
        <v>0</v>
      </c>
      <c r="G244" s="54">
        <f>IFERROR(F244/E244,0)</f>
        <v>0</v>
      </c>
      <c r="H244" s="54">
        <f>IFERROR(AVERAGE(H220:H243),0)</f>
        <v>0</v>
      </c>
      <c r="I244" s="91">
        <f>SUMIF(I219:I243,"&gt;=0",I219:I243)</f>
        <v>217</v>
      </c>
      <c r="J244" s="91">
        <f>SUMIF(J219:J243,"&gt;=0",J219:J243)</f>
        <v>12189</v>
      </c>
      <c r="K244" s="54">
        <f>IFERROR(J244/(I244),0)</f>
        <v>56.170506912442399</v>
      </c>
      <c r="L244" s="54">
        <f>IFERROR(AVERAGE(L220:L243),0)</f>
        <v>47.685185185185183</v>
      </c>
      <c r="M244" s="91">
        <f>SUMIF(M219:M243,"&gt;=0",M219:M243)</f>
        <v>0</v>
      </c>
      <c r="N244" s="91">
        <f>SUMIF(N219:N243,"&gt;=0",N219:N243)</f>
        <v>0</v>
      </c>
      <c r="O244" s="239">
        <f>IFERROR(N244/(M244),0)</f>
        <v>0</v>
      </c>
      <c r="P244" s="215">
        <f>IFERROR(AVERAGE(P220:P243),0)</f>
        <v>0</v>
      </c>
    </row>
    <row r="245" spans="3:16" ht="15" customHeight="1">
      <c r="C245" s="291">
        <f>SUM('WATER_STEAM RATIO'!B245:B270)</f>
        <v>46032</v>
      </c>
      <c r="D245" s="43">
        <v>0.29166666666666669</v>
      </c>
      <c r="E245" s="5">
        <f>SUM('WATER_STEAM RATIO'!E245)</f>
        <v>0</v>
      </c>
      <c r="F245" s="9"/>
      <c r="G245" s="28"/>
      <c r="H245" s="28"/>
      <c r="I245" s="24">
        <f>SUM('WATER_STEAM RATIO'!K245)</f>
        <v>11</v>
      </c>
      <c r="J245" s="30"/>
      <c r="K245" s="28"/>
      <c r="L245" s="28"/>
      <c r="M245" s="89">
        <f>SUM('WATER_STEAM RATIO'!Q245)</f>
        <v>0</v>
      </c>
      <c r="N245" s="9"/>
      <c r="O245" s="88"/>
      <c r="P245" s="15"/>
    </row>
    <row r="246" spans="3:16">
      <c r="C246" s="292"/>
      <c r="D246" s="43">
        <v>0.33333333333333298</v>
      </c>
      <c r="E246" s="5">
        <f>SUM('WATER_STEAM RATIO'!E246)</f>
        <v>0</v>
      </c>
      <c r="F246" s="9">
        <f>SUM('DATA B1'!I247-'DATA B1'!I246)+('DATA B1'!J247-'DATA B1'!J246)</f>
        <v>0</v>
      </c>
      <c r="G246" s="28">
        <f>IFERROR(F246/(E246),0)</f>
        <v>0</v>
      </c>
      <c r="H246" s="28">
        <f>IFERROR((E246/18)*100,0)</f>
        <v>0</v>
      </c>
      <c r="I246" s="24">
        <f>SUM('WATER_STEAM RATIO'!K246)</f>
        <v>2</v>
      </c>
      <c r="J246" s="30">
        <f>SUM('DATA B2'!I247-'DATA B2'!I246)+('DATA B2'!J247-'DATA B2'!J246)</f>
        <v>461</v>
      </c>
      <c r="K246" s="28">
        <f>IFERROR(J246/(I246),0)</f>
        <v>230.5</v>
      </c>
      <c r="L246" s="28">
        <f>IFERROR((I246/18)*100,0)</f>
        <v>11.111111111111111</v>
      </c>
      <c r="M246" s="89">
        <f>SUM('WATER_STEAM RATIO'!Q246)</f>
        <v>0</v>
      </c>
      <c r="N246" s="9">
        <f>SUM('DATA B3'!H247-'DATA B3'!H246)</f>
        <v>0</v>
      </c>
      <c r="O246" s="88">
        <f>IFERROR(N246/(M246),0)</f>
        <v>0</v>
      </c>
      <c r="P246" s="15">
        <f>IFERROR((M246/16)*100,0)</f>
        <v>0</v>
      </c>
    </row>
    <row r="247" spans="3:16">
      <c r="C247" s="292"/>
      <c r="D247" s="43">
        <v>0.375</v>
      </c>
      <c r="E247" s="5">
        <f>SUM('WATER_STEAM RATIO'!E247)</f>
        <v>0</v>
      </c>
      <c r="F247" s="9">
        <f>SUM('DATA B1'!I248-'DATA B1'!I247)+('DATA B1'!J248-'DATA B1'!J247)</f>
        <v>0</v>
      </c>
      <c r="G247" s="28">
        <f t="shared" ref="G247:G269" si="70">IFERROR(F247/(E247),0)</f>
        <v>0</v>
      </c>
      <c r="H247" s="28">
        <f t="shared" ref="H247:H269" si="71">IFERROR((E247/18)*100,0)</f>
        <v>0</v>
      </c>
      <c r="I247" s="24">
        <f>SUM('WATER_STEAM RATIO'!K247)</f>
        <v>6</v>
      </c>
      <c r="J247" s="30">
        <f>SUM('DATA B2'!I248-'DATA B2'!I247)+('DATA B2'!J248-'DATA B2'!J247)</f>
        <v>360</v>
      </c>
      <c r="K247" s="28">
        <f t="shared" ref="K247:K265" si="72">IFERROR(J247/(I247),0)</f>
        <v>60</v>
      </c>
      <c r="L247" s="28">
        <f t="shared" ref="L247:L257" si="73">IFERROR((I247/18)*100,0)</f>
        <v>33.333333333333329</v>
      </c>
      <c r="M247" s="89">
        <f>SUM('WATER_STEAM RATIO'!Q247)</f>
        <v>0</v>
      </c>
      <c r="N247" s="9">
        <f>SUM('DATA B3'!H248-'DATA B3'!H247)</f>
        <v>0</v>
      </c>
      <c r="O247" s="88">
        <f t="shared" ref="O247:O264" si="74">IFERROR(N247/(M247),0)</f>
        <v>0</v>
      </c>
      <c r="P247" s="15">
        <f t="shared" ref="P247:P269" si="75">IFERROR((M247/16)*100,0)</f>
        <v>0</v>
      </c>
    </row>
    <row r="248" spans="3:16">
      <c r="C248" s="292"/>
      <c r="D248" s="43">
        <v>0.41666666666666702</v>
      </c>
      <c r="E248" s="5">
        <f>SUM('WATER_STEAM RATIO'!E248)</f>
        <v>0</v>
      </c>
      <c r="F248" s="9">
        <f>SUM('DATA B1'!I249-'DATA B1'!I248)+('DATA B1'!J249-'DATA B1'!J248)</f>
        <v>0</v>
      </c>
      <c r="G248" s="28">
        <f t="shared" si="70"/>
        <v>0</v>
      </c>
      <c r="H248" s="28">
        <f t="shared" si="71"/>
        <v>0</v>
      </c>
      <c r="I248" s="24">
        <f>SUM('WATER_STEAM RATIO'!K248)</f>
        <v>7</v>
      </c>
      <c r="J248" s="30">
        <f>SUM('DATA B2'!I249-'DATA B2'!I248)+('DATA B2'!J249-'DATA B2'!J248)</f>
        <v>367</v>
      </c>
      <c r="K248" s="28">
        <f t="shared" si="72"/>
        <v>52.428571428571431</v>
      </c>
      <c r="L248" s="28">
        <f t="shared" si="73"/>
        <v>38.888888888888893</v>
      </c>
      <c r="M248" s="89">
        <f>SUM('WATER_STEAM RATIO'!Q248)</f>
        <v>0</v>
      </c>
      <c r="N248" s="9">
        <f>SUM('DATA B3'!H249-'DATA B3'!H248)</f>
        <v>0</v>
      </c>
      <c r="O248" s="88">
        <f t="shared" si="74"/>
        <v>0</v>
      </c>
      <c r="P248" s="15">
        <f t="shared" si="75"/>
        <v>0</v>
      </c>
    </row>
    <row r="249" spans="3:16">
      <c r="C249" s="292"/>
      <c r="D249" s="43">
        <v>0.45833333333333298</v>
      </c>
      <c r="E249" s="5">
        <f>SUM('WATER_STEAM RATIO'!E249)</f>
        <v>0</v>
      </c>
      <c r="F249" s="9">
        <f>SUM('DATA B1'!I250-'DATA B1'!I249)+('DATA B1'!J250-'DATA B1'!J249)</f>
        <v>0</v>
      </c>
      <c r="G249" s="28">
        <f t="shared" si="70"/>
        <v>0</v>
      </c>
      <c r="H249" s="28">
        <f t="shared" si="71"/>
        <v>0</v>
      </c>
      <c r="I249" s="24">
        <f>SUM('WATER_STEAM RATIO'!K249)</f>
        <v>7</v>
      </c>
      <c r="J249" s="30">
        <f>SUM('DATA B2'!I250-'DATA B2'!I249)+('DATA B2'!J250-'DATA B2'!J249)</f>
        <v>369</v>
      </c>
      <c r="K249" s="28">
        <f t="shared" si="72"/>
        <v>52.714285714285715</v>
      </c>
      <c r="L249" s="28">
        <f t="shared" si="73"/>
        <v>38.888888888888893</v>
      </c>
      <c r="M249" s="89">
        <f>SUM('WATER_STEAM RATIO'!Q249)</f>
        <v>0</v>
      </c>
      <c r="N249" s="9">
        <f>SUM('DATA B3'!H250-'DATA B3'!H249)</f>
        <v>0</v>
      </c>
      <c r="O249" s="88">
        <f t="shared" si="74"/>
        <v>0</v>
      </c>
      <c r="P249" s="15">
        <f t="shared" si="75"/>
        <v>0</v>
      </c>
    </row>
    <row r="250" spans="3:16">
      <c r="C250" s="292"/>
      <c r="D250" s="43">
        <v>0.5</v>
      </c>
      <c r="E250" s="5">
        <f>SUM('WATER_STEAM RATIO'!E250)</f>
        <v>0</v>
      </c>
      <c r="F250" s="9">
        <f>SUM('DATA B1'!I251-'DATA B1'!I250)+('DATA B1'!J251-'DATA B1'!J250)</f>
        <v>0</v>
      </c>
      <c r="G250" s="28">
        <f t="shared" si="70"/>
        <v>0</v>
      </c>
      <c r="H250" s="28">
        <f t="shared" si="71"/>
        <v>0</v>
      </c>
      <c r="I250" s="24">
        <f>SUM('WATER_STEAM RATIO'!K250)</f>
        <v>8</v>
      </c>
      <c r="J250" s="30">
        <f>SUM('DATA B2'!I251-'DATA B2'!I250)+('DATA B2'!J251-'DATA B2'!J250)</f>
        <v>521</v>
      </c>
      <c r="K250" s="28">
        <f t="shared" si="72"/>
        <v>65.125</v>
      </c>
      <c r="L250" s="28">
        <f t="shared" si="73"/>
        <v>44.444444444444443</v>
      </c>
      <c r="M250" s="89">
        <f>SUM('WATER_STEAM RATIO'!Q250)</f>
        <v>0</v>
      </c>
      <c r="N250" s="9">
        <f>SUM('DATA B3'!H251-'DATA B3'!H250)</f>
        <v>0</v>
      </c>
      <c r="O250" s="88">
        <f t="shared" si="74"/>
        <v>0</v>
      </c>
      <c r="P250" s="15">
        <f t="shared" si="75"/>
        <v>0</v>
      </c>
    </row>
    <row r="251" spans="3:16">
      <c r="C251" s="292"/>
      <c r="D251" s="43">
        <v>0.54166666666666696</v>
      </c>
      <c r="E251" s="5">
        <f>SUM('WATER_STEAM RATIO'!E251)</f>
        <v>0</v>
      </c>
      <c r="F251" s="9">
        <f>SUM('DATA B1'!I252-'DATA B1'!I251)+('DATA B1'!J252-'DATA B1'!J251)</f>
        <v>0</v>
      </c>
      <c r="G251" s="28">
        <f t="shared" si="70"/>
        <v>0</v>
      </c>
      <c r="H251" s="28">
        <f t="shared" si="71"/>
        <v>0</v>
      </c>
      <c r="I251" s="24">
        <f>SUM('WATER_STEAM RATIO'!K251)</f>
        <v>8</v>
      </c>
      <c r="J251" s="30">
        <f>SUM('DATA B2'!I252-'DATA B2'!I251)+('DATA B2'!J252-'DATA B2'!J251)</f>
        <v>520</v>
      </c>
      <c r="K251" s="28">
        <f t="shared" si="72"/>
        <v>65</v>
      </c>
      <c r="L251" s="28">
        <f t="shared" si="73"/>
        <v>44.444444444444443</v>
      </c>
      <c r="M251" s="89">
        <f>SUM('WATER_STEAM RATIO'!Q251)</f>
        <v>0</v>
      </c>
      <c r="N251" s="9">
        <f>SUM('DATA B3'!H252-'DATA B3'!H251)</f>
        <v>0</v>
      </c>
      <c r="O251" s="88">
        <f t="shared" si="74"/>
        <v>0</v>
      </c>
      <c r="P251" s="15">
        <f t="shared" si="75"/>
        <v>0</v>
      </c>
    </row>
    <row r="252" spans="3:16">
      <c r="C252" s="292"/>
      <c r="D252" s="43">
        <v>0.58333333333333304</v>
      </c>
      <c r="E252" s="5">
        <f>SUM('WATER_STEAM RATIO'!E252)</f>
        <v>0</v>
      </c>
      <c r="F252" s="9">
        <f>SUM('DATA B1'!I253-'DATA B1'!I252)+('DATA B1'!J253-'DATA B1'!J252)</f>
        <v>0</v>
      </c>
      <c r="G252" s="28">
        <f t="shared" si="70"/>
        <v>0</v>
      </c>
      <c r="H252" s="28">
        <f t="shared" si="71"/>
        <v>0</v>
      </c>
      <c r="I252" s="24">
        <f>SUM('WATER_STEAM RATIO'!K252)</f>
        <v>8</v>
      </c>
      <c r="J252" s="30">
        <f>SUM('DATA B2'!I253-'DATA B2'!I252)+('DATA B2'!J253-'DATA B2'!J252)</f>
        <v>522</v>
      </c>
      <c r="K252" s="28">
        <f t="shared" si="72"/>
        <v>65.25</v>
      </c>
      <c r="L252" s="28">
        <f t="shared" si="73"/>
        <v>44.444444444444443</v>
      </c>
      <c r="M252" s="89">
        <f>SUM('WATER_STEAM RATIO'!Q252)</f>
        <v>0</v>
      </c>
      <c r="N252" s="9">
        <f>SUM('DATA B3'!H253-'DATA B3'!H252)</f>
        <v>0</v>
      </c>
      <c r="O252" s="88">
        <f t="shared" si="74"/>
        <v>0</v>
      </c>
      <c r="P252" s="15">
        <f t="shared" si="75"/>
        <v>0</v>
      </c>
    </row>
    <row r="253" spans="3:16">
      <c r="C253" s="292"/>
      <c r="D253" s="43">
        <v>0.625</v>
      </c>
      <c r="E253" s="5">
        <f>SUM('WATER_STEAM RATIO'!E253)</f>
        <v>0</v>
      </c>
      <c r="F253" s="9">
        <f>SUM('DATA B1'!I254-'DATA B1'!I253)+('DATA B1'!J254-'DATA B1'!J253)</f>
        <v>0</v>
      </c>
      <c r="G253" s="28">
        <f t="shared" si="70"/>
        <v>0</v>
      </c>
      <c r="H253" s="28">
        <f t="shared" si="71"/>
        <v>0</v>
      </c>
      <c r="I253" s="24">
        <f>SUM('WATER_STEAM RATIO'!K253)</f>
        <v>8</v>
      </c>
      <c r="J253" s="30">
        <f>SUM('DATA B2'!I254-'DATA B2'!I253)+('DATA B2'!J254-'DATA B2'!J253)</f>
        <v>523</v>
      </c>
      <c r="K253" s="28">
        <f t="shared" si="72"/>
        <v>65.375</v>
      </c>
      <c r="L253" s="28">
        <f t="shared" si="73"/>
        <v>44.444444444444443</v>
      </c>
      <c r="M253" s="89">
        <f>SUM('WATER_STEAM RATIO'!Q253)</f>
        <v>0</v>
      </c>
      <c r="N253" s="9">
        <f>SUM('DATA B3'!H254-'DATA B3'!H253)</f>
        <v>0</v>
      </c>
      <c r="O253" s="88">
        <f t="shared" si="74"/>
        <v>0</v>
      </c>
      <c r="P253" s="15">
        <f t="shared" si="75"/>
        <v>0</v>
      </c>
    </row>
    <row r="254" spans="3:16">
      <c r="C254" s="292"/>
      <c r="D254" s="43">
        <v>0.66666666666666596</v>
      </c>
      <c r="E254" s="5">
        <f>SUM('WATER_STEAM RATIO'!E254)</f>
        <v>0</v>
      </c>
      <c r="F254" s="9">
        <f>SUM('DATA B1'!I255-'DATA B1'!I254)+('DATA B1'!J255-'DATA B1'!J254)</f>
        <v>0</v>
      </c>
      <c r="G254" s="28">
        <f t="shared" si="70"/>
        <v>0</v>
      </c>
      <c r="H254" s="28">
        <f t="shared" si="71"/>
        <v>0</v>
      </c>
      <c r="I254" s="24">
        <f>SUM('WATER_STEAM RATIO'!K254)</f>
        <v>8</v>
      </c>
      <c r="J254" s="30">
        <f>SUM('DATA B2'!I255-'DATA B2'!I254)+('DATA B2'!J255-'DATA B2'!J254)</f>
        <v>525</v>
      </c>
      <c r="K254" s="28">
        <f t="shared" si="72"/>
        <v>65.625</v>
      </c>
      <c r="L254" s="28">
        <f t="shared" si="73"/>
        <v>44.444444444444443</v>
      </c>
      <c r="M254" s="89">
        <f>SUM('WATER_STEAM RATIO'!Q254)</f>
        <v>0</v>
      </c>
      <c r="N254" s="9">
        <f>SUM('DATA B3'!H255-'DATA B3'!H254)</f>
        <v>0</v>
      </c>
      <c r="O254" s="88">
        <f t="shared" si="74"/>
        <v>0</v>
      </c>
      <c r="P254" s="15">
        <f t="shared" si="75"/>
        <v>0</v>
      </c>
    </row>
    <row r="255" spans="3:16">
      <c r="C255" s="292"/>
      <c r="D255" s="43">
        <v>0.70833333333333304</v>
      </c>
      <c r="E255" s="5">
        <f>SUM('WATER_STEAM RATIO'!E255)</f>
        <v>0</v>
      </c>
      <c r="F255" s="9">
        <f>SUM('DATA B1'!I256-'DATA B1'!I255)+('DATA B1'!J256-'DATA B1'!J255)</f>
        <v>0</v>
      </c>
      <c r="G255" s="28">
        <f t="shared" si="70"/>
        <v>0</v>
      </c>
      <c r="H255" s="28">
        <f t="shared" si="71"/>
        <v>0</v>
      </c>
      <c r="I255" s="24">
        <f>SUM('WATER_STEAM RATIO'!K255)</f>
        <v>9</v>
      </c>
      <c r="J255" s="30">
        <f>SUM('DATA B2'!I256-'DATA B2'!I255)+('DATA B2'!J256-'DATA B2'!J255)</f>
        <v>543</v>
      </c>
      <c r="K255" s="28">
        <f t="shared" si="72"/>
        <v>60.333333333333336</v>
      </c>
      <c r="L255" s="28">
        <f t="shared" si="73"/>
        <v>50</v>
      </c>
      <c r="M255" s="89">
        <f>SUM('WATER_STEAM RATIO'!Q255)</f>
        <v>0</v>
      </c>
      <c r="N255" s="9">
        <f>SUM('DATA B3'!H256-'DATA B3'!H255)</f>
        <v>0</v>
      </c>
      <c r="O255" s="88">
        <f t="shared" si="74"/>
        <v>0</v>
      </c>
      <c r="P255" s="15">
        <f t="shared" si="75"/>
        <v>0</v>
      </c>
    </row>
    <row r="256" spans="3:16">
      <c r="C256" s="292"/>
      <c r="D256" s="43">
        <v>0.75</v>
      </c>
      <c r="E256" s="5">
        <f>SUM('WATER_STEAM RATIO'!E256)</f>
        <v>0</v>
      </c>
      <c r="F256" s="9">
        <f>SUM('DATA B1'!I257-'DATA B1'!I256)+('DATA B1'!J257-'DATA B1'!J256)</f>
        <v>0</v>
      </c>
      <c r="G256" s="28">
        <f t="shared" si="70"/>
        <v>0</v>
      </c>
      <c r="H256" s="28">
        <f t="shared" si="71"/>
        <v>0</v>
      </c>
      <c r="I256" s="24">
        <f>SUM('WATER_STEAM RATIO'!K256)</f>
        <v>9</v>
      </c>
      <c r="J256" s="30">
        <f>SUM('DATA B2'!I257-'DATA B2'!I256)+('DATA B2'!J257-'DATA B2'!J256)</f>
        <v>540</v>
      </c>
      <c r="K256" s="28">
        <f t="shared" si="72"/>
        <v>60</v>
      </c>
      <c r="L256" s="28">
        <f t="shared" si="73"/>
        <v>50</v>
      </c>
      <c r="M256" s="89">
        <f>SUM('WATER_STEAM RATIO'!Q256)</f>
        <v>0</v>
      </c>
      <c r="N256" s="9">
        <f>SUM('DATA B3'!H257-'DATA B3'!H256)</f>
        <v>0</v>
      </c>
      <c r="O256" s="88">
        <f t="shared" si="74"/>
        <v>0</v>
      </c>
      <c r="P256" s="15">
        <f t="shared" si="75"/>
        <v>0</v>
      </c>
    </row>
    <row r="257" spans="3:16">
      <c r="C257" s="292"/>
      <c r="D257" s="43">
        <v>0.79166666666666596</v>
      </c>
      <c r="E257" s="5">
        <f>SUM('WATER_STEAM RATIO'!E257)</f>
        <v>0</v>
      </c>
      <c r="F257" s="9">
        <f>SUM('DATA B1'!I258-'DATA B1'!I257)+('DATA B1'!J258-'DATA B1'!J257)</f>
        <v>0</v>
      </c>
      <c r="G257" s="28">
        <f t="shared" si="70"/>
        <v>0</v>
      </c>
      <c r="H257" s="28">
        <f t="shared" si="71"/>
        <v>0</v>
      </c>
      <c r="I257" s="24">
        <f>SUM('WATER_STEAM RATIO'!K257)</f>
        <v>10</v>
      </c>
      <c r="J257" s="30">
        <f>SUM('DATA B2'!I258-'DATA B2'!I257)+('DATA B2'!J258-'DATA B2'!J257)</f>
        <v>607</v>
      </c>
      <c r="K257" s="28">
        <f t="shared" si="72"/>
        <v>60.7</v>
      </c>
      <c r="L257" s="28">
        <f t="shared" si="73"/>
        <v>55.555555555555557</v>
      </c>
      <c r="M257" s="89">
        <f>SUM('WATER_STEAM RATIO'!Q257)</f>
        <v>0</v>
      </c>
      <c r="N257" s="9">
        <f>SUM('DATA B3'!H258-'DATA B3'!H257)</f>
        <v>0</v>
      </c>
      <c r="O257" s="88">
        <f t="shared" si="74"/>
        <v>0</v>
      </c>
      <c r="P257" s="15">
        <f t="shared" si="75"/>
        <v>0</v>
      </c>
    </row>
    <row r="258" spans="3:16">
      <c r="C258" s="292"/>
      <c r="D258" s="43">
        <v>0.83333333333333304</v>
      </c>
      <c r="E258" s="5">
        <f>SUM('WATER_STEAM RATIO'!E258)</f>
        <v>0</v>
      </c>
      <c r="F258" s="9">
        <f>SUM('DATA B1'!I259-'DATA B1'!I258)+('DATA B1'!J259-'DATA B1'!J258)</f>
        <v>0</v>
      </c>
      <c r="G258" s="28">
        <f t="shared" si="70"/>
        <v>0</v>
      </c>
      <c r="H258" s="28">
        <f t="shared" si="71"/>
        <v>0</v>
      </c>
      <c r="I258" s="24">
        <f>SUM('WATER_STEAM RATIO'!K258)</f>
        <v>9</v>
      </c>
      <c r="J258" s="30">
        <f>SUM('DATA B2'!I259-'DATA B2'!I258)+('DATA B2'!J259-'DATA B2'!J258)</f>
        <v>618</v>
      </c>
      <c r="K258" s="28">
        <f t="shared" si="72"/>
        <v>68.666666666666671</v>
      </c>
      <c r="L258" s="28">
        <f>IFERROR((I258/18)*100,0)</f>
        <v>50</v>
      </c>
      <c r="M258" s="89">
        <f>SUM('WATER_STEAM RATIO'!Q258)</f>
        <v>0</v>
      </c>
      <c r="N258" s="9">
        <f>SUM('DATA B3'!H259-'DATA B3'!H258)</f>
        <v>0</v>
      </c>
      <c r="O258" s="88">
        <f t="shared" si="74"/>
        <v>0</v>
      </c>
      <c r="P258" s="15">
        <f t="shared" si="75"/>
        <v>0</v>
      </c>
    </row>
    <row r="259" spans="3:16">
      <c r="C259" s="292"/>
      <c r="D259" s="43">
        <v>0.875</v>
      </c>
      <c r="E259" s="5">
        <f>SUM('WATER_STEAM RATIO'!E259)</f>
        <v>0</v>
      </c>
      <c r="F259" s="9">
        <f>SUM('DATA B1'!I260-'DATA B1'!I259)+('DATA B1'!J260-'DATA B1'!J259)</f>
        <v>0</v>
      </c>
      <c r="G259" s="28">
        <f t="shared" si="70"/>
        <v>0</v>
      </c>
      <c r="H259" s="28">
        <f t="shared" si="71"/>
        <v>0</v>
      </c>
      <c r="I259" s="24">
        <f>SUM('WATER_STEAM RATIO'!K259)</f>
        <v>8</v>
      </c>
      <c r="J259" s="30">
        <f>SUM('DATA B2'!I260-'DATA B2'!I259)+('DATA B2'!J260-'DATA B2'!J259)</f>
        <v>508</v>
      </c>
      <c r="K259" s="28">
        <f t="shared" si="72"/>
        <v>63.5</v>
      </c>
      <c r="L259" s="28">
        <f t="shared" ref="L259:L269" si="76">IFERROR((I259/18)*100,0)</f>
        <v>44.444444444444443</v>
      </c>
      <c r="M259" s="89">
        <f>SUM('WATER_STEAM RATIO'!Q259)</f>
        <v>0</v>
      </c>
      <c r="N259" s="9">
        <f>SUM('DATA B3'!H260-'DATA B3'!H259)</f>
        <v>0</v>
      </c>
      <c r="O259" s="88">
        <f t="shared" si="74"/>
        <v>0</v>
      </c>
      <c r="P259" s="15">
        <f t="shared" si="75"/>
        <v>0</v>
      </c>
    </row>
    <row r="260" spans="3:16">
      <c r="C260" s="292"/>
      <c r="D260" s="43">
        <v>0.91666666666666596</v>
      </c>
      <c r="E260" s="5">
        <f>SUM('WATER_STEAM RATIO'!E260)</f>
        <v>0</v>
      </c>
      <c r="F260" s="9">
        <f>SUM('DATA B1'!I261-'DATA B1'!I260)+('DATA B1'!J261-'DATA B1'!J260)</f>
        <v>0</v>
      </c>
      <c r="G260" s="28">
        <f t="shared" si="70"/>
        <v>0</v>
      </c>
      <c r="H260" s="28">
        <f t="shared" si="71"/>
        <v>0</v>
      </c>
      <c r="I260" s="24">
        <f>SUM('WATER_STEAM RATIO'!K260)</f>
        <v>8</v>
      </c>
      <c r="J260" s="30">
        <f>SUM('DATA B2'!I261-'DATA B2'!I260)+('DATA B2'!J261-'DATA B2'!J260)</f>
        <v>503</v>
      </c>
      <c r="K260" s="28">
        <f t="shared" si="72"/>
        <v>62.875</v>
      </c>
      <c r="L260" s="28">
        <f t="shared" si="76"/>
        <v>44.444444444444443</v>
      </c>
      <c r="M260" s="89">
        <f>SUM('WATER_STEAM RATIO'!Q260)</f>
        <v>0</v>
      </c>
      <c r="N260" s="9">
        <f>SUM('DATA B3'!H261-'DATA B3'!H260)</f>
        <v>0</v>
      </c>
      <c r="O260" s="88">
        <f t="shared" si="74"/>
        <v>0</v>
      </c>
      <c r="P260" s="15">
        <f>IFERROR((M260/16)*100,0)</f>
        <v>0</v>
      </c>
    </row>
    <row r="261" spans="3:16">
      <c r="C261" s="292"/>
      <c r="D261" s="43">
        <v>0.95833333333333304</v>
      </c>
      <c r="E261" s="5">
        <f>SUM('WATER_STEAM RATIO'!E261)</f>
        <v>0</v>
      </c>
      <c r="F261" s="9">
        <f>SUM('DATA B1'!I262-'DATA B1'!I261)+('DATA B1'!J262-'DATA B1'!J261)</f>
        <v>0</v>
      </c>
      <c r="G261" s="28">
        <f t="shared" si="70"/>
        <v>0</v>
      </c>
      <c r="H261" s="28">
        <f t="shared" si="71"/>
        <v>0</v>
      </c>
      <c r="I261" s="24">
        <f>SUM('WATER_STEAM RATIO'!K261)</f>
        <v>8</v>
      </c>
      <c r="J261" s="30">
        <f>SUM('DATA B2'!I262-'DATA B2'!I261)+('DATA B2'!J262-'DATA B2'!J261)</f>
        <v>515</v>
      </c>
      <c r="K261" s="28">
        <f t="shared" si="72"/>
        <v>64.375</v>
      </c>
      <c r="L261" s="28">
        <f t="shared" si="76"/>
        <v>44.444444444444443</v>
      </c>
      <c r="M261" s="89">
        <f>SUM('WATER_STEAM RATIO'!Q261)</f>
        <v>0</v>
      </c>
      <c r="N261" s="9">
        <f>SUM('DATA B3'!H262-'DATA B3'!H261)</f>
        <v>0</v>
      </c>
      <c r="O261" s="88">
        <f t="shared" si="74"/>
        <v>0</v>
      </c>
      <c r="P261" s="15">
        <f t="shared" si="75"/>
        <v>0</v>
      </c>
    </row>
    <row r="262" spans="3:16">
      <c r="C262" s="292"/>
      <c r="D262" s="43">
        <v>1</v>
      </c>
      <c r="E262" s="5">
        <f>SUM('WATER_STEAM RATIO'!E262)</f>
        <v>0</v>
      </c>
      <c r="F262" s="9">
        <f>SUM('DATA B1'!I263-'DATA B1'!I262)+('DATA B1'!J263-'DATA B1'!J262)</f>
        <v>0</v>
      </c>
      <c r="G262" s="28">
        <f t="shared" si="70"/>
        <v>0</v>
      </c>
      <c r="H262" s="28">
        <f t="shared" si="71"/>
        <v>0</v>
      </c>
      <c r="I262" s="24">
        <f>SUM('WATER_STEAM RATIO'!K262)</f>
        <v>7</v>
      </c>
      <c r="J262" s="30">
        <f>SUM('DATA B2'!I263-'DATA B2'!I262)+('DATA B2'!J263-'DATA B2'!J262)</f>
        <v>499</v>
      </c>
      <c r="K262" s="28">
        <f t="shared" si="72"/>
        <v>71.285714285714292</v>
      </c>
      <c r="L262" s="28">
        <f t="shared" si="76"/>
        <v>38.888888888888893</v>
      </c>
      <c r="M262" s="89">
        <f>SUM('WATER_STEAM RATIO'!Q262)</f>
        <v>0</v>
      </c>
      <c r="N262" s="9">
        <f>SUM('DATA B3'!H263-'DATA B3'!H262)</f>
        <v>0</v>
      </c>
      <c r="O262" s="88">
        <f t="shared" si="74"/>
        <v>0</v>
      </c>
      <c r="P262" s="15">
        <f t="shared" si="75"/>
        <v>0</v>
      </c>
    </row>
    <row r="263" spans="3:16">
      <c r="C263" s="292"/>
      <c r="D263" s="43">
        <v>1.0416666666666701</v>
      </c>
      <c r="E263" s="5">
        <f>SUM('WATER_STEAM RATIO'!E263)</f>
        <v>0</v>
      </c>
      <c r="F263" s="9">
        <f>SUM('DATA B1'!I264-'DATA B1'!I263)+('DATA B1'!J264-'DATA B1'!J263)</f>
        <v>0</v>
      </c>
      <c r="G263" s="28">
        <f t="shared" si="70"/>
        <v>0</v>
      </c>
      <c r="H263" s="28">
        <f t="shared" si="71"/>
        <v>0</v>
      </c>
      <c r="I263" s="24">
        <f>SUM('WATER_STEAM RATIO'!K263)</f>
        <v>7</v>
      </c>
      <c r="J263" s="30">
        <f>SUM('DATA B2'!I264-'DATA B2'!I263)+('DATA B2'!J264-'DATA B2'!J263)</f>
        <v>498</v>
      </c>
      <c r="K263" s="28">
        <f t="shared" si="72"/>
        <v>71.142857142857139</v>
      </c>
      <c r="L263" s="28">
        <f t="shared" si="76"/>
        <v>38.888888888888893</v>
      </c>
      <c r="M263" s="89">
        <f>SUM('WATER_STEAM RATIO'!Q263)</f>
        <v>0</v>
      </c>
      <c r="N263" s="9">
        <f>SUM('DATA B3'!H264-'DATA B3'!H263)</f>
        <v>0</v>
      </c>
      <c r="O263" s="88">
        <f t="shared" si="74"/>
        <v>0</v>
      </c>
      <c r="P263" s="15">
        <f t="shared" si="75"/>
        <v>0</v>
      </c>
    </row>
    <row r="264" spans="3:16">
      <c r="C264" s="292"/>
      <c r="D264" s="43">
        <v>1.0833333333333399</v>
      </c>
      <c r="E264" s="5">
        <f>SUM('WATER_STEAM RATIO'!E264)</f>
        <v>0</v>
      </c>
      <c r="F264" s="9">
        <f>SUM('DATA B1'!I265-'DATA B1'!I264)+('DATA B1'!J265-'DATA B1'!J264)</f>
        <v>0</v>
      </c>
      <c r="G264" s="28">
        <f t="shared" si="70"/>
        <v>0</v>
      </c>
      <c r="H264" s="28">
        <f t="shared" si="71"/>
        <v>0</v>
      </c>
      <c r="I264" s="24">
        <f>SUM('WATER_STEAM RATIO'!K264)</f>
        <v>7</v>
      </c>
      <c r="J264" s="30">
        <f>SUM('DATA B2'!I265-'DATA B2'!I264)+('DATA B2'!J265-'DATA B2'!J264)</f>
        <v>491</v>
      </c>
      <c r="K264" s="28">
        <f t="shared" si="72"/>
        <v>70.142857142857139</v>
      </c>
      <c r="L264" s="28">
        <f t="shared" si="76"/>
        <v>38.888888888888893</v>
      </c>
      <c r="M264" s="89">
        <f>SUM('WATER_STEAM RATIO'!Q264)</f>
        <v>0</v>
      </c>
      <c r="N264" s="9">
        <f>SUM('DATA B3'!H265-'DATA B3'!H264)</f>
        <v>0</v>
      </c>
      <c r="O264" s="88">
        <f t="shared" si="74"/>
        <v>0</v>
      </c>
      <c r="P264" s="15">
        <f t="shared" si="75"/>
        <v>0</v>
      </c>
    </row>
    <row r="265" spans="3:16">
      <c r="C265" s="292"/>
      <c r="D265" s="43">
        <v>1.125</v>
      </c>
      <c r="E265" s="5">
        <f>SUM('WATER_STEAM RATIO'!E265)</f>
        <v>0</v>
      </c>
      <c r="F265" s="9">
        <f>SUM('DATA B1'!I266-'DATA B1'!I265)+('DATA B1'!J266-'DATA B1'!J265)</f>
        <v>0</v>
      </c>
      <c r="G265" s="28">
        <f t="shared" si="70"/>
        <v>0</v>
      </c>
      <c r="H265" s="28">
        <f t="shared" si="71"/>
        <v>0</v>
      </c>
      <c r="I265" s="24">
        <f>SUM('WATER_STEAM RATIO'!K265)</f>
        <v>8</v>
      </c>
      <c r="J265" s="30">
        <f>SUM('DATA B2'!I266-'DATA B2'!I265)+('DATA B2'!J266-'DATA B2'!J265)</f>
        <v>527</v>
      </c>
      <c r="K265" s="28">
        <f t="shared" si="72"/>
        <v>65.875</v>
      </c>
      <c r="L265" s="28">
        <f t="shared" si="76"/>
        <v>44.444444444444443</v>
      </c>
      <c r="M265" s="89">
        <f>SUM('WATER_STEAM RATIO'!Q265)</f>
        <v>0</v>
      </c>
      <c r="N265" s="9">
        <f>SUM('DATA B3'!H266-'DATA B3'!H265)</f>
        <v>0</v>
      </c>
      <c r="O265" s="88">
        <f t="shared" ref="O265:O269" si="77">IFERROR(N265/(M265),0)</f>
        <v>0</v>
      </c>
      <c r="P265" s="15">
        <f t="shared" si="75"/>
        <v>0</v>
      </c>
    </row>
    <row r="266" spans="3:16">
      <c r="C266" s="292"/>
      <c r="D266" s="43">
        <v>1.1666666666666701</v>
      </c>
      <c r="E266" s="5">
        <f>SUM('WATER_STEAM RATIO'!E266)</f>
        <v>0</v>
      </c>
      <c r="F266" s="9">
        <f>SUM('DATA B1'!I267-'DATA B1'!I266)+('DATA B1'!J267-'DATA B1'!J266)</f>
        <v>0</v>
      </c>
      <c r="G266" s="28">
        <f t="shared" si="70"/>
        <v>0</v>
      </c>
      <c r="H266" s="28">
        <f t="shared" si="71"/>
        <v>0</v>
      </c>
      <c r="I266" s="24">
        <f>SUM('WATER_STEAM RATIO'!K266)</f>
        <v>9</v>
      </c>
      <c r="J266" s="30">
        <f>SUM('DATA B2'!I267-'DATA B2'!I266)+('DATA B2'!J267-'DATA B2'!J266)</f>
        <v>509</v>
      </c>
      <c r="K266" s="28">
        <f>IFERROR(J266/(I266),0)</f>
        <v>56.555555555555557</v>
      </c>
      <c r="L266" s="28">
        <f t="shared" si="76"/>
        <v>50</v>
      </c>
      <c r="M266" s="89">
        <f>SUM('WATER_STEAM RATIO'!Q266)</f>
        <v>0</v>
      </c>
      <c r="N266" s="9">
        <f>SUM('DATA B3'!H267-'DATA B3'!H266)</f>
        <v>0</v>
      </c>
      <c r="O266" s="88">
        <f t="shared" si="77"/>
        <v>0</v>
      </c>
      <c r="P266" s="15">
        <f t="shared" si="75"/>
        <v>0</v>
      </c>
    </row>
    <row r="267" spans="3:16">
      <c r="C267" s="292"/>
      <c r="D267" s="43">
        <v>1.2083333333333399</v>
      </c>
      <c r="E267" s="5">
        <f>SUM('WATER_STEAM RATIO'!E267)</f>
        <v>0</v>
      </c>
      <c r="F267" s="9">
        <f>SUM('DATA B1'!I268-'DATA B1'!I267)+('DATA B1'!J268-'DATA B1'!J267)</f>
        <v>0</v>
      </c>
      <c r="G267" s="28">
        <f t="shared" si="70"/>
        <v>0</v>
      </c>
      <c r="H267" s="28">
        <f t="shared" si="71"/>
        <v>0</v>
      </c>
      <c r="I267" s="24">
        <f>SUM('WATER_STEAM RATIO'!K267)</f>
        <v>10</v>
      </c>
      <c r="J267" s="30">
        <f>SUM('DATA B2'!I268-'DATA B2'!I267)+('DATA B2'!J268-'DATA B2'!J267)</f>
        <v>536</v>
      </c>
      <c r="K267" s="28">
        <f>IFERROR(J267/(I267),0)</f>
        <v>53.6</v>
      </c>
      <c r="L267" s="28">
        <f t="shared" si="76"/>
        <v>55.555555555555557</v>
      </c>
      <c r="M267" s="89">
        <f>SUM('WATER_STEAM RATIO'!Q267)</f>
        <v>0</v>
      </c>
      <c r="N267" s="9">
        <f>SUM('DATA B3'!H268-'DATA B3'!H267)</f>
        <v>0</v>
      </c>
      <c r="O267" s="88">
        <f t="shared" si="77"/>
        <v>0</v>
      </c>
      <c r="P267" s="15">
        <f t="shared" si="75"/>
        <v>0</v>
      </c>
    </row>
    <row r="268" spans="3:16">
      <c r="C268" s="292"/>
      <c r="D268" s="43">
        <v>1.25</v>
      </c>
      <c r="E268" s="5">
        <f>SUM('WATER_STEAM RATIO'!E268)</f>
        <v>0</v>
      </c>
      <c r="F268" s="9">
        <f>SUM('DATA B1'!I269-'DATA B1'!I268)+('DATA B1'!J269-'DATA B1'!J268)</f>
        <v>0</v>
      </c>
      <c r="G268" s="28">
        <f t="shared" si="70"/>
        <v>0</v>
      </c>
      <c r="H268" s="28">
        <f t="shared" si="71"/>
        <v>0</v>
      </c>
      <c r="I268" s="24">
        <f>SUM('WATER_STEAM RATIO'!K268)</f>
        <v>10</v>
      </c>
      <c r="J268" s="30">
        <f>SUM('DATA B2'!I269-'DATA B2'!I268)+('DATA B2'!J269-'DATA B2'!J268)</f>
        <v>528</v>
      </c>
      <c r="K268" s="28">
        <f>IFERROR(J268/(I268),0)</f>
        <v>52.8</v>
      </c>
      <c r="L268" s="28">
        <f t="shared" si="76"/>
        <v>55.555555555555557</v>
      </c>
      <c r="M268" s="89">
        <f>SUM('WATER_STEAM RATIO'!Q268)</f>
        <v>0</v>
      </c>
      <c r="N268" s="9">
        <f>SUM('DATA B3'!H269-'DATA B3'!H268)</f>
        <v>0</v>
      </c>
      <c r="O268" s="88">
        <f t="shared" si="77"/>
        <v>0</v>
      </c>
      <c r="P268" s="15">
        <f t="shared" si="75"/>
        <v>0</v>
      </c>
    </row>
    <row r="269" spans="3:16">
      <c r="C269" s="292"/>
      <c r="D269" s="43">
        <v>1.2916666666666701</v>
      </c>
      <c r="E269" s="5">
        <f>SUM('WATER_STEAM RATIO'!E269)</f>
        <v>0</v>
      </c>
      <c r="F269" s="9">
        <f>SUM('DATA B1'!I270-'DATA B1'!I269)+('DATA B1'!J270-'DATA B1'!J269)</f>
        <v>0</v>
      </c>
      <c r="G269" s="28">
        <f t="shared" si="70"/>
        <v>0</v>
      </c>
      <c r="H269" s="28">
        <f t="shared" si="71"/>
        <v>0</v>
      </c>
      <c r="I269" s="24">
        <f>SUM('WATER_STEAM RATIO'!K269)</f>
        <v>10</v>
      </c>
      <c r="J269" s="30">
        <f>SUM('DATA B2'!I270-'DATA B2'!I269)+('DATA B2'!J270-'DATA B2'!J269)</f>
        <v>543</v>
      </c>
      <c r="K269" s="28">
        <f>IFERROR(J269/(I269),0)</f>
        <v>54.3</v>
      </c>
      <c r="L269" s="28">
        <f t="shared" si="76"/>
        <v>55.555555555555557</v>
      </c>
      <c r="M269" s="89">
        <f>SUM('WATER_STEAM RATIO'!Q269)</f>
        <v>0</v>
      </c>
      <c r="N269" s="9">
        <f>SUM('DATA B3'!H270-'DATA B3'!H269)</f>
        <v>0</v>
      </c>
      <c r="O269" s="88">
        <f t="shared" si="77"/>
        <v>0</v>
      </c>
      <c r="P269" s="15">
        <f t="shared" si="75"/>
        <v>0</v>
      </c>
    </row>
    <row r="270" spans="3:16">
      <c r="C270" s="293"/>
      <c r="D270" s="258"/>
      <c r="E270" s="91">
        <f>SUMIF(E245:E269,"&gt;=0",E245:E269)</f>
        <v>0</v>
      </c>
      <c r="F270" s="91">
        <f>SUMIF(F245:F269,"&gt;=0",F245:F269)</f>
        <v>0</v>
      </c>
      <c r="G270" s="54">
        <f>IFERROR(F270/E270,0)</f>
        <v>0</v>
      </c>
      <c r="H270" s="54">
        <f>IFERROR(AVERAGE(H246:H269),0)</f>
        <v>0</v>
      </c>
      <c r="I270" s="91">
        <f>SUMIF(I245:I269,"&gt;=0",I245:I269)</f>
        <v>202</v>
      </c>
      <c r="J270" s="91">
        <f>SUMIF(J245:J269,"&gt;=0",J245:J269)</f>
        <v>12133</v>
      </c>
      <c r="K270" s="54">
        <f>IFERROR(J270/(I270),0)</f>
        <v>60.064356435643568</v>
      </c>
      <c r="L270" s="54">
        <f>IFERROR(AVERAGE(L246:L269),0)</f>
        <v>44.212962962962969</v>
      </c>
      <c r="M270" s="91">
        <f>SUMIF(M245:M269,"&gt;=0",M245:M269)</f>
        <v>0</v>
      </c>
      <c r="N270" s="91">
        <f>SUMIF(N245:N269,"&gt;=0",N245:N269)</f>
        <v>0</v>
      </c>
      <c r="O270" s="239">
        <f>IFERROR(N270/(M270),0)</f>
        <v>0</v>
      </c>
      <c r="P270" s="215">
        <f>IFERROR(AVERAGE(P246:P269),0)</f>
        <v>0</v>
      </c>
    </row>
    <row r="271" spans="3:16" ht="15" customHeight="1">
      <c r="C271" s="291">
        <f>SUM('WATER_STEAM RATIO'!B271:B296)</f>
        <v>46033</v>
      </c>
      <c r="D271" s="43">
        <v>0.29166666666666669</v>
      </c>
      <c r="E271" s="5">
        <f>SUM('WATER_STEAM RATIO'!E271)</f>
        <v>0</v>
      </c>
      <c r="F271" s="9"/>
      <c r="G271" s="28"/>
      <c r="H271" s="28"/>
      <c r="I271" s="24">
        <f>SUM('WATER_STEAM RATIO'!K271)</f>
        <v>10</v>
      </c>
      <c r="J271" s="30"/>
      <c r="K271" s="28"/>
      <c r="L271" s="28"/>
      <c r="M271" s="89">
        <f>SUM('WATER_STEAM RATIO'!Q271)</f>
        <v>0</v>
      </c>
      <c r="N271" s="9"/>
      <c r="O271" s="88"/>
      <c r="P271" s="15"/>
    </row>
    <row r="272" spans="3:16">
      <c r="C272" s="292"/>
      <c r="D272" s="43">
        <v>0.33333333333333298</v>
      </c>
      <c r="E272" s="5">
        <f>SUM('WATER_STEAM RATIO'!E272)</f>
        <v>0</v>
      </c>
      <c r="F272" s="9">
        <f>SUM('DATA B1'!I273-'DATA B1'!I272)+('DATA B1'!J273-'DATA B1'!J272)</f>
        <v>0</v>
      </c>
      <c r="G272" s="28">
        <f>IFERROR(F272/(E272),0)</f>
        <v>0</v>
      </c>
      <c r="H272" s="28">
        <f>IFERROR((E272/18)*100,0)</f>
        <v>0</v>
      </c>
      <c r="I272" s="24">
        <f>SUM('WATER_STEAM RATIO'!K272)</f>
        <v>11</v>
      </c>
      <c r="J272" s="30">
        <f>SUM('DATA B2'!I273-'DATA B2'!I272)+('DATA B2'!J273-'DATA B2'!J272)</f>
        <v>640</v>
      </c>
      <c r="K272" s="28">
        <f>IFERROR(J272/(I272),0)</f>
        <v>58.18181818181818</v>
      </c>
      <c r="L272" s="28">
        <f>IFERROR((I272/18)*100,0)</f>
        <v>61.111111111111114</v>
      </c>
      <c r="M272" s="89">
        <f>SUM('WATER_STEAM RATIO'!Q272)</f>
        <v>0</v>
      </c>
      <c r="N272" s="9">
        <f>SUM('DATA B3'!H273-'DATA B3'!H272)</f>
        <v>0</v>
      </c>
      <c r="O272" s="88">
        <f>IFERROR(N272/(M272),0)</f>
        <v>0</v>
      </c>
      <c r="P272" s="15">
        <f>IFERROR((M272/16)*100,0)</f>
        <v>0</v>
      </c>
    </row>
    <row r="273" spans="3:16">
      <c r="C273" s="292"/>
      <c r="D273" s="43">
        <v>0.375</v>
      </c>
      <c r="E273" s="5">
        <f>SUM('WATER_STEAM RATIO'!E273)</f>
        <v>0</v>
      </c>
      <c r="F273" s="9">
        <f>SUM('DATA B1'!I274-'DATA B1'!I273)+('DATA B1'!J274-'DATA B1'!J273)</f>
        <v>0</v>
      </c>
      <c r="G273" s="28">
        <f t="shared" ref="G273:G295" si="78">IFERROR(F273/(E273),0)</f>
        <v>0</v>
      </c>
      <c r="H273" s="28">
        <f t="shared" ref="H273:H295" si="79">IFERROR((E273/18)*100,0)</f>
        <v>0</v>
      </c>
      <c r="I273" s="24">
        <f>SUM('WATER_STEAM RATIO'!K273)</f>
        <v>8</v>
      </c>
      <c r="J273" s="30">
        <f>SUM('DATA B2'!I274-'DATA B2'!I273)+('DATA B2'!J274-'DATA B2'!J273)</f>
        <v>450</v>
      </c>
      <c r="K273" s="28">
        <f t="shared" ref="K273:K291" si="80">IFERROR(J273/(I273),0)</f>
        <v>56.25</v>
      </c>
      <c r="L273" s="28">
        <f t="shared" ref="L273:L283" si="81">IFERROR((I273/18)*100,0)</f>
        <v>44.444444444444443</v>
      </c>
      <c r="M273" s="89">
        <f>SUM('WATER_STEAM RATIO'!Q273)</f>
        <v>0</v>
      </c>
      <c r="N273" s="9">
        <f>SUM('DATA B3'!H274-'DATA B3'!H273)</f>
        <v>0</v>
      </c>
      <c r="O273" s="88">
        <f t="shared" ref="O273:O290" si="82">IFERROR(N273/(M273),0)</f>
        <v>0</v>
      </c>
      <c r="P273" s="15">
        <f t="shared" ref="P273:P295" si="83">IFERROR((M273/16)*100,0)</f>
        <v>0</v>
      </c>
    </row>
    <row r="274" spans="3:16">
      <c r="C274" s="292"/>
      <c r="D274" s="43">
        <v>0.41666666666666702</v>
      </c>
      <c r="E274" s="5">
        <f>SUM('WATER_STEAM RATIO'!E274)</f>
        <v>0</v>
      </c>
      <c r="F274" s="9">
        <f>SUM('DATA B1'!I275-'DATA B1'!I274)+('DATA B1'!J275-'DATA B1'!J274)</f>
        <v>0</v>
      </c>
      <c r="G274" s="28">
        <f t="shared" si="78"/>
        <v>0</v>
      </c>
      <c r="H274" s="28">
        <f t="shared" si="79"/>
        <v>0</v>
      </c>
      <c r="I274" s="24">
        <f>SUM('WATER_STEAM RATIO'!K274)</f>
        <v>8</v>
      </c>
      <c r="J274" s="30">
        <f>SUM('DATA B2'!I275-'DATA B2'!I274)+('DATA B2'!J275-'DATA B2'!J274)</f>
        <v>452</v>
      </c>
      <c r="K274" s="28">
        <f t="shared" si="80"/>
        <v>56.5</v>
      </c>
      <c r="L274" s="28">
        <f t="shared" si="81"/>
        <v>44.444444444444443</v>
      </c>
      <c r="M274" s="89">
        <f>SUM('WATER_STEAM RATIO'!Q274)</f>
        <v>0</v>
      </c>
      <c r="N274" s="9">
        <f>SUM('DATA B3'!H275-'DATA B3'!H274)</f>
        <v>0</v>
      </c>
      <c r="O274" s="88">
        <f t="shared" si="82"/>
        <v>0</v>
      </c>
      <c r="P274" s="15">
        <f t="shared" si="83"/>
        <v>0</v>
      </c>
    </row>
    <row r="275" spans="3:16">
      <c r="C275" s="292"/>
      <c r="D275" s="43">
        <v>0.45833333333333298</v>
      </c>
      <c r="E275" s="5">
        <f>SUM('WATER_STEAM RATIO'!E275)</f>
        <v>0</v>
      </c>
      <c r="F275" s="9">
        <f>SUM('DATA B1'!I276-'DATA B1'!I275)+('DATA B1'!J276-'DATA B1'!J275)</f>
        <v>0</v>
      </c>
      <c r="G275" s="28">
        <f t="shared" si="78"/>
        <v>0</v>
      </c>
      <c r="H275" s="28">
        <f t="shared" si="79"/>
        <v>0</v>
      </c>
      <c r="I275" s="24">
        <f>SUM('WATER_STEAM RATIO'!K275)</f>
        <v>8</v>
      </c>
      <c r="J275" s="30">
        <f>SUM('DATA B2'!I276-'DATA B2'!I275)+('DATA B2'!J276-'DATA B2'!J275)</f>
        <v>453</v>
      </c>
      <c r="K275" s="28">
        <f t="shared" si="80"/>
        <v>56.625</v>
      </c>
      <c r="L275" s="28">
        <f t="shared" si="81"/>
        <v>44.444444444444443</v>
      </c>
      <c r="M275" s="89">
        <f>SUM('WATER_STEAM RATIO'!Q275)</f>
        <v>0</v>
      </c>
      <c r="N275" s="9">
        <f>SUM('DATA B3'!H276-'DATA B3'!H275)</f>
        <v>0</v>
      </c>
      <c r="O275" s="88">
        <f t="shared" si="82"/>
        <v>0</v>
      </c>
      <c r="P275" s="15">
        <f t="shared" si="83"/>
        <v>0</v>
      </c>
    </row>
    <row r="276" spans="3:16">
      <c r="C276" s="292"/>
      <c r="D276" s="43">
        <v>0.5</v>
      </c>
      <c r="E276" s="5">
        <f>SUM('WATER_STEAM RATIO'!E276)</f>
        <v>0</v>
      </c>
      <c r="F276" s="9">
        <f>SUM('DATA B1'!I277-'DATA B1'!I276)+('DATA B1'!J277-'DATA B1'!J276)</f>
        <v>0</v>
      </c>
      <c r="G276" s="28">
        <f t="shared" si="78"/>
        <v>0</v>
      </c>
      <c r="H276" s="28">
        <f t="shared" si="79"/>
        <v>0</v>
      </c>
      <c r="I276" s="24">
        <f>SUM('WATER_STEAM RATIO'!K276)</f>
        <v>9</v>
      </c>
      <c r="J276" s="30">
        <f>SUM('DATA B2'!I277-'DATA B2'!I276)+('DATA B2'!J277-'DATA B2'!J276)</f>
        <v>598</v>
      </c>
      <c r="K276" s="28">
        <f t="shared" si="80"/>
        <v>66.444444444444443</v>
      </c>
      <c r="L276" s="28">
        <f t="shared" si="81"/>
        <v>50</v>
      </c>
      <c r="M276" s="89">
        <f>SUM('WATER_STEAM RATIO'!Q276)</f>
        <v>0</v>
      </c>
      <c r="N276" s="9">
        <f>SUM('DATA B3'!H277-'DATA B3'!H276)</f>
        <v>0</v>
      </c>
      <c r="O276" s="88">
        <f t="shared" si="82"/>
        <v>0</v>
      </c>
      <c r="P276" s="15">
        <f t="shared" si="83"/>
        <v>0</v>
      </c>
    </row>
    <row r="277" spans="3:16">
      <c r="C277" s="292"/>
      <c r="D277" s="43">
        <v>0.54166666666666696</v>
      </c>
      <c r="E277" s="5">
        <f>SUM('WATER_STEAM RATIO'!E277)</f>
        <v>0</v>
      </c>
      <c r="F277" s="9">
        <f>SUM('DATA B1'!I278-'DATA B1'!I277)+('DATA B1'!J278-'DATA B1'!J277)</f>
        <v>0</v>
      </c>
      <c r="G277" s="28">
        <f t="shared" si="78"/>
        <v>0</v>
      </c>
      <c r="H277" s="28">
        <f t="shared" si="79"/>
        <v>0</v>
      </c>
      <c r="I277" s="24">
        <f>SUM('WATER_STEAM RATIO'!K277)</f>
        <v>9</v>
      </c>
      <c r="J277" s="30">
        <f>SUM('DATA B2'!I278-'DATA B2'!I277)+('DATA B2'!J278-'DATA B2'!J277)</f>
        <v>596</v>
      </c>
      <c r="K277" s="28">
        <f t="shared" si="80"/>
        <v>66.222222222222229</v>
      </c>
      <c r="L277" s="28">
        <f t="shared" si="81"/>
        <v>50</v>
      </c>
      <c r="M277" s="89">
        <f>SUM('WATER_STEAM RATIO'!Q277)</f>
        <v>0</v>
      </c>
      <c r="N277" s="9">
        <f>SUM('DATA B3'!H278-'DATA B3'!H277)</f>
        <v>0</v>
      </c>
      <c r="O277" s="88">
        <f t="shared" si="82"/>
        <v>0</v>
      </c>
      <c r="P277" s="15">
        <f t="shared" si="83"/>
        <v>0</v>
      </c>
    </row>
    <row r="278" spans="3:16">
      <c r="C278" s="292"/>
      <c r="D278" s="43">
        <v>0.58333333333333304</v>
      </c>
      <c r="E278" s="5">
        <f>SUM('WATER_STEAM RATIO'!E278)</f>
        <v>0</v>
      </c>
      <c r="F278" s="9">
        <f>SUM('DATA B1'!I279-'DATA B1'!I278)+('DATA B1'!J279-'DATA B1'!J278)</f>
        <v>0</v>
      </c>
      <c r="G278" s="28">
        <f t="shared" si="78"/>
        <v>0</v>
      </c>
      <c r="H278" s="28">
        <f t="shared" si="79"/>
        <v>0</v>
      </c>
      <c r="I278" s="24">
        <f>SUM('WATER_STEAM RATIO'!K278)</f>
        <v>10</v>
      </c>
      <c r="J278" s="30">
        <f>SUM('DATA B2'!I279-'DATA B2'!I278)+('DATA B2'!J279-'DATA B2'!J278)</f>
        <v>643</v>
      </c>
      <c r="K278" s="28">
        <f t="shared" si="80"/>
        <v>64.3</v>
      </c>
      <c r="L278" s="28">
        <f t="shared" si="81"/>
        <v>55.555555555555557</v>
      </c>
      <c r="M278" s="89">
        <f>SUM('WATER_STEAM RATIO'!Q278)</f>
        <v>0</v>
      </c>
      <c r="N278" s="9">
        <f>SUM('DATA B3'!H279-'DATA B3'!H278)</f>
        <v>0</v>
      </c>
      <c r="O278" s="88">
        <f t="shared" si="82"/>
        <v>0</v>
      </c>
      <c r="P278" s="15">
        <f t="shared" si="83"/>
        <v>0</v>
      </c>
    </row>
    <row r="279" spans="3:16">
      <c r="C279" s="292"/>
      <c r="D279" s="43">
        <v>0.625</v>
      </c>
      <c r="E279" s="5">
        <f>SUM('WATER_STEAM RATIO'!E279)</f>
        <v>0</v>
      </c>
      <c r="F279" s="9">
        <f>SUM('DATA B1'!I280-'DATA B1'!I279)+('DATA B1'!J280-'DATA B1'!J279)</f>
        <v>0</v>
      </c>
      <c r="G279" s="28">
        <f t="shared" si="78"/>
        <v>0</v>
      </c>
      <c r="H279" s="28">
        <f t="shared" si="79"/>
        <v>0</v>
      </c>
      <c r="I279" s="24">
        <f>SUM('WATER_STEAM RATIO'!K279)</f>
        <v>10</v>
      </c>
      <c r="J279" s="30">
        <f>SUM('DATA B2'!I280-'DATA B2'!I279)+('DATA B2'!J280-'DATA B2'!J279)</f>
        <v>641</v>
      </c>
      <c r="K279" s="28">
        <f t="shared" si="80"/>
        <v>64.099999999999994</v>
      </c>
      <c r="L279" s="28">
        <f t="shared" si="81"/>
        <v>55.555555555555557</v>
      </c>
      <c r="M279" s="89">
        <f>SUM('WATER_STEAM RATIO'!Q279)</f>
        <v>0</v>
      </c>
      <c r="N279" s="9">
        <f>SUM('DATA B3'!H280-'DATA B3'!H279)</f>
        <v>0</v>
      </c>
      <c r="O279" s="88">
        <f t="shared" si="82"/>
        <v>0</v>
      </c>
      <c r="P279" s="15">
        <f t="shared" si="83"/>
        <v>0</v>
      </c>
    </row>
    <row r="280" spans="3:16">
      <c r="C280" s="292"/>
      <c r="D280" s="43">
        <v>0.66666666666666596</v>
      </c>
      <c r="E280" s="5">
        <f>SUM('WATER_STEAM RATIO'!E280)</f>
        <v>0</v>
      </c>
      <c r="F280" s="9">
        <f>SUM('DATA B1'!I281-'DATA B1'!I280)+('DATA B1'!J281-'DATA B1'!J280)</f>
        <v>0</v>
      </c>
      <c r="G280" s="28">
        <f t="shared" si="78"/>
        <v>0</v>
      </c>
      <c r="H280" s="28">
        <f t="shared" si="79"/>
        <v>0</v>
      </c>
      <c r="I280" s="24">
        <f>SUM('WATER_STEAM RATIO'!K280)</f>
        <v>8</v>
      </c>
      <c r="J280" s="30">
        <f>SUM('DATA B2'!I281-'DATA B2'!I280)+('DATA B2'!J281-'DATA B2'!J280)</f>
        <v>492</v>
      </c>
      <c r="K280" s="28">
        <f t="shared" si="80"/>
        <v>61.5</v>
      </c>
      <c r="L280" s="28">
        <f t="shared" si="81"/>
        <v>44.444444444444443</v>
      </c>
      <c r="M280" s="89">
        <f>SUM('WATER_STEAM RATIO'!Q280)</f>
        <v>0</v>
      </c>
      <c r="N280" s="9">
        <f>SUM('DATA B3'!H281-'DATA B3'!H280)</f>
        <v>0</v>
      </c>
      <c r="O280" s="88">
        <f t="shared" si="82"/>
        <v>0</v>
      </c>
      <c r="P280" s="15">
        <f t="shared" si="83"/>
        <v>0</v>
      </c>
    </row>
    <row r="281" spans="3:16">
      <c r="C281" s="292"/>
      <c r="D281" s="43">
        <v>0.70833333333333304</v>
      </c>
      <c r="E281" s="5">
        <f>SUM('WATER_STEAM RATIO'!E281)</f>
        <v>0</v>
      </c>
      <c r="F281" s="9">
        <f>SUM('DATA B1'!I282-'DATA B1'!I281)+('DATA B1'!J282-'DATA B1'!J281)</f>
        <v>0</v>
      </c>
      <c r="G281" s="28">
        <f t="shared" si="78"/>
        <v>0</v>
      </c>
      <c r="H281" s="28">
        <f t="shared" si="79"/>
        <v>0</v>
      </c>
      <c r="I281" s="24">
        <f>SUM('WATER_STEAM RATIO'!K281)</f>
        <v>8</v>
      </c>
      <c r="J281" s="30">
        <f>SUM('DATA B2'!I282-'DATA B2'!I281)+('DATA B2'!J282-'DATA B2'!J281)</f>
        <v>493</v>
      </c>
      <c r="K281" s="28">
        <f t="shared" si="80"/>
        <v>61.625</v>
      </c>
      <c r="L281" s="28">
        <f t="shared" si="81"/>
        <v>44.444444444444443</v>
      </c>
      <c r="M281" s="89">
        <f>SUM('WATER_STEAM RATIO'!Q281)</f>
        <v>0</v>
      </c>
      <c r="N281" s="9">
        <f>SUM('DATA B3'!H282-'DATA B3'!H281)</f>
        <v>0</v>
      </c>
      <c r="O281" s="88">
        <f t="shared" si="82"/>
        <v>0</v>
      </c>
      <c r="P281" s="15">
        <f t="shared" si="83"/>
        <v>0</v>
      </c>
    </row>
    <row r="282" spans="3:16">
      <c r="C282" s="292"/>
      <c r="D282" s="43">
        <v>0.75</v>
      </c>
      <c r="E282" s="5">
        <f>SUM('WATER_STEAM RATIO'!E282)</f>
        <v>0</v>
      </c>
      <c r="F282" s="9">
        <f>SUM('DATA B1'!I283-'DATA B1'!I282)+('DATA B1'!J283-'DATA B1'!J282)</f>
        <v>0</v>
      </c>
      <c r="G282" s="28">
        <f t="shared" si="78"/>
        <v>0</v>
      </c>
      <c r="H282" s="28">
        <f t="shared" si="79"/>
        <v>0</v>
      </c>
      <c r="I282" s="24">
        <f>SUM('WATER_STEAM RATIO'!K282)</f>
        <v>8</v>
      </c>
      <c r="J282" s="30">
        <f>SUM('DATA B2'!I283-'DATA B2'!I282)+('DATA B2'!J283-'DATA B2'!J282)</f>
        <v>491</v>
      </c>
      <c r="K282" s="28">
        <f t="shared" si="80"/>
        <v>61.375</v>
      </c>
      <c r="L282" s="28">
        <f t="shared" si="81"/>
        <v>44.444444444444443</v>
      </c>
      <c r="M282" s="89">
        <f>SUM('WATER_STEAM RATIO'!Q282)</f>
        <v>0</v>
      </c>
      <c r="N282" s="9">
        <f>SUM('DATA B3'!H283-'DATA B3'!H282)</f>
        <v>0</v>
      </c>
      <c r="O282" s="88">
        <f t="shared" si="82"/>
        <v>0</v>
      </c>
      <c r="P282" s="15">
        <f t="shared" si="83"/>
        <v>0</v>
      </c>
    </row>
    <row r="283" spans="3:16">
      <c r="C283" s="292"/>
      <c r="D283" s="43">
        <v>0.79166666666666596</v>
      </c>
      <c r="E283" s="5">
        <f>SUM('WATER_STEAM RATIO'!E283)</f>
        <v>0</v>
      </c>
      <c r="F283" s="9">
        <f>SUM('DATA B1'!I284-'DATA B1'!I283)+('DATA B1'!J284-'DATA B1'!J283)</f>
        <v>0</v>
      </c>
      <c r="G283" s="28">
        <f t="shared" si="78"/>
        <v>0</v>
      </c>
      <c r="H283" s="28">
        <f t="shared" si="79"/>
        <v>0</v>
      </c>
      <c r="I283" s="24">
        <f>SUM('WATER_STEAM RATIO'!K283)</f>
        <v>9</v>
      </c>
      <c r="J283" s="30">
        <f>SUM('DATA B2'!I284-'DATA B2'!I283)+('DATA B2'!J284-'DATA B2'!J283)</f>
        <v>590</v>
      </c>
      <c r="K283" s="28">
        <f t="shared" si="80"/>
        <v>65.555555555555557</v>
      </c>
      <c r="L283" s="28">
        <f t="shared" si="81"/>
        <v>50</v>
      </c>
      <c r="M283" s="89">
        <f>SUM('WATER_STEAM RATIO'!Q283)</f>
        <v>0</v>
      </c>
      <c r="N283" s="9">
        <f>SUM('DATA B3'!H284-'DATA B3'!H283)</f>
        <v>0</v>
      </c>
      <c r="O283" s="88">
        <f t="shared" si="82"/>
        <v>0</v>
      </c>
      <c r="P283" s="15">
        <f t="shared" si="83"/>
        <v>0</v>
      </c>
    </row>
    <row r="284" spans="3:16">
      <c r="C284" s="292"/>
      <c r="D284" s="43">
        <v>0.83333333333333304</v>
      </c>
      <c r="E284" s="5">
        <f>SUM('WATER_STEAM RATIO'!E284)</f>
        <v>0</v>
      </c>
      <c r="F284" s="9">
        <f>SUM('DATA B1'!I285-'DATA B1'!I284)+('DATA B1'!J285-'DATA B1'!J284)</f>
        <v>0</v>
      </c>
      <c r="G284" s="28">
        <f t="shared" si="78"/>
        <v>0</v>
      </c>
      <c r="H284" s="28">
        <f t="shared" si="79"/>
        <v>0</v>
      </c>
      <c r="I284" s="24">
        <f>SUM('WATER_STEAM RATIO'!K284)</f>
        <v>10</v>
      </c>
      <c r="J284" s="30">
        <f>SUM('DATA B2'!I285-'DATA B2'!I284)+('DATA B2'!J285-'DATA B2'!J284)</f>
        <v>573</v>
      </c>
      <c r="K284" s="28">
        <f t="shared" si="80"/>
        <v>57.3</v>
      </c>
      <c r="L284" s="28">
        <f>IFERROR((I284/18)*100,0)</f>
        <v>55.555555555555557</v>
      </c>
      <c r="M284" s="89">
        <f>SUM('WATER_STEAM RATIO'!Q284)</f>
        <v>0</v>
      </c>
      <c r="N284" s="9">
        <f>SUM('DATA B3'!H285-'DATA B3'!H284)</f>
        <v>0</v>
      </c>
      <c r="O284" s="88">
        <f t="shared" si="82"/>
        <v>0</v>
      </c>
      <c r="P284" s="15">
        <f t="shared" si="83"/>
        <v>0</v>
      </c>
    </row>
    <row r="285" spans="3:16">
      <c r="C285" s="292"/>
      <c r="D285" s="43">
        <v>0.875</v>
      </c>
      <c r="E285" s="5">
        <f>SUM('WATER_STEAM RATIO'!E285)</f>
        <v>0</v>
      </c>
      <c r="F285" s="9">
        <f>SUM('DATA B1'!I286-'DATA B1'!I285)+('DATA B1'!J286-'DATA B1'!J285)</f>
        <v>0</v>
      </c>
      <c r="G285" s="28">
        <f t="shared" si="78"/>
        <v>0</v>
      </c>
      <c r="H285" s="28">
        <f t="shared" si="79"/>
        <v>0</v>
      </c>
      <c r="I285" s="24">
        <f>SUM('WATER_STEAM RATIO'!K285)</f>
        <v>6</v>
      </c>
      <c r="J285" s="30">
        <f>SUM('DATA B2'!I286-'DATA B2'!I285)+('DATA B2'!J286-'DATA B2'!J285)</f>
        <v>356</v>
      </c>
      <c r="K285" s="28">
        <f t="shared" si="80"/>
        <v>59.333333333333336</v>
      </c>
      <c r="L285" s="28">
        <f t="shared" ref="L285:L295" si="84">IFERROR((I285/18)*100,0)</f>
        <v>33.333333333333329</v>
      </c>
      <c r="M285" s="89">
        <f>SUM('WATER_STEAM RATIO'!Q285)</f>
        <v>0</v>
      </c>
      <c r="N285" s="9">
        <f>SUM('DATA B3'!H286-'DATA B3'!H285)</f>
        <v>0</v>
      </c>
      <c r="O285" s="88">
        <f t="shared" si="82"/>
        <v>0</v>
      </c>
      <c r="P285" s="15">
        <f t="shared" si="83"/>
        <v>0</v>
      </c>
    </row>
    <row r="286" spans="3:16">
      <c r="C286" s="292"/>
      <c r="D286" s="43">
        <v>0.91666666666666596</v>
      </c>
      <c r="E286" s="5">
        <f>SUM('WATER_STEAM RATIO'!E286)</f>
        <v>0</v>
      </c>
      <c r="F286" s="9">
        <f>SUM('DATA B1'!I287-'DATA B1'!I286)+('DATA B1'!J287-'DATA B1'!J286)</f>
        <v>0</v>
      </c>
      <c r="G286" s="28">
        <f t="shared" si="78"/>
        <v>0</v>
      </c>
      <c r="H286" s="28">
        <f t="shared" si="79"/>
        <v>0</v>
      </c>
      <c r="I286" s="24">
        <f>SUM('WATER_STEAM RATIO'!K286)</f>
        <v>6</v>
      </c>
      <c r="J286" s="30">
        <f>SUM('DATA B2'!I287-'DATA B2'!I286)+('DATA B2'!J287-'DATA B2'!J286)</f>
        <v>373</v>
      </c>
      <c r="K286" s="28">
        <f t="shared" si="80"/>
        <v>62.166666666666664</v>
      </c>
      <c r="L286" s="28">
        <f t="shared" si="84"/>
        <v>33.333333333333329</v>
      </c>
      <c r="M286" s="89">
        <f>SUM('WATER_STEAM RATIO'!Q286)</f>
        <v>0</v>
      </c>
      <c r="N286" s="9">
        <f>SUM('DATA B3'!H287-'DATA B3'!H286)</f>
        <v>0</v>
      </c>
      <c r="O286" s="88">
        <f t="shared" si="82"/>
        <v>0</v>
      </c>
      <c r="P286" s="15">
        <f>IFERROR((M286/16)*100,0)</f>
        <v>0</v>
      </c>
    </row>
    <row r="287" spans="3:16">
      <c r="C287" s="292"/>
      <c r="D287" s="43">
        <v>0.95833333333333304</v>
      </c>
      <c r="E287" s="5">
        <f>SUM('WATER_STEAM RATIO'!E287)</f>
        <v>0</v>
      </c>
      <c r="F287" s="9">
        <f>SUM('DATA B1'!I288-'DATA B1'!I287)+('DATA B1'!J288-'DATA B1'!J287)</f>
        <v>0</v>
      </c>
      <c r="G287" s="28">
        <f t="shared" si="78"/>
        <v>0</v>
      </c>
      <c r="H287" s="28">
        <f t="shared" si="79"/>
        <v>0</v>
      </c>
      <c r="I287" s="24">
        <f>SUM('WATER_STEAM RATIO'!K287)</f>
        <v>6</v>
      </c>
      <c r="J287" s="30">
        <f>SUM('DATA B2'!I288-'DATA B2'!I287)+('DATA B2'!J288-'DATA B2'!J287)</f>
        <v>375</v>
      </c>
      <c r="K287" s="28">
        <f t="shared" si="80"/>
        <v>62.5</v>
      </c>
      <c r="L287" s="28">
        <f t="shared" si="84"/>
        <v>33.333333333333329</v>
      </c>
      <c r="M287" s="89">
        <f>SUM('WATER_STEAM RATIO'!Q287)</f>
        <v>0</v>
      </c>
      <c r="N287" s="9">
        <f>SUM('DATA B3'!H288-'DATA B3'!H287)</f>
        <v>0</v>
      </c>
      <c r="O287" s="88">
        <f t="shared" si="82"/>
        <v>0</v>
      </c>
      <c r="P287" s="15">
        <f t="shared" si="83"/>
        <v>0</v>
      </c>
    </row>
    <row r="288" spans="3:16">
      <c r="C288" s="292"/>
      <c r="D288" s="43">
        <v>1</v>
      </c>
      <c r="E288" s="5">
        <f>SUM('WATER_STEAM RATIO'!E288)</f>
        <v>0</v>
      </c>
      <c r="F288" s="9">
        <f>SUM('DATA B1'!I289-'DATA B1'!I288)+('DATA B1'!J289-'DATA B1'!J288)</f>
        <v>0</v>
      </c>
      <c r="G288" s="28">
        <f t="shared" si="78"/>
        <v>0</v>
      </c>
      <c r="H288" s="28">
        <f t="shared" si="79"/>
        <v>0</v>
      </c>
      <c r="I288" s="24">
        <f>SUM('WATER_STEAM RATIO'!K288)</f>
        <v>6</v>
      </c>
      <c r="J288" s="30">
        <f>SUM('DATA B2'!I289-'DATA B2'!I288)+('DATA B2'!J289-'DATA B2'!J288)</f>
        <v>390</v>
      </c>
      <c r="K288" s="28">
        <f t="shared" si="80"/>
        <v>65</v>
      </c>
      <c r="L288" s="28">
        <f t="shared" si="84"/>
        <v>33.333333333333329</v>
      </c>
      <c r="M288" s="89">
        <f>SUM('WATER_STEAM RATIO'!Q288)</f>
        <v>0</v>
      </c>
      <c r="N288" s="9">
        <f>SUM('DATA B3'!H289-'DATA B3'!H288)</f>
        <v>0</v>
      </c>
      <c r="O288" s="88">
        <f t="shared" si="82"/>
        <v>0</v>
      </c>
      <c r="P288" s="15">
        <f t="shared" si="83"/>
        <v>0</v>
      </c>
    </row>
    <row r="289" spans="3:16">
      <c r="C289" s="292"/>
      <c r="D289" s="43">
        <v>1.0416666666666701</v>
      </c>
      <c r="E289" s="5">
        <f>SUM('WATER_STEAM RATIO'!E289)</f>
        <v>0</v>
      </c>
      <c r="F289" s="9">
        <f>SUM('DATA B1'!I290-'DATA B1'!I289)+('DATA B1'!J290-'DATA B1'!J289)</f>
        <v>0</v>
      </c>
      <c r="G289" s="28">
        <f t="shared" si="78"/>
        <v>0</v>
      </c>
      <c r="H289" s="28">
        <f t="shared" si="79"/>
        <v>0</v>
      </c>
      <c r="I289" s="24">
        <f>SUM('WATER_STEAM RATIO'!K289)</f>
        <v>6</v>
      </c>
      <c r="J289" s="30">
        <f>SUM('DATA B2'!I290-'DATA B2'!I289)+('DATA B2'!J290-'DATA B2'!J289)</f>
        <v>380</v>
      </c>
      <c r="K289" s="28">
        <f t="shared" si="80"/>
        <v>63.333333333333336</v>
      </c>
      <c r="L289" s="28">
        <f t="shared" si="84"/>
        <v>33.333333333333329</v>
      </c>
      <c r="M289" s="89">
        <f>SUM('WATER_STEAM RATIO'!Q289)</f>
        <v>0</v>
      </c>
      <c r="N289" s="9">
        <f>SUM('DATA B3'!H290-'DATA B3'!H289)</f>
        <v>0</v>
      </c>
      <c r="O289" s="88">
        <f t="shared" si="82"/>
        <v>0</v>
      </c>
      <c r="P289" s="15">
        <f t="shared" si="83"/>
        <v>0</v>
      </c>
    </row>
    <row r="290" spans="3:16">
      <c r="C290" s="292"/>
      <c r="D290" s="43">
        <v>1.0833333333333399</v>
      </c>
      <c r="E290" s="5">
        <f>SUM('WATER_STEAM RATIO'!E290)</f>
        <v>0</v>
      </c>
      <c r="F290" s="9">
        <f>SUM('DATA B1'!I291-'DATA B1'!I290)+('DATA B1'!J291-'DATA B1'!J290)</f>
        <v>0</v>
      </c>
      <c r="G290" s="28">
        <f t="shared" si="78"/>
        <v>0</v>
      </c>
      <c r="H290" s="28">
        <f t="shared" si="79"/>
        <v>0</v>
      </c>
      <c r="I290" s="24">
        <f>SUM('WATER_STEAM RATIO'!K290)</f>
        <v>7</v>
      </c>
      <c r="J290" s="30">
        <f>SUM('DATA B2'!I291-'DATA B2'!I290)+('DATA B2'!J291-'DATA B2'!J290)</f>
        <v>403</v>
      </c>
      <c r="K290" s="28">
        <f t="shared" si="80"/>
        <v>57.571428571428569</v>
      </c>
      <c r="L290" s="28">
        <f t="shared" si="84"/>
        <v>38.888888888888893</v>
      </c>
      <c r="M290" s="89">
        <f>SUM('WATER_STEAM RATIO'!Q290)</f>
        <v>0</v>
      </c>
      <c r="N290" s="9">
        <f>SUM('DATA B3'!H291-'DATA B3'!H290)</f>
        <v>0</v>
      </c>
      <c r="O290" s="88">
        <f t="shared" si="82"/>
        <v>0</v>
      </c>
      <c r="P290" s="15">
        <f t="shared" si="83"/>
        <v>0</v>
      </c>
    </row>
    <row r="291" spans="3:16">
      <c r="C291" s="292"/>
      <c r="D291" s="43">
        <v>1.125</v>
      </c>
      <c r="E291" s="5">
        <f>SUM('WATER_STEAM RATIO'!E291)</f>
        <v>0</v>
      </c>
      <c r="F291" s="9">
        <f>SUM('DATA B1'!I292-'DATA B1'!I291)+('DATA B1'!J292-'DATA B1'!J291)</f>
        <v>0</v>
      </c>
      <c r="G291" s="28">
        <f t="shared" si="78"/>
        <v>0</v>
      </c>
      <c r="H291" s="28">
        <f t="shared" si="79"/>
        <v>0</v>
      </c>
      <c r="I291" s="24">
        <f>SUM('WATER_STEAM RATIO'!K291)</f>
        <v>8</v>
      </c>
      <c r="J291" s="30">
        <f>SUM('DATA B2'!I292-'DATA B2'!I291)+('DATA B2'!J292-'DATA B2'!J291)</f>
        <v>460</v>
      </c>
      <c r="K291" s="28">
        <f t="shared" si="80"/>
        <v>57.5</v>
      </c>
      <c r="L291" s="28">
        <f t="shared" si="84"/>
        <v>44.444444444444443</v>
      </c>
      <c r="M291" s="89">
        <f>SUM('WATER_STEAM RATIO'!Q291)</f>
        <v>0</v>
      </c>
      <c r="N291" s="9">
        <f>SUM('DATA B3'!H292-'DATA B3'!H291)</f>
        <v>0</v>
      </c>
      <c r="O291" s="88">
        <f t="shared" ref="O291:O295" si="85">IFERROR(N291/(M291),0)</f>
        <v>0</v>
      </c>
      <c r="P291" s="15">
        <f t="shared" si="83"/>
        <v>0</v>
      </c>
    </row>
    <row r="292" spans="3:16">
      <c r="C292" s="292"/>
      <c r="D292" s="43">
        <v>1.1666666666666701</v>
      </c>
      <c r="E292" s="5">
        <f>SUM('WATER_STEAM RATIO'!E292)</f>
        <v>0</v>
      </c>
      <c r="F292" s="9">
        <f>SUM('DATA B1'!I293-'DATA B1'!I292)+('DATA B1'!J293-'DATA B1'!J292)</f>
        <v>0</v>
      </c>
      <c r="G292" s="28">
        <f t="shared" si="78"/>
        <v>0</v>
      </c>
      <c r="H292" s="28">
        <f t="shared" si="79"/>
        <v>0</v>
      </c>
      <c r="I292" s="24">
        <f>SUM('WATER_STEAM RATIO'!K292)</f>
        <v>7</v>
      </c>
      <c r="J292" s="30">
        <f>SUM('DATA B2'!I293-'DATA B2'!I292)+('DATA B2'!J293-'DATA B2'!J292)</f>
        <v>406</v>
      </c>
      <c r="K292" s="28">
        <f>IFERROR(J292/(I292),0)</f>
        <v>58</v>
      </c>
      <c r="L292" s="28">
        <f t="shared" si="84"/>
        <v>38.888888888888893</v>
      </c>
      <c r="M292" s="89">
        <f>SUM('WATER_STEAM RATIO'!Q292)</f>
        <v>0</v>
      </c>
      <c r="N292" s="9">
        <f>SUM('DATA B3'!H293-'DATA B3'!H292)</f>
        <v>0</v>
      </c>
      <c r="O292" s="88">
        <f t="shared" si="85"/>
        <v>0</v>
      </c>
      <c r="P292" s="15">
        <f t="shared" si="83"/>
        <v>0</v>
      </c>
    </row>
    <row r="293" spans="3:16">
      <c r="C293" s="292"/>
      <c r="D293" s="43">
        <v>1.2083333333333399</v>
      </c>
      <c r="E293" s="5">
        <f>SUM('WATER_STEAM RATIO'!E293)</f>
        <v>0</v>
      </c>
      <c r="F293" s="9">
        <f>SUM('DATA B1'!I294-'DATA B1'!I293)+('DATA B1'!J294-'DATA B1'!J293)</f>
        <v>0</v>
      </c>
      <c r="G293" s="28">
        <f t="shared" si="78"/>
        <v>0</v>
      </c>
      <c r="H293" s="28">
        <f t="shared" si="79"/>
        <v>0</v>
      </c>
      <c r="I293" s="24">
        <f>SUM('WATER_STEAM RATIO'!K293)</f>
        <v>8</v>
      </c>
      <c r="J293" s="30">
        <f>SUM('DATA B2'!I294-'DATA B2'!I293)+('DATA B2'!J294-'DATA B2'!J293)</f>
        <v>471</v>
      </c>
      <c r="K293" s="28">
        <f>IFERROR(J293/(I293),0)</f>
        <v>58.875</v>
      </c>
      <c r="L293" s="28">
        <f t="shared" si="84"/>
        <v>44.444444444444443</v>
      </c>
      <c r="M293" s="89">
        <f>SUM('WATER_STEAM RATIO'!Q293)</f>
        <v>0</v>
      </c>
      <c r="N293" s="9">
        <f>SUM('DATA B3'!H294-'DATA B3'!H293)</f>
        <v>0</v>
      </c>
      <c r="O293" s="88">
        <f t="shared" si="85"/>
        <v>0</v>
      </c>
      <c r="P293" s="15">
        <f t="shared" si="83"/>
        <v>0</v>
      </c>
    </row>
    <row r="294" spans="3:16">
      <c r="C294" s="292"/>
      <c r="D294" s="43">
        <v>1.25</v>
      </c>
      <c r="E294" s="5">
        <f>SUM('WATER_STEAM RATIO'!E294)</f>
        <v>0</v>
      </c>
      <c r="F294" s="9">
        <f>SUM('DATA B1'!I295-'DATA B1'!I294)+('DATA B1'!J295-'DATA B1'!J294)</f>
        <v>0</v>
      </c>
      <c r="G294" s="28">
        <f t="shared" si="78"/>
        <v>0</v>
      </c>
      <c r="H294" s="28">
        <f t="shared" si="79"/>
        <v>0</v>
      </c>
      <c r="I294" s="24">
        <f>SUM('WATER_STEAM RATIO'!K294)</f>
        <v>8</v>
      </c>
      <c r="J294" s="30">
        <f>SUM('DATA B2'!I295-'DATA B2'!I294)+('DATA B2'!J295-'DATA B2'!J294)</f>
        <v>457</v>
      </c>
      <c r="K294" s="28">
        <f>IFERROR(J294/(I294),0)</f>
        <v>57.125</v>
      </c>
      <c r="L294" s="28">
        <f t="shared" si="84"/>
        <v>44.444444444444443</v>
      </c>
      <c r="M294" s="89">
        <f>SUM('WATER_STEAM RATIO'!Q294)</f>
        <v>0</v>
      </c>
      <c r="N294" s="9">
        <f>SUM('DATA B3'!H295-'DATA B3'!H294)</f>
        <v>0</v>
      </c>
      <c r="O294" s="88">
        <f t="shared" si="85"/>
        <v>0</v>
      </c>
      <c r="P294" s="15">
        <f t="shared" si="83"/>
        <v>0</v>
      </c>
    </row>
    <row r="295" spans="3:16">
      <c r="C295" s="292"/>
      <c r="D295" s="43">
        <v>1.2916666666666701</v>
      </c>
      <c r="E295" s="5">
        <f>SUM('WATER_STEAM RATIO'!E295)</f>
        <v>0</v>
      </c>
      <c r="F295" s="9">
        <f>SUM('DATA B1'!I296-'DATA B1'!I295)+('DATA B1'!J296-'DATA B1'!J295)</f>
        <v>0</v>
      </c>
      <c r="G295" s="28">
        <f t="shared" si="78"/>
        <v>0</v>
      </c>
      <c r="H295" s="28">
        <f t="shared" si="79"/>
        <v>0</v>
      </c>
      <c r="I295" s="24">
        <f>SUM('WATER_STEAM RATIO'!K295)</f>
        <v>8</v>
      </c>
      <c r="J295" s="30">
        <f>SUM('DATA B2'!I296-'DATA B2'!I295)+('DATA B2'!J296-'DATA B2'!J295)</f>
        <v>481</v>
      </c>
      <c r="K295" s="28">
        <f>IFERROR(J295/(I295),0)</f>
        <v>60.125</v>
      </c>
      <c r="L295" s="28">
        <f t="shared" si="84"/>
        <v>44.444444444444443</v>
      </c>
      <c r="M295" s="89">
        <f>SUM('WATER_STEAM RATIO'!Q295)</f>
        <v>0</v>
      </c>
      <c r="N295" s="9">
        <f>SUM('DATA B3'!H296-'DATA B3'!H295)</f>
        <v>0</v>
      </c>
      <c r="O295" s="88">
        <f t="shared" si="85"/>
        <v>0</v>
      </c>
      <c r="P295" s="15">
        <f t="shared" si="83"/>
        <v>0</v>
      </c>
    </row>
    <row r="296" spans="3:16">
      <c r="C296" s="293"/>
      <c r="D296" s="258"/>
      <c r="E296" s="91">
        <f>SUMIF(E271:E295,"&gt;=0",E271:E295)</f>
        <v>0</v>
      </c>
      <c r="F296" s="91">
        <f>SUMIF(F271:F295,"&gt;=0",F271:F295)</f>
        <v>0</v>
      </c>
      <c r="G296" s="54">
        <f>IFERROR(F296/E296,0)</f>
        <v>0</v>
      </c>
      <c r="H296" s="54">
        <f>IFERROR(AVERAGE(H272:H295),0)</f>
        <v>0</v>
      </c>
      <c r="I296" s="91">
        <f>SUMIF(I271:I295,"&gt;=0",I271:I295)</f>
        <v>202</v>
      </c>
      <c r="J296" s="91">
        <f>SUMIF(J271:J295,"&gt;=0",J271:J295)</f>
        <v>11664</v>
      </c>
      <c r="K296" s="54">
        <f>IFERROR(J296/(I296),0)</f>
        <v>57.742574257425744</v>
      </c>
      <c r="L296" s="54">
        <f>IFERROR(AVERAGE(L272:L295),0)</f>
        <v>44.444444444444457</v>
      </c>
      <c r="M296" s="91">
        <f>SUMIF(M271:M295,"&gt;=0",M271:M295)</f>
        <v>0</v>
      </c>
      <c r="N296" s="91">
        <f>SUMIF(N271:N295,"&gt;=0",N271:N295)</f>
        <v>0</v>
      </c>
      <c r="O296" s="239">
        <f>IFERROR(N296/(M296),0)</f>
        <v>0</v>
      </c>
      <c r="P296" s="215">
        <f>IFERROR(AVERAGE(P272:P295),0)</f>
        <v>0</v>
      </c>
    </row>
    <row r="297" spans="3:16" ht="15" customHeight="1">
      <c r="C297" s="291">
        <f>SUM('WATER_STEAM RATIO'!B297:B322)</f>
        <v>46034</v>
      </c>
      <c r="D297" s="43">
        <v>0.29166666666666669</v>
      </c>
      <c r="E297" s="5">
        <f>SUM('WATER_STEAM RATIO'!E297)</f>
        <v>0</v>
      </c>
      <c r="F297" s="9"/>
      <c r="G297" s="28"/>
      <c r="H297" s="28"/>
      <c r="I297" s="24">
        <f>SUM('WATER_STEAM RATIO'!K297)</f>
        <v>8</v>
      </c>
      <c r="J297" s="30"/>
      <c r="K297" s="28"/>
      <c r="L297" s="28"/>
      <c r="M297" s="89">
        <f>SUM('WATER_STEAM RATIO'!Q297)</f>
        <v>0</v>
      </c>
      <c r="N297" s="9"/>
      <c r="O297" s="88"/>
      <c r="P297" s="15"/>
    </row>
    <row r="298" spans="3:16">
      <c r="C298" s="292"/>
      <c r="D298" s="43">
        <v>0.33333333333333298</v>
      </c>
      <c r="E298" s="5">
        <f>SUM('WATER_STEAM RATIO'!E298)</f>
        <v>0</v>
      </c>
      <c r="F298" s="9">
        <f>SUM('DATA B1'!I299-'DATA B1'!I298)+('DATA B1'!J299-'DATA B1'!J298)</f>
        <v>0</v>
      </c>
      <c r="G298" s="28">
        <f>IFERROR(F298/(E298),0)</f>
        <v>0</v>
      </c>
      <c r="H298" s="28">
        <f>IFERROR((E298/18)*100,0)</f>
        <v>0</v>
      </c>
      <c r="I298" s="24">
        <f>SUM('WATER_STEAM RATIO'!K298)</f>
        <v>12</v>
      </c>
      <c r="J298" s="30">
        <f>SUM('DATA B2'!I299-'DATA B2'!I298)+('DATA B2'!J299-'DATA B2'!J298)</f>
        <v>745</v>
      </c>
      <c r="K298" s="28">
        <f>IFERROR(J298/(I298),0)</f>
        <v>62.083333333333336</v>
      </c>
      <c r="L298" s="28">
        <f>IFERROR((I298/18)*100,0)</f>
        <v>66.666666666666657</v>
      </c>
      <c r="M298" s="89">
        <f>SUM('WATER_STEAM RATIO'!Q298)</f>
        <v>0</v>
      </c>
      <c r="N298" s="9">
        <f>SUM('DATA B3'!H299-'DATA B3'!H298)</f>
        <v>0</v>
      </c>
      <c r="O298" s="88">
        <f>IFERROR(N298/(M298),0)</f>
        <v>0</v>
      </c>
      <c r="P298" s="15">
        <f>IFERROR((M298/16)*100,0)</f>
        <v>0</v>
      </c>
    </row>
    <row r="299" spans="3:16">
      <c r="C299" s="292"/>
      <c r="D299" s="43">
        <v>0.375</v>
      </c>
      <c r="E299" s="5">
        <f>SUM('WATER_STEAM RATIO'!E299)</f>
        <v>0</v>
      </c>
      <c r="F299" s="9">
        <f>SUM('DATA B1'!I300-'DATA B1'!I299)+('DATA B1'!J300-'DATA B1'!J299)</f>
        <v>0</v>
      </c>
      <c r="G299" s="28">
        <f t="shared" ref="G299:G321" si="86">IFERROR(F299/(E299),0)</f>
        <v>0</v>
      </c>
      <c r="H299" s="28">
        <f t="shared" ref="H299:H321" si="87">IFERROR((E299/18)*100,0)</f>
        <v>0</v>
      </c>
      <c r="I299" s="24">
        <f>SUM('WATER_STEAM RATIO'!K299)</f>
        <v>7</v>
      </c>
      <c r="J299" s="30">
        <f>SUM('DATA B2'!I300-'DATA B2'!I299)+('DATA B2'!J300-'DATA B2'!J299)</f>
        <v>436</v>
      </c>
      <c r="K299" s="28">
        <f t="shared" ref="K299:K317" si="88">IFERROR(J299/(I299),0)</f>
        <v>62.285714285714285</v>
      </c>
      <c r="L299" s="28">
        <f t="shared" ref="L299:L309" si="89">IFERROR((I299/18)*100,0)</f>
        <v>38.888888888888893</v>
      </c>
      <c r="M299" s="89">
        <f>SUM('WATER_STEAM RATIO'!Q299)</f>
        <v>0</v>
      </c>
      <c r="N299" s="9">
        <f>SUM('DATA B3'!H300-'DATA B3'!H299)</f>
        <v>0</v>
      </c>
      <c r="O299" s="88">
        <f t="shared" ref="O299:O316" si="90">IFERROR(N299/(M299),0)</f>
        <v>0</v>
      </c>
      <c r="P299" s="15">
        <f t="shared" ref="P299:P321" si="91">IFERROR((M299/16)*100,0)</f>
        <v>0</v>
      </c>
    </row>
    <row r="300" spans="3:16">
      <c r="C300" s="292"/>
      <c r="D300" s="43">
        <v>0.41666666666666702</v>
      </c>
      <c r="E300" s="5">
        <f>SUM('WATER_STEAM RATIO'!E300)</f>
        <v>0</v>
      </c>
      <c r="F300" s="9">
        <f>SUM('DATA B1'!I301-'DATA B1'!I300)+('DATA B1'!J301-'DATA B1'!J300)</f>
        <v>0</v>
      </c>
      <c r="G300" s="28">
        <f t="shared" si="86"/>
        <v>0</v>
      </c>
      <c r="H300" s="28">
        <f t="shared" si="87"/>
        <v>0</v>
      </c>
      <c r="I300" s="24">
        <f>SUM('WATER_STEAM RATIO'!K300)</f>
        <v>7</v>
      </c>
      <c r="J300" s="30">
        <f>SUM('DATA B2'!I301-'DATA B2'!I300)+('DATA B2'!J301-'DATA B2'!J300)</f>
        <v>463</v>
      </c>
      <c r="K300" s="28">
        <f t="shared" si="88"/>
        <v>66.142857142857139</v>
      </c>
      <c r="L300" s="28">
        <f t="shared" si="89"/>
        <v>38.888888888888893</v>
      </c>
      <c r="M300" s="89">
        <f>SUM('WATER_STEAM RATIO'!Q300)</f>
        <v>0</v>
      </c>
      <c r="N300" s="9">
        <f>SUM('DATA B3'!H301-'DATA B3'!H300)</f>
        <v>0</v>
      </c>
      <c r="O300" s="88">
        <f t="shared" si="90"/>
        <v>0</v>
      </c>
      <c r="P300" s="15">
        <f t="shared" si="91"/>
        <v>0</v>
      </c>
    </row>
    <row r="301" spans="3:16">
      <c r="C301" s="292"/>
      <c r="D301" s="43">
        <v>0.45833333333333298</v>
      </c>
      <c r="E301" s="5">
        <f>SUM('WATER_STEAM RATIO'!E301)</f>
        <v>0</v>
      </c>
      <c r="F301" s="9">
        <f>SUM('DATA B1'!I302-'DATA B1'!I301)+('DATA B1'!J302-'DATA B1'!J301)</f>
        <v>0</v>
      </c>
      <c r="G301" s="28">
        <f t="shared" si="86"/>
        <v>0</v>
      </c>
      <c r="H301" s="28">
        <f t="shared" si="87"/>
        <v>0</v>
      </c>
      <c r="I301" s="24">
        <f>SUM('WATER_STEAM RATIO'!K301)</f>
        <v>8</v>
      </c>
      <c r="J301" s="30">
        <f>SUM('DATA B2'!I302-'DATA B2'!I301)+('DATA B2'!J302-'DATA B2'!J301)</f>
        <v>484</v>
      </c>
      <c r="K301" s="28">
        <f t="shared" si="88"/>
        <v>60.5</v>
      </c>
      <c r="L301" s="28">
        <f t="shared" si="89"/>
        <v>44.444444444444443</v>
      </c>
      <c r="M301" s="89">
        <f>SUM('WATER_STEAM RATIO'!Q301)</f>
        <v>0</v>
      </c>
      <c r="N301" s="9">
        <f>SUM('DATA B3'!H302-'DATA B3'!H301)</f>
        <v>0</v>
      </c>
      <c r="O301" s="88">
        <f t="shared" si="90"/>
        <v>0</v>
      </c>
      <c r="P301" s="15">
        <f t="shared" si="91"/>
        <v>0</v>
      </c>
    </row>
    <row r="302" spans="3:16">
      <c r="C302" s="292"/>
      <c r="D302" s="43">
        <v>0.5</v>
      </c>
      <c r="E302" s="5">
        <f>SUM('WATER_STEAM RATIO'!E302)</f>
        <v>0</v>
      </c>
      <c r="F302" s="9">
        <f>SUM('DATA B1'!I303-'DATA B1'!I302)+('DATA B1'!J303-'DATA B1'!J302)</f>
        <v>0</v>
      </c>
      <c r="G302" s="28">
        <f t="shared" si="86"/>
        <v>0</v>
      </c>
      <c r="H302" s="28">
        <f t="shared" si="87"/>
        <v>0</v>
      </c>
      <c r="I302" s="24">
        <f>SUM('WATER_STEAM RATIO'!K302)</f>
        <v>10</v>
      </c>
      <c r="J302" s="30">
        <f>SUM('DATA B2'!I303-'DATA B2'!I302)+('DATA B2'!J303-'DATA B2'!J302)</f>
        <v>618</v>
      </c>
      <c r="K302" s="28">
        <f t="shared" si="88"/>
        <v>61.8</v>
      </c>
      <c r="L302" s="28">
        <f t="shared" si="89"/>
        <v>55.555555555555557</v>
      </c>
      <c r="M302" s="89">
        <f>SUM('WATER_STEAM RATIO'!Q302)</f>
        <v>0</v>
      </c>
      <c r="N302" s="9">
        <f>SUM('DATA B3'!H303-'DATA B3'!H302)</f>
        <v>0</v>
      </c>
      <c r="O302" s="88">
        <f t="shared" si="90"/>
        <v>0</v>
      </c>
      <c r="P302" s="15">
        <f t="shared" si="91"/>
        <v>0</v>
      </c>
    </row>
    <row r="303" spans="3:16">
      <c r="C303" s="292"/>
      <c r="D303" s="43">
        <v>0.54166666666666696</v>
      </c>
      <c r="E303" s="5">
        <f>SUM('WATER_STEAM RATIO'!E303)</f>
        <v>0</v>
      </c>
      <c r="F303" s="9">
        <f>SUM('DATA B1'!I304-'DATA B1'!I303)+('DATA B1'!J304-'DATA B1'!J303)</f>
        <v>0</v>
      </c>
      <c r="G303" s="28">
        <f t="shared" si="86"/>
        <v>0</v>
      </c>
      <c r="H303" s="28">
        <f t="shared" si="87"/>
        <v>0</v>
      </c>
      <c r="I303" s="24">
        <f>SUM('WATER_STEAM RATIO'!K303)</f>
        <v>10</v>
      </c>
      <c r="J303" s="30">
        <f>SUM('DATA B2'!I304-'DATA B2'!I303)+('DATA B2'!J304-'DATA B2'!J303)</f>
        <v>612</v>
      </c>
      <c r="K303" s="28">
        <f t="shared" si="88"/>
        <v>61.2</v>
      </c>
      <c r="L303" s="28">
        <f t="shared" si="89"/>
        <v>55.555555555555557</v>
      </c>
      <c r="M303" s="89">
        <f>SUM('WATER_STEAM RATIO'!Q303)</f>
        <v>0</v>
      </c>
      <c r="N303" s="9">
        <f>SUM('DATA B3'!H304-'DATA B3'!H303)</f>
        <v>0</v>
      </c>
      <c r="O303" s="88">
        <f t="shared" si="90"/>
        <v>0</v>
      </c>
      <c r="P303" s="15">
        <f t="shared" si="91"/>
        <v>0</v>
      </c>
    </row>
    <row r="304" spans="3:16">
      <c r="C304" s="292"/>
      <c r="D304" s="43">
        <v>0.58333333333333304</v>
      </c>
      <c r="E304" s="5">
        <f>SUM('WATER_STEAM RATIO'!E304)</f>
        <v>0</v>
      </c>
      <c r="F304" s="9">
        <f>SUM('DATA B1'!I305-'DATA B1'!I304)+('DATA B1'!J305-'DATA B1'!J304)</f>
        <v>0</v>
      </c>
      <c r="G304" s="28">
        <f t="shared" si="86"/>
        <v>0</v>
      </c>
      <c r="H304" s="28">
        <f t="shared" si="87"/>
        <v>0</v>
      </c>
      <c r="I304" s="24">
        <f>SUM('WATER_STEAM RATIO'!K304)</f>
        <v>11</v>
      </c>
      <c r="J304" s="30">
        <f>SUM('DATA B2'!I305-'DATA B2'!I304)+('DATA B2'!J305-'DATA B2'!J304)</f>
        <v>661</v>
      </c>
      <c r="K304" s="28">
        <f t="shared" si="88"/>
        <v>60.090909090909093</v>
      </c>
      <c r="L304" s="28">
        <f t="shared" si="89"/>
        <v>61.111111111111114</v>
      </c>
      <c r="M304" s="89">
        <f>SUM('WATER_STEAM RATIO'!Q304)</f>
        <v>0</v>
      </c>
      <c r="N304" s="9">
        <f>SUM('DATA B3'!H305-'DATA B3'!H304)</f>
        <v>0</v>
      </c>
      <c r="O304" s="88">
        <f t="shared" si="90"/>
        <v>0</v>
      </c>
      <c r="P304" s="15">
        <f t="shared" si="91"/>
        <v>0</v>
      </c>
    </row>
    <row r="305" spans="3:16">
      <c r="C305" s="292"/>
      <c r="D305" s="43">
        <v>0.625</v>
      </c>
      <c r="E305" s="5">
        <f>SUM('WATER_STEAM RATIO'!E305)</f>
        <v>0</v>
      </c>
      <c r="F305" s="9">
        <f>SUM('DATA B1'!I306-'DATA B1'!I305)+('DATA B1'!J306-'DATA B1'!J305)</f>
        <v>0</v>
      </c>
      <c r="G305" s="28">
        <f t="shared" si="86"/>
        <v>0</v>
      </c>
      <c r="H305" s="28">
        <f t="shared" si="87"/>
        <v>0</v>
      </c>
      <c r="I305" s="24">
        <f>SUM('WATER_STEAM RATIO'!K305)</f>
        <v>11</v>
      </c>
      <c r="J305" s="30">
        <f>SUM('DATA B2'!I306-'DATA B2'!I305)+('DATA B2'!J306-'DATA B2'!J305)</f>
        <v>655</v>
      </c>
      <c r="K305" s="28">
        <f t="shared" si="88"/>
        <v>59.545454545454547</v>
      </c>
      <c r="L305" s="28">
        <f t="shared" si="89"/>
        <v>61.111111111111114</v>
      </c>
      <c r="M305" s="89">
        <f>SUM('WATER_STEAM RATIO'!Q305)</f>
        <v>0</v>
      </c>
      <c r="N305" s="9">
        <f>SUM('DATA B3'!H306-'DATA B3'!H305)</f>
        <v>0</v>
      </c>
      <c r="O305" s="88">
        <f t="shared" si="90"/>
        <v>0</v>
      </c>
      <c r="P305" s="15">
        <f t="shared" si="91"/>
        <v>0</v>
      </c>
    </row>
    <row r="306" spans="3:16">
      <c r="C306" s="292"/>
      <c r="D306" s="43">
        <v>0.66666666666666596</v>
      </c>
      <c r="E306" s="5">
        <f>SUM('WATER_STEAM RATIO'!E306)</f>
        <v>0</v>
      </c>
      <c r="F306" s="9">
        <f>SUM('DATA B1'!I307-'DATA B1'!I306)+('DATA B1'!J307-'DATA B1'!J306)</f>
        <v>0</v>
      </c>
      <c r="G306" s="28">
        <f t="shared" si="86"/>
        <v>0</v>
      </c>
      <c r="H306" s="28">
        <f t="shared" si="87"/>
        <v>0</v>
      </c>
      <c r="I306" s="24">
        <f>SUM('WATER_STEAM RATIO'!K306)</f>
        <v>10</v>
      </c>
      <c r="J306" s="30">
        <f>SUM('DATA B2'!I307-'DATA B2'!I306)+('DATA B2'!J307-'DATA B2'!J306)</f>
        <v>608</v>
      </c>
      <c r="K306" s="28">
        <f t="shared" si="88"/>
        <v>60.8</v>
      </c>
      <c r="L306" s="28">
        <f t="shared" si="89"/>
        <v>55.555555555555557</v>
      </c>
      <c r="M306" s="89">
        <f>SUM('WATER_STEAM RATIO'!Q306)</f>
        <v>0</v>
      </c>
      <c r="N306" s="9">
        <f>SUM('DATA B3'!H307-'DATA B3'!H306)</f>
        <v>0</v>
      </c>
      <c r="O306" s="88">
        <f t="shared" si="90"/>
        <v>0</v>
      </c>
      <c r="P306" s="15">
        <f t="shared" si="91"/>
        <v>0</v>
      </c>
    </row>
    <row r="307" spans="3:16">
      <c r="C307" s="292"/>
      <c r="D307" s="43">
        <v>0.70833333333333304</v>
      </c>
      <c r="E307" s="5">
        <f>SUM('WATER_STEAM RATIO'!E307)</f>
        <v>0</v>
      </c>
      <c r="F307" s="9">
        <f>SUM('DATA B1'!I308-'DATA B1'!I307)+('DATA B1'!J308-'DATA B1'!J307)</f>
        <v>0</v>
      </c>
      <c r="G307" s="28">
        <f t="shared" si="86"/>
        <v>0</v>
      </c>
      <c r="H307" s="28">
        <f t="shared" si="87"/>
        <v>0</v>
      </c>
      <c r="I307" s="24">
        <f>SUM('WATER_STEAM RATIO'!K307)</f>
        <v>11</v>
      </c>
      <c r="J307" s="30">
        <f>SUM('DATA B2'!I308-'DATA B2'!I307)+('DATA B2'!J308-'DATA B2'!J307)</f>
        <v>654</v>
      </c>
      <c r="K307" s="28">
        <f t="shared" si="88"/>
        <v>59.454545454545453</v>
      </c>
      <c r="L307" s="28">
        <f t="shared" si="89"/>
        <v>61.111111111111114</v>
      </c>
      <c r="M307" s="89">
        <f>SUM('WATER_STEAM RATIO'!Q307)</f>
        <v>0</v>
      </c>
      <c r="N307" s="9">
        <f>SUM('DATA B3'!H308-'DATA B3'!H307)</f>
        <v>0</v>
      </c>
      <c r="O307" s="88">
        <f t="shared" si="90"/>
        <v>0</v>
      </c>
      <c r="P307" s="15">
        <f t="shared" si="91"/>
        <v>0</v>
      </c>
    </row>
    <row r="308" spans="3:16">
      <c r="C308" s="292"/>
      <c r="D308" s="43">
        <v>0.75</v>
      </c>
      <c r="E308" s="5">
        <f>SUM('WATER_STEAM RATIO'!E308)</f>
        <v>0</v>
      </c>
      <c r="F308" s="9">
        <f>SUM('DATA B1'!I309-'DATA B1'!I308)+('DATA B1'!J309-'DATA B1'!J308)</f>
        <v>0</v>
      </c>
      <c r="G308" s="28">
        <f t="shared" si="86"/>
        <v>0</v>
      </c>
      <c r="H308" s="28">
        <f t="shared" si="87"/>
        <v>0</v>
      </c>
      <c r="I308" s="24">
        <f>SUM('WATER_STEAM RATIO'!K308)</f>
        <v>11</v>
      </c>
      <c r="J308" s="30">
        <f>SUM('DATA B2'!I309-'DATA B2'!I308)+('DATA B2'!J309-'DATA B2'!J308)</f>
        <v>652</v>
      </c>
      <c r="K308" s="28">
        <f t="shared" si="88"/>
        <v>59.272727272727273</v>
      </c>
      <c r="L308" s="28">
        <f t="shared" si="89"/>
        <v>61.111111111111114</v>
      </c>
      <c r="M308" s="89">
        <f>SUM('WATER_STEAM RATIO'!Q308)</f>
        <v>0</v>
      </c>
      <c r="N308" s="9">
        <f>SUM('DATA B3'!H309-'DATA B3'!H308)</f>
        <v>0</v>
      </c>
      <c r="O308" s="88">
        <f t="shared" si="90"/>
        <v>0</v>
      </c>
      <c r="P308" s="15">
        <f t="shared" si="91"/>
        <v>0</v>
      </c>
    </row>
    <row r="309" spans="3:16">
      <c r="C309" s="292"/>
      <c r="D309" s="43">
        <v>0.79166666666666596</v>
      </c>
      <c r="E309" s="5">
        <f>SUM('WATER_STEAM RATIO'!E309)</f>
        <v>0</v>
      </c>
      <c r="F309" s="9">
        <f>SUM('DATA B1'!I310-'DATA B1'!I309)+('DATA B1'!J310-'DATA B1'!J309)</f>
        <v>0</v>
      </c>
      <c r="G309" s="28">
        <f t="shared" si="86"/>
        <v>0</v>
      </c>
      <c r="H309" s="28">
        <f t="shared" si="87"/>
        <v>0</v>
      </c>
      <c r="I309" s="24">
        <f>SUM('WATER_STEAM RATIO'!K309)</f>
        <v>11</v>
      </c>
      <c r="J309" s="30">
        <f>SUM('DATA B2'!I310-'DATA B2'!I309)+('DATA B2'!J310-'DATA B2'!J309)</f>
        <v>641</v>
      </c>
      <c r="K309" s="28">
        <f t="shared" si="88"/>
        <v>58.272727272727273</v>
      </c>
      <c r="L309" s="28">
        <f t="shared" si="89"/>
        <v>61.111111111111114</v>
      </c>
      <c r="M309" s="89">
        <f>SUM('WATER_STEAM RATIO'!Q309)</f>
        <v>0</v>
      </c>
      <c r="N309" s="9">
        <f>SUM('DATA B3'!H310-'DATA B3'!H309)</f>
        <v>0</v>
      </c>
      <c r="O309" s="88">
        <f t="shared" si="90"/>
        <v>0</v>
      </c>
      <c r="P309" s="15">
        <f t="shared" si="91"/>
        <v>0</v>
      </c>
    </row>
    <row r="310" spans="3:16">
      <c r="C310" s="292"/>
      <c r="D310" s="43">
        <v>0.83333333333333304</v>
      </c>
      <c r="E310" s="5">
        <f>SUM('WATER_STEAM RATIO'!E310)</f>
        <v>0</v>
      </c>
      <c r="F310" s="9">
        <f>SUM('DATA B1'!I311-'DATA B1'!I310)+('DATA B1'!J311-'DATA B1'!J310)</f>
        <v>0</v>
      </c>
      <c r="G310" s="28">
        <f t="shared" si="86"/>
        <v>0</v>
      </c>
      <c r="H310" s="28">
        <f t="shared" si="87"/>
        <v>0</v>
      </c>
      <c r="I310" s="24">
        <f>SUM('WATER_STEAM RATIO'!K310)</f>
        <v>8</v>
      </c>
      <c r="J310" s="30">
        <f>SUM('DATA B2'!I311-'DATA B2'!I310)+('DATA B2'!J311-'DATA B2'!J310)</f>
        <v>573</v>
      </c>
      <c r="K310" s="28">
        <f t="shared" si="88"/>
        <v>71.625</v>
      </c>
      <c r="L310" s="28">
        <f>IFERROR((I310/18)*100,0)</f>
        <v>44.444444444444443</v>
      </c>
      <c r="M310" s="89">
        <f>SUM('WATER_STEAM RATIO'!Q310)</f>
        <v>0</v>
      </c>
      <c r="N310" s="9">
        <f>SUM('DATA B3'!H311-'DATA B3'!H310)</f>
        <v>0</v>
      </c>
      <c r="O310" s="88">
        <f t="shared" si="90"/>
        <v>0</v>
      </c>
      <c r="P310" s="15">
        <f t="shared" si="91"/>
        <v>0</v>
      </c>
    </row>
    <row r="311" spans="3:16">
      <c r="C311" s="292"/>
      <c r="D311" s="43">
        <v>0.875</v>
      </c>
      <c r="E311" s="5">
        <f>SUM('WATER_STEAM RATIO'!E311)</f>
        <v>0</v>
      </c>
      <c r="F311" s="9">
        <f>SUM('DATA B1'!I312-'DATA B1'!I311)+('DATA B1'!J312-'DATA B1'!J311)</f>
        <v>0</v>
      </c>
      <c r="G311" s="28">
        <f t="shared" si="86"/>
        <v>0</v>
      </c>
      <c r="H311" s="28">
        <f t="shared" si="87"/>
        <v>0</v>
      </c>
      <c r="I311" s="24">
        <f>SUM('WATER_STEAM RATIO'!K311)</f>
        <v>7</v>
      </c>
      <c r="J311" s="30">
        <f>SUM('DATA B2'!I312-'DATA B2'!I311)+('DATA B2'!J312-'DATA B2'!J311)</f>
        <v>447</v>
      </c>
      <c r="K311" s="28">
        <f t="shared" si="88"/>
        <v>63.857142857142854</v>
      </c>
      <c r="L311" s="28">
        <f t="shared" ref="L311:L321" si="92">IFERROR((I311/18)*100,0)</f>
        <v>38.888888888888893</v>
      </c>
      <c r="M311" s="89">
        <f>SUM('WATER_STEAM RATIO'!Q311)</f>
        <v>0</v>
      </c>
      <c r="N311" s="9">
        <f>SUM('DATA B3'!H312-'DATA B3'!H311)</f>
        <v>0</v>
      </c>
      <c r="O311" s="88">
        <f t="shared" si="90"/>
        <v>0</v>
      </c>
      <c r="P311" s="15">
        <f t="shared" si="91"/>
        <v>0</v>
      </c>
    </row>
    <row r="312" spans="3:16">
      <c r="C312" s="292"/>
      <c r="D312" s="43">
        <v>0.91666666666666596</v>
      </c>
      <c r="E312" s="5">
        <f>SUM('WATER_STEAM RATIO'!E312)</f>
        <v>0</v>
      </c>
      <c r="F312" s="9">
        <f>SUM('DATA B1'!I313-'DATA B1'!I312)+('DATA B1'!J313-'DATA B1'!J312)</f>
        <v>0</v>
      </c>
      <c r="G312" s="28">
        <f t="shared" si="86"/>
        <v>0</v>
      </c>
      <c r="H312" s="28">
        <f t="shared" si="87"/>
        <v>0</v>
      </c>
      <c r="I312" s="24">
        <f>SUM('WATER_STEAM RATIO'!K312)</f>
        <v>8</v>
      </c>
      <c r="J312" s="30">
        <f>SUM('DATA B2'!I313-'DATA B2'!I312)+('DATA B2'!J313-'DATA B2'!J312)</f>
        <v>511</v>
      </c>
      <c r="K312" s="28">
        <f t="shared" si="88"/>
        <v>63.875</v>
      </c>
      <c r="L312" s="28">
        <f t="shared" si="92"/>
        <v>44.444444444444443</v>
      </c>
      <c r="M312" s="89">
        <f>SUM('WATER_STEAM RATIO'!Q312)</f>
        <v>0</v>
      </c>
      <c r="N312" s="9">
        <f>SUM('DATA B3'!H313-'DATA B3'!H312)</f>
        <v>0</v>
      </c>
      <c r="O312" s="88">
        <f t="shared" si="90"/>
        <v>0</v>
      </c>
      <c r="P312" s="15">
        <f>IFERROR((M312/16)*100,0)</f>
        <v>0</v>
      </c>
    </row>
    <row r="313" spans="3:16">
      <c r="C313" s="292"/>
      <c r="D313" s="43">
        <v>0.95833333333333304</v>
      </c>
      <c r="E313" s="5">
        <f>SUM('WATER_STEAM RATIO'!E313)</f>
        <v>0</v>
      </c>
      <c r="F313" s="9">
        <f>SUM('DATA B1'!I314-'DATA B1'!I313)+('DATA B1'!J314-'DATA B1'!J313)</f>
        <v>0</v>
      </c>
      <c r="G313" s="28">
        <f t="shared" si="86"/>
        <v>0</v>
      </c>
      <c r="H313" s="28">
        <f t="shared" si="87"/>
        <v>0</v>
      </c>
      <c r="I313" s="24">
        <f>SUM('WATER_STEAM RATIO'!K313)</f>
        <v>8</v>
      </c>
      <c r="J313" s="30">
        <f>SUM('DATA B2'!I314-'DATA B2'!I313)+('DATA B2'!J314-'DATA B2'!J313)</f>
        <v>522</v>
      </c>
      <c r="K313" s="28">
        <f t="shared" si="88"/>
        <v>65.25</v>
      </c>
      <c r="L313" s="28">
        <f t="shared" si="92"/>
        <v>44.444444444444443</v>
      </c>
      <c r="M313" s="89">
        <f>SUM('WATER_STEAM RATIO'!Q313)</f>
        <v>0</v>
      </c>
      <c r="N313" s="9">
        <f>SUM('DATA B3'!H314-'DATA B3'!H313)</f>
        <v>0</v>
      </c>
      <c r="O313" s="88">
        <f t="shared" si="90"/>
        <v>0</v>
      </c>
      <c r="P313" s="15">
        <f t="shared" si="91"/>
        <v>0</v>
      </c>
    </row>
    <row r="314" spans="3:16">
      <c r="C314" s="292"/>
      <c r="D314" s="43">
        <v>1</v>
      </c>
      <c r="E314" s="5">
        <f>SUM('WATER_STEAM RATIO'!E314)</f>
        <v>0</v>
      </c>
      <c r="F314" s="9">
        <f>SUM('DATA B1'!I315-'DATA B1'!I314)+('DATA B1'!J315-'DATA B1'!J314)</f>
        <v>0</v>
      </c>
      <c r="G314" s="28">
        <f t="shared" si="86"/>
        <v>0</v>
      </c>
      <c r="H314" s="28">
        <f t="shared" si="87"/>
        <v>0</v>
      </c>
      <c r="I314" s="24">
        <f>SUM('WATER_STEAM RATIO'!K314)</f>
        <v>9</v>
      </c>
      <c r="J314" s="30">
        <f>SUM('DATA B2'!I315-'DATA B2'!I314)+('DATA B2'!J315-'DATA B2'!J314)</f>
        <v>557</v>
      </c>
      <c r="K314" s="28">
        <f t="shared" si="88"/>
        <v>61.888888888888886</v>
      </c>
      <c r="L314" s="28">
        <f t="shared" si="92"/>
        <v>50</v>
      </c>
      <c r="M314" s="89">
        <f>SUM('WATER_STEAM RATIO'!Q314)</f>
        <v>0</v>
      </c>
      <c r="N314" s="9">
        <f>SUM('DATA B3'!H315-'DATA B3'!H314)</f>
        <v>0</v>
      </c>
      <c r="O314" s="88">
        <f t="shared" si="90"/>
        <v>0</v>
      </c>
      <c r="P314" s="15">
        <f t="shared" si="91"/>
        <v>0</v>
      </c>
    </row>
    <row r="315" spans="3:16">
      <c r="C315" s="292"/>
      <c r="D315" s="43">
        <v>1.0416666666666701</v>
      </c>
      <c r="E315" s="5">
        <f>SUM('WATER_STEAM RATIO'!E315)</f>
        <v>0</v>
      </c>
      <c r="F315" s="9">
        <f>SUM('DATA B1'!I316-'DATA B1'!I315)+('DATA B1'!J316-'DATA B1'!J315)</f>
        <v>0</v>
      </c>
      <c r="G315" s="28">
        <f t="shared" si="86"/>
        <v>0</v>
      </c>
      <c r="H315" s="28">
        <f t="shared" si="87"/>
        <v>0</v>
      </c>
      <c r="I315" s="24">
        <f>SUM('WATER_STEAM RATIO'!K315)</f>
        <v>9</v>
      </c>
      <c r="J315" s="30">
        <f>SUM('DATA B2'!I316-'DATA B2'!I315)+('DATA B2'!J316-'DATA B2'!J315)</f>
        <v>550</v>
      </c>
      <c r="K315" s="28">
        <f t="shared" si="88"/>
        <v>61.111111111111114</v>
      </c>
      <c r="L315" s="28">
        <f t="shared" si="92"/>
        <v>50</v>
      </c>
      <c r="M315" s="89">
        <f>SUM('WATER_STEAM RATIO'!Q315)</f>
        <v>0</v>
      </c>
      <c r="N315" s="9">
        <f>SUM('DATA B3'!H316-'DATA B3'!H315)</f>
        <v>0</v>
      </c>
      <c r="O315" s="88">
        <f t="shared" si="90"/>
        <v>0</v>
      </c>
      <c r="P315" s="15">
        <f t="shared" si="91"/>
        <v>0</v>
      </c>
    </row>
    <row r="316" spans="3:16">
      <c r="C316" s="292"/>
      <c r="D316" s="43">
        <v>1.0833333333333399</v>
      </c>
      <c r="E316" s="5">
        <f>SUM('WATER_STEAM RATIO'!E316)</f>
        <v>0</v>
      </c>
      <c r="F316" s="9">
        <f>SUM('DATA B1'!I317-'DATA B1'!I316)+('DATA B1'!J317-'DATA B1'!J316)</f>
        <v>0</v>
      </c>
      <c r="G316" s="28">
        <f t="shared" si="86"/>
        <v>0</v>
      </c>
      <c r="H316" s="28">
        <f t="shared" si="87"/>
        <v>0</v>
      </c>
      <c r="I316" s="24">
        <f>SUM('WATER_STEAM RATIO'!K316)</f>
        <v>10</v>
      </c>
      <c r="J316" s="30">
        <f>SUM('DATA B2'!I317-'DATA B2'!I316)+('DATA B2'!J317-'DATA B2'!J316)</f>
        <v>571</v>
      </c>
      <c r="K316" s="28">
        <f t="shared" si="88"/>
        <v>57.1</v>
      </c>
      <c r="L316" s="28">
        <f t="shared" si="92"/>
        <v>55.555555555555557</v>
      </c>
      <c r="M316" s="89">
        <f>SUM('WATER_STEAM RATIO'!Q316)</f>
        <v>0</v>
      </c>
      <c r="N316" s="9">
        <f>SUM('DATA B3'!H317-'DATA B3'!H316)</f>
        <v>0</v>
      </c>
      <c r="O316" s="88">
        <f t="shared" si="90"/>
        <v>0</v>
      </c>
      <c r="P316" s="15">
        <f t="shared" si="91"/>
        <v>0</v>
      </c>
    </row>
    <row r="317" spans="3:16">
      <c r="C317" s="292"/>
      <c r="D317" s="43">
        <v>1.125</v>
      </c>
      <c r="E317" s="5">
        <f>SUM('WATER_STEAM RATIO'!E317)</f>
        <v>0</v>
      </c>
      <c r="F317" s="9">
        <f>SUM('DATA B1'!I318-'DATA B1'!I317)+('DATA B1'!J318-'DATA B1'!J317)</f>
        <v>0</v>
      </c>
      <c r="G317" s="28">
        <f t="shared" si="86"/>
        <v>0</v>
      </c>
      <c r="H317" s="28">
        <f t="shared" si="87"/>
        <v>0</v>
      </c>
      <c r="I317" s="24">
        <f>SUM('WATER_STEAM RATIO'!K317)</f>
        <v>10</v>
      </c>
      <c r="J317" s="30">
        <f>SUM('DATA B2'!I318-'DATA B2'!I317)+('DATA B2'!J318-'DATA B2'!J317)</f>
        <v>588</v>
      </c>
      <c r="K317" s="28">
        <f t="shared" si="88"/>
        <v>58.8</v>
      </c>
      <c r="L317" s="28">
        <f t="shared" si="92"/>
        <v>55.555555555555557</v>
      </c>
      <c r="M317" s="89">
        <f>SUM('WATER_STEAM RATIO'!Q317)</f>
        <v>0</v>
      </c>
      <c r="N317" s="9">
        <f>SUM('DATA B3'!H318-'DATA B3'!H317)</f>
        <v>0</v>
      </c>
      <c r="O317" s="88">
        <f t="shared" ref="O317:O321" si="93">IFERROR(N317/(M317),0)</f>
        <v>0</v>
      </c>
      <c r="P317" s="15">
        <f t="shared" si="91"/>
        <v>0</v>
      </c>
    </row>
    <row r="318" spans="3:16">
      <c r="C318" s="292"/>
      <c r="D318" s="43">
        <v>1.1666666666666701</v>
      </c>
      <c r="E318" s="5">
        <f>SUM('WATER_STEAM RATIO'!E318)</f>
        <v>0</v>
      </c>
      <c r="F318" s="9">
        <f>SUM('DATA B1'!I319-'DATA B1'!I318)+('DATA B1'!J319-'DATA B1'!J318)</f>
        <v>0</v>
      </c>
      <c r="G318" s="28">
        <f t="shared" si="86"/>
        <v>0</v>
      </c>
      <c r="H318" s="28">
        <f t="shared" si="87"/>
        <v>0</v>
      </c>
      <c r="I318" s="24">
        <f>SUM('WATER_STEAM RATIO'!K318)</f>
        <v>9</v>
      </c>
      <c r="J318" s="30">
        <f>SUM('DATA B2'!I319-'DATA B2'!I318)+('DATA B2'!J319-'DATA B2'!J318)</f>
        <v>525</v>
      </c>
      <c r="K318" s="28">
        <f>IFERROR(J318/(I318),0)</f>
        <v>58.333333333333336</v>
      </c>
      <c r="L318" s="28">
        <f t="shared" si="92"/>
        <v>50</v>
      </c>
      <c r="M318" s="89">
        <f>SUM('WATER_STEAM RATIO'!Q318)</f>
        <v>0</v>
      </c>
      <c r="N318" s="9">
        <f>SUM('DATA B3'!H319-'DATA B3'!H318)</f>
        <v>0</v>
      </c>
      <c r="O318" s="88">
        <f t="shared" si="93"/>
        <v>0</v>
      </c>
      <c r="P318" s="15">
        <f t="shared" si="91"/>
        <v>0</v>
      </c>
    </row>
    <row r="319" spans="3:16">
      <c r="C319" s="292"/>
      <c r="D319" s="43">
        <v>1.2083333333333399</v>
      </c>
      <c r="E319" s="5">
        <f>SUM('WATER_STEAM RATIO'!E319)</f>
        <v>0</v>
      </c>
      <c r="F319" s="9">
        <f>SUM('DATA B1'!I320-'DATA B1'!I319)+('DATA B1'!J320-'DATA B1'!J319)</f>
        <v>0</v>
      </c>
      <c r="G319" s="28">
        <f t="shared" si="86"/>
        <v>0</v>
      </c>
      <c r="H319" s="28">
        <f t="shared" si="87"/>
        <v>0</v>
      </c>
      <c r="I319" s="24">
        <f>SUM('WATER_STEAM RATIO'!K319)</f>
        <v>9</v>
      </c>
      <c r="J319" s="30">
        <f>SUM('DATA B2'!I320-'DATA B2'!I319)+('DATA B2'!J320-'DATA B2'!J319)</f>
        <v>529</v>
      </c>
      <c r="K319" s="28">
        <f>IFERROR(J319/(I319),0)</f>
        <v>58.777777777777779</v>
      </c>
      <c r="L319" s="28">
        <f t="shared" si="92"/>
        <v>50</v>
      </c>
      <c r="M319" s="89">
        <f>SUM('WATER_STEAM RATIO'!Q319)</f>
        <v>0</v>
      </c>
      <c r="N319" s="9">
        <f>SUM('DATA B3'!H320-'DATA B3'!H319)</f>
        <v>0</v>
      </c>
      <c r="O319" s="88">
        <f t="shared" si="93"/>
        <v>0</v>
      </c>
      <c r="P319" s="15">
        <f t="shared" si="91"/>
        <v>0</v>
      </c>
    </row>
    <row r="320" spans="3:16">
      <c r="C320" s="292"/>
      <c r="D320" s="43">
        <v>1.25</v>
      </c>
      <c r="E320" s="5">
        <f>SUM('WATER_STEAM RATIO'!E320)</f>
        <v>0</v>
      </c>
      <c r="F320" s="9">
        <f>SUM('DATA B1'!I321-'DATA B1'!I320)+('DATA B1'!J321-'DATA B1'!J320)</f>
        <v>0</v>
      </c>
      <c r="G320" s="28">
        <f t="shared" si="86"/>
        <v>0</v>
      </c>
      <c r="H320" s="28">
        <f t="shared" si="87"/>
        <v>0</v>
      </c>
      <c r="I320" s="24">
        <f>SUM('WATER_STEAM RATIO'!K320)</f>
        <v>9</v>
      </c>
      <c r="J320" s="30">
        <f>SUM('DATA B2'!I321-'DATA B2'!I320)+('DATA B2'!J321-'DATA B2'!J320)</f>
        <v>540</v>
      </c>
      <c r="K320" s="28">
        <f>IFERROR(J320/(I320),0)</f>
        <v>60</v>
      </c>
      <c r="L320" s="28">
        <f t="shared" si="92"/>
        <v>50</v>
      </c>
      <c r="M320" s="89">
        <f>SUM('WATER_STEAM RATIO'!Q320)</f>
        <v>0</v>
      </c>
      <c r="N320" s="9">
        <f>SUM('DATA B3'!H321-'DATA B3'!H320)</f>
        <v>0</v>
      </c>
      <c r="O320" s="88">
        <f t="shared" si="93"/>
        <v>0</v>
      </c>
      <c r="P320" s="15">
        <f t="shared" si="91"/>
        <v>0</v>
      </c>
    </row>
    <row r="321" spans="3:16">
      <c r="C321" s="292"/>
      <c r="D321" s="43">
        <v>1.2916666666666701</v>
      </c>
      <c r="E321" s="5">
        <f>SUM('WATER_STEAM RATIO'!E321)</f>
        <v>0</v>
      </c>
      <c r="F321" s="9">
        <f>SUM('DATA B1'!I322-'DATA B1'!I321)+('DATA B1'!J322-'DATA B1'!J321)</f>
        <v>0</v>
      </c>
      <c r="G321" s="28">
        <f t="shared" si="86"/>
        <v>0</v>
      </c>
      <c r="H321" s="28">
        <f t="shared" si="87"/>
        <v>0</v>
      </c>
      <c r="I321" s="24">
        <f>SUM('WATER_STEAM RATIO'!K321)</f>
        <v>9</v>
      </c>
      <c r="J321" s="30">
        <f>SUM('DATA B2'!I322-'DATA B2'!I321)+('DATA B2'!J322-'DATA B2'!J321)</f>
        <v>539</v>
      </c>
      <c r="K321" s="28">
        <f>IFERROR(J321/(I321),0)</f>
        <v>59.888888888888886</v>
      </c>
      <c r="L321" s="28">
        <f t="shared" si="92"/>
        <v>50</v>
      </c>
      <c r="M321" s="89">
        <f>SUM('WATER_STEAM RATIO'!Q321)</f>
        <v>0</v>
      </c>
      <c r="N321" s="9">
        <f>SUM('DATA B3'!H322-'DATA B3'!H321)</f>
        <v>0</v>
      </c>
      <c r="O321" s="88">
        <f t="shared" si="93"/>
        <v>0</v>
      </c>
      <c r="P321" s="15">
        <f t="shared" si="91"/>
        <v>0</v>
      </c>
    </row>
    <row r="322" spans="3:16">
      <c r="C322" s="293"/>
      <c r="D322" s="258"/>
      <c r="E322" s="91">
        <f>SUMIF(E297:E321,"&gt;=0",E297:E321)</f>
        <v>0</v>
      </c>
      <c r="F322" s="91">
        <f>SUMIF(F297:F321,"&gt;=0",F297:F321)</f>
        <v>0</v>
      </c>
      <c r="G322" s="54">
        <f>IFERROR(F322/E322,0)</f>
        <v>0</v>
      </c>
      <c r="H322" s="54">
        <f>IFERROR(AVERAGE(H298:H321),0)</f>
        <v>0</v>
      </c>
      <c r="I322" s="91">
        <f>SUMIF(I297:I321,"&gt;=0",I297:I321)</f>
        <v>232</v>
      </c>
      <c r="J322" s="91">
        <f>SUMIF(J297:J321,"&gt;=0",J297:J321)</f>
        <v>13681</v>
      </c>
      <c r="K322" s="54">
        <f>IFERROR(J322/(I322),0)</f>
        <v>58.969827586206897</v>
      </c>
      <c r="L322" s="54">
        <f>IFERROR(AVERAGE(L298:L321),0)</f>
        <v>51.851851851851848</v>
      </c>
      <c r="M322" s="91">
        <f>SUMIF(M297:M321,"&gt;=0",M297:M321)</f>
        <v>0</v>
      </c>
      <c r="N322" s="91">
        <f>SUMIF(N297:N321,"&gt;=0",N297:N321)</f>
        <v>0</v>
      </c>
      <c r="O322" s="239">
        <f>IFERROR(N322/(M322),0)</f>
        <v>0</v>
      </c>
      <c r="P322" s="215">
        <f>IFERROR(AVERAGE(P298:P321),0)</f>
        <v>0</v>
      </c>
    </row>
    <row r="323" spans="3:16" ht="15" customHeight="1">
      <c r="C323" s="291">
        <f>SUM('WATER_STEAM RATIO'!B323:B348)</f>
        <v>46035</v>
      </c>
      <c r="D323" s="43">
        <v>0.29166666666666669</v>
      </c>
      <c r="E323" s="5">
        <f>SUM('WATER_STEAM RATIO'!E323)</f>
        <v>0</v>
      </c>
      <c r="F323" s="9"/>
      <c r="G323" s="28"/>
      <c r="H323" s="28"/>
      <c r="I323" s="24">
        <f>SUM('WATER_STEAM RATIO'!K323)</f>
        <v>9</v>
      </c>
      <c r="J323" s="30"/>
      <c r="K323" s="28"/>
      <c r="L323" s="28"/>
      <c r="M323" s="89">
        <f>SUM('WATER_STEAM RATIO'!Q323)</f>
        <v>0</v>
      </c>
      <c r="N323" s="9"/>
      <c r="O323" s="88"/>
      <c r="P323" s="15"/>
    </row>
    <row r="324" spans="3:16">
      <c r="C324" s="292"/>
      <c r="D324" s="43">
        <v>0.33333333333333298</v>
      </c>
      <c r="E324" s="5">
        <f>SUM('WATER_STEAM RATIO'!E324)</f>
        <v>0</v>
      </c>
      <c r="F324" s="9">
        <f>SUM('DATA B1'!I325-'DATA B1'!I324)+('DATA B1'!J325-'DATA B1'!J324)</f>
        <v>0</v>
      </c>
      <c r="G324" s="28">
        <f>IFERROR(F324/(E324),0)</f>
        <v>0</v>
      </c>
      <c r="H324" s="28">
        <f>IFERROR((E324/18)*100,0)</f>
        <v>0</v>
      </c>
      <c r="I324" s="24">
        <f>SUM('WATER_STEAM RATIO'!K324)</f>
        <v>13</v>
      </c>
      <c r="J324" s="30">
        <f>SUM('DATA B2'!I325-'DATA B2'!I324)+('DATA B2'!J325-'DATA B2'!J324)</f>
        <v>806</v>
      </c>
      <c r="K324" s="28">
        <f>IFERROR(J324/(I324),0)</f>
        <v>62</v>
      </c>
      <c r="L324" s="28">
        <f>IFERROR((I324/18)*100,0)</f>
        <v>72.222222222222214</v>
      </c>
      <c r="M324" s="89">
        <f>SUM('WATER_STEAM RATIO'!Q324)</f>
        <v>0</v>
      </c>
      <c r="N324" s="9">
        <f>SUM('DATA B3'!H325-'DATA B3'!H324)</f>
        <v>0</v>
      </c>
      <c r="O324" s="88">
        <f>IFERROR(N324/(M324),0)</f>
        <v>0</v>
      </c>
      <c r="P324" s="15">
        <f>IFERROR((M324/16)*100,0)</f>
        <v>0</v>
      </c>
    </row>
    <row r="325" spans="3:16">
      <c r="C325" s="292"/>
      <c r="D325" s="43">
        <v>0.375</v>
      </c>
      <c r="E325" s="5">
        <f>SUM('WATER_STEAM RATIO'!E325)</f>
        <v>0</v>
      </c>
      <c r="F325" s="9">
        <f>SUM('DATA B1'!I326-'DATA B1'!I325)+('DATA B1'!J326-'DATA B1'!J325)</f>
        <v>0</v>
      </c>
      <c r="G325" s="28">
        <f t="shared" ref="G325:G347" si="94">IFERROR(F325/(E325),0)</f>
        <v>0</v>
      </c>
      <c r="H325" s="28">
        <f t="shared" ref="H325:H347" si="95">IFERROR((E325/18)*100,0)</f>
        <v>0</v>
      </c>
      <c r="I325" s="24">
        <f>SUM('WATER_STEAM RATIO'!K325)</f>
        <v>8</v>
      </c>
      <c r="J325" s="30">
        <f>SUM('DATA B2'!I326-'DATA B2'!I325)+('DATA B2'!J326-'DATA B2'!J325)</f>
        <v>491</v>
      </c>
      <c r="K325" s="28">
        <f t="shared" ref="K325:K343" si="96">IFERROR(J325/(I325),0)</f>
        <v>61.375</v>
      </c>
      <c r="L325" s="28">
        <f t="shared" ref="L325:L335" si="97">IFERROR((I325/18)*100,0)</f>
        <v>44.444444444444443</v>
      </c>
      <c r="M325" s="89">
        <f>SUM('WATER_STEAM RATIO'!Q325)</f>
        <v>0</v>
      </c>
      <c r="N325" s="9">
        <f>SUM('DATA B3'!H326-'DATA B3'!H325)</f>
        <v>0</v>
      </c>
      <c r="O325" s="88">
        <f t="shared" ref="O325:O342" si="98">IFERROR(N325/(M325),0)</f>
        <v>0</v>
      </c>
      <c r="P325" s="15">
        <f t="shared" ref="P325:P347" si="99">IFERROR((M325/16)*100,0)</f>
        <v>0</v>
      </c>
    </row>
    <row r="326" spans="3:16">
      <c r="C326" s="292"/>
      <c r="D326" s="43">
        <v>0.41666666666666702</v>
      </c>
      <c r="E326" s="5">
        <f>SUM('WATER_STEAM RATIO'!E326)</f>
        <v>0</v>
      </c>
      <c r="F326" s="9">
        <f>SUM('DATA B1'!I327-'DATA B1'!I326)+('DATA B1'!J327-'DATA B1'!J326)</f>
        <v>0</v>
      </c>
      <c r="G326" s="28">
        <f t="shared" si="94"/>
        <v>0</v>
      </c>
      <c r="H326" s="28">
        <f t="shared" si="95"/>
        <v>0</v>
      </c>
      <c r="I326" s="24">
        <f>SUM('WATER_STEAM RATIO'!K326)</f>
        <v>8</v>
      </c>
      <c r="J326" s="30">
        <f>SUM('DATA B2'!I327-'DATA B2'!I326)+('DATA B2'!J327-'DATA B2'!J326)</f>
        <v>483</v>
      </c>
      <c r="K326" s="28">
        <f t="shared" si="96"/>
        <v>60.375</v>
      </c>
      <c r="L326" s="28">
        <f t="shared" si="97"/>
        <v>44.444444444444443</v>
      </c>
      <c r="M326" s="89">
        <f>SUM('WATER_STEAM RATIO'!Q326)</f>
        <v>0</v>
      </c>
      <c r="N326" s="9">
        <f>SUM('DATA B3'!H327-'DATA B3'!H326)</f>
        <v>0</v>
      </c>
      <c r="O326" s="88">
        <f t="shared" si="98"/>
        <v>0</v>
      </c>
      <c r="P326" s="15">
        <f t="shared" si="99"/>
        <v>0</v>
      </c>
    </row>
    <row r="327" spans="3:16">
      <c r="C327" s="292"/>
      <c r="D327" s="43">
        <v>0.45833333333333298</v>
      </c>
      <c r="E327" s="5">
        <f>SUM('WATER_STEAM RATIO'!E327)</f>
        <v>0</v>
      </c>
      <c r="F327" s="9">
        <f>SUM('DATA B1'!I328-'DATA B1'!I327)+('DATA B1'!J328-'DATA B1'!J327)</f>
        <v>0</v>
      </c>
      <c r="G327" s="28">
        <f t="shared" si="94"/>
        <v>0</v>
      </c>
      <c r="H327" s="28">
        <f t="shared" si="95"/>
        <v>0</v>
      </c>
      <c r="I327" s="24">
        <f>SUM('WATER_STEAM RATIO'!K327)</f>
        <v>9</v>
      </c>
      <c r="J327" s="30">
        <f>SUM('DATA B2'!I328-'DATA B2'!I327)+('DATA B2'!J328-'DATA B2'!J327)</f>
        <v>515</v>
      </c>
      <c r="K327" s="28">
        <f t="shared" si="96"/>
        <v>57.222222222222221</v>
      </c>
      <c r="L327" s="28">
        <f t="shared" si="97"/>
        <v>50</v>
      </c>
      <c r="M327" s="89">
        <f>SUM('WATER_STEAM RATIO'!Q327)</f>
        <v>0</v>
      </c>
      <c r="N327" s="9">
        <f>SUM('DATA B3'!H328-'DATA B3'!H327)</f>
        <v>0</v>
      </c>
      <c r="O327" s="88">
        <f t="shared" si="98"/>
        <v>0</v>
      </c>
      <c r="P327" s="15">
        <f t="shared" si="99"/>
        <v>0</v>
      </c>
    </row>
    <row r="328" spans="3:16">
      <c r="C328" s="292"/>
      <c r="D328" s="43">
        <v>0.5</v>
      </c>
      <c r="E328" s="5">
        <f>SUM('WATER_STEAM RATIO'!E328)</f>
        <v>0</v>
      </c>
      <c r="F328" s="9">
        <f>SUM('DATA B1'!I329-'DATA B1'!I328)+('DATA B1'!J329-'DATA B1'!J328)</f>
        <v>0</v>
      </c>
      <c r="G328" s="28">
        <f t="shared" si="94"/>
        <v>0</v>
      </c>
      <c r="H328" s="28">
        <f t="shared" si="95"/>
        <v>0</v>
      </c>
      <c r="I328" s="24">
        <f>SUM('WATER_STEAM RATIO'!K328)</f>
        <v>9</v>
      </c>
      <c r="J328" s="30">
        <f>SUM('DATA B2'!I329-'DATA B2'!I328)+('DATA B2'!J329-'DATA B2'!J328)</f>
        <v>567</v>
      </c>
      <c r="K328" s="28">
        <f t="shared" si="96"/>
        <v>63</v>
      </c>
      <c r="L328" s="28">
        <f t="shared" si="97"/>
        <v>50</v>
      </c>
      <c r="M328" s="89">
        <f>SUM('WATER_STEAM RATIO'!Q328)</f>
        <v>0</v>
      </c>
      <c r="N328" s="9">
        <f>SUM('DATA B3'!H329-'DATA B3'!H328)</f>
        <v>0</v>
      </c>
      <c r="O328" s="88">
        <f t="shared" si="98"/>
        <v>0</v>
      </c>
      <c r="P328" s="15">
        <f t="shared" si="99"/>
        <v>0</v>
      </c>
    </row>
    <row r="329" spans="3:16">
      <c r="C329" s="292"/>
      <c r="D329" s="43">
        <v>0.54166666666666696</v>
      </c>
      <c r="E329" s="5">
        <f>SUM('WATER_STEAM RATIO'!E329)</f>
        <v>0</v>
      </c>
      <c r="F329" s="9">
        <f>SUM('DATA B1'!I330-'DATA B1'!I329)+('DATA B1'!J330-'DATA B1'!J329)</f>
        <v>0</v>
      </c>
      <c r="G329" s="28">
        <f t="shared" si="94"/>
        <v>0</v>
      </c>
      <c r="H329" s="28">
        <f t="shared" si="95"/>
        <v>0</v>
      </c>
      <c r="I329" s="24">
        <f>SUM('WATER_STEAM RATIO'!K329)</f>
        <v>9</v>
      </c>
      <c r="J329" s="30">
        <f>SUM('DATA B2'!I330-'DATA B2'!I329)+('DATA B2'!J330-'DATA B2'!J329)</f>
        <v>570</v>
      </c>
      <c r="K329" s="28">
        <f t="shared" si="96"/>
        <v>63.333333333333336</v>
      </c>
      <c r="L329" s="28">
        <f t="shared" si="97"/>
        <v>50</v>
      </c>
      <c r="M329" s="89">
        <f>SUM('WATER_STEAM RATIO'!Q329)</f>
        <v>0</v>
      </c>
      <c r="N329" s="9">
        <f>SUM('DATA B3'!H330-'DATA B3'!H329)</f>
        <v>0</v>
      </c>
      <c r="O329" s="88">
        <f t="shared" si="98"/>
        <v>0</v>
      </c>
      <c r="P329" s="15">
        <f t="shared" si="99"/>
        <v>0</v>
      </c>
    </row>
    <row r="330" spans="3:16">
      <c r="C330" s="292"/>
      <c r="D330" s="43">
        <v>0.58333333333333304</v>
      </c>
      <c r="E330" s="5">
        <f>SUM('WATER_STEAM RATIO'!E330)</f>
        <v>0</v>
      </c>
      <c r="F330" s="9">
        <f>SUM('DATA B1'!I331-'DATA B1'!I330)+('DATA B1'!J331-'DATA B1'!J330)</f>
        <v>0</v>
      </c>
      <c r="G330" s="28">
        <f t="shared" si="94"/>
        <v>0</v>
      </c>
      <c r="H330" s="28">
        <f t="shared" si="95"/>
        <v>0</v>
      </c>
      <c r="I330" s="24">
        <f>SUM('WATER_STEAM RATIO'!K330)</f>
        <v>9</v>
      </c>
      <c r="J330" s="30">
        <f>SUM('DATA B2'!I331-'DATA B2'!I330)+('DATA B2'!J331-'DATA B2'!J330)</f>
        <v>583</v>
      </c>
      <c r="K330" s="28">
        <f t="shared" si="96"/>
        <v>64.777777777777771</v>
      </c>
      <c r="L330" s="28">
        <f t="shared" si="97"/>
        <v>50</v>
      </c>
      <c r="M330" s="89">
        <f>SUM('WATER_STEAM RATIO'!Q330)</f>
        <v>0</v>
      </c>
      <c r="N330" s="9">
        <f>SUM('DATA B3'!H331-'DATA B3'!H330)</f>
        <v>0</v>
      </c>
      <c r="O330" s="88">
        <f t="shared" si="98"/>
        <v>0</v>
      </c>
      <c r="P330" s="15">
        <f t="shared" si="99"/>
        <v>0</v>
      </c>
    </row>
    <row r="331" spans="3:16" ht="14.25" customHeight="1">
      <c r="C331" s="292"/>
      <c r="D331" s="43">
        <v>0.625</v>
      </c>
      <c r="E331" s="5">
        <f>SUM('WATER_STEAM RATIO'!E331)</f>
        <v>0</v>
      </c>
      <c r="F331" s="9">
        <f>SUM('DATA B1'!I332-'DATA B1'!I331)+('DATA B1'!J332-'DATA B1'!J331)</f>
        <v>0</v>
      </c>
      <c r="G331" s="28">
        <f t="shared" si="94"/>
        <v>0</v>
      </c>
      <c r="H331" s="28">
        <f t="shared" si="95"/>
        <v>0</v>
      </c>
      <c r="I331" s="24">
        <f>SUM('WATER_STEAM RATIO'!K331)</f>
        <v>12</v>
      </c>
      <c r="J331" s="30">
        <f>SUM('DATA B2'!I332-'DATA B2'!I331)+('DATA B2'!J332-'DATA B2'!J331)</f>
        <v>855</v>
      </c>
      <c r="K331" s="28">
        <f t="shared" si="96"/>
        <v>71.25</v>
      </c>
      <c r="L331" s="28">
        <f t="shared" si="97"/>
        <v>66.666666666666657</v>
      </c>
      <c r="M331" s="89">
        <f>SUM('WATER_STEAM RATIO'!Q331)</f>
        <v>0</v>
      </c>
      <c r="N331" s="9">
        <f>SUM('DATA B3'!H332-'DATA B3'!H331)</f>
        <v>0</v>
      </c>
      <c r="O331" s="88">
        <f t="shared" si="98"/>
        <v>0</v>
      </c>
      <c r="P331" s="15">
        <f t="shared" si="99"/>
        <v>0</v>
      </c>
    </row>
    <row r="332" spans="3:16">
      <c r="C332" s="292"/>
      <c r="D332" s="43">
        <v>0.66666666666666596</v>
      </c>
      <c r="E332" s="5">
        <f>SUM('WATER_STEAM RATIO'!E332)</f>
        <v>0</v>
      </c>
      <c r="F332" s="9">
        <f>SUM('DATA B1'!I333-'DATA B1'!I332)+('DATA B1'!J333-'DATA B1'!J332)</f>
        <v>0</v>
      </c>
      <c r="G332" s="28">
        <f t="shared" si="94"/>
        <v>0</v>
      </c>
      <c r="H332" s="28">
        <f t="shared" si="95"/>
        <v>0</v>
      </c>
      <c r="I332" s="24">
        <f>SUM('WATER_STEAM RATIO'!K332)</f>
        <v>10</v>
      </c>
      <c r="J332" s="30">
        <f>SUM('DATA B2'!I333-'DATA B2'!I332)+('DATA B2'!J333-'DATA B2'!J332)</f>
        <v>634</v>
      </c>
      <c r="K332" s="28">
        <f t="shared" si="96"/>
        <v>63.4</v>
      </c>
      <c r="L332" s="28">
        <f t="shared" si="97"/>
        <v>55.555555555555557</v>
      </c>
      <c r="M332" s="89">
        <f>SUM('WATER_STEAM RATIO'!Q332)</f>
        <v>0</v>
      </c>
      <c r="N332" s="9">
        <f>SUM('DATA B3'!H333-'DATA B3'!H332)</f>
        <v>0</v>
      </c>
      <c r="O332" s="88">
        <f t="shared" si="98"/>
        <v>0</v>
      </c>
      <c r="P332" s="15">
        <f t="shared" si="99"/>
        <v>0</v>
      </c>
    </row>
    <row r="333" spans="3:16">
      <c r="C333" s="292"/>
      <c r="D333" s="43">
        <v>0.70833333333333304</v>
      </c>
      <c r="E333" s="5">
        <f>SUM('WATER_STEAM RATIO'!E333)</f>
        <v>0</v>
      </c>
      <c r="F333" s="9">
        <f>SUM('DATA B1'!I334-'DATA B1'!I333)+('DATA B1'!J334-'DATA B1'!J333)</f>
        <v>0</v>
      </c>
      <c r="G333" s="28">
        <f t="shared" si="94"/>
        <v>0</v>
      </c>
      <c r="H333" s="28">
        <f t="shared" si="95"/>
        <v>0</v>
      </c>
      <c r="I333" s="24">
        <f>SUM('WATER_STEAM RATIO'!K333)</f>
        <v>10</v>
      </c>
      <c r="J333" s="30">
        <f>SUM('DATA B2'!I334-'DATA B2'!I333)+('DATA B2'!J334-'DATA B2'!J333)</f>
        <v>642</v>
      </c>
      <c r="K333" s="28">
        <f t="shared" si="96"/>
        <v>64.2</v>
      </c>
      <c r="L333" s="28">
        <f t="shared" si="97"/>
        <v>55.555555555555557</v>
      </c>
      <c r="M333" s="89">
        <f>SUM('WATER_STEAM RATIO'!Q333)</f>
        <v>0</v>
      </c>
      <c r="N333" s="9">
        <f>SUM('DATA B3'!H334-'DATA B3'!H333)</f>
        <v>0</v>
      </c>
      <c r="O333" s="88">
        <f t="shared" si="98"/>
        <v>0</v>
      </c>
      <c r="P333" s="15">
        <f t="shared" si="99"/>
        <v>0</v>
      </c>
    </row>
    <row r="334" spans="3:16">
      <c r="C334" s="292"/>
      <c r="D334" s="43">
        <v>0.75</v>
      </c>
      <c r="E334" s="5">
        <f>SUM('WATER_STEAM RATIO'!E334)</f>
        <v>0</v>
      </c>
      <c r="F334" s="9">
        <f>SUM('DATA B1'!I335-'DATA B1'!I334)+('DATA B1'!J335-'DATA B1'!J334)</f>
        <v>0</v>
      </c>
      <c r="G334" s="28">
        <f t="shared" si="94"/>
        <v>0</v>
      </c>
      <c r="H334" s="28">
        <f t="shared" si="95"/>
        <v>0</v>
      </c>
      <c r="I334" s="24">
        <f>SUM('WATER_STEAM RATIO'!K334)</f>
        <v>10</v>
      </c>
      <c r="J334" s="30">
        <f>SUM('DATA B2'!I335-'DATA B2'!I334)+('DATA B2'!J335-'DATA B2'!J334)</f>
        <v>628</v>
      </c>
      <c r="K334" s="28">
        <f t="shared" si="96"/>
        <v>62.8</v>
      </c>
      <c r="L334" s="28">
        <f t="shared" si="97"/>
        <v>55.555555555555557</v>
      </c>
      <c r="M334" s="89">
        <f>SUM('WATER_STEAM RATIO'!Q334)</f>
        <v>0</v>
      </c>
      <c r="N334" s="9">
        <f>SUM('DATA B3'!H335-'DATA B3'!H334)</f>
        <v>0</v>
      </c>
      <c r="O334" s="88">
        <f t="shared" si="98"/>
        <v>0</v>
      </c>
      <c r="P334" s="15">
        <f t="shared" si="99"/>
        <v>0</v>
      </c>
    </row>
    <row r="335" spans="3:16">
      <c r="C335" s="292"/>
      <c r="D335" s="43">
        <v>0.79166666666666596</v>
      </c>
      <c r="E335" s="5">
        <f>SUM('WATER_STEAM RATIO'!E335)</f>
        <v>0</v>
      </c>
      <c r="F335" s="9">
        <f>SUM('DATA B1'!I336-'DATA B1'!I335)+('DATA B1'!J336-'DATA B1'!J335)</f>
        <v>0</v>
      </c>
      <c r="G335" s="28">
        <f t="shared" si="94"/>
        <v>0</v>
      </c>
      <c r="H335" s="28">
        <f t="shared" si="95"/>
        <v>0</v>
      </c>
      <c r="I335" s="24">
        <f>SUM('WATER_STEAM RATIO'!K335)</f>
        <v>13</v>
      </c>
      <c r="J335" s="30">
        <f>SUM('DATA B2'!I336-'DATA B2'!I335)+('DATA B2'!J336-'DATA B2'!J335)</f>
        <v>648</v>
      </c>
      <c r="K335" s="28">
        <f t="shared" si="96"/>
        <v>49.846153846153847</v>
      </c>
      <c r="L335" s="28">
        <f t="shared" si="97"/>
        <v>72.222222222222214</v>
      </c>
      <c r="M335" s="89">
        <f>SUM('WATER_STEAM RATIO'!Q335)</f>
        <v>0</v>
      </c>
      <c r="N335" s="9">
        <f>SUM('DATA B3'!H336-'DATA B3'!H335)</f>
        <v>0</v>
      </c>
      <c r="O335" s="88">
        <f t="shared" si="98"/>
        <v>0</v>
      </c>
      <c r="P335" s="15">
        <f t="shared" si="99"/>
        <v>0</v>
      </c>
    </row>
    <row r="336" spans="3:16">
      <c r="C336" s="292"/>
      <c r="D336" s="43">
        <v>0.83333333333333304</v>
      </c>
      <c r="E336" s="5">
        <f>SUM('WATER_STEAM RATIO'!E336)</f>
        <v>0</v>
      </c>
      <c r="F336" s="9">
        <f>SUM('DATA B1'!I337-'DATA B1'!I336)+('DATA B1'!J337-'DATA B1'!J336)</f>
        <v>0</v>
      </c>
      <c r="G336" s="28">
        <f t="shared" si="94"/>
        <v>0</v>
      </c>
      <c r="H336" s="28">
        <f t="shared" si="95"/>
        <v>0</v>
      </c>
      <c r="I336" s="24">
        <f>SUM('WATER_STEAM RATIO'!K336)</f>
        <v>12</v>
      </c>
      <c r="J336" s="30">
        <f>SUM('DATA B2'!I337-'DATA B2'!I336)+('DATA B2'!J337-'DATA B2'!J336)</f>
        <v>769</v>
      </c>
      <c r="K336" s="28">
        <f t="shared" si="96"/>
        <v>64.083333333333329</v>
      </c>
      <c r="L336" s="28">
        <f>IFERROR((I336/18)*100,0)</f>
        <v>66.666666666666657</v>
      </c>
      <c r="M336" s="89">
        <f>SUM('WATER_STEAM RATIO'!Q336)</f>
        <v>0</v>
      </c>
      <c r="N336" s="9">
        <f>SUM('DATA B3'!H337-'DATA B3'!H336)</f>
        <v>0</v>
      </c>
      <c r="O336" s="88">
        <f t="shared" si="98"/>
        <v>0</v>
      </c>
      <c r="P336" s="15">
        <f t="shared" si="99"/>
        <v>0</v>
      </c>
    </row>
    <row r="337" spans="3:16">
      <c r="C337" s="292"/>
      <c r="D337" s="43">
        <v>0.875</v>
      </c>
      <c r="E337" s="5">
        <f>SUM('WATER_STEAM RATIO'!E337)</f>
        <v>0</v>
      </c>
      <c r="F337" s="9">
        <f>SUM('DATA B1'!I338-'DATA B1'!I337)+('DATA B1'!J338-'DATA B1'!J337)</f>
        <v>0</v>
      </c>
      <c r="G337" s="28">
        <f t="shared" si="94"/>
        <v>0</v>
      </c>
      <c r="H337" s="28">
        <f t="shared" si="95"/>
        <v>0</v>
      </c>
      <c r="I337" s="24">
        <f>SUM('WATER_STEAM RATIO'!K337)</f>
        <v>9</v>
      </c>
      <c r="J337" s="30">
        <f>SUM('DATA B2'!I338-'DATA B2'!I337)+('DATA B2'!J338-'DATA B2'!J337)</f>
        <v>544</v>
      </c>
      <c r="K337" s="28">
        <f t="shared" si="96"/>
        <v>60.444444444444443</v>
      </c>
      <c r="L337" s="28">
        <f t="shared" ref="L337:L347" si="100">IFERROR((I337/18)*100,0)</f>
        <v>50</v>
      </c>
      <c r="M337" s="89">
        <f>SUM('WATER_STEAM RATIO'!Q337)</f>
        <v>0</v>
      </c>
      <c r="N337" s="9">
        <f>SUM('DATA B3'!H338-'DATA B3'!H337)</f>
        <v>0</v>
      </c>
      <c r="O337" s="88">
        <f t="shared" si="98"/>
        <v>0</v>
      </c>
      <c r="P337" s="15">
        <f t="shared" si="99"/>
        <v>0</v>
      </c>
    </row>
    <row r="338" spans="3:16">
      <c r="C338" s="292"/>
      <c r="D338" s="43">
        <v>0.91666666666666596</v>
      </c>
      <c r="E338" s="5">
        <f>SUM('WATER_STEAM RATIO'!E338)</f>
        <v>0</v>
      </c>
      <c r="F338" s="9">
        <f>SUM('DATA B1'!I339-'DATA B1'!I338)+('DATA B1'!J339-'DATA B1'!J338)</f>
        <v>0</v>
      </c>
      <c r="G338" s="28">
        <f t="shared" si="94"/>
        <v>0</v>
      </c>
      <c r="H338" s="28">
        <f t="shared" si="95"/>
        <v>0</v>
      </c>
      <c r="I338" s="24">
        <f>SUM('WATER_STEAM RATIO'!K338)</f>
        <v>10</v>
      </c>
      <c r="J338" s="30">
        <f>SUM('DATA B2'!I339-'DATA B2'!I338)+('DATA B2'!J339-'DATA B2'!J338)</f>
        <v>604</v>
      </c>
      <c r="K338" s="28">
        <f t="shared" si="96"/>
        <v>60.4</v>
      </c>
      <c r="L338" s="28">
        <f t="shared" si="100"/>
        <v>55.555555555555557</v>
      </c>
      <c r="M338" s="89">
        <f>SUM('WATER_STEAM RATIO'!Q338)</f>
        <v>0</v>
      </c>
      <c r="N338" s="9">
        <f>SUM('DATA B3'!H339-'DATA B3'!H338)</f>
        <v>0</v>
      </c>
      <c r="O338" s="88">
        <f t="shared" si="98"/>
        <v>0</v>
      </c>
      <c r="P338" s="15">
        <f>IFERROR((M338/16)*100,0)</f>
        <v>0</v>
      </c>
    </row>
    <row r="339" spans="3:16">
      <c r="C339" s="292"/>
      <c r="D339" s="43">
        <v>0.95833333333333304</v>
      </c>
      <c r="E339" s="5">
        <f>SUM('WATER_STEAM RATIO'!E339)</f>
        <v>0</v>
      </c>
      <c r="F339" s="9">
        <f>SUM('DATA B1'!I340-'DATA B1'!I339)+('DATA B1'!J340-'DATA B1'!J339)</f>
        <v>0</v>
      </c>
      <c r="G339" s="28">
        <f t="shared" si="94"/>
        <v>0</v>
      </c>
      <c r="H339" s="28">
        <f t="shared" si="95"/>
        <v>0</v>
      </c>
      <c r="I339" s="24">
        <f>SUM('WATER_STEAM RATIO'!K339)</f>
        <v>10</v>
      </c>
      <c r="J339" s="30">
        <f>SUM('DATA B2'!I340-'DATA B2'!I339)+('DATA B2'!J340-'DATA B2'!J339)</f>
        <v>617</v>
      </c>
      <c r="K339" s="28">
        <f t="shared" si="96"/>
        <v>61.7</v>
      </c>
      <c r="L339" s="28">
        <f t="shared" si="100"/>
        <v>55.555555555555557</v>
      </c>
      <c r="M339" s="89">
        <f>SUM('WATER_STEAM RATIO'!Q339)</f>
        <v>0</v>
      </c>
      <c r="N339" s="9">
        <f>SUM('DATA B3'!H340-'DATA B3'!H339)</f>
        <v>0</v>
      </c>
      <c r="O339" s="88">
        <f t="shared" si="98"/>
        <v>0</v>
      </c>
      <c r="P339" s="15">
        <f t="shared" si="99"/>
        <v>0</v>
      </c>
    </row>
    <row r="340" spans="3:16">
      <c r="C340" s="292"/>
      <c r="D340" s="43">
        <v>1</v>
      </c>
      <c r="E340" s="5">
        <f>SUM('WATER_STEAM RATIO'!E340)</f>
        <v>0</v>
      </c>
      <c r="F340" s="9">
        <f>SUM('DATA B1'!I341-'DATA B1'!I340)+('DATA B1'!J341-'DATA B1'!J340)</f>
        <v>0</v>
      </c>
      <c r="G340" s="28">
        <f t="shared" si="94"/>
        <v>0</v>
      </c>
      <c r="H340" s="28">
        <f t="shared" si="95"/>
        <v>0</v>
      </c>
      <c r="I340" s="24">
        <f>SUM('WATER_STEAM RATIO'!K340)</f>
        <v>11</v>
      </c>
      <c r="J340" s="30">
        <f>SUM('DATA B2'!I341-'DATA B2'!I340)+('DATA B2'!J341-'DATA B2'!J340)</f>
        <v>689</v>
      </c>
      <c r="K340" s="28">
        <f t="shared" si="96"/>
        <v>62.636363636363633</v>
      </c>
      <c r="L340" s="28">
        <f t="shared" si="100"/>
        <v>61.111111111111114</v>
      </c>
      <c r="M340" s="89">
        <f>SUM('WATER_STEAM RATIO'!Q340)</f>
        <v>0</v>
      </c>
      <c r="N340" s="9">
        <f>SUM('DATA B3'!H341-'DATA B3'!H340)</f>
        <v>0</v>
      </c>
      <c r="O340" s="88">
        <f t="shared" si="98"/>
        <v>0</v>
      </c>
      <c r="P340" s="15">
        <f t="shared" si="99"/>
        <v>0</v>
      </c>
    </row>
    <row r="341" spans="3:16">
      <c r="C341" s="292"/>
      <c r="D341" s="43">
        <v>1.0416666666666701</v>
      </c>
      <c r="E341" s="5">
        <f>SUM('WATER_STEAM RATIO'!E341)</f>
        <v>0</v>
      </c>
      <c r="F341" s="9">
        <f>SUM('DATA B1'!I342-'DATA B1'!I341)+('DATA B1'!J342-'DATA B1'!J341)</f>
        <v>0</v>
      </c>
      <c r="G341" s="28">
        <f t="shared" si="94"/>
        <v>0</v>
      </c>
      <c r="H341" s="28">
        <f t="shared" si="95"/>
        <v>0</v>
      </c>
      <c r="I341" s="24">
        <f>SUM('WATER_STEAM RATIO'!K341)</f>
        <v>11</v>
      </c>
      <c r="J341" s="30">
        <f>SUM('DATA B2'!I342-'DATA B2'!I341)+('DATA B2'!J342-'DATA B2'!J341)</f>
        <v>700</v>
      </c>
      <c r="K341" s="28">
        <f t="shared" si="96"/>
        <v>63.636363636363633</v>
      </c>
      <c r="L341" s="28">
        <f t="shared" si="100"/>
        <v>61.111111111111114</v>
      </c>
      <c r="M341" s="89">
        <f>SUM('WATER_STEAM RATIO'!Q341)</f>
        <v>0</v>
      </c>
      <c r="N341" s="9">
        <f>SUM('DATA B3'!H342-'DATA B3'!H341)</f>
        <v>0</v>
      </c>
      <c r="O341" s="88">
        <f t="shared" si="98"/>
        <v>0</v>
      </c>
      <c r="P341" s="15">
        <f t="shared" si="99"/>
        <v>0</v>
      </c>
    </row>
    <row r="342" spans="3:16">
      <c r="C342" s="292"/>
      <c r="D342" s="43">
        <v>1.0833333333333399</v>
      </c>
      <c r="E342" s="5">
        <f>SUM('WATER_STEAM RATIO'!E342)</f>
        <v>0</v>
      </c>
      <c r="F342" s="9">
        <f>SUM('DATA B1'!I343-'DATA B1'!I342)+('DATA B1'!J343-'DATA B1'!J342)</f>
        <v>0</v>
      </c>
      <c r="G342" s="28">
        <f t="shared" si="94"/>
        <v>0</v>
      </c>
      <c r="H342" s="28">
        <f t="shared" si="95"/>
        <v>0</v>
      </c>
      <c r="I342" s="24">
        <f>SUM('WATER_STEAM RATIO'!K342)</f>
        <v>12</v>
      </c>
      <c r="J342" s="30">
        <f>SUM('DATA B2'!I343-'DATA B2'!I342)+('DATA B2'!J343-'DATA B2'!J342)</f>
        <v>733</v>
      </c>
      <c r="K342" s="28">
        <f t="shared" si="96"/>
        <v>61.083333333333336</v>
      </c>
      <c r="L342" s="28">
        <f t="shared" si="100"/>
        <v>66.666666666666657</v>
      </c>
      <c r="M342" s="89">
        <f>SUM('WATER_STEAM RATIO'!Q342)</f>
        <v>0</v>
      </c>
      <c r="N342" s="9">
        <f>SUM('DATA B3'!H343-'DATA B3'!H342)</f>
        <v>0</v>
      </c>
      <c r="O342" s="88">
        <f t="shared" si="98"/>
        <v>0</v>
      </c>
      <c r="P342" s="15">
        <f t="shared" si="99"/>
        <v>0</v>
      </c>
    </row>
    <row r="343" spans="3:16">
      <c r="C343" s="292"/>
      <c r="D343" s="43">
        <v>1.125</v>
      </c>
      <c r="E343" s="5">
        <f>SUM('WATER_STEAM RATIO'!E343)</f>
        <v>0</v>
      </c>
      <c r="F343" s="9">
        <f>SUM('DATA B1'!I344-'DATA B1'!I343)+('DATA B1'!J344-'DATA B1'!J343)</f>
        <v>0</v>
      </c>
      <c r="G343" s="28">
        <f t="shared" si="94"/>
        <v>0</v>
      </c>
      <c r="H343" s="28">
        <f t="shared" si="95"/>
        <v>0</v>
      </c>
      <c r="I343" s="24">
        <f>SUM('WATER_STEAM RATIO'!K343)</f>
        <v>12</v>
      </c>
      <c r="J343" s="30">
        <f>SUM('DATA B2'!I344-'DATA B2'!I343)+('DATA B2'!J344-'DATA B2'!J343)</f>
        <v>757</v>
      </c>
      <c r="K343" s="28">
        <f t="shared" si="96"/>
        <v>63.083333333333336</v>
      </c>
      <c r="L343" s="28">
        <f t="shared" si="100"/>
        <v>66.666666666666657</v>
      </c>
      <c r="M343" s="89">
        <f>SUM('WATER_STEAM RATIO'!Q343)</f>
        <v>0</v>
      </c>
      <c r="N343" s="9">
        <f>SUM('DATA B3'!H344-'DATA B3'!H343)</f>
        <v>0</v>
      </c>
      <c r="O343" s="88">
        <f t="shared" ref="O343:O347" si="101">IFERROR(N343/(M343),0)</f>
        <v>0</v>
      </c>
      <c r="P343" s="15">
        <f t="shared" si="99"/>
        <v>0</v>
      </c>
    </row>
    <row r="344" spans="3:16">
      <c r="C344" s="292"/>
      <c r="D344" s="43">
        <v>1.1666666666666701</v>
      </c>
      <c r="E344" s="5">
        <f>SUM('WATER_STEAM RATIO'!E344)</f>
        <v>0</v>
      </c>
      <c r="F344" s="9">
        <f>SUM('DATA B1'!I345-'DATA B1'!I344)+('DATA B1'!J345-'DATA B1'!J344)</f>
        <v>0</v>
      </c>
      <c r="G344" s="28">
        <f t="shared" si="94"/>
        <v>0</v>
      </c>
      <c r="H344" s="28">
        <f t="shared" si="95"/>
        <v>0</v>
      </c>
      <c r="I344" s="24">
        <f>SUM('WATER_STEAM RATIO'!K344)</f>
        <v>10</v>
      </c>
      <c r="J344" s="30">
        <f>SUM('DATA B2'!I345-'DATA B2'!I344)+('DATA B2'!J345-'DATA B2'!J344)</f>
        <v>599</v>
      </c>
      <c r="K344" s="28">
        <f>IFERROR(J344/(I344),0)</f>
        <v>59.9</v>
      </c>
      <c r="L344" s="28">
        <f t="shared" si="100"/>
        <v>55.555555555555557</v>
      </c>
      <c r="M344" s="89">
        <f>SUM('WATER_STEAM RATIO'!Q344)</f>
        <v>0</v>
      </c>
      <c r="N344" s="9">
        <f>SUM('DATA B3'!H345-'DATA B3'!H344)</f>
        <v>0</v>
      </c>
      <c r="O344" s="88">
        <f t="shared" si="101"/>
        <v>0</v>
      </c>
      <c r="P344" s="15">
        <f t="shared" si="99"/>
        <v>0</v>
      </c>
    </row>
    <row r="345" spans="3:16">
      <c r="C345" s="292"/>
      <c r="D345" s="43">
        <v>1.2083333333333399</v>
      </c>
      <c r="E345" s="5">
        <f>SUM('WATER_STEAM RATIO'!E345)</f>
        <v>0</v>
      </c>
      <c r="F345" s="9">
        <f>SUM('DATA B1'!I346-'DATA B1'!I345)+('DATA B1'!J346-'DATA B1'!J345)</f>
        <v>0</v>
      </c>
      <c r="G345" s="28">
        <f t="shared" si="94"/>
        <v>0</v>
      </c>
      <c r="H345" s="28">
        <f t="shared" si="95"/>
        <v>0</v>
      </c>
      <c r="I345" s="24">
        <f>SUM('WATER_STEAM RATIO'!K345)</f>
        <v>11</v>
      </c>
      <c r="J345" s="30">
        <f>SUM('DATA B2'!I346-'DATA B2'!I345)+('DATA B2'!J346-'DATA B2'!J345)</f>
        <v>647</v>
      </c>
      <c r="K345" s="28">
        <f>IFERROR(J345/(I345),0)</f>
        <v>58.81818181818182</v>
      </c>
      <c r="L345" s="28">
        <f t="shared" si="100"/>
        <v>61.111111111111114</v>
      </c>
      <c r="M345" s="89">
        <f>SUM('WATER_STEAM RATIO'!Q345)</f>
        <v>0</v>
      </c>
      <c r="N345" s="9">
        <f>SUM('DATA B3'!H346-'DATA B3'!H345)</f>
        <v>0</v>
      </c>
      <c r="O345" s="88">
        <f t="shared" si="101"/>
        <v>0</v>
      </c>
      <c r="P345" s="15">
        <f t="shared" si="99"/>
        <v>0</v>
      </c>
    </row>
    <row r="346" spans="3:16">
      <c r="C346" s="292"/>
      <c r="D346" s="43">
        <v>1.25</v>
      </c>
      <c r="E346" s="5">
        <f>SUM('WATER_STEAM RATIO'!E346)</f>
        <v>0</v>
      </c>
      <c r="F346" s="9">
        <f>SUM('DATA B1'!I347-'DATA B1'!I346)+('DATA B1'!J347-'DATA B1'!J346)</f>
        <v>0</v>
      </c>
      <c r="G346" s="28">
        <f t="shared" si="94"/>
        <v>0</v>
      </c>
      <c r="H346" s="28">
        <f t="shared" si="95"/>
        <v>0</v>
      </c>
      <c r="I346" s="24">
        <f>SUM('WATER_STEAM RATIO'!K346)</f>
        <v>11</v>
      </c>
      <c r="J346" s="30">
        <f>SUM('DATA B2'!I347-'DATA B2'!I346)+('DATA B2'!J347-'DATA B2'!J346)</f>
        <v>690</v>
      </c>
      <c r="K346" s="28">
        <f>IFERROR(J346/(I346),0)</f>
        <v>62.727272727272727</v>
      </c>
      <c r="L346" s="28">
        <f t="shared" si="100"/>
        <v>61.111111111111114</v>
      </c>
      <c r="M346" s="89">
        <f>SUM('WATER_STEAM RATIO'!Q346)</f>
        <v>0</v>
      </c>
      <c r="N346" s="9">
        <f>SUM('DATA B3'!H347-'DATA B3'!H346)</f>
        <v>0</v>
      </c>
      <c r="O346" s="88">
        <f t="shared" si="101"/>
        <v>0</v>
      </c>
      <c r="P346" s="15">
        <f t="shared" si="99"/>
        <v>0</v>
      </c>
    </row>
    <row r="347" spans="3:16">
      <c r="C347" s="292"/>
      <c r="D347" s="43">
        <v>1.2916666666666701</v>
      </c>
      <c r="E347" s="5">
        <f>SUM('WATER_STEAM RATIO'!E347)</f>
        <v>0</v>
      </c>
      <c r="F347" s="9">
        <f>SUM('DATA B1'!I348-'DATA B1'!I347)+('DATA B1'!J348-'DATA B1'!J347)</f>
        <v>0</v>
      </c>
      <c r="G347" s="28">
        <f t="shared" si="94"/>
        <v>0</v>
      </c>
      <c r="H347" s="28">
        <f t="shared" si="95"/>
        <v>0</v>
      </c>
      <c r="I347" s="24">
        <f>SUM('WATER_STEAM RATIO'!K347)</f>
        <v>11</v>
      </c>
      <c r="J347" s="30">
        <f>SUM('DATA B2'!I348-'DATA B2'!I347)+('DATA B2'!J348-'DATA B2'!J347)</f>
        <v>657</v>
      </c>
      <c r="K347" s="28">
        <f>IFERROR(J347/(I347),0)</f>
        <v>59.727272727272727</v>
      </c>
      <c r="L347" s="28">
        <f t="shared" si="100"/>
        <v>61.111111111111114</v>
      </c>
      <c r="M347" s="89">
        <f>SUM('WATER_STEAM RATIO'!Q347)</f>
        <v>0</v>
      </c>
      <c r="N347" s="9">
        <f>SUM('DATA B3'!H348-'DATA B3'!H347)</f>
        <v>0</v>
      </c>
      <c r="O347" s="88">
        <f t="shared" si="101"/>
        <v>0</v>
      </c>
      <c r="P347" s="15">
        <f t="shared" si="99"/>
        <v>0</v>
      </c>
    </row>
    <row r="348" spans="3:16">
      <c r="C348" s="293"/>
      <c r="D348" s="258"/>
      <c r="E348" s="91">
        <f>SUMIF(E323:E347,"&gt;=0",E323:E347)</f>
        <v>0</v>
      </c>
      <c r="F348" s="91">
        <f>SUMIF(F323:F347,"&gt;=0",F323:F347)</f>
        <v>0</v>
      </c>
      <c r="G348" s="54">
        <f>IFERROR(F348/E348,0)</f>
        <v>0</v>
      </c>
      <c r="H348" s="54">
        <f>IFERROR(AVERAGE(H324:H347),0)</f>
        <v>0</v>
      </c>
      <c r="I348" s="91">
        <f>SUMIF(I323:I347,"&gt;=0",I323:I347)</f>
        <v>259</v>
      </c>
      <c r="J348" s="91">
        <f>SUMIF(J323:J347,"&gt;=0",J323:J347)</f>
        <v>15428</v>
      </c>
      <c r="K348" s="54">
        <f>IFERROR(J348/(I348),0)</f>
        <v>59.567567567567565</v>
      </c>
      <c r="L348" s="54">
        <f>IFERROR(AVERAGE(L324:L347),0)</f>
        <v>57.87037037037036</v>
      </c>
      <c r="M348" s="91">
        <f>SUMIF(M323:M347,"&gt;=0",M323:M347)</f>
        <v>0</v>
      </c>
      <c r="N348" s="91">
        <f>SUMIF(N323:N347,"&gt;=0",N323:N347)</f>
        <v>0</v>
      </c>
      <c r="O348" s="239">
        <f>IFERROR(N348/(M348),0)</f>
        <v>0</v>
      </c>
      <c r="P348" s="215">
        <f>IFERROR(AVERAGE(P324:P347),0)</f>
        <v>0</v>
      </c>
    </row>
    <row r="349" spans="3:16" ht="15" customHeight="1">
      <c r="C349" s="291">
        <f>SUM('WATER_STEAM RATIO'!B349:B374)</f>
        <v>46036</v>
      </c>
      <c r="D349" s="43">
        <v>0.29166666666666669</v>
      </c>
      <c r="E349" s="5">
        <f>SUM('WATER_STEAM RATIO'!E349)</f>
        <v>0</v>
      </c>
      <c r="F349" s="9"/>
      <c r="G349" s="28"/>
      <c r="H349" s="28"/>
      <c r="I349" s="24">
        <f>SUM('WATER_STEAM RATIO'!K349)</f>
        <v>11</v>
      </c>
      <c r="J349" s="30"/>
      <c r="K349" s="28"/>
      <c r="L349" s="28"/>
      <c r="M349" s="89">
        <f>SUM('WATER_STEAM RATIO'!Q349)</f>
        <v>0</v>
      </c>
      <c r="N349" s="9"/>
      <c r="O349" s="88"/>
      <c r="P349" s="15"/>
    </row>
    <row r="350" spans="3:16">
      <c r="C350" s="292"/>
      <c r="D350" s="43">
        <v>0.33333333333333298</v>
      </c>
      <c r="E350" s="5">
        <f>SUM('WATER_STEAM RATIO'!E350)</f>
        <v>0</v>
      </c>
      <c r="F350" s="9">
        <f>SUM('DATA B1'!I351-'DATA B1'!I350)+('DATA B1'!J351-'DATA B1'!J350)</f>
        <v>0</v>
      </c>
      <c r="G350" s="28">
        <f>IFERROR(F350/(E350),0)</f>
        <v>0</v>
      </c>
      <c r="H350" s="28">
        <f>IFERROR((E350/18)*100,0)</f>
        <v>0</v>
      </c>
      <c r="I350" s="24">
        <f>SUM('WATER_STEAM RATIO'!K350)</f>
        <v>16</v>
      </c>
      <c r="J350" s="30">
        <f>SUM('DATA B2'!I351-'DATA B2'!I350)+('DATA B2'!J351-'DATA B2'!J350)</f>
        <v>961</v>
      </c>
      <c r="K350" s="28">
        <f>IFERROR(J350/(I350),0)</f>
        <v>60.0625</v>
      </c>
      <c r="L350" s="28">
        <f>IFERROR((I350/18)*100,0)</f>
        <v>88.888888888888886</v>
      </c>
      <c r="M350" s="89">
        <f>SUM('WATER_STEAM RATIO'!Q350)</f>
        <v>0</v>
      </c>
      <c r="N350" s="9">
        <f>SUM('DATA B3'!H351-'DATA B3'!H350)</f>
        <v>0</v>
      </c>
      <c r="O350" s="88">
        <f>IFERROR(N350/(M350),0)</f>
        <v>0</v>
      </c>
      <c r="P350" s="15">
        <f>IFERROR((M350/16)*100,0)</f>
        <v>0</v>
      </c>
    </row>
    <row r="351" spans="3:16">
      <c r="C351" s="292"/>
      <c r="D351" s="43">
        <v>0.375</v>
      </c>
      <c r="E351" s="5">
        <f>SUM('WATER_STEAM RATIO'!E351)</f>
        <v>0</v>
      </c>
      <c r="F351" s="9">
        <f>SUM('DATA B1'!I352-'DATA B1'!I351)+('DATA B1'!J352-'DATA B1'!J351)</f>
        <v>0</v>
      </c>
      <c r="G351" s="28">
        <f t="shared" ref="G351:G373" si="102">IFERROR(F351/(E351),0)</f>
        <v>0</v>
      </c>
      <c r="H351" s="28">
        <f t="shared" ref="H351:H373" si="103">IFERROR((E351/18)*100,0)</f>
        <v>0</v>
      </c>
      <c r="I351" s="24">
        <f>SUM('WATER_STEAM RATIO'!K351)</f>
        <v>9</v>
      </c>
      <c r="J351" s="30">
        <f>SUM('DATA B2'!I352-'DATA B2'!I351)+('DATA B2'!J352-'DATA B2'!J351)</f>
        <v>612</v>
      </c>
      <c r="K351" s="28">
        <f t="shared" ref="K351:K369" si="104">IFERROR(J351/(I351),0)</f>
        <v>68</v>
      </c>
      <c r="L351" s="28">
        <f t="shared" ref="L351:L361" si="105">IFERROR((I351/18)*100,0)</f>
        <v>50</v>
      </c>
      <c r="M351" s="89">
        <f>SUM('WATER_STEAM RATIO'!Q351)</f>
        <v>0</v>
      </c>
      <c r="N351" s="9">
        <f>SUM('DATA B3'!H352-'DATA B3'!H351)</f>
        <v>0</v>
      </c>
      <c r="O351" s="88">
        <f t="shared" ref="O351:O368" si="106">IFERROR(N351/(M351),0)</f>
        <v>0</v>
      </c>
      <c r="P351" s="15">
        <f t="shared" ref="P351:P373" si="107">IFERROR((M351/16)*100,0)</f>
        <v>0</v>
      </c>
    </row>
    <row r="352" spans="3:16">
      <c r="C352" s="292"/>
      <c r="D352" s="43">
        <v>0.41666666666666702</v>
      </c>
      <c r="E352" s="5">
        <f>SUM('WATER_STEAM RATIO'!E352)</f>
        <v>0</v>
      </c>
      <c r="F352" s="9">
        <f>SUM('DATA B1'!I353-'DATA B1'!I352)+('DATA B1'!J353-'DATA B1'!J352)</f>
        <v>0</v>
      </c>
      <c r="G352" s="28">
        <f t="shared" si="102"/>
        <v>0</v>
      </c>
      <c r="H352" s="28">
        <f t="shared" si="103"/>
        <v>0</v>
      </c>
      <c r="I352" s="24">
        <f>SUM('WATER_STEAM RATIO'!K352)</f>
        <v>9</v>
      </c>
      <c r="J352" s="30">
        <f>SUM('DATA B2'!I353-'DATA B2'!I352)+('DATA B2'!J353-'DATA B2'!J352)</f>
        <v>624</v>
      </c>
      <c r="K352" s="28">
        <f t="shared" si="104"/>
        <v>69.333333333333329</v>
      </c>
      <c r="L352" s="28">
        <f t="shared" si="105"/>
        <v>50</v>
      </c>
      <c r="M352" s="89">
        <f>SUM('WATER_STEAM RATIO'!Q352)</f>
        <v>0</v>
      </c>
      <c r="N352" s="9">
        <f>SUM('DATA B3'!H353-'DATA B3'!H352)</f>
        <v>0</v>
      </c>
      <c r="O352" s="88">
        <f t="shared" si="106"/>
        <v>0</v>
      </c>
      <c r="P352" s="15">
        <f t="shared" si="107"/>
        <v>0</v>
      </c>
    </row>
    <row r="353" spans="3:16">
      <c r="C353" s="292"/>
      <c r="D353" s="43">
        <v>0.45833333333333298</v>
      </c>
      <c r="E353" s="5">
        <f>SUM('WATER_STEAM RATIO'!E353)</f>
        <v>0</v>
      </c>
      <c r="F353" s="9">
        <f>SUM('DATA B1'!I354-'DATA B1'!I353)+('DATA B1'!J354-'DATA B1'!J353)</f>
        <v>0</v>
      </c>
      <c r="G353" s="28">
        <f t="shared" si="102"/>
        <v>0</v>
      </c>
      <c r="H353" s="28">
        <f t="shared" si="103"/>
        <v>0</v>
      </c>
      <c r="I353" s="24">
        <f>SUM('WATER_STEAM RATIO'!K353)</f>
        <v>9</v>
      </c>
      <c r="J353" s="30">
        <f>SUM('DATA B2'!I354-'DATA B2'!I353)+('DATA B2'!J354-'DATA B2'!J353)</f>
        <v>630</v>
      </c>
      <c r="K353" s="28">
        <f t="shared" si="104"/>
        <v>70</v>
      </c>
      <c r="L353" s="28">
        <f t="shared" si="105"/>
        <v>50</v>
      </c>
      <c r="M353" s="89">
        <f>SUM('WATER_STEAM RATIO'!Q353)</f>
        <v>0</v>
      </c>
      <c r="N353" s="9">
        <f>SUM('DATA B3'!H354-'DATA B3'!H353)</f>
        <v>0</v>
      </c>
      <c r="O353" s="88">
        <f t="shared" si="106"/>
        <v>0</v>
      </c>
      <c r="P353" s="15">
        <f t="shared" si="107"/>
        <v>0</v>
      </c>
    </row>
    <row r="354" spans="3:16">
      <c r="C354" s="292"/>
      <c r="D354" s="43">
        <v>0.5</v>
      </c>
      <c r="E354" s="5">
        <f>SUM('WATER_STEAM RATIO'!E354)</f>
        <v>0</v>
      </c>
      <c r="F354" s="9">
        <f>SUM('DATA B1'!I355-'DATA B1'!I354)+('DATA B1'!J355-'DATA B1'!J354)</f>
        <v>0</v>
      </c>
      <c r="G354" s="28">
        <f t="shared" si="102"/>
        <v>0</v>
      </c>
      <c r="H354" s="28">
        <f t="shared" si="103"/>
        <v>0</v>
      </c>
      <c r="I354" s="24">
        <f>SUM('WATER_STEAM RATIO'!K354)</f>
        <v>8</v>
      </c>
      <c r="J354" s="30">
        <f>SUM('DATA B2'!I355-'DATA B2'!I354)+('DATA B2'!J355-'DATA B2'!J354)</f>
        <v>626</v>
      </c>
      <c r="K354" s="28">
        <f t="shared" si="104"/>
        <v>78.25</v>
      </c>
      <c r="L354" s="28">
        <f t="shared" si="105"/>
        <v>44.444444444444443</v>
      </c>
      <c r="M354" s="89">
        <f>SUM('WATER_STEAM RATIO'!Q354)</f>
        <v>0</v>
      </c>
      <c r="N354" s="9">
        <f>SUM('DATA B3'!H355-'DATA B3'!H354)</f>
        <v>0</v>
      </c>
      <c r="O354" s="88">
        <f t="shared" si="106"/>
        <v>0</v>
      </c>
      <c r="P354" s="15">
        <f t="shared" si="107"/>
        <v>0</v>
      </c>
    </row>
    <row r="355" spans="3:16">
      <c r="C355" s="292"/>
      <c r="D355" s="43">
        <v>0.54166666666666696</v>
      </c>
      <c r="E355" s="5">
        <f>SUM('WATER_STEAM RATIO'!E355)</f>
        <v>0</v>
      </c>
      <c r="F355" s="9">
        <f>SUM('DATA B1'!I356-'DATA B1'!I355)+('DATA B1'!J356-'DATA B1'!J355)</f>
        <v>0</v>
      </c>
      <c r="G355" s="28">
        <f t="shared" si="102"/>
        <v>0</v>
      </c>
      <c r="H355" s="28">
        <f t="shared" si="103"/>
        <v>0</v>
      </c>
      <c r="I355" s="24">
        <f>SUM('WATER_STEAM RATIO'!K355)</f>
        <v>10</v>
      </c>
      <c r="J355" s="30">
        <f>SUM('DATA B2'!I356-'DATA B2'!I355)+('DATA B2'!J356-'DATA B2'!J355)</f>
        <v>634</v>
      </c>
      <c r="K355" s="28">
        <f t="shared" si="104"/>
        <v>63.4</v>
      </c>
      <c r="L355" s="28">
        <f t="shared" si="105"/>
        <v>55.555555555555557</v>
      </c>
      <c r="M355" s="89">
        <f>SUM('WATER_STEAM RATIO'!Q355)</f>
        <v>0</v>
      </c>
      <c r="N355" s="9">
        <f>SUM('DATA B3'!H356-'DATA B3'!H355)</f>
        <v>0</v>
      </c>
      <c r="O355" s="88">
        <f t="shared" si="106"/>
        <v>0</v>
      </c>
      <c r="P355" s="15">
        <f t="shared" si="107"/>
        <v>0</v>
      </c>
    </row>
    <row r="356" spans="3:16">
      <c r="C356" s="292"/>
      <c r="D356" s="43">
        <v>0.58333333333333304</v>
      </c>
      <c r="E356" s="5">
        <f>SUM('WATER_STEAM RATIO'!E356)</f>
        <v>0</v>
      </c>
      <c r="F356" s="9">
        <f>SUM('DATA B1'!I357-'DATA B1'!I356)+('DATA B1'!J357-'DATA B1'!J356)</f>
        <v>0</v>
      </c>
      <c r="G356" s="28">
        <f t="shared" si="102"/>
        <v>0</v>
      </c>
      <c r="H356" s="28">
        <f t="shared" si="103"/>
        <v>0</v>
      </c>
      <c r="I356" s="24">
        <f>SUM('WATER_STEAM RATIO'!K356)</f>
        <v>9</v>
      </c>
      <c r="J356" s="30">
        <f>SUM('DATA B2'!I357-'DATA B2'!I356)+('DATA B2'!J357-'DATA B2'!J356)</f>
        <v>620</v>
      </c>
      <c r="K356" s="28">
        <f t="shared" si="104"/>
        <v>68.888888888888886</v>
      </c>
      <c r="L356" s="28">
        <f t="shared" si="105"/>
        <v>50</v>
      </c>
      <c r="M356" s="89">
        <f>SUM('WATER_STEAM RATIO'!Q356)</f>
        <v>0</v>
      </c>
      <c r="N356" s="9">
        <f>SUM('DATA B3'!H357-'DATA B3'!H356)</f>
        <v>0</v>
      </c>
      <c r="O356" s="88">
        <f t="shared" si="106"/>
        <v>0</v>
      </c>
      <c r="P356" s="15">
        <f t="shared" si="107"/>
        <v>0</v>
      </c>
    </row>
    <row r="357" spans="3:16">
      <c r="C357" s="292"/>
      <c r="D357" s="43">
        <v>0.625</v>
      </c>
      <c r="E357" s="5">
        <f>SUM('WATER_STEAM RATIO'!E357)</f>
        <v>0</v>
      </c>
      <c r="F357" s="9">
        <f>SUM('DATA B1'!I358-'DATA B1'!I357)+('DATA B1'!J358-'DATA B1'!J357)</f>
        <v>0</v>
      </c>
      <c r="G357" s="28">
        <f t="shared" si="102"/>
        <v>0</v>
      </c>
      <c r="H357" s="28">
        <f t="shared" si="103"/>
        <v>0</v>
      </c>
      <c r="I357" s="24">
        <f>SUM('WATER_STEAM RATIO'!K357)</f>
        <v>10</v>
      </c>
      <c r="J357" s="30">
        <f>SUM('DATA B2'!I358-'DATA B2'!I357)+('DATA B2'!J358-'DATA B2'!J357)</f>
        <v>640</v>
      </c>
      <c r="K357" s="28">
        <f t="shared" si="104"/>
        <v>64</v>
      </c>
      <c r="L357" s="28">
        <f t="shared" si="105"/>
        <v>55.555555555555557</v>
      </c>
      <c r="M357" s="89">
        <f>SUM('WATER_STEAM RATIO'!Q357)</f>
        <v>0</v>
      </c>
      <c r="N357" s="9">
        <f>SUM('DATA B3'!H358-'DATA B3'!H357)</f>
        <v>0</v>
      </c>
      <c r="O357" s="88">
        <f t="shared" si="106"/>
        <v>0</v>
      </c>
      <c r="P357" s="15">
        <f t="shared" si="107"/>
        <v>0</v>
      </c>
    </row>
    <row r="358" spans="3:16">
      <c r="C358" s="292"/>
      <c r="D358" s="43">
        <v>0.66666666666666596</v>
      </c>
      <c r="E358" s="5">
        <f>SUM('WATER_STEAM RATIO'!E358)</f>
        <v>0</v>
      </c>
      <c r="F358" s="9">
        <f>SUM('DATA B1'!I359-'DATA B1'!I358)+('DATA B1'!J359-'DATA B1'!J358)</f>
        <v>0</v>
      </c>
      <c r="G358" s="28">
        <f t="shared" si="102"/>
        <v>0</v>
      </c>
      <c r="H358" s="28">
        <f t="shared" si="103"/>
        <v>0</v>
      </c>
      <c r="I358" s="24">
        <f>SUM('WATER_STEAM RATIO'!K358)</f>
        <v>12</v>
      </c>
      <c r="J358" s="30">
        <f>SUM('DATA B2'!I359-'DATA B2'!I358)+('DATA B2'!J359-'DATA B2'!J358)</f>
        <v>681</v>
      </c>
      <c r="K358" s="28">
        <f t="shared" si="104"/>
        <v>56.75</v>
      </c>
      <c r="L358" s="28">
        <f t="shared" si="105"/>
        <v>66.666666666666657</v>
      </c>
      <c r="M358" s="89">
        <f>SUM('WATER_STEAM RATIO'!Q358)</f>
        <v>0</v>
      </c>
      <c r="N358" s="9">
        <f>SUM('DATA B3'!H359-'DATA B3'!H358)</f>
        <v>0</v>
      </c>
      <c r="O358" s="88">
        <f t="shared" si="106"/>
        <v>0</v>
      </c>
      <c r="P358" s="15">
        <f t="shared" si="107"/>
        <v>0</v>
      </c>
    </row>
    <row r="359" spans="3:16">
      <c r="C359" s="292"/>
      <c r="D359" s="43">
        <v>0.70833333333333304</v>
      </c>
      <c r="E359" s="5">
        <f>SUM('WATER_STEAM RATIO'!E359)</f>
        <v>0</v>
      </c>
      <c r="F359" s="9">
        <f>SUM('DATA B1'!I360-'DATA B1'!I359)+('DATA B1'!J360-'DATA B1'!J359)</f>
        <v>0</v>
      </c>
      <c r="G359" s="28">
        <f t="shared" si="102"/>
        <v>0</v>
      </c>
      <c r="H359" s="28">
        <f t="shared" si="103"/>
        <v>0</v>
      </c>
      <c r="I359" s="24">
        <f>SUM('WATER_STEAM RATIO'!K359)</f>
        <v>13</v>
      </c>
      <c r="J359" s="30">
        <f>SUM('DATA B2'!I360-'DATA B2'!I359)+('DATA B2'!J360-'DATA B2'!J359)</f>
        <v>689</v>
      </c>
      <c r="K359" s="28">
        <f t="shared" si="104"/>
        <v>53</v>
      </c>
      <c r="L359" s="28">
        <f t="shared" si="105"/>
        <v>72.222222222222214</v>
      </c>
      <c r="M359" s="89">
        <f>SUM('WATER_STEAM RATIO'!Q359)</f>
        <v>0</v>
      </c>
      <c r="N359" s="9">
        <f>SUM('DATA B3'!H360-'DATA B3'!H359)</f>
        <v>0</v>
      </c>
      <c r="O359" s="88">
        <f t="shared" si="106"/>
        <v>0</v>
      </c>
      <c r="P359" s="15">
        <f t="shared" si="107"/>
        <v>0</v>
      </c>
    </row>
    <row r="360" spans="3:16">
      <c r="C360" s="292"/>
      <c r="D360" s="43">
        <v>0.75</v>
      </c>
      <c r="E360" s="5">
        <f>SUM('WATER_STEAM RATIO'!E360)</f>
        <v>0</v>
      </c>
      <c r="F360" s="9">
        <f>SUM('DATA B1'!I361-'DATA B1'!I360)+('DATA B1'!J361-'DATA B1'!J360)</f>
        <v>0</v>
      </c>
      <c r="G360" s="28">
        <f t="shared" si="102"/>
        <v>0</v>
      </c>
      <c r="H360" s="28">
        <f t="shared" si="103"/>
        <v>0</v>
      </c>
      <c r="I360" s="24">
        <f>SUM('WATER_STEAM RATIO'!K360)</f>
        <v>12</v>
      </c>
      <c r="J360" s="30">
        <f>SUM('DATA B2'!I361-'DATA B2'!I360)+('DATA B2'!J361-'DATA B2'!J360)</f>
        <v>675</v>
      </c>
      <c r="K360" s="28">
        <f t="shared" si="104"/>
        <v>56.25</v>
      </c>
      <c r="L360" s="28">
        <f t="shared" si="105"/>
        <v>66.666666666666657</v>
      </c>
      <c r="M360" s="89">
        <f>SUM('WATER_STEAM RATIO'!Q360)</f>
        <v>0</v>
      </c>
      <c r="N360" s="9">
        <f>SUM('DATA B3'!H361-'DATA B3'!H360)</f>
        <v>0</v>
      </c>
      <c r="O360" s="88">
        <f t="shared" si="106"/>
        <v>0</v>
      </c>
      <c r="P360" s="15">
        <f t="shared" si="107"/>
        <v>0</v>
      </c>
    </row>
    <row r="361" spans="3:16">
      <c r="C361" s="292"/>
      <c r="D361" s="43">
        <v>0.79166666666666596</v>
      </c>
      <c r="E361" s="5">
        <f>SUM('WATER_STEAM RATIO'!E361)</f>
        <v>0</v>
      </c>
      <c r="F361" s="9">
        <f>SUM('DATA B1'!I362-'DATA B1'!I361)+('DATA B1'!J362-'DATA B1'!J361)</f>
        <v>0</v>
      </c>
      <c r="G361" s="28">
        <f t="shared" si="102"/>
        <v>0</v>
      </c>
      <c r="H361" s="28">
        <f t="shared" si="103"/>
        <v>0</v>
      </c>
      <c r="I361" s="24">
        <f>SUM('WATER_STEAM RATIO'!K361)</f>
        <v>13</v>
      </c>
      <c r="J361" s="30">
        <f>SUM('DATA B2'!I362-'DATA B2'!I361)+('DATA B2'!J362-'DATA B2'!J361)</f>
        <v>697</v>
      </c>
      <c r="K361" s="28">
        <f t="shared" si="104"/>
        <v>53.615384615384613</v>
      </c>
      <c r="L361" s="28">
        <f t="shared" si="105"/>
        <v>72.222222222222214</v>
      </c>
      <c r="M361" s="89">
        <f>SUM('WATER_STEAM RATIO'!Q361)</f>
        <v>0</v>
      </c>
      <c r="N361" s="9">
        <f>SUM('DATA B3'!H362-'DATA B3'!H361)</f>
        <v>0</v>
      </c>
      <c r="O361" s="88">
        <f t="shared" si="106"/>
        <v>0</v>
      </c>
      <c r="P361" s="15">
        <f t="shared" si="107"/>
        <v>0</v>
      </c>
    </row>
    <row r="362" spans="3:16">
      <c r="C362" s="292"/>
      <c r="D362" s="43">
        <v>0.83333333333333304</v>
      </c>
      <c r="E362" s="5">
        <f>SUM('WATER_STEAM RATIO'!E362)</f>
        <v>0</v>
      </c>
      <c r="F362" s="9">
        <f>SUM('DATA B1'!I363-'DATA B1'!I362)+('DATA B1'!J363-'DATA B1'!J362)</f>
        <v>0</v>
      </c>
      <c r="G362" s="28">
        <f t="shared" si="102"/>
        <v>0</v>
      </c>
      <c r="H362" s="28">
        <f t="shared" si="103"/>
        <v>0</v>
      </c>
      <c r="I362" s="24">
        <f>SUM('WATER_STEAM RATIO'!K362)</f>
        <v>12</v>
      </c>
      <c r="J362" s="30">
        <f>SUM('DATA B2'!I363-'DATA B2'!I362)+('DATA B2'!J363-'DATA B2'!J362)</f>
        <v>785</v>
      </c>
      <c r="K362" s="28">
        <f t="shared" si="104"/>
        <v>65.416666666666671</v>
      </c>
      <c r="L362" s="28">
        <f>IFERROR((I362/18)*100,0)</f>
        <v>66.666666666666657</v>
      </c>
      <c r="M362" s="89">
        <f>SUM('WATER_STEAM RATIO'!Q362)</f>
        <v>0</v>
      </c>
      <c r="N362" s="9">
        <f>SUM('DATA B3'!H363-'DATA B3'!H362)</f>
        <v>0</v>
      </c>
      <c r="O362" s="88">
        <f t="shared" si="106"/>
        <v>0</v>
      </c>
      <c r="P362" s="15">
        <f t="shared" si="107"/>
        <v>0</v>
      </c>
    </row>
    <row r="363" spans="3:16">
      <c r="C363" s="292"/>
      <c r="D363" s="43">
        <v>0.875</v>
      </c>
      <c r="E363" s="5">
        <f>SUM('WATER_STEAM RATIO'!E363)</f>
        <v>0</v>
      </c>
      <c r="F363" s="9">
        <f>SUM('DATA B1'!I364-'DATA B1'!I363)+('DATA B1'!J364-'DATA B1'!J363)</f>
        <v>0</v>
      </c>
      <c r="G363" s="28">
        <f t="shared" si="102"/>
        <v>0</v>
      </c>
      <c r="H363" s="28">
        <f t="shared" si="103"/>
        <v>0</v>
      </c>
      <c r="I363" s="24">
        <f>SUM('WATER_STEAM RATIO'!K363)</f>
        <v>10</v>
      </c>
      <c r="J363" s="30">
        <f>SUM('DATA B2'!I364-'DATA B2'!I363)+('DATA B2'!J364-'DATA B2'!J363)</f>
        <v>605</v>
      </c>
      <c r="K363" s="28">
        <f t="shared" si="104"/>
        <v>60.5</v>
      </c>
      <c r="L363" s="28">
        <f t="shared" ref="L363:L373" si="108">IFERROR((I363/18)*100,0)</f>
        <v>55.555555555555557</v>
      </c>
      <c r="M363" s="89">
        <f>SUM('WATER_STEAM RATIO'!Q363)</f>
        <v>0</v>
      </c>
      <c r="N363" s="9">
        <f>SUM('DATA B3'!H364-'DATA B3'!H363)</f>
        <v>0</v>
      </c>
      <c r="O363" s="88">
        <f t="shared" si="106"/>
        <v>0</v>
      </c>
      <c r="P363" s="15">
        <f t="shared" si="107"/>
        <v>0</v>
      </c>
    </row>
    <row r="364" spans="3:16">
      <c r="C364" s="292"/>
      <c r="D364" s="43">
        <v>0.91666666666666596</v>
      </c>
      <c r="E364" s="5">
        <f>SUM('WATER_STEAM RATIO'!E364)</f>
        <v>0</v>
      </c>
      <c r="F364" s="9">
        <f>SUM('DATA B1'!I365-'DATA B1'!I364)+('DATA B1'!J365-'DATA B1'!J364)</f>
        <v>0</v>
      </c>
      <c r="G364" s="28">
        <f t="shared" si="102"/>
        <v>0</v>
      </c>
      <c r="H364" s="28">
        <f t="shared" si="103"/>
        <v>0</v>
      </c>
      <c r="I364" s="24">
        <f>SUM('WATER_STEAM RATIO'!K364)</f>
        <v>10</v>
      </c>
      <c r="J364" s="30">
        <f>SUM('DATA B2'!I365-'DATA B2'!I364)+('DATA B2'!J365-'DATA B2'!J364)</f>
        <v>614</v>
      </c>
      <c r="K364" s="28">
        <f t="shared" si="104"/>
        <v>61.4</v>
      </c>
      <c r="L364" s="28">
        <f t="shared" si="108"/>
        <v>55.555555555555557</v>
      </c>
      <c r="M364" s="89">
        <f>SUM('WATER_STEAM RATIO'!Q364)</f>
        <v>0</v>
      </c>
      <c r="N364" s="9">
        <f>SUM('DATA B3'!H365-'DATA B3'!H364)</f>
        <v>0</v>
      </c>
      <c r="O364" s="88">
        <f t="shared" si="106"/>
        <v>0</v>
      </c>
      <c r="P364" s="15">
        <f>IFERROR((M364/16)*100,0)</f>
        <v>0</v>
      </c>
    </row>
    <row r="365" spans="3:16">
      <c r="C365" s="292"/>
      <c r="D365" s="43">
        <v>0.95833333333333304</v>
      </c>
      <c r="E365" s="5">
        <f>SUM('WATER_STEAM RATIO'!E365)</f>
        <v>0</v>
      </c>
      <c r="F365" s="9">
        <f>SUM('DATA B1'!I366-'DATA B1'!I365)+('DATA B1'!J366-'DATA B1'!J365)</f>
        <v>0</v>
      </c>
      <c r="G365" s="28">
        <f t="shared" si="102"/>
        <v>0</v>
      </c>
      <c r="H365" s="28">
        <f t="shared" si="103"/>
        <v>0</v>
      </c>
      <c r="I365" s="24">
        <f>SUM('WATER_STEAM RATIO'!K365)</f>
        <v>10</v>
      </c>
      <c r="J365" s="30">
        <f>SUM('DATA B2'!I366-'DATA B2'!I365)+('DATA B2'!J366-'DATA B2'!J365)</f>
        <v>608</v>
      </c>
      <c r="K365" s="28">
        <f t="shared" si="104"/>
        <v>60.8</v>
      </c>
      <c r="L365" s="28">
        <f t="shared" si="108"/>
        <v>55.555555555555557</v>
      </c>
      <c r="M365" s="89">
        <f>SUM('WATER_STEAM RATIO'!Q365)</f>
        <v>0</v>
      </c>
      <c r="N365" s="9">
        <f>SUM('DATA B3'!H366-'DATA B3'!H365)</f>
        <v>0</v>
      </c>
      <c r="O365" s="88">
        <f t="shared" si="106"/>
        <v>0</v>
      </c>
      <c r="P365" s="15">
        <f t="shared" si="107"/>
        <v>0</v>
      </c>
    </row>
    <row r="366" spans="3:16">
      <c r="C366" s="292"/>
      <c r="D366" s="43">
        <v>1</v>
      </c>
      <c r="E366" s="5">
        <f>SUM('WATER_STEAM RATIO'!E366)</f>
        <v>0</v>
      </c>
      <c r="F366" s="9">
        <f>SUM('DATA B1'!I367-'DATA B1'!I366)+('DATA B1'!J367-'DATA B1'!J366)</f>
        <v>0</v>
      </c>
      <c r="G366" s="28">
        <f t="shared" si="102"/>
        <v>0</v>
      </c>
      <c r="H366" s="28">
        <f t="shared" si="103"/>
        <v>0</v>
      </c>
      <c r="I366" s="24">
        <f>SUM('WATER_STEAM RATIO'!K366)</f>
        <v>12</v>
      </c>
      <c r="J366" s="30">
        <f>SUM('DATA B2'!I367-'DATA B2'!I366)+('DATA B2'!J367-'DATA B2'!J366)</f>
        <v>739</v>
      </c>
      <c r="K366" s="28">
        <f t="shared" si="104"/>
        <v>61.583333333333336</v>
      </c>
      <c r="L366" s="28">
        <f t="shared" si="108"/>
        <v>66.666666666666657</v>
      </c>
      <c r="M366" s="89">
        <f>SUM('WATER_STEAM RATIO'!Q366)</f>
        <v>0</v>
      </c>
      <c r="N366" s="9">
        <f>SUM('DATA B3'!H367-'DATA B3'!H366)</f>
        <v>0</v>
      </c>
      <c r="O366" s="88">
        <f t="shared" si="106"/>
        <v>0</v>
      </c>
      <c r="P366" s="15">
        <f t="shared" si="107"/>
        <v>0</v>
      </c>
    </row>
    <row r="367" spans="3:16">
      <c r="C367" s="292"/>
      <c r="D367" s="43">
        <v>1.0416666666666701</v>
      </c>
      <c r="E367" s="5">
        <f>SUM('WATER_STEAM RATIO'!E367)</f>
        <v>0</v>
      </c>
      <c r="F367" s="9">
        <f>SUM('DATA B1'!I368-'DATA B1'!I367)+('DATA B1'!J368-'DATA B1'!J367)</f>
        <v>0</v>
      </c>
      <c r="G367" s="28">
        <f t="shared" si="102"/>
        <v>0</v>
      </c>
      <c r="H367" s="28">
        <f t="shared" si="103"/>
        <v>0</v>
      </c>
      <c r="I367" s="24">
        <f>SUM('WATER_STEAM RATIO'!K367)</f>
        <v>12</v>
      </c>
      <c r="J367" s="30">
        <f>SUM('DATA B2'!I368-'DATA B2'!I367)+('DATA B2'!J368-'DATA B2'!J367)</f>
        <v>735</v>
      </c>
      <c r="K367" s="28">
        <f t="shared" si="104"/>
        <v>61.25</v>
      </c>
      <c r="L367" s="28">
        <f t="shared" si="108"/>
        <v>66.666666666666657</v>
      </c>
      <c r="M367" s="89">
        <f>SUM('WATER_STEAM RATIO'!Q367)</f>
        <v>0</v>
      </c>
      <c r="N367" s="9">
        <f>SUM('DATA B3'!H368-'DATA B3'!H367)</f>
        <v>0</v>
      </c>
      <c r="O367" s="88">
        <f t="shared" si="106"/>
        <v>0</v>
      </c>
      <c r="P367" s="15">
        <f t="shared" si="107"/>
        <v>0</v>
      </c>
    </row>
    <row r="368" spans="3:16">
      <c r="C368" s="292"/>
      <c r="D368" s="43">
        <v>1.0833333333333399</v>
      </c>
      <c r="E368" s="5">
        <f>SUM('WATER_STEAM RATIO'!E368)</f>
        <v>0</v>
      </c>
      <c r="F368" s="9">
        <f>SUM('DATA B1'!I369-'DATA B1'!I368)+('DATA B1'!J369-'DATA B1'!J368)</f>
        <v>0</v>
      </c>
      <c r="G368" s="28">
        <f t="shared" si="102"/>
        <v>0</v>
      </c>
      <c r="H368" s="28">
        <f t="shared" si="103"/>
        <v>0</v>
      </c>
      <c r="I368" s="24">
        <f>SUM('WATER_STEAM RATIO'!K368)</f>
        <v>12</v>
      </c>
      <c r="J368" s="30">
        <f>SUM('DATA B2'!I369-'DATA B2'!I368)+('DATA B2'!J369-'DATA B2'!J368)</f>
        <v>741</v>
      </c>
      <c r="K368" s="28">
        <f t="shared" si="104"/>
        <v>61.75</v>
      </c>
      <c r="L368" s="28">
        <f t="shared" si="108"/>
        <v>66.666666666666657</v>
      </c>
      <c r="M368" s="89">
        <f>SUM('WATER_STEAM RATIO'!Q368)</f>
        <v>0</v>
      </c>
      <c r="N368" s="9">
        <f>SUM('DATA B3'!H369-'DATA B3'!H368)</f>
        <v>0</v>
      </c>
      <c r="O368" s="88">
        <f t="shared" si="106"/>
        <v>0</v>
      </c>
      <c r="P368" s="15">
        <f t="shared" si="107"/>
        <v>0</v>
      </c>
    </row>
    <row r="369" spans="3:16">
      <c r="C369" s="292"/>
      <c r="D369" s="43">
        <v>1.125</v>
      </c>
      <c r="E369" s="5">
        <f>SUM('WATER_STEAM RATIO'!E369)</f>
        <v>0</v>
      </c>
      <c r="F369" s="9">
        <f>SUM('DATA B1'!I370-'DATA B1'!I369)+('DATA B1'!J370-'DATA B1'!J369)</f>
        <v>0</v>
      </c>
      <c r="G369" s="28">
        <f t="shared" si="102"/>
        <v>0</v>
      </c>
      <c r="H369" s="28">
        <f t="shared" si="103"/>
        <v>0</v>
      </c>
      <c r="I369" s="24">
        <f>SUM('WATER_STEAM RATIO'!K369)</f>
        <v>12</v>
      </c>
      <c r="J369" s="30">
        <f>SUM('DATA B2'!I370-'DATA B2'!I369)+('DATA B2'!J370-'DATA B2'!J369)</f>
        <v>745</v>
      </c>
      <c r="K369" s="28">
        <f t="shared" si="104"/>
        <v>62.083333333333336</v>
      </c>
      <c r="L369" s="28">
        <f t="shared" si="108"/>
        <v>66.666666666666657</v>
      </c>
      <c r="M369" s="89">
        <f>SUM('WATER_STEAM RATIO'!Q369)</f>
        <v>0</v>
      </c>
      <c r="N369" s="9">
        <f>SUM('DATA B3'!H370-'DATA B3'!H369)</f>
        <v>0</v>
      </c>
      <c r="O369" s="88">
        <f t="shared" ref="O369:O373" si="109">IFERROR(N369/(M369),0)</f>
        <v>0</v>
      </c>
      <c r="P369" s="15">
        <f t="shared" si="107"/>
        <v>0</v>
      </c>
    </row>
    <row r="370" spans="3:16">
      <c r="C370" s="292"/>
      <c r="D370" s="43">
        <v>1.1666666666666701</v>
      </c>
      <c r="E370" s="5">
        <f>SUM('WATER_STEAM RATIO'!E370)</f>
        <v>0</v>
      </c>
      <c r="F370" s="9">
        <f>SUM('DATA B1'!I371-'DATA B1'!I370)+('DATA B1'!J371-'DATA B1'!J370)</f>
        <v>0</v>
      </c>
      <c r="G370" s="28">
        <f t="shared" si="102"/>
        <v>0</v>
      </c>
      <c r="H370" s="28">
        <f t="shared" si="103"/>
        <v>0</v>
      </c>
      <c r="I370" s="24">
        <f>SUM('WATER_STEAM RATIO'!K370)</f>
        <v>9</v>
      </c>
      <c r="J370" s="30">
        <f>SUM('DATA B2'!I371-'DATA B2'!I370)+('DATA B2'!J371-'DATA B2'!J370)</f>
        <v>554</v>
      </c>
      <c r="K370" s="28">
        <f>IFERROR(J370/(I370),0)</f>
        <v>61.555555555555557</v>
      </c>
      <c r="L370" s="28">
        <f t="shared" si="108"/>
        <v>50</v>
      </c>
      <c r="M370" s="89">
        <f>SUM('WATER_STEAM RATIO'!Q370)</f>
        <v>0</v>
      </c>
      <c r="N370" s="9">
        <f>SUM('DATA B3'!H371-'DATA B3'!H370)</f>
        <v>0</v>
      </c>
      <c r="O370" s="88">
        <f t="shared" si="109"/>
        <v>0</v>
      </c>
      <c r="P370" s="15">
        <f t="shared" si="107"/>
        <v>0</v>
      </c>
    </row>
    <row r="371" spans="3:16">
      <c r="C371" s="292"/>
      <c r="D371" s="43">
        <v>1.2083333333333399</v>
      </c>
      <c r="E371" s="5">
        <f>SUM('WATER_STEAM RATIO'!E371)</f>
        <v>0</v>
      </c>
      <c r="F371" s="9">
        <f>SUM('DATA B1'!I372-'DATA B1'!I371)+('DATA B1'!J372-'DATA B1'!J371)</f>
        <v>0</v>
      </c>
      <c r="G371" s="28">
        <f t="shared" si="102"/>
        <v>0</v>
      </c>
      <c r="H371" s="28">
        <f t="shared" si="103"/>
        <v>0</v>
      </c>
      <c r="I371" s="24">
        <f>SUM('WATER_STEAM RATIO'!K371)</f>
        <v>10</v>
      </c>
      <c r="J371" s="30">
        <f>SUM('DATA B2'!I372-'DATA B2'!I371)+('DATA B2'!J372-'DATA B2'!J371)</f>
        <v>613</v>
      </c>
      <c r="K371" s="28">
        <f>IFERROR(J371/(I371),0)</f>
        <v>61.3</v>
      </c>
      <c r="L371" s="28">
        <f t="shared" si="108"/>
        <v>55.555555555555557</v>
      </c>
      <c r="M371" s="89">
        <f>SUM('WATER_STEAM RATIO'!Q371)</f>
        <v>0</v>
      </c>
      <c r="N371" s="9">
        <f>SUM('DATA B3'!H372-'DATA B3'!H371)</f>
        <v>0</v>
      </c>
      <c r="O371" s="88">
        <f t="shared" si="109"/>
        <v>0</v>
      </c>
      <c r="P371" s="15">
        <f t="shared" si="107"/>
        <v>0</v>
      </c>
    </row>
    <row r="372" spans="3:16">
      <c r="C372" s="292"/>
      <c r="D372" s="43">
        <v>1.25</v>
      </c>
      <c r="E372" s="5">
        <f>SUM('WATER_STEAM RATIO'!E372)</f>
        <v>0</v>
      </c>
      <c r="F372" s="9">
        <f>SUM('DATA B1'!I373-'DATA B1'!I372)+('DATA B1'!J373-'DATA B1'!J372)</f>
        <v>0</v>
      </c>
      <c r="G372" s="28">
        <f t="shared" si="102"/>
        <v>0</v>
      </c>
      <c r="H372" s="28">
        <f t="shared" si="103"/>
        <v>0</v>
      </c>
      <c r="I372" s="24">
        <f>SUM('WATER_STEAM RATIO'!K372)</f>
        <v>10</v>
      </c>
      <c r="J372" s="30">
        <f>SUM('DATA B2'!I373-'DATA B2'!I372)+('DATA B2'!J373-'DATA B2'!J372)</f>
        <v>610</v>
      </c>
      <c r="K372" s="28">
        <f>IFERROR(J372/(I372),0)</f>
        <v>61</v>
      </c>
      <c r="L372" s="28">
        <f t="shared" si="108"/>
        <v>55.555555555555557</v>
      </c>
      <c r="M372" s="89">
        <f>SUM('WATER_STEAM RATIO'!Q372)</f>
        <v>0</v>
      </c>
      <c r="N372" s="9">
        <f>SUM('DATA B3'!H373-'DATA B3'!H372)</f>
        <v>0</v>
      </c>
      <c r="O372" s="88">
        <f t="shared" si="109"/>
        <v>0</v>
      </c>
      <c r="P372" s="15">
        <f t="shared" si="107"/>
        <v>0</v>
      </c>
    </row>
    <row r="373" spans="3:16">
      <c r="C373" s="292"/>
      <c r="D373" s="43">
        <v>1.2916666666666701</v>
      </c>
      <c r="E373" s="5">
        <f>SUM('WATER_STEAM RATIO'!E373)</f>
        <v>0</v>
      </c>
      <c r="F373" s="9">
        <f>SUM('DATA B1'!I374-'DATA B1'!I373)+('DATA B1'!J374-'DATA B1'!J373)</f>
        <v>0</v>
      </c>
      <c r="G373" s="28">
        <f t="shared" si="102"/>
        <v>0</v>
      </c>
      <c r="H373" s="28">
        <f t="shared" si="103"/>
        <v>0</v>
      </c>
      <c r="I373" s="24">
        <f>SUM('WATER_STEAM RATIO'!K373)</f>
        <v>10</v>
      </c>
      <c r="J373" s="30">
        <f>SUM('DATA B2'!I374-'DATA B2'!I373)+('DATA B2'!J374-'DATA B2'!J373)</f>
        <v>606</v>
      </c>
      <c r="K373" s="28">
        <f>IFERROR(J373/(I373),0)</f>
        <v>60.6</v>
      </c>
      <c r="L373" s="28">
        <f t="shared" si="108"/>
        <v>55.555555555555557</v>
      </c>
      <c r="M373" s="89">
        <f>SUM('WATER_STEAM RATIO'!Q373)</f>
        <v>0</v>
      </c>
      <c r="N373" s="9">
        <f>SUM('DATA B3'!H374-'DATA B3'!H373)</f>
        <v>0</v>
      </c>
      <c r="O373" s="88">
        <f t="shared" si="109"/>
        <v>0</v>
      </c>
      <c r="P373" s="15">
        <f t="shared" si="107"/>
        <v>0</v>
      </c>
    </row>
    <row r="374" spans="3:16">
      <c r="C374" s="293"/>
      <c r="D374" s="258"/>
      <c r="E374" s="91">
        <f>SUMIF(E349:E373,"&gt;=0",E349:E373)</f>
        <v>0</v>
      </c>
      <c r="F374" s="91">
        <f>SUMIF(F349:F373,"&gt;=0",F349:F373)</f>
        <v>0</v>
      </c>
      <c r="G374" s="54">
        <f>IFERROR(F374/E374,0)</f>
        <v>0</v>
      </c>
      <c r="H374" s="54">
        <f>IFERROR(AVERAGE(H350:H373),0)</f>
        <v>0</v>
      </c>
      <c r="I374" s="91">
        <f>SUMIF(I349:I373,"&gt;=0",I349:I373)</f>
        <v>270</v>
      </c>
      <c r="J374" s="91">
        <f>SUMIF(J349:J373,"&gt;=0",J349:J373)</f>
        <v>16044</v>
      </c>
      <c r="K374" s="54">
        <f>IFERROR(J374/(I374),0)</f>
        <v>59.422222222222224</v>
      </c>
      <c r="L374" s="54">
        <f>IFERROR(AVERAGE(L350:L373),0)</f>
        <v>59.953703703703717</v>
      </c>
      <c r="M374" s="91">
        <f>SUMIF(M349:M373,"&gt;=0",M349:M373)</f>
        <v>0</v>
      </c>
      <c r="N374" s="91">
        <f>SUMIF(N349:N373,"&gt;=0",N349:N373)</f>
        <v>0</v>
      </c>
      <c r="O374" s="239">
        <f>IFERROR(N374/(M374),0)</f>
        <v>0</v>
      </c>
      <c r="P374" s="215">
        <f>IFERROR(AVERAGE(P350:P373),0)</f>
        <v>0</v>
      </c>
    </row>
    <row r="375" spans="3:16" ht="15" customHeight="1">
      <c r="C375" s="291">
        <f>SUM('WATER_STEAM RATIO'!B375:B400)</f>
        <v>46037</v>
      </c>
      <c r="D375" s="43">
        <v>0.29166666666666669</v>
      </c>
      <c r="E375" s="5">
        <f>SUM('WATER_STEAM RATIO'!E375)</f>
        <v>0</v>
      </c>
      <c r="F375" s="9"/>
      <c r="G375" s="28"/>
      <c r="H375" s="28"/>
      <c r="I375" s="24">
        <f>SUM('WATER_STEAM RATIO'!K375)</f>
        <v>10</v>
      </c>
      <c r="J375" s="30"/>
      <c r="K375" s="28"/>
      <c r="L375" s="28"/>
      <c r="M375" s="89">
        <f>SUM('WATER_STEAM RATIO'!Q375)</f>
        <v>0</v>
      </c>
      <c r="N375" s="9"/>
      <c r="O375" s="88"/>
      <c r="P375" s="15"/>
    </row>
    <row r="376" spans="3:16">
      <c r="C376" s="292"/>
      <c r="D376" s="43">
        <v>0.33333333333333298</v>
      </c>
      <c r="E376" s="5">
        <f>SUM('WATER_STEAM RATIO'!E376)</f>
        <v>0</v>
      </c>
      <c r="F376" s="9">
        <f>SUM('DATA B1'!I377-'DATA B1'!I376)+('DATA B1'!J377-'DATA B1'!J376)</f>
        <v>0</v>
      </c>
      <c r="G376" s="28">
        <f>IFERROR(F376/(E376),0)</f>
        <v>0</v>
      </c>
      <c r="H376" s="28">
        <f>IFERROR((E376/18)*100,0)</f>
        <v>0</v>
      </c>
      <c r="I376" s="24">
        <f>SUM('WATER_STEAM RATIO'!K376)</f>
        <v>14</v>
      </c>
      <c r="J376" s="30">
        <f>SUM('DATA B2'!I377-'DATA B2'!I376)+('DATA B2'!J377-'DATA B2'!J376)</f>
        <v>686</v>
      </c>
      <c r="K376" s="28">
        <f>IFERROR(J376/(I376),0)</f>
        <v>49</v>
      </c>
      <c r="L376" s="28">
        <f>IFERROR((I376/18)*100,0)</f>
        <v>77.777777777777786</v>
      </c>
      <c r="M376" s="89">
        <f>SUM('WATER_STEAM RATIO'!Q376)</f>
        <v>0</v>
      </c>
      <c r="N376" s="9">
        <f>SUM('DATA B3'!H377-'DATA B3'!H376)</f>
        <v>0</v>
      </c>
      <c r="O376" s="88">
        <f>IFERROR(N376/(M376),0)</f>
        <v>0</v>
      </c>
      <c r="P376" s="15">
        <f>IFERROR((M376/16)*100,0)</f>
        <v>0</v>
      </c>
    </row>
    <row r="377" spans="3:16">
      <c r="C377" s="292"/>
      <c r="D377" s="43">
        <v>0.375</v>
      </c>
      <c r="E377" s="5">
        <f>SUM('WATER_STEAM RATIO'!E377)</f>
        <v>0</v>
      </c>
      <c r="F377" s="9">
        <f>SUM('DATA B1'!I378-'DATA B1'!I377)+('DATA B1'!J378-'DATA B1'!J377)</f>
        <v>0</v>
      </c>
      <c r="G377" s="28">
        <f t="shared" ref="G377:G399" si="110">IFERROR(F377/(E377),0)</f>
        <v>0</v>
      </c>
      <c r="H377" s="28">
        <f t="shared" ref="H377:H399" si="111">IFERROR((E377/18)*100,0)</f>
        <v>0</v>
      </c>
      <c r="I377" s="24">
        <f>SUM('WATER_STEAM RATIO'!K377)</f>
        <v>9</v>
      </c>
      <c r="J377" s="30">
        <f>SUM('DATA B2'!I378-'DATA B2'!I377)+('DATA B2'!J378-'DATA B2'!J377)</f>
        <v>635</v>
      </c>
      <c r="K377" s="28">
        <f t="shared" ref="K377:K395" si="112">IFERROR(J377/(I377),0)</f>
        <v>70.555555555555557</v>
      </c>
      <c r="L377" s="28">
        <f t="shared" ref="L377:L387" si="113">IFERROR((I377/18)*100,0)</f>
        <v>50</v>
      </c>
      <c r="M377" s="89">
        <f>SUM('WATER_STEAM RATIO'!Q377)</f>
        <v>0</v>
      </c>
      <c r="N377" s="9">
        <f>SUM('DATA B3'!H378-'DATA B3'!H377)</f>
        <v>0</v>
      </c>
      <c r="O377" s="88">
        <f t="shared" ref="O377:O394" si="114">IFERROR(N377/(M377),0)</f>
        <v>0</v>
      </c>
      <c r="P377" s="15">
        <f t="shared" ref="P377:P399" si="115">IFERROR((M377/16)*100,0)</f>
        <v>0</v>
      </c>
    </row>
    <row r="378" spans="3:16">
      <c r="C378" s="292"/>
      <c r="D378" s="43">
        <v>0.41666666666666702</v>
      </c>
      <c r="E378" s="5">
        <f>SUM('WATER_STEAM RATIO'!E378)</f>
        <v>0</v>
      </c>
      <c r="F378" s="9">
        <f>SUM('DATA B1'!I379-'DATA B1'!I378)+('DATA B1'!J379-'DATA B1'!J378)</f>
        <v>0</v>
      </c>
      <c r="G378" s="28">
        <f t="shared" si="110"/>
        <v>0</v>
      </c>
      <c r="H378" s="28">
        <f t="shared" si="111"/>
        <v>0</v>
      </c>
      <c r="I378" s="24">
        <f>SUM('WATER_STEAM RATIO'!K378)</f>
        <v>9</v>
      </c>
      <c r="J378" s="30">
        <f>SUM('DATA B2'!I379-'DATA B2'!I378)+('DATA B2'!J379-'DATA B2'!J378)</f>
        <v>624</v>
      </c>
      <c r="K378" s="28">
        <f t="shared" si="112"/>
        <v>69.333333333333329</v>
      </c>
      <c r="L378" s="28">
        <f t="shared" si="113"/>
        <v>50</v>
      </c>
      <c r="M378" s="89">
        <f>SUM('WATER_STEAM RATIO'!Q378)</f>
        <v>0</v>
      </c>
      <c r="N378" s="9">
        <f>SUM('DATA B3'!H379-'DATA B3'!H378)</f>
        <v>0</v>
      </c>
      <c r="O378" s="88">
        <f t="shared" si="114"/>
        <v>0</v>
      </c>
      <c r="P378" s="15">
        <f t="shared" si="115"/>
        <v>0</v>
      </c>
    </row>
    <row r="379" spans="3:16">
      <c r="C379" s="292"/>
      <c r="D379" s="43">
        <v>0.45833333333333298</v>
      </c>
      <c r="E379" s="5">
        <f>SUM('WATER_STEAM RATIO'!E379)</f>
        <v>0</v>
      </c>
      <c r="F379" s="9">
        <f>SUM('DATA B1'!I380-'DATA B1'!I379)+('DATA B1'!J380-'DATA B1'!J379)</f>
        <v>0</v>
      </c>
      <c r="G379" s="28">
        <f t="shared" si="110"/>
        <v>0</v>
      </c>
      <c r="H379" s="28">
        <f t="shared" si="111"/>
        <v>0</v>
      </c>
      <c r="I379" s="24">
        <f>SUM('WATER_STEAM RATIO'!K379)</f>
        <v>10</v>
      </c>
      <c r="J379" s="30">
        <f>SUM('DATA B2'!I380-'DATA B2'!I379)+('DATA B2'!J380-'DATA B2'!J379)</f>
        <v>648</v>
      </c>
      <c r="K379" s="28">
        <f t="shared" si="112"/>
        <v>64.8</v>
      </c>
      <c r="L379" s="28">
        <f t="shared" si="113"/>
        <v>55.555555555555557</v>
      </c>
      <c r="M379" s="89">
        <f>SUM('WATER_STEAM RATIO'!Q379)</f>
        <v>0</v>
      </c>
      <c r="N379" s="9">
        <f>SUM('DATA B3'!H380-'DATA B3'!H379)</f>
        <v>0</v>
      </c>
      <c r="O379" s="88">
        <f t="shared" si="114"/>
        <v>0</v>
      </c>
      <c r="P379" s="15">
        <f t="shared" si="115"/>
        <v>0</v>
      </c>
    </row>
    <row r="380" spans="3:16">
      <c r="C380" s="292"/>
      <c r="D380" s="43">
        <v>0.5</v>
      </c>
      <c r="E380" s="5">
        <f>SUM('WATER_STEAM RATIO'!E380)</f>
        <v>0</v>
      </c>
      <c r="F380" s="9">
        <f>SUM('DATA B1'!I381-'DATA B1'!I380)+('DATA B1'!J381-'DATA B1'!J380)</f>
        <v>0</v>
      </c>
      <c r="G380" s="28">
        <f t="shared" si="110"/>
        <v>0</v>
      </c>
      <c r="H380" s="28">
        <f t="shared" si="111"/>
        <v>0</v>
      </c>
      <c r="I380" s="24">
        <f>SUM('WATER_STEAM RATIO'!K380)</f>
        <v>10</v>
      </c>
      <c r="J380" s="30">
        <f>SUM('DATA B2'!I381-'DATA B2'!I380)+('DATA B2'!J381-'DATA B2'!J380)</f>
        <v>736</v>
      </c>
      <c r="K380" s="28">
        <f t="shared" si="112"/>
        <v>73.599999999999994</v>
      </c>
      <c r="L380" s="28">
        <f t="shared" si="113"/>
        <v>55.555555555555557</v>
      </c>
      <c r="M380" s="89">
        <f>SUM('WATER_STEAM RATIO'!Q380)</f>
        <v>0</v>
      </c>
      <c r="N380" s="9">
        <f>SUM('DATA B3'!H381-'DATA B3'!H380)</f>
        <v>0</v>
      </c>
      <c r="O380" s="88">
        <f t="shared" si="114"/>
        <v>0</v>
      </c>
      <c r="P380" s="15">
        <f t="shared" si="115"/>
        <v>0</v>
      </c>
    </row>
    <row r="381" spans="3:16">
      <c r="C381" s="292"/>
      <c r="D381" s="43">
        <v>0.54166666666666696</v>
      </c>
      <c r="E381" s="5">
        <f>SUM('WATER_STEAM RATIO'!E381)</f>
        <v>0</v>
      </c>
      <c r="F381" s="9">
        <f>SUM('DATA B1'!I382-'DATA B1'!I381)+('DATA B1'!J382-'DATA B1'!J381)</f>
        <v>0</v>
      </c>
      <c r="G381" s="28">
        <f t="shared" si="110"/>
        <v>0</v>
      </c>
      <c r="H381" s="28">
        <f t="shared" si="111"/>
        <v>0</v>
      </c>
      <c r="I381" s="24">
        <f>SUM('WATER_STEAM RATIO'!K381)</f>
        <v>10</v>
      </c>
      <c r="J381" s="30">
        <f>SUM('DATA B2'!I382-'DATA B2'!I381)+('DATA B2'!J382-'DATA B2'!J381)</f>
        <v>739</v>
      </c>
      <c r="K381" s="28">
        <f t="shared" si="112"/>
        <v>73.900000000000006</v>
      </c>
      <c r="L381" s="28">
        <f t="shared" si="113"/>
        <v>55.555555555555557</v>
      </c>
      <c r="M381" s="89">
        <f>SUM('WATER_STEAM RATIO'!Q381)</f>
        <v>0</v>
      </c>
      <c r="N381" s="9">
        <f>SUM('DATA B3'!H382-'DATA B3'!H381)</f>
        <v>0</v>
      </c>
      <c r="O381" s="88">
        <f t="shared" si="114"/>
        <v>0</v>
      </c>
      <c r="P381" s="15">
        <f t="shared" si="115"/>
        <v>0</v>
      </c>
    </row>
    <row r="382" spans="3:16">
      <c r="C382" s="292"/>
      <c r="D382" s="43">
        <v>0.58333333333333304</v>
      </c>
      <c r="E382" s="5">
        <f>SUM('WATER_STEAM RATIO'!E382)</f>
        <v>0</v>
      </c>
      <c r="F382" s="9">
        <f>SUM('DATA B1'!I383-'DATA B1'!I382)+('DATA B1'!J383-'DATA B1'!J382)</f>
        <v>0</v>
      </c>
      <c r="G382" s="28">
        <f t="shared" si="110"/>
        <v>0</v>
      </c>
      <c r="H382" s="28">
        <f t="shared" si="111"/>
        <v>0</v>
      </c>
      <c r="I382" s="24">
        <f>SUM('WATER_STEAM RATIO'!K382)</f>
        <v>10</v>
      </c>
      <c r="J382" s="30">
        <f>SUM('DATA B2'!I383-'DATA B2'!I382)+('DATA B2'!J383-'DATA B2'!J382)</f>
        <v>743</v>
      </c>
      <c r="K382" s="28">
        <f t="shared" si="112"/>
        <v>74.3</v>
      </c>
      <c r="L382" s="28">
        <f t="shared" si="113"/>
        <v>55.555555555555557</v>
      </c>
      <c r="M382" s="89">
        <f>SUM('WATER_STEAM RATIO'!Q382)</f>
        <v>0</v>
      </c>
      <c r="N382" s="9">
        <f>SUM('DATA B3'!H383-'DATA B3'!H382)</f>
        <v>0</v>
      </c>
      <c r="O382" s="88">
        <f t="shared" si="114"/>
        <v>0</v>
      </c>
      <c r="P382" s="15">
        <f t="shared" si="115"/>
        <v>0</v>
      </c>
    </row>
    <row r="383" spans="3:16">
      <c r="C383" s="292"/>
      <c r="D383" s="43">
        <v>0.625</v>
      </c>
      <c r="E383" s="5">
        <f>SUM('WATER_STEAM RATIO'!E383)</f>
        <v>0</v>
      </c>
      <c r="F383" s="9">
        <f>SUM('DATA B1'!I384-'DATA B1'!I383)+('DATA B1'!J384-'DATA B1'!J383)</f>
        <v>0</v>
      </c>
      <c r="G383" s="28">
        <f t="shared" si="110"/>
        <v>0</v>
      </c>
      <c r="H383" s="28">
        <f t="shared" si="111"/>
        <v>0</v>
      </c>
      <c r="I383" s="24">
        <f>SUM('WATER_STEAM RATIO'!K383)</f>
        <v>11</v>
      </c>
      <c r="J383" s="30">
        <f>SUM('DATA B2'!I384-'DATA B2'!I383)+('DATA B2'!J384-'DATA B2'!J383)</f>
        <v>772</v>
      </c>
      <c r="K383" s="28">
        <f t="shared" si="112"/>
        <v>70.181818181818187</v>
      </c>
      <c r="L383" s="28">
        <f t="shared" si="113"/>
        <v>61.111111111111114</v>
      </c>
      <c r="M383" s="89">
        <f>SUM('WATER_STEAM RATIO'!Q383)</f>
        <v>0</v>
      </c>
      <c r="N383" s="9">
        <f>SUM('DATA B3'!H384-'DATA B3'!H383)</f>
        <v>0</v>
      </c>
      <c r="O383" s="88">
        <f t="shared" si="114"/>
        <v>0</v>
      </c>
      <c r="P383" s="15">
        <f t="shared" si="115"/>
        <v>0</v>
      </c>
    </row>
    <row r="384" spans="3:16">
      <c r="C384" s="292"/>
      <c r="D384" s="43">
        <v>0.66666666666666596</v>
      </c>
      <c r="E384" s="5">
        <f>SUM('WATER_STEAM RATIO'!E384)</f>
        <v>0</v>
      </c>
      <c r="F384" s="9">
        <f>SUM('DATA B1'!I385-'DATA B1'!I384)+('DATA B1'!J385-'DATA B1'!J384)</f>
        <v>0</v>
      </c>
      <c r="G384" s="28">
        <f t="shared" si="110"/>
        <v>0</v>
      </c>
      <c r="H384" s="28">
        <f t="shared" si="111"/>
        <v>0</v>
      </c>
      <c r="I384" s="24">
        <f>SUM('WATER_STEAM RATIO'!K384)</f>
        <v>13</v>
      </c>
      <c r="J384" s="30">
        <f>SUM('DATA B2'!I385-'DATA B2'!I384)+('DATA B2'!J385-'DATA B2'!J384)</f>
        <v>749</v>
      </c>
      <c r="K384" s="28">
        <f t="shared" si="112"/>
        <v>57.615384615384613</v>
      </c>
      <c r="L384" s="28">
        <f t="shared" si="113"/>
        <v>72.222222222222214</v>
      </c>
      <c r="M384" s="89">
        <f>SUM('WATER_STEAM RATIO'!Q384)</f>
        <v>0</v>
      </c>
      <c r="N384" s="9">
        <f>SUM('DATA B3'!H385-'DATA B3'!H384)</f>
        <v>0</v>
      </c>
      <c r="O384" s="88">
        <f t="shared" si="114"/>
        <v>0</v>
      </c>
      <c r="P384" s="15">
        <f t="shared" si="115"/>
        <v>0</v>
      </c>
    </row>
    <row r="385" spans="3:16">
      <c r="C385" s="292"/>
      <c r="D385" s="43">
        <v>0.70833333333333304</v>
      </c>
      <c r="E385" s="5">
        <f>SUM('WATER_STEAM RATIO'!E385)</f>
        <v>0</v>
      </c>
      <c r="F385" s="9">
        <f>SUM('DATA B1'!I386-'DATA B1'!I385)+('DATA B1'!J386-'DATA B1'!J385)</f>
        <v>0</v>
      </c>
      <c r="G385" s="28">
        <f t="shared" si="110"/>
        <v>0</v>
      </c>
      <c r="H385" s="28">
        <f t="shared" si="111"/>
        <v>0</v>
      </c>
      <c r="I385" s="24">
        <f>SUM('WATER_STEAM RATIO'!K385)</f>
        <v>13</v>
      </c>
      <c r="J385" s="30">
        <f>SUM('DATA B2'!I386-'DATA B2'!I385)+('DATA B2'!J386-'DATA B2'!J385)</f>
        <v>759</v>
      </c>
      <c r="K385" s="28">
        <f t="shared" si="112"/>
        <v>58.384615384615387</v>
      </c>
      <c r="L385" s="28">
        <f t="shared" si="113"/>
        <v>72.222222222222214</v>
      </c>
      <c r="M385" s="89">
        <f>SUM('WATER_STEAM RATIO'!Q385)</f>
        <v>0</v>
      </c>
      <c r="N385" s="9">
        <f>SUM('DATA B3'!H386-'DATA B3'!H385)</f>
        <v>0</v>
      </c>
      <c r="O385" s="88">
        <f t="shared" si="114"/>
        <v>0</v>
      </c>
      <c r="P385" s="15">
        <f t="shared" si="115"/>
        <v>0</v>
      </c>
    </row>
    <row r="386" spans="3:16">
      <c r="C386" s="292"/>
      <c r="D386" s="43">
        <v>0.75</v>
      </c>
      <c r="E386" s="5">
        <f>SUM('WATER_STEAM RATIO'!E386)</f>
        <v>0</v>
      </c>
      <c r="F386" s="9">
        <f>SUM('DATA B1'!I387-'DATA B1'!I386)+('DATA B1'!J387-'DATA B1'!J386)</f>
        <v>0</v>
      </c>
      <c r="G386" s="28">
        <f t="shared" si="110"/>
        <v>0</v>
      </c>
      <c r="H386" s="28">
        <f t="shared" si="111"/>
        <v>0</v>
      </c>
      <c r="I386" s="24">
        <f>SUM('WATER_STEAM RATIO'!K386)</f>
        <v>14</v>
      </c>
      <c r="J386" s="30">
        <f>SUM('DATA B2'!I387-'DATA B2'!I386)+('DATA B2'!J387-'DATA B2'!J386)</f>
        <v>771</v>
      </c>
      <c r="K386" s="28">
        <f t="shared" si="112"/>
        <v>55.071428571428569</v>
      </c>
      <c r="L386" s="28">
        <f t="shared" si="113"/>
        <v>77.777777777777786</v>
      </c>
      <c r="M386" s="89">
        <f>SUM('WATER_STEAM RATIO'!Q386)</f>
        <v>0</v>
      </c>
      <c r="N386" s="9">
        <f>SUM('DATA B3'!H387-'DATA B3'!H386)</f>
        <v>0</v>
      </c>
      <c r="O386" s="88">
        <f t="shared" si="114"/>
        <v>0</v>
      </c>
      <c r="P386" s="15">
        <f t="shared" si="115"/>
        <v>0</v>
      </c>
    </row>
    <row r="387" spans="3:16">
      <c r="C387" s="292"/>
      <c r="D387" s="43">
        <v>0.79166666666666596</v>
      </c>
      <c r="E387" s="5">
        <f>SUM('WATER_STEAM RATIO'!E387)</f>
        <v>0</v>
      </c>
      <c r="F387" s="9">
        <f>SUM('DATA B1'!I388-'DATA B1'!I387)+('DATA B1'!J388-'DATA B1'!J387)</f>
        <v>0</v>
      </c>
      <c r="G387" s="28">
        <f t="shared" si="110"/>
        <v>0</v>
      </c>
      <c r="H387" s="28">
        <f t="shared" si="111"/>
        <v>0</v>
      </c>
      <c r="I387" s="24">
        <f>SUM('WATER_STEAM RATIO'!K387)</f>
        <v>14</v>
      </c>
      <c r="J387" s="30">
        <f>SUM('DATA B2'!I388-'DATA B2'!I387)+('DATA B2'!J388-'DATA B2'!J387)</f>
        <v>779</v>
      </c>
      <c r="K387" s="28">
        <f t="shared" si="112"/>
        <v>55.642857142857146</v>
      </c>
      <c r="L387" s="28">
        <f t="shared" si="113"/>
        <v>77.777777777777786</v>
      </c>
      <c r="M387" s="89">
        <f>SUM('WATER_STEAM RATIO'!Q387)</f>
        <v>0</v>
      </c>
      <c r="N387" s="9">
        <f>SUM('DATA B3'!H388-'DATA B3'!H387)</f>
        <v>0</v>
      </c>
      <c r="O387" s="88">
        <f t="shared" si="114"/>
        <v>0</v>
      </c>
      <c r="P387" s="15">
        <f t="shared" si="115"/>
        <v>0</v>
      </c>
    </row>
    <row r="388" spans="3:16">
      <c r="C388" s="292"/>
      <c r="D388" s="43">
        <v>0.83333333333333304</v>
      </c>
      <c r="E388" s="5">
        <f>SUM('WATER_STEAM RATIO'!E388)</f>
        <v>0</v>
      </c>
      <c r="F388" s="9">
        <f>SUM('DATA B1'!I389-'DATA B1'!I388)+('DATA B1'!J389-'DATA B1'!J388)</f>
        <v>0</v>
      </c>
      <c r="G388" s="28">
        <f t="shared" si="110"/>
        <v>0</v>
      </c>
      <c r="H388" s="28">
        <f t="shared" si="111"/>
        <v>0</v>
      </c>
      <c r="I388" s="24">
        <f>SUM('WATER_STEAM RATIO'!K388)</f>
        <v>16</v>
      </c>
      <c r="J388" s="30">
        <f>SUM('DATA B2'!I389-'DATA B2'!I388)+('DATA B2'!J389-'DATA B2'!J388)</f>
        <v>942</v>
      </c>
      <c r="K388" s="28">
        <f t="shared" si="112"/>
        <v>58.875</v>
      </c>
      <c r="L388" s="28">
        <f>IFERROR((I388/18)*100,0)</f>
        <v>88.888888888888886</v>
      </c>
      <c r="M388" s="89">
        <f>SUM('WATER_STEAM RATIO'!Q388)</f>
        <v>0</v>
      </c>
      <c r="N388" s="9">
        <f>SUM('DATA B3'!H389-'DATA B3'!H388)</f>
        <v>0</v>
      </c>
      <c r="O388" s="88">
        <f t="shared" si="114"/>
        <v>0</v>
      </c>
      <c r="P388" s="15">
        <f t="shared" si="115"/>
        <v>0</v>
      </c>
    </row>
    <row r="389" spans="3:16">
      <c r="C389" s="292"/>
      <c r="D389" s="43">
        <v>0.875</v>
      </c>
      <c r="E389" s="5">
        <f>SUM('WATER_STEAM RATIO'!E389)</f>
        <v>0</v>
      </c>
      <c r="F389" s="9">
        <f>SUM('DATA B1'!I390-'DATA B1'!I389)+('DATA B1'!J390-'DATA B1'!J389)</f>
        <v>0</v>
      </c>
      <c r="G389" s="28">
        <f t="shared" si="110"/>
        <v>0</v>
      </c>
      <c r="H389" s="28">
        <f t="shared" si="111"/>
        <v>0</v>
      </c>
      <c r="I389" s="24">
        <f>SUM('WATER_STEAM RATIO'!K389)</f>
        <v>10</v>
      </c>
      <c r="J389" s="30">
        <f>SUM('DATA B2'!I390-'DATA B2'!I389)+('DATA B2'!J390-'DATA B2'!J389)</f>
        <v>625</v>
      </c>
      <c r="K389" s="28">
        <f t="shared" si="112"/>
        <v>62.5</v>
      </c>
      <c r="L389" s="28">
        <f t="shared" ref="L389:L399" si="116">IFERROR((I389/18)*100,0)</f>
        <v>55.555555555555557</v>
      </c>
      <c r="M389" s="89">
        <f>SUM('WATER_STEAM RATIO'!Q389)</f>
        <v>0</v>
      </c>
      <c r="N389" s="9">
        <f>SUM('DATA B3'!H390-'DATA B3'!H389)</f>
        <v>0</v>
      </c>
      <c r="O389" s="88">
        <f t="shared" si="114"/>
        <v>0</v>
      </c>
      <c r="P389" s="15">
        <f t="shared" si="115"/>
        <v>0</v>
      </c>
    </row>
    <row r="390" spans="3:16">
      <c r="C390" s="292"/>
      <c r="D390" s="43">
        <v>0.91666666666666596</v>
      </c>
      <c r="E390" s="5">
        <f>SUM('WATER_STEAM RATIO'!E390)</f>
        <v>0</v>
      </c>
      <c r="F390" s="9">
        <f>SUM('DATA B1'!I391-'DATA B1'!I390)+('DATA B1'!J391-'DATA B1'!J390)</f>
        <v>0</v>
      </c>
      <c r="G390" s="28">
        <f t="shared" si="110"/>
        <v>0</v>
      </c>
      <c r="H390" s="28">
        <f t="shared" si="111"/>
        <v>0</v>
      </c>
      <c r="I390" s="24">
        <f>SUM('WATER_STEAM RATIO'!K390)</f>
        <v>10</v>
      </c>
      <c r="J390" s="30">
        <f>SUM('DATA B2'!I391-'DATA B2'!I390)+('DATA B2'!J391-'DATA B2'!J390)</f>
        <v>622</v>
      </c>
      <c r="K390" s="28">
        <f t="shared" si="112"/>
        <v>62.2</v>
      </c>
      <c r="L390" s="28">
        <f t="shared" si="116"/>
        <v>55.555555555555557</v>
      </c>
      <c r="M390" s="89">
        <f>SUM('WATER_STEAM RATIO'!Q390)</f>
        <v>0</v>
      </c>
      <c r="N390" s="9">
        <f>SUM('DATA B3'!H391-'DATA B3'!H390)</f>
        <v>0</v>
      </c>
      <c r="O390" s="88">
        <f t="shared" si="114"/>
        <v>0</v>
      </c>
      <c r="P390" s="15">
        <f>IFERROR((M390/16)*100,0)</f>
        <v>0</v>
      </c>
    </row>
    <row r="391" spans="3:16">
      <c r="C391" s="292"/>
      <c r="D391" s="43">
        <v>0.95833333333333304</v>
      </c>
      <c r="E391" s="5">
        <f>SUM('WATER_STEAM RATIO'!E391)</f>
        <v>0</v>
      </c>
      <c r="F391" s="9">
        <f>SUM('DATA B1'!I392-'DATA B1'!I391)+('DATA B1'!J392-'DATA B1'!J391)</f>
        <v>0</v>
      </c>
      <c r="G391" s="28">
        <f t="shared" si="110"/>
        <v>0</v>
      </c>
      <c r="H391" s="28">
        <f t="shared" si="111"/>
        <v>0</v>
      </c>
      <c r="I391" s="24">
        <f>SUM('WATER_STEAM RATIO'!K391)</f>
        <v>11</v>
      </c>
      <c r="J391" s="30">
        <f>SUM('DATA B2'!I392-'DATA B2'!I391)+('DATA B2'!J392-'DATA B2'!J391)</f>
        <v>690</v>
      </c>
      <c r="K391" s="28">
        <f t="shared" si="112"/>
        <v>62.727272727272727</v>
      </c>
      <c r="L391" s="28">
        <f t="shared" si="116"/>
        <v>61.111111111111114</v>
      </c>
      <c r="M391" s="89">
        <f>SUM('WATER_STEAM RATIO'!Q391)</f>
        <v>0</v>
      </c>
      <c r="N391" s="9">
        <f>SUM('DATA B3'!H392-'DATA B3'!H391)</f>
        <v>0</v>
      </c>
      <c r="O391" s="88">
        <f t="shared" si="114"/>
        <v>0</v>
      </c>
      <c r="P391" s="15">
        <f t="shared" si="115"/>
        <v>0</v>
      </c>
    </row>
    <row r="392" spans="3:16">
      <c r="C392" s="292"/>
      <c r="D392" s="43">
        <v>1</v>
      </c>
      <c r="E392" s="5">
        <f>SUM('WATER_STEAM RATIO'!E392)</f>
        <v>0</v>
      </c>
      <c r="F392" s="9">
        <f>SUM('DATA B1'!I393-'DATA B1'!I392)+('DATA B1'!J393-'DATA B1'!J392)</f>
        <v>0</v>
      </c>
      <c r="G392" s="28">
        <f t="shared" si="110"/>
        <v>0</v>
      </c>
      <c r="H392" s="28">
        <f t="shared" si="111"/>
        <v>0</v>
      </c>
      <c r="I392" s="24">
        <f>SUM('WATER_STEAM RATIO'!K392)</f>
        <v>11</v>
      </c>
      <c r="J392" s="30">
        <f>SUM('DATA B2'!I393-'DATA B2'!I392)+('DATA B2'!J393-'DATA B2'!J392)</f>
        <v>646</v>
      </c>
      <c r="K392" s="28">
        <f t="shared" si="112"/>
        <v>58.727272727272727</v>
      </c>
      <c r="L392" s="28">
        <f t="shared" si="116"/>
        <v>61.111111111111114</v>
      </c>
      <c r="M392" s="89">
        <f>SUM('WATER_STEAM RATIO'!Q392)</f>
        <v>0</v>
      </c>
      <c r="N392" s="9">
        <f>SUM('DATA B3'!H393-'DATA B3'!H392)</f>
        <v>0</v>
      </c>
      <c r="O392" s="88">
        <f t="shared" si="114"/>
        <v>0</v>
      </c>
      <c r="P392" s="15">
        <f t="shared" si="115"/>
        <v>0</v>
      </c>
    </row>
    <row r="393" spans="3:16">
      <c r="C393" s="292"/>
      <c r="D393" s="43">
        <v>1.0416666666666701</v>
      </c>
      <c r="E393" s="5">
        <f>SUM('WATER_STEAM RATIO'!E393)</f>
        <v>0</v>
      </c>
      <c r="F393" s="9">
        <f>SUM('DATA B1'!I394-'DATA B1'!I393)+('DATA B1'!J394-'DATA B1'!J393)</f>
        <v>0</v>
      </c>
      <c r="G393" s="28">
        <f t="shared" si="110"/>
        <v>0</v>
      </c>
      <c r="H393" s="28">
        <f t="shared" si="111"/>
        <v>0</v>
      </c>
      <c r="I393" s="24">
        <f>SUM('WATER_STEAM RATIO'!K393)</f>
        <v>11</v>
      </c>
      <c r="J393" s="30">
        <f>SUM('DATA B2'!I394-'DATA B2'!I393)+('DATA B2'!J394-'DATA B2'!J393)</f>
        <v>656</v>
      </c>
      <c r="K393" s="28">
        <f t="shared" si="112"/>
        <v>59.636363636363633</v>
      </c>
      <c r="L393" s="28">
        <f t="shared" si="116"/>
        <v>61.111111111111114</v>
      </c>
      <c r="M393" s="89">
        <f>SUM('WATER_STEAM RATIO'!Q393)</f>
        <v>0</v>
      </c>
      <c r="N393" s="9">
        <f>SUM('DATA B3'!H394-'DATA B3'!H393)</f>
        <v>0</v>
      </c>
      <c r="O393" s="88">
        <f t="shared" si="114"/>
        <v>0</v>
      </c>
      <c r="P393" s="15">
        <f t="shared" si="115"/>
        <v>0</v>
      </c>
    </row>
    <row r="394" spans="3:16">
      <c r="C394" s="292"/>
      <c r="D394" s="43">
        <v>1.0833333333333399</v>
      </c>
      <c r="E394" s="5">
        <f>SUM('WATER_STEAM RATIO'!E394)</f>
        <v>0</v>
      </c>
      <c r="F394" s="9">
        <f>SUM('DATA B1'!I395-'DATA B1'!I394)+('DATA B1'!J395-'DATA B1'!J394)</f>
        <v>0</v>
      </c>
      <c r="G394" s="28">
        <f t="shared" si="110"/>
        <v>0</v>
      </c>
      <c r="H394" s="28">
        <f t="shared" si="111"/>
        <v>0</v>
      </c>
      <c r="I394" s="24">
        <f>SUM('WATER_STEAM RATIO'!K394)</f>
        <v>12</v>
      </c>
      <c r="J394" s="30">
        <f>SUM('DATA B2'!I395-'DATA B2'!I394)+('DATA B2'!J395-'DATA B2'!J394)</f>
        <v>713</v>
      </c>
      <c r="K394" s="28">
        <f t="shared" si="112"/>
        <v>59.416666666666664</v>
      </c>
      <c r="L394" s="28">
        <f t="shared" si="116"/>
        <v>66.666666666666657</v>
      </c>
      <c r="M394" s="89">
        <f>SUM('WATER_STEAM RATIO'!Q394)</f>
        <v>0</v>
      </c>
      <c r="N394" s="9">
        <f>SUM('DATA B3'!H395-'DATA B3'!H394)</f>
        <v>0</v>
      </c>
      <c r="O394" s="88">
        <f t="shared" si="114"/>
        <v>0</v>
      </c>
      <c r="P394" s="15">
        <f t="shared" si="115"/>
        <v>0</v>
      </c>
    </row>
    <row r="395" spans="3:16">
      <c r="C395" s="292"/>
      <c r="D395" s="43">
        <v>1.125</v>
      </c>
      <c r="E395" s="5">
        <f>SUM('WATER_STEAM RATIO'!E395)</f>
        <v>0</v>
      </c>
      <c r="F395" s="9">
        <f>SUM('DATA B1'!I396-'DATA B1'!I395)+('DATA B1'!J396-'DATA B1'!J395)</f>
        <v>0</v>
      </c>
      <c r="G395" s="28">
        <f t="shared" si="110"/>
        <v>0</v>
      </c>
      <c r="H395" s="28">
        <f t="shared" si="111"/>
        <v>0</v>
      </c>
      <c r="I395" s="24">
        <f>SUM('WATER_STEAM RATIO'!K395)</f>
        <v>12</v>
      </c>
      <c r="J395" s="30">
        <f>SUM('DATA B2'!I396-'DATA B2'!I395)+('DATA B2'!J396-'DATA B2'!J395)</f>
        <v>716</v>
      </c>
      <c r="K395" s="28">
        <f t="shared" si="112"/>
        <v>59.666666666666664</v>
      </c>
      <c r="L395" s="28">
        <f t="shared" si="116"/>
        <v>66.666666666666657</v>
      </c>
      <c r="M395" s="89">
        <f>SUM('WATER_STEAM RATIO'!Q395)</f>
        <v>0</v>
      </c>
      <c r="N395" s="9">
        <f>SUM('DATA B3'!H396-'DATA B3'!H395)</f>
        <v>0</v>
      </c>
      <c r="O395" s="88">
        <f t="shared" ref="O395:O399" si="117">IFERROR(N395/(M395),0)</f>
        <v>0</v>
      </c>
      <c r="P395" s="15">
        <f t="shared" si="115"/>
        <v>0</v>
      </c>
    </row>
    <row r="396" spans="3:16">
      <c r="C396" s="292"/>
      <c r="D396" s="43">
        <v>1.1666666666666701</v>
      </c>
      <c r="E396" s="5">
        <f>SUM('WATER_STEAM RATIO'!E396)</f>
        <v>0</v>
      </c>
      <c r="F396" s="9">
        <f>SUM('DATA B1'!I397-'DATA B1'!I396)+('DATA B1'!J397-'DATA B1'!J396)</f>
        <v>0</v>
      </c>
      <c r="G396" s="28">
        <f t="shared" si="110"/>
        <v>0</v>
      </c>
      <c r="H396" s="28">
        <f t="shared" si="111"/>
        <v>0</v>
      </c>
      <c r="I396" s="24">
        <f>SUM('WATER_STEAM RATIO'!K396)</f>
        <v>11</v>
      </c>
      <c r="J396" s="30">
        <f>SUM('DATA B2'!I397-'DATA B2'!I396)+('DATA B2'!J397-'DATA B2'!J396)</f>
        <v>681</v>
      </c>
      <c r="K396" s="28">
        <f>IFERROR(J396/(I396),0)</f>
        <v>61.909090909090907</v>
      </c>
      <c r="L396" s="28">
        <f t="shared" si="116"/>
        <v>61.111111111111114</v>
      </c>
      <c r="M396" s="89">
        <f>SUM('WATER_STEAM RATIO'!Q396)</f>
        <v>0</v>
      </c>
      <c r="N396" s="9">
        <f>SUM('DATA B3'!H397-'DATA B3'!H396)</f>
        <v>0</v>
      </c>
      <c r="O396" s="88">
        <f t="shared" si="117"/>
        <v>0</v>
      </c>
      <c r="P396" s="15">
        <f t="shared" si="115"/>
        <v>0</v>
      </c>
    </row>
    <row r="397" spans="3:16">
      <c r="C397" s="292"/>
      <c r="D397" s="43">
        <v>1.2083333333333399</v>
      </c>
      <c r="E397" s="5">
        <f>SUM('WATER_STEAM RATIO'!E397)</f>
        <v>0</v>
      </c>
      <c r="F397" s="9">
        <f>SUM('DATA B1'!I398-'DATA B1'!I397)+('DATA B1'!J398-'DATA B1'!J397)</f>
        <v>0</v>
      </c>
      <c r="G397" s="28">
        <f t="shared" si="110"/>
        <v>0</v>
      </c>
      <c r="H397" s="28">
        <f t="shared" si="111"/>
        <v>0</v>
      </c>
      <c r="I397" s="24">
        <f>SUM('WATER_STEAM RATIO'!K397)</f>
        <v>11</v>
      </c>
      <c r="J397" s="30">
        <f>SUM('DATA B2'!I398-'DATA B2'!I397)+('DATA B2'!J398-'DATA B2'!J397)</f>
        <v>681</v>
      </c>
      <c r="K397" s="28">
        <f>IFERROR(J397/(I397),0)</f>
        <v>61.909090909090907</v>
      </c>
      <c r="L397" s="28">
        <f t="shared" si="116"/>
        <v>61.111111111111114</v>
      </c>
      <c r="M397" s="89">
        <f>SUM('WATER_STEAM RATIO'!Q397)</f>
        <v>0</v>
      </c>
      <c r="N397" s="9">
        <f>SUM('DATA B3'!H398-'DATA B3'!H397)</f>
        <v>0</v>
      </c>
      <c r="O397" s="88">
        <f t="shared" si="117"/>
        <v>0</v>
      </c>
      <c r="P397" s="15">
        <f t="shared" si="115"/>
        <v>0</v>
      </c>
    </row>
    <row r="398" spans="3:16">
      <c r="C398" s="292"/>
      <c r="D398" s="43">
        <v>1.25</v>
      </c>
      <c r="E398" s="5">
        <f>SUM('WATER_STEAM RATIO'!E398)</f>
        <v>0</v>
      </c>
      <c r="F398" s="9">
        <f>SUM('DATA B1'!I399-'DATA B1'!I398)+('DATA B1'!J399-'DATA B1'!J398)</f>
        <v>0</v>
      </c>
      <c r="G398" s="28">
        <f t="shared" si="110"/>
        <v>0</v>
      </c>
      <c r="H398" s="28">
        <f t="shared" si="111"/>
        <v>0</v>
      </c>
      <c r="I398" s="24">
        <f>SUM('WATER_STEAM RATIO'!K398)</f>
        <v>11</v>
      </c>
      <c r="J398" s="30">
        <f>SUM('DATA B2'!I399-'DATA B2'!I398)+('DATA B2'!J399-'DATA B2'!J398)</f>
        <v>685</v>
      </c>
      <c r="K398" s="28">
        <f>IFERROR(J398/(I398),0)</f>
        <v>62.272727272727273</v>
      </c>
      <c r="L398" s="28">
        <f t="shared" si="116"/>
        <v>61.111111111111114</v>
      </c>
      <c r="M398" s="89">
        <f>SUM('WATER_STEAM RATIO'!Q398)</f>
        <v>0</v>
      </c>
      <c r="N398" s="9">
        <f>SUM('DATA B3'!H399-'DATA B3'!H398)</f>
        <v>0</v>
      </c>
      <c r="O398" s="88">
        <f t="shared" si="117"/>
        <v>0</v>
      </c>
      <c r="P398" s="15">
        <f t="shared" si="115"/>
        <v>0</v>
      </c>
    </row>
    <row r="399" spans="3:16">
      <c r="C399" s="292"/>
      <c r="D399" s="43">
        <v>1.2916666666666701</v>
      </c>
      <c r="E399" s="5">
        <f>SUM('WATER_STEAM RATIO'!E399)</f>
        <v>0</v>
      </c>
      <c r="F399" s="9">
        <f>SUM('DATA B1'!I400-'DATA B1'!I399)+('DATA B1'!J400-'DATA B1'!J399)</f>
        <v>0</v>
      </c>
      <c r="G399" s="28">
        <f t="shared" si="110"/>
        <v>0</v>
      </c>
      <c r="H399" s="28">
        <f t="shared" si="111"/>
        <v>0</v>
      </c>
      <c r="I399" s="24">
        <f>SUM('WATER_STEAM RATIO'!K399)</f>
        <v>11</v>
      </c>
      <c r="J399" s="30">
        <f>SUM('DATA B2'!I400-'DATA B2'!I399)+('DATA B2'!J400-'DATA B2'!J399)</f>
        <v>686</v>
      </c>
      <c r="K399" s="28">
        <f>IFERROR(J399/(I399),0)</f>
        <v>62.363636363636367</v>
      </c>
      <c r="L399" s="28">
        <f t="shared" si="116"/>
        <v>61.111111111111114</v>
      </c>
      <c r="M399" s="89">
        <f>SUM('WATER_STEAM RATIO'!Q399)</f>
        <v>0</v>
      </c>
      <c r="N399" s="9">
        <f>SUM('DATA B3'!H400-'DATA B3'!H399)</f>
        <v>0</v>
      </c>
      <c r="O399" s="88">
        <f t="shared" si="117"/>
        <v>0</v>
      </c>
      <c r="P399" s="15">
        <f t="shared" si="115"/>
        <v>0</v>
      </c>
    </row>
    <row r="400" spans="3:16">
      <c r="C400" s="293"/>
      <c r="D400" s="258"/>
      <c r="E400" s="91">
        <f>SUMIF(E375:E399,"&gt;=0",E375:E399)</f>
        <v>0</v>
      </c>
      <c r="F400" s="91">
        <f>SUMIF(F375:F399,"&gt;=0",F375:F399)</f>
        <v>0</v>
      </c>
      <c r="G400" s="54">
        <f>IFERROR(F400/E400,0)</f>
        <v>0</v>
      </c>
      <c r="H400" s="54">
        <f>IFERROR(AVERAGE(H376:H399),0)</f>
        <v>0</v>
      </c>
      <c r="I400" s="91">
        <f>SUMIF(I375:I399,"&gt;=0",I375:I399)</f>
        <v>284</v>
      </c>
      <c r="J400" s="91">
        <f>SUMIF(J375:J399,"&gt;=0",J375:J399)</f>
        <v>16984</v>
      </c>
      <c r="K400" s="54">
        <f>IFERROR(J400/(I400),0)</f>
        <v>59.802816901408448</v>
      </c>
      <c r="L400" s="54">
        <f>IFERROR(AVERAGE(L376:L399),0)</f>
        <v>63.425925925925924</v>
      </c>
      <c r="M400" s="91">
        <f>SUMIF(M375:M399,"&gt;=0",M375:M399)</f>
        <v>0</v>
      </c>
      <c r="N400" s="91">
        <f>SUMIF(N375:N399,"&gt;=0",N375:N399)</f>
        <v>0</v>
      </c>
      <c r="O400" s="239">
        <f>IFERROR(N400/(M400),0)</f>
        <v>0</v>
      </c>
      <c r="P400" s="215">
        <f>IFERROR(AVERAGE(P376:P399),0)</f>
        <v>0</v>
      </c>
    </row>
    <row r="401" spans="3:16" ht="15" customHeight="1">
      <c r="C401" s="291">
        <f>SUM('WATER_STEAM RATIO'!B401:B426)</f>
        <v>46038</v>
      </c>
      <c r="D401" s="43">
        <v>0.29166666666666669</v>
      </c>
      <c r="E401" s="5">
        <f>SUM('WATER_STEAM RATIO'!E401)</f>
        <v>0</v>
      </c>
      <c r="F401" s="9"/>
      <c r="G401" s="28"/>
      <c r="H401" s="28"/>
      <c r="I401" s="24">
        <f>SUM('WATER_STEAM RATIO'!K401)</f>
        <v>11</v>
      </c>
      <c r="J401" s="30"/>
      <c r="K401" s="28"/>
      <c r="L401" s="28"/>
      <c r="M401" s="89">
        <f>SUM('WATER_STEAM RATIO'!Q401)</f>
        <v>0</v>
      </c>
      <c r="N401" s="9"/>
      <c r="O401" s="88"/>
      <c r="P401" s="15"/>
    </row>
    <row r="402" spans="3:16">
      <c r="C402" s="292"/>
      <c r="D402" s="43">
        <v>0.33333333333333298</v>
      </c>
      <c r="E402" s="5">
        <f>SUM('WATER_STEAM RATIO'!E402)</f>
        <v>0</v>
      </c>
      <c r="F402" s="9">
        <f>SUM('DATA B1'!I403-'DATA B1'!I402)+('DATA B1'!J403-'DATA B1'!J402)</f>
        <v>0</v>
      </c>
      <c r="G402" s="28">
        <f>IFERROR(F402/(E402),0)</f>
        <v>0</v>
      </c>
      <c r="H402" s="28">
        <f>IFERROR((E402/18)*100,0)</f>
        <v>0</v>
      </c>
      <c r="I402" s="24">
        <f>SUM('WATER_STEAM RATIO'!K402)</f>
        <v>16</v>
      </c>
      <c r="J402" s="30">
        <f>SUM('DATA B2'!I403-'DATA B2'!I402)+('DATA B2'!J403-'DATA B2'!J402)</f>
        <v>900</v>
      </c>
      <c r="K402" s="28">
        <f>IFERROR(J402/(I402),0)</f>
        <v>56.25</v>
      </c>
      <c r="L402" s="28">
        <f>IFERROR((I402/18)*100,0)</f>
        <v>88.888888888888886</v>
      </c>
      <c r="M402" s="89">
        <f>SUM('WATER_STEAM RATIO'!Q402)</f>
        <v>0</v>
      </c>
      <c r="N402" s="9">
        <f>SUM('DATA B3'!H403-'DATA B3'!H402)</f>
        <v>0</v>
      </c>
      <c r="O402" s="88">
        <f>IFERROR(N402/(M402),0)</f>
        <v>0</v>
      </c>
      <c r="P402" s="15">
        <f>IFERROR((M402/16)*100,0)</f>
        <v>0</v>
      </c>
    </row>
    <row r="403" spans="3:16">
      <c r="C403" s="292"/>
      <c r="D403" s="43">
        <v>0.375</v>
      </c>
      <c r="E403" s="5">
        <f>SUM('WATER_STEAM RATIO'!E403)</f>
        <v>0</v>
      </c>
      <c r="F403" s="9">
        <f>SUM('DATA B1'!I404-'DATA B1'!I403)+('DATA B1'!J404-'DATA B1'!J403)</f>
        <v>0</v>
      </c>
      <c r="G403" s="28">
        <f t="shared" ref="G403:G425" si="118">IFERROR(F403/(E403),0)</f>
        <v>0</v>
      </c>
      <c r="H403" s="28">
        <f t="shared" ref="H403:H425" si="119">IFERROR((E403/18)*100,0)</f>
        <v>0</v>
      </c>
      <c r="I403" s="24">
        <f>SUM('WATER_STEAM RATIO'!K403)</f>
        <v>9</v>
      </c>
      <c r="J403" s="30">
        <f>SUM('DATA B2'!I404-'DATA B2'!I403)+('DATA B2'!J404-'DATA B2'!J403)</f>
        <v>606</v>
      </c>
      <c r="K403" s="28">
        <f t="shared" ref="K403:K421" si="120">IFERROR(J403/(I403),0)</f>
        <v>67.333333333333329</v>
      </c>
      <c r="L403" s="28">
        <f t="shared" ref="L403:L413" si="121">IFERROR((I403/18)*100,0)</f>
        <v>50</v>
      </c>
      <c r="M403" s="89">
        <f>SUM('WATER_STEAM RATIO'!Q403)</f>
        <v>0</v>
      </c>
      <c r="N403" s="9">
        <f>SUM('DATA B3'!H404-'DATA B3'!H403)</f>
        <v>0</v>
      </c>
      <c r="O403" s="88">
        <f t="shared" ref="O403:O420" si="122">IFERROR(N403/(M403),0)</f>
        <v>0</v>
      </c>
      <c r="P403" s="15">
        <f t="shared" ref="P403:P425" si="123">IFERROR((M403/16)*100,0)</f>
        <v>0</v>
      </c>
    </row>
    <row r="404" spans="3:16">
      <c r="C404" s="292"/>
      <c r="D404" s="43">
        <v>0.41666666666666702</v>
      </c>
      <c r="E404" s="5">
        <f>SUM('WATER_STEAM RATIO'!E404)</f>
        <v>0</v>
      </c>
      <c r="F404" s="9">
        <f>SUM('DATA B1'!I405-'DATA B1'!I404)+('DATA B1'!J405-'DATA B1'!J404)</f>
        <v>0</v>
      </c>
      <c r="G404" s="28">
        <f t="shared" si="118"/>
        <v>0</v>
      </c>
      <c r="H404" s="28">
        <f t="shared" si="119"/>
        <v>0</v>
      </c>
      <c r="I404" s="24">
        <f>SUM('WATER_STEAM RATIO'!K404)</f>
        <v>9</v>
      </c>
      <c r="J404" s="30">
        <f>SUM('DATA B2'!I405-'DATA B2'!I404)+('DATA B2'!J405-'DATA B2'!J404)</f>
        <v>596</v>
      </c>
      <c r="K404" s="28">
        <f t="shared" si="120"/>
        <v>66.222222222222229</v>
      </c>
      <c r="L404" s="28">
        <f t="shared" si="121"/>
        <v>50</v>
      </c>
      <c r="M404" s="89">
        <f>SUM('WATER_STEAM RATIO'!Q404)</f>
        <v>0</v>
      </c>
      <c r="N404" s="9">
        <f>SUM('DATA B3'!H405-'DATA B3'!H404)</f>
        <v>0</v>
      </c>
      <c r="O404" s="88">
        <f t="shared" si="122"/>
        <v>0</v>
      </c>
      <c r="P404" s="15">
        <f t="shared" si="123"/>
        <v>0</v>
      </c>
    </row>
    <row r="405" spans="3:16">
      <c r="C405" s="292"/>
      <c r="D405" s="43">
        <v>0.45833333333333298</v>
      </c>
      <c r="E405" s="5">
        <f>SUM('WATER_STEAM RATIO'!E405)</f>
        <v>0</v>
      </c>
      <c r="F405" s="9">
        <f>SUM('DATA B1'!I406-'DATA B1'!I405)+('DATA B1'!J406-'DATA B1'!J405)</f>
        <v>0</v>
      </c>
      <c r="G405" s="28">
        <f t="shared" si="118"/>
        <v>0</v>
      </c>
      <c r="H405" s="28">
        <f t="shared" si="119"/>
        <v>0</v>
      </c>
      <c r="I405" s="24">
        <f>SUM('WATER_STEAM RATIO'!K405)</f>
        <v>9</v>
      </c>
      <c r="J405" s="30">
        <f>SUM('DATA B2'!I406-'DATA B2'!I405)+('DATA B2'!J406-'DATA B2'!J405)</f>
        <v>616</v>
      </c>
      <c r="K405" s="28">
        <f t="shared" si="120"/>
        <v>68.444444444444443</v>
      </c>
      <c r="L405" s="28">
        <f t="shared" si="121"/>
        <v>50</v>
      </c>
      <c r="M405" s="89">
        <f>SUM('WATER_STEAM RATIO'!Q405)</f>
        <v>0</v>
      </c>
      <c r="N405" s="9">
        <f>SUM('DATA B3'!H406-'DATA B3'!H405)</f>
        <v>0</v>
      </c>
      <c r="O405" s="88">
        <f t="shared" si="122"/>
        <v>0</v>
      </c>
      <c r="P405" s="15">
        <f t="shared" si="123"/>
        <v>0</v>
      </c>
    </row>
    <row r="406" spans="3:16">
      <c r="C406" s="292"/>
      <c r="D406" s="43">
        <v>0.5</v>
      </c>
      <c r="E406" s="5">
        <f>SUM('WATER_STEAM RATIO'!E406)</f>
        <v>0</v>
      </c>
      <c r="F406" s="9">
        <f>SUM('DATA B1'!I407-'DATA B1'!I406)+('DATA B1'!J407-'DATA B1'!J406)</f>
        <v>0</v>
      </c>
      <c r="G406" s="28">
        <f t="shared" si="118"/>
        <v>0</v>
      </c>
      <c r="H406" s="28">
        <f t="shared" si="119"/>
        <v>0</v>
      </c>
      <c r="I406" s="24">
        <f>SUM('WATER_STEAM RATIO'!K406)</f>
        <v>9</v>
      </c>
      <c r="J406" s="30">
        <f>SUM('DATA B2'!I407-'DATA B2'!I406)+('DATA B2'!J407-'DATA B2'!J406)</f>
        <v>595</v>
      </c>
      <c r="K406" s="28">
        <f t="shared" si="120"/>
        <v>66.111111111111114</v>
      </c>
      <c r="L406" s="28">
        <f t="shared" si="121"/>
        <v>50</v>
      </c>
      <c r="M406" s="89">
        <f>SUM('WATER_STEAM RATIO'!Q406)</f>
        <v>0</v>
      </c>
      <c r="N406" s="9">
        <f>SUM('DATA B3'!H407-'DATA B3'!H406)</f>
        <v>0</v>
      </c>
      <c r="O406" s="88">
        <f t="shared" si="122"/>
        <v>0</v>
      </c>
      <c r="P406" s="15">
        <f t="shared" si="123"/>
        <v>0</v>
      </c>
    </row>
    <row r="407" spans="3:16">
      <c r="C407" s="292"/>
      <c r="D407" s="43">
        <v>0.54166666666666696</v>
      </c>
      <c r="E407" s="5">
        <f>SUM('WATER_STEAM RATIO'!E407)</f>
        <v>0</v>
      </c>
      <c r="F407" s="9">
        <f>SUM('DATA B1'!I408-'DATA B1'!I407)+('DATA B1'!J408-'DATA B1'!J407)</f>
        <v>0</v>
      </c>
      <c r="G407" s="28">
        <f t="shared" si="118"/>
        <v>0</v>
      </c>
      <c r="H407" s="28">
        <f t="shared" si="119"/>
        <v>0</v>
      </c>
      <c r="I407" s="24">
        <f>SUM('WATER_STEAM RATIO'!K407)</f>
        <v>9</v>
      </c>
      <c r="J407" s="30">
        <f>SUM('DATA B2'!I408-'DATA B2'!I407)+('DATA B2'!J408-'DATA B2'!J407)</f>
        <v>605</v>
      </c>
      <c r="K407" s="28">
        <f t="shared" si="120"/>
        <v>67.222222222222229</v>
      </c>
      <c r="L407" s="28">
        <f t="shared" si="121"/>
        <v>50</v>
      </c>
      <c r="M407" s="89">
        <f>SUM('WATER_STEAM RATIO'!Q407)</f>
        <v>0</v>
      </c>
      <c r="N407" s="9">
        <f>SUM('DATA B3'!H408-'DATA B3'!H407)</f>
        <v>0</v>
      </c>
      <c r="O407" s="88">
        <f t="shared" si="122"/>
        <v>0</v>
      </c>
      <c r="P407" s="15">
        <f t="shared" si="123"/>
        <v>0</v>
      </c>
    </row>
    <row r="408" spans="3:16">
      <c r="C408" s="292"/>
      <c r="D408" s="43">
        <v>0.58333333333333304</v>
      </c>
      <c r="E408" s="5">
        <f>SUM('WATER_STEAM RATIO'!E408)</f>
        <v>0</v>
      </c>
      <c r="F408" s="9">
        <f>SUM('DATA B1'!I409-'DATA B1'!I408)+('DATA B1'!J409-'DATA B1'!J408)</f>
        <v>0</v>
      </c>
      <c r="G408" s="28">
        <f t="shared" si="118"/>
        <v>0</v>
      </c>
      <c r="H408" s="28">
        <f t="shared" si="119"/>
        <v>0</v>
      </c>
      <c r="I408" s="24">
        <f>SUM('WATER_STEAM RATIO'!K408)</f>
        <v>10</v>
      </c>
      <c r="J408" s="30">
        <f>SUM('DATA B2'!I409-'DATA B2'!I408)+('DATA B2'!J409-'DATA B2'!J408)</f>
        <v>625</v>
      </c>
      <c r="K408" s="28">
        <f t="shared" si="120"/>
        <v>62.5</v>
      </c>
      <c r="L408" s="28">
        <f t="shared" si="121"/>
        <v>55.555555555555557</v>
      </c>
      <c r="M408" s="89">
        <f>SUM('WATER_STEAM RATIO'!Q408)</f>
        <v>0</v>
      </c>
      <c r="N408" s="9">
        <f>SUM('DATA B3'!H409-'DATA B3'!H408)</f>
        <v>0</v>
      </c>
      <c r="O408" s="88">
        <f t="shared" si="122"/>
        <v>0</v>
      </c>
      <c r="P408" s="15">
        <f t="shared" si="123"/>
        <v>0</v>
      </c>
    </row>
    <row r="409" spans="3:16">
      <c r="C409" s="292"/>
      <c r="D409" s="43">
        <v>0.625</v>
      </c>
      <c r="E409" s="5">
        <f>SUM('WATER_STEAM RATIO'!E409)</f>
        <v>0</v>
      </c>
      <c r="F409" s="9">
        <f>SUM('DATA B1'!I410-'DATA B1'!I409)+('DATA B1'!J410-'DATA B1'!J409)</f>
        <v>0</v>
      </c>
      <c r="G409" s="28">
        <f t="shared" si="118"/>
        <v>0</v>
      </c>
      <c r="H409" s="28">
        <f t="shared" si="119"/>
        <v>0</v>
      </c>
      <c r="I409" s="24">
        <f>SUM('WATER_STEAM RATIO'!K409)</f>
        <v>10</v>
      </c>
      <c r="J409" s="30">
        <f>SUM('DATA B2'!I410-'DATA B2'!I409)+('DATA B2'!J410-'DATA B2'!J409)</f>
        <v>638</v>
      </c>
      <c r="K409" s="28">
        <f t="shared" si="120"/>
        <v>63.8</v>
      </c>
      <c r="L409" s="28">
        <f t="shared" si="121"/>
        <v>55.555555555555557</v>
      </c>
      <c r="M409" s="89">
        <f>SUM('WATER_STEAM RATIO'!Q409)</f>
        <v>0</v>
      </c>
      <c r="N409" s="9">
        <f>SUM('DATA B3'!H410-'DATA B3'!H409)</f>
        <v>0</v>
      </c>
      <c r="O409" s="88">
        <f t="shared" si="122"/>
        <v>0</v>
      </c>
      <c r="P409" s="15">
        <f t="shared" si="123"/>
        <v>0</v>
      </c>
    </row>
    <row r="410" spans="3:16">
      <c r="C410" s="292"/>
      <c r="D410" s="43">
        <v>0.66666666666666596</v>
      </c>
      <c r="E410" s="5">
        <f>SUM('WATER_STEAM RATIO'!E410)</f>
        <v>0</v>
      </c>
      <c r="F410" s="9">
        <f>SUM('DATA B1'!I411-'DATA B1'!I410)+('DATA B1'!J411-'DATA B1'!J410)</f>
        <v>0</v>
      </c>
      <c r="G410" s="28">
        <f t="shared" si="118"/>
        <v>0</v>
      </c>
      <c r="H410" s="28">
        <f t="shared" si="119"/>
        <v>0</v>
      </c>
      <c r="I410" s="24">
        <f>SUM('WATER_STEAM RATIO'!K410)</f>
        <v>11</v>
      </c>
      <c r="J410" s="30">
        <f>SUM('DATA B2'!I411-'DATA B2'!I410)+('DATA B2'!J411-'DATA B2'!J410)</f>
        <v>719</v>
      </c>
      <c r="K410" s="28">
        <f t="shared" si="120"/>
        <v>65.36363636363636</v>
      </c>
      <c r="L410" s="28">
        <f t="shared" si="121"/>
        <v>61.111111111111114</v>
      </c>
      <c r="M410" s="89">
        <f>SUM('WATER_STEAM RATIO'!Q410)</f>
        <v>0</v>
      </c>
      <c r="N410" s="9">
        <f>SUM('DATA B3'!H411-'DATA B3'!H410)</f>
        <v>0</v>
      </c>
      <c r="O410" s="88">
        <f t="shared" si="122"/>
        <v>0</v>
      </c>
      <c r="P410" s="15">
        <f t="shared" si="123"/>
        <v>0</v>
      </c>
    </row>
    <row r="411" spans="3:16">
      <c r="C411" s="292"/>
      <c r="D411" s="43">
        <v>0.70833333333333304</v>
      </c>
      <c r="E411" s="5">
        <f>SUM('WATER_STEAM RATIO'!E411)</f>
        <v>0</v>
      </c>
      <c r="F411" s="9">
        <f>SUM('DATA B1'!I412-'DATA B1'!I411)+('DATA B1'!J412-'DATA B1'!J411)</f>
        <v>0</v>
      </c>
      <c r="G411" s="28">
        <f t="shared" si="118"/>
        <v>0</v>
      </c>
      <c r="H411" s="28">
        <f t="shared" si="119"/>
        <v>0</v>
      </c>
      <c r="I411" s="24">
        <f>SUM('WATER_STEAM RATIO'!K411)</f>
        <v>12</v>
      </c>
      <c r="J411" s="30">
        <f>SUM('DATA B2'!I412-'DATA B2'!I411)+('DATA B2'!J412-'DATA B2'!J411)</f>
        <v>743</v>
      </c>
      <c r="K411" s="28">
        <f t="shared" si="120"/>
        <v>61.916666666666664</v>
      </c>
      <c r="L411" s="28">
        <f t="shared" si="121"/>
        <v>66.666666666666657</v>
      </c>
      <c r="M411" s="89">
        <f>SUM('WATER_STEAM RATIO'!Q411)</f>
        <v>0</v>
      </c>
      <c r="N411" s="9">
        <f>SUM('DATA B3'!H412-'DATA B3'!H411)</f>
        <v>0</v>
      </c>
      <c r="O411" s="88">
        <f t="shared" si="122"/>
        <v>0</v>
      </c>
      <c r="P411" s="15">
        <f t="shared" si="123"/>
        <v>0</v>
      </c>
    </row>
    <row r="412" spans="3:16">
      <c r="C412" s="292"/>
      <c r="D412" s="43">
        <v>0.75</v>
      </c>
      <c r="E412" s="5">
        <f>SUM('WATER_STEAM RATIO'!E412)</f>
        <v>0</v>
      </c>
      <c r="F412" s="9">
        <f>SUM('DATA B1'!I413-'DATA B1'!I412)+('DATA B1'!J413-'DATA B1'!J412)</f>
        <v>0</v>
      </c>
      <c r="G412" s="28">
        <f t="shared" si="118"/>
        <v>0</v>
      </c>
      <c r="H412" s="28">
        <f t="shared" si="119"/>
        <v>0</v>
      </c>
      <c r="I412" s="24">
        <f>SUM('WATER_STEAM RATIO'!K412)</f>
        <v>12</v>
      </c>
      <c r="J412" s="30">
        <f>SUM('DATA B2'!I413-'DATA B2'!I412)+('DATA B2'!J413-'DATA B2'!J412)</f>
        <v>727</v>
      </c>
      <c r="K412" s="28">
        <f t="shared" si="120"/>
        <v>60.583333333333336</v>
      </c>
      <c r="L412" s="28">
        <f t="shared" si="121"/>
        <v>66.666666666666657</v>
      </c>
      <c r="M412" s="89">
        <f>SUM('WATER_STEAM RATIO'!Q412)</f>
        <v>0</v>
      </c>
      <c r="N412" s="9">
        <f>SUM('DATA B3'!H413-'DATA B3'!H412)</f>
        <v>0</v>
      </c>
      <c r="O412" s="88">
        <f t="shared" si="122"/>
        <v>0</v>
      </c>
      <c r="P412" s="15">
        <f t="shared" si="123"/>
        <v>0</v>
      </c>
    </row>
    <row r="413" spans="3:16">
      <c r="C413" s="292"/>
      <c r="D413" s="43">
        <v>0.79166666666666596</v>
      </c>
      <c r="E413" s="5">
        <f>SUM('WATER_STEAM RATIO'!E413)</f>
        <v>0</v>
      </c>
      <c r="F413" s="9">
        <f>SUM('DATA B1'!I414-'DATA B1'!I413)+('DATA B1'!J414-'DATA B1'!J413)</f>
        <v>0</v>
      </c>
      <c r="G413" s="28">
        <f t="shared" si="118"/>
        <v>0</v>
      </c>
      <c r="H413" s="28">
        <f t="shared" si="119"/>
        <v>0</v>
      </c>
      <c r="I413" s="24">
        <f>SUM('WATER_STEAM RATIO'!K413)</f>
        <v>12</v>
      </c>
      <c r="J413" s="30">
        <f>SUM('DATA B2'!I414-'DATA B2'!I413)+('DATA B2'!J414-'DATA B2'!J413)</f>
        <v>740</v>
      </c>
      <c r="K413" s="28">
        <f t="shared" si="120"/>
        <v>61.666666666666664</v>
      </c>
      <c r="L413" s="28">
        <f t="shared" si="121"/>
        <v>66.666666666666657</v>
      </c>
      <c r="M413" s="89">
        <f>SUM('WATER_STEAM RATIO'!Q413)</f>
        <v>0</v>
      </c>
      <c r="N413" s="9">
        <f>SUM('DATA B3'!H414-'DATA B3'!H413)</f>
        <v>0</v>
      </c>
      <c r="O413" s="88">
        <f t="shared" si="122"/>
        <v>0</v>
      </c>
      <c r="P413" s="15">
        <f t="shared" si="123"/>
        <v>0</v>
      </c>
    </row>
    <row r="414" spans="3:16">
      <c r="C414" s="292"/>
      <c r="D414" s="43">
        <v>0.83333333333333304</v>
      </c>
      <c r="E414" s="5">
        <f>SUM('WATER_STEAM RATIO'!E414)</f>
        <v>0</v>
      </c>
      <c r="F414" s="9">
        <f>SUM('DATA B1'!I415-'DATA B1'!I414)+('DATA B1'!J415-'DATA B1'!J414)</f>
        <v>0</v>
      </c>
      <c r="G414" s="28">
        <f t="shared" si="118"/>
        <v>0</v>
      </c>
      <c r="H414" s="28">
        <f t="shared" si="119"/>
        <v>0</v>
      </c>
      <c r="I414" s="24">
        <f>SUM('WATER_STEAM RATIO'!K414)</f>
        <v>13</v>
      </c>
      <c r="J414" s="30">
        <f>SUM('DATA B2'!I415-'DATA B2'!I414)+('DATA B2'!J415-'DATA B2'!J414)</f>
        <v>777</v>
      </c>
      <c r="K414" s="28">
        <f t="shared" si="120"/>
        <v>59.769230769230766</v>
      </c>
      <c r="L414" s="28">
        <f>IFERROR((I414/18)*100,0)</f>
        <v>72.222222222222214</v>
      </c>
      <c r="M414" s="89">
        <f>SUM('WATER_STEAM RATIO'!Q414)</f>
        <v>0</v>
      </c>
      <c r="N414" s="9">
        <f>SUM('DATA B3'!H415-'DATA B3'!H414)</f>
        <v>0</v>
      </c>
      <c r="O414" s="88">
        <f t="shared" si="122"/>
        <v>0</v>
      </c>
      <c r="P414" s="15">
        <f t="shared" si="123"/>
        <v>0</v>
      </c>
    </row>
    <row r="415" spans="3:16">
      <c r="C415" s="292"/>
      <c r="D415" s="43">
        <v>0.875</v>
      </c>
      <c r="E415" s="5">
        <f>SUM('WATER_STEAM RATIO'!E415)</f>
        <v>0</v>
      </c>
      <c r="F415" s="9">
        <f>SUM('DATA B1'!I416-'DATA B1'!I415)+('DATA B1'!J416-'DATA B1'!J415)</f>
        <v>0</v>
      </c>
      <c r="G415" s="28">
        <f t="shared" si="118"/>
        <v>0</v>
      </c>
      <c r="H415" s="28">
        <f t="shared" si="119"/>
        <v>0</v>
      </c>
      <c r="I415" s="24">
        <f>SUM('WATER_STEAM RATIO'!K415)</f>
        <v>10</v>
      </c>
      <c r="J415" s="30">
        <f>SUM('DATA B2'!I416-'DATA B2'!I415)+('DATA B2'!J416-'DATA B2'!J415)</f>
        <v>660</v>
      </c>
      <c r="K415" s="28">
        <f t="shared" si="120"/>
        <v>66</v>
      </c>
      <c r="L415" s="28">
        <f t="shared" ref="L415:L425" si="124">IFERROR((I415/18)*100,0)</f>
        <v>55.555555555555557</v>
      </c>
      <c r="M415" s="89">
        <f>SUM('WATER_STEAM RATIO'!Q415)</f>
        <v>0</v>
      </c>
      <c r="N415" s="9">
        <f>SUM('DATA B3'!H416-'DATA B3'!H415)</f>
        <v>0</v>
      </c>
      <c r="O415" s="88">
        <f t="shared" si="122"/>
        <v>0</v>
      </c>
      <c r="P415" s="15">
        <f t="shared" si="123"/>
        <v>0</v>
      </c>
    </row>
    <row r="416" spans="3:16">
      <c r="C416" s="292"/>
      <c r="D416" s="43">
        <v>0.91666666666666596</v>
      </c>
      <c r="E416" s="5">
        <f>SUM('WATER_STEAM RATIO'!E416)</f>
        <v>0</v>
      </c>
      <c r="F416" s="9">
        <f>SUM('DATA B1'!I417-'DATA B1'!I416)+('DATA B1'!J417-'DATA B1'!J416)</f>
        <v>0</v>
      </c>
      <c r="G416" s="28">
        <f t="shared" si="118"/>
        <v>0</v>
      </c>
      <c r="H416" s="28">
        <f t="shared" si="119"/>
        <v>0</v>
      </c>
      <c r="I416" s="24">
        <f>SUM('WATER_STEAM RATIO'!K416)</f>
        <v>11</v>
      </c>
      <c r="J416" s="30">
        <f>SUM('DATA B2'!I417-'DATA B2'!I416)+('DATA B2'!J417-'DATA B2'!J416)</f>
        <v>677</v>
      </c>
      <c r="K416" s="28">
        <f t="shared" si="120"/>
        <v>61.545454545454547</v>
      </c>
      <c r="L416" s="28">
        <f t="shared" si="124"/>
        <v>61.111111111111114</v>
      </c>
      <c r="M416" s="89">
        <f>SUM('WATER_STEAM RATIO'!Q416)</f>
        <v>0</v>
      </c>
      <c r="N416" s="9">
        <f>SUM('DATA B3'!H417-'DATA B3'!H416)</f>
        <v>0</v>
      </c>
      <c r="O416" s="88">
        <f t="shared" si="122"/>
        <v>0</v>
      </c>
      <c r="P416" s="15">
        <f>IFERROR((M416/16)*100,0)</f>
        <v>0</v>
      </c>
    </row>
    <row r="417" spans="3:16">
      <c r="C417" s="292"/>
      <c r="D417" s="43">
        <v>0.95833333333333304</v>
      </c>
      <c r="E417" s="5">
        <f>SUM('WATER_STEAM RATIO'!E417)</f>
        <v>0</v>
      </c>
      <c r="F417" s="9">
        <f>SUM('DATA B1'!I418-'DATA B1'!I417)+('DATA B1'!J418-'DATA B1'!J417)</f>
        <v>0</v>
      </c>
      <c r="G417" s="28">
        <f t="shared" si="118"/>
        <v>0</v>
      </c>
      <c r="H417" s="28">
        <f t="shared" si="119"/>
        <v>0</v>
      </c>
      <c r="I417" s="24">
        <f>SUM('WATER_STEAM RATIO'!K417)</f>
        <v>11</v>
      </c>
      <c r="J417" s="30">
        <f>SUM('DATA B2'!I418-'DATA B2'!I417)+('DATA B2'!J418-'DATA B2'!J417)</f>
        <v>676</v>
      </c>
      <c r="K417" s="28">
        <f t="shared" si="120"/>
        <v>61.454545454545453</v>
      </c>
      <c r="L417" s="28">
        <f t="shared" si="124"/>
        <v>61.111111111111114</v>
      </c>
      <c r="M417" s="89">
        <f>SUM('WATER_STEAM RATIO'!Q417)</f>
        <v>0</v>
      </c>
      <c r="N417" s="9">
        <f>SUM('DATA B3'!H418-'DATA B3'!H417)</f>
        <v>0</v>
      </c>
      <c r="O417" s="88">
        <f t="shared" si="122"/>
        <v>0</v>
      </c>
      <c r="P417" s="15">
        <f t="shared" si="123"/>
        <v>0</v>
      </c>
    </row>
    <row r="418" spans="3:16">
      <c r="C418" s="292"/>
      <c r="D418" s="43">
        <v>1</v>
      </c>
      <c r="E418" s="5">
        <f>SUM('WATER_STEAM RATIO'!E418)</f>
        <v>0</v>
      </c>
      <c r="F418" s="9">
        <f>SUM('DATA B1'!I419-'DATA B1'!I418)+('DATA B1'!J419-'DATA B1'!J418)</f>
        <v>0</v>
      </c>
      <c r="G418" s="28">
        <f t="shared" si="118"/>
        <v>0</v>
      </c>
      <c r="H418" s="28">
        <f t="shared" si="119"/>
        <v>0</v>
      </c>
      <c r="I418" s="24">
        <f>SUM('WATER_STEAM RATIO'!K418)</f>
        <v>11</v>
      </c>
      <c r="J418" s="30">
        <f>SUM('DATA B2'!I419-'DATA B2'!I418)+('DATA B2'!J419-'DATA B2'!J418)</f>
        <v>668</v>
      </c>
      <c r="K418" s="28">
        <f t="shared" si="120"/>
        <v>60.727272727272727</v>
      </c>
      <c r="L418" s="28">
        <f t="shared" si="124"/>
        <v>61.111111111111114</v>
      </c>
      <c r="M418" s="89">
        <f>SUM('WATER_STEAM RATIO'!Q418)</f>
        <v>0</v>
      </c>
      <c r="N418" s="9">
        <f>SUM('DATA B3'!H419-'DATA B3'!H418)</f>
        <v>0</v>
      </c>
      <c r="O418" s="88">
        <f t="shared" si="122"/>
        <v>0</v>
      </c>
      <c r="P418" s="15">
        <f t="shared" si="123"/>
        <v>0</v>
      </c>
    </row>
    <row r="419" spans="3:16">
      <c r="C419" s="292"/>
      <c r="D419" s="43">
        <v>1.0416666666666701</v>
      </c>
      <c r="E419" s="5">
        <f>SUM('WATER_STEAM RATIO'!E419)</f>
        <v>0</v>
      </c>
      <c r="F419" s="9">
        <f>SUM('DATA B1'!I420-'DATA B1'!I419)+('DATA B1'!J420-'DATA B1'!J419)</f>
        <v>0</v>
      </c>
      <c r="G419" s="28">
        <f t="shared" si="118"/>
        <v>0</v>
      </c>
      <c r="H419" s="28">
        <f t="shared" si="119"/>
        <v>0</v>
      </c>
      <c r="I419" s="24">
        <f>SUM('WATER_STEAM RATIO'!K419)</f>
        <v>11</v>
      </c>
      <c r="J419" s="30">
        <f>SUM('DATA B2'!I420-'DATA B2'!I419)+('DATA B2'!J420-'DATA B2'!J419)</f>
        <v>669</v>
      </c>
      <c r="K419" s="28">
        <f t="shared" si="120"/>
        <v>60.81818181818182</v>
      </c>
      <c r="L419" s="28">
        <f t="shared" si="124"/>
        <v>61.111111111111114</v>
      </c>
      <c r="M419" s="89">
        <f>SUM('WATER_STEAM RATIO'!Q419)</f>
        <v>0</v>
      </c>
      <c r="N419" s="9">
        <f>SUM('DATA B3'!H420-'DATA B3'!H419)</f>
        <v>0</v>
      </c>
      <c r="O419" s="88">
        <f t="shared" si="122"/>
        <v>0</v>
      </c>
      <c r="P419" s="15">
        <f t="shared" si="123"/>
        <v>0</v>
      </c>
    </row>
    <row r="420" spans="3:16">
      <c r="C420" s="292"/>
      <c r="D420" s="43">
        <v>1.0833333333333399</v>
      </c>
      <c r="E420" s="5">
        <f>SUM('WATER_STEAM RATIO'!E420)</f>
        <v>0</v>
      </c>
      <c r="F420" s="9">
        <f>SUM('DATA B1'!I421-'DATA B1'!I420)+('DATA B1'!J421-'DATA B1'!J420)</f>
        <v>0</v>
      </c>
      <c r="G420" s="28">
        <f t="shared" si="118"/>
        <v>0</v>
      </c>
      <c r="H420" s="28">
        <f t="shared" si="119"/>
        <v>0</v>
      </c>
      <c r="I420" s="24">
        <f>SUM('WATER_STEAM RATIO'!K420)</f>
        <v>11</v>
      </c>
      <c r="J420" s="30">
        <f>SUM('DATA B2'!I421-'DATA B2'!I420)+('DATA B2'!J421-'DATA B2'!J420)</f>
        <v>665</v>
      </c>
      <c r="K420" s="28">
        <f t="shared" si="120"/>
        <v>60.454545454545453</v>
      </c>
      <c r="L420" s="28">
        <f t="shared" si="124"/>
        <v>61.111111111111114</v>
      </c>
      <c r="M420" s="89">
        <f>SUM('WATER_STEAM RATIO'!Q420)</f>
        <v>0</v>
      </c>
      <c r="N420" s="9">
        <f>SUM('DATA B3'!H421-'DATA B3'!H420)</f>
        <v>0</v>
      </c>
      <c r="O420" s="88">
        <f t="shared" si="122"/>
        <v>0</v>
      </c>
      <c r="P420" s="15">
        <f t="shared" si="123"/>
        <v>0</v>
      </c>
    </row>
    <row r="421" spans="3:16">
      <c r="C421" s="292"/>
      <c r="D421" s="43">
        <v>1.125</v>
      </c>
      <c r="E421" s="5">
        <f>SUM('WATER_STEAM RATIO'!E421)</f>
        <v>0</v>
      </c>
      <c r="F421" s="9">
        <f>SUM('DATA B1'!I422-'DATA B1'!I421)+('DATA B1'!J422-'DATA B1'!J421)</f>
        <v>0</v>
      </c>
      <c r="G421" s="28">
        <f t="shared" si="118"/>
        <v>0</v>
      </c>
      <c r="H421" s="28">
        <f t="shared" si="119"/>
        <v>0</v>
      </c>
      <c r="I421" s="24">
        <f>SUM('WATER_STEAM RATIO'!K421)</f>
        <v>12</v>
      </c>
      <c r="J421" s="30">
        <f>SUM('DATA B2'!I422-'DATA B2'!I421)+('DATA B2'!J422-'DATA B2'!J421)</f>
        <v>725</v>
      </c>
      <c r="K421" s="28">
        <f t="shared" si="120"/>
        <v>60.416666666666664</v>
      </c>
      <c r="L421" s="28">
        <f t="shared" si="124"/>
        <v>66.666666666666657</v>
      </c>
      <c r="M421" s="89">
        <f>SUM('WATER_STEAM RATIO'!Q421)</f>
        <v>0</v>
      </c>
      <c r="N421" s="9">
        <f>SUM('DATA B3'!H422-'DATA B3'!H421)</f>
        <v>0</v>
      </c>
      <c r="O421" s="88">
        <f t="shared" ref="O421:O425" si="125">IFERROR(N421/(M421),0)</f>
        <v>0</v>
      </c>
      <c r="P421" s="15">
        <f t="shared" si="123"/>
        <v>0</v>
      </c>
    </row>
    <row r="422" spans="3:16">
      <c r="C422" s="292"/>
      <c r="D422" s="43">
        <v>1.1666666666666701</v>
      </c>
      <c r="E422" s="5">
        <f>SUM('WATER_STEAM RATIO'!E422)</f>
        <v>0</v>
      </c>
      <c r="F422" s="9">
        <f>SUM('DATA B1'!I423-'DATA B1'!I422)+('DATA B1'!J423-'DATA B1'!J422)</f>
        <v>0</v>
      </c>
      <c r="G422" s="28">
        <f t="shared" si="118"/>
        <v>0</v>
      </c>
      <c r="H422" s="28">
        <f t="shared" si="119"/>
        <v>0</v>
      </c>
      <c r="I422" s="24">
        <f>SUM('WATER_STEAM RATIO'!K422)</f>
        <v>10</v>
      </c>
      <c r="J422" s="30">
        <f>SUM('DATA B2'!I423-'DATA B2'!I422)+('DATA B2'!J423-'DATA B2'!J422)</f>
        <v>617</v>
      </c>
      <c r="K422" s="28">
        <f>IFERROR(J422/(I422),0)</f>
        <v>61.7</v>
      </c>
      <c r="L422" s="28">
        <f t="shared" si="124"/>
        <v>55.555555555555557</v>
      </c>
      <c r="M422" s="89">
        <f>SUM('WATER_STEAM RATIO'!Q422)</f>
        <v>0</v>
      </c>
      <c r="N422" s="9">
        <f>SUM('DATA B3'!H423-'DATA B3'!H422)</f>
        <v>0</v>
      </c>
      <c r="O422" s="88">
        <f t="shared" si="125"/>
        <v>0</v>
      </c>
      <c r="P422" s="15">
        <f t="shared" si="123"/>
        <v>0</v>
      </c>
    </row>
    <row r="423" spans="3:16">
      <c r="C423" s="292"/>
      <c r="D423" s="43">
        <v>1.2083333333333399</v>
      </c>
      <c r="E423" s="5">
        <f>SUM('WATER_STEAM RATIO'!E423)</f>
        <v>0</v>
      </c>
      <c r="F423" s="9">
        <f>SUM('DATA B1'!I424-'DATA B1'!I423)+('DATA B1'!J424-'DATA B1'!J423)</f>
        <v>0</v>
      </c>
      <c r="G423" s="28">
        <f t="shared" si="118"/>
        <v>0</v>
      </c>
      <c r="H423" s="28">
        <f t="shared" si="119"/>
        <v>0</v>
      </c>
      <c r="I423" s="24">
        <f>SUM('WATER_STEAM RATIO'!K423)</f>
        <v>10</v>
      </c>
      <c r="J423" s="30">
        <f>SUM('DATA B2'!I424-'DATA B2'!I423)+('DATA B2'!J424-'DATA B2'!J423)</f>
        <v>613</v>
      </c>
      <c r="K423" s="28">
        <f>IFERROR(J423/(I423),0)</f>
        <v>61.3</v>
      </c>
      <c r="L423" s="28">
        <f t="shared" si="124"/>
        <v>55.555555555555557</v>
      </c>
      <c r="M423" s="89">
        <f>SUM('WATER_STEAM RATIO'!Q423)</f>
        <v>0</v>
      </c>
      <c r="N423" s="9">
        <f>SUM('DATA B3'!H424-'DATA B3'!H423)</f>
        <v>0</v>
      </c>
      <c r="O423" s="88">
        <f t="shared" si="125"/>
        <v>0</v>
      </c>
      <c r="P423" s="15">
        <f t="shared" si="123"/>
        <v>0</v>
      </c>
    </row>
    <row r="424" spans="3:16">
      <c r="C424" s="292"/>
      <c r="D424" s="43">
        <v>1.25</v>
      </c>
      <c r="E424" s="5">
        <f>SUM('WATER_STEAM RATIO'!E424)</f>
        <v>0</v>
      </c>
      <c r="F424" s="9">
        <f>SUM('DATA B1'!I425-'DATA B1'!I424)+('DATA B1'!J425-'DATA B1'!J424)</f>
        <v>0</v>
      </c>
      <c r="G424" s="28">
        <f t="shared" si="118"/>
        <v>0</v>
      </c>
      <c r="H424" s="28">
        <f t="shared" si="119"/>
        <v>0</v>
      </c>
      <c r="I424" s="24">
        <f>SUM('WATER_STEAM RATIO'!K424)</f>
        <v>11</v>
      </c>
      <c r="J424" s="30">
        <f>SUM('DATA B2'!I425-'DATA B2'!I424)+('DATA B2'!J425-'DATA B2'!J424)</f>
        <v>665</v>
      </c>
      <c r="K424" s="28">
        <f>IFERROR(J424/(I424),0)</f>
        <v>60.454545454545453</v>
      </c>
      <c r="L424" s="28">
        <f t="shared" si="124"/>
        <v>61.111111111111114</v>
      </c>
      <c r="M424" s="89">
        <f>SUM('WATER_STEAM RATIO'!Q424)</f>
        <v>0</v>
      </c>
      <c r="N424" s="9">
        <f>SUM('DATA B3'!H425-'DATA B3'!H424)</f>
        <v>0</v>
      </c>
      <c r="O424" s="88">
        <f t="shared" si="125"/>
        <v>0</v>
      </c>
      <c r="P424" s="15">
        <f t="shared" si="123"/>
        <v>0</v>
      </c>
    </row>
    <row r="425" spans="3:16">
      <c r="C425" s="292"/>
      <c r="D425" s="43">
        <v>1.2916666666666701</v>
      </c>
      <c r="E425" s="5">
        <f>SUM('WATER_STEAM RATIO'!E425)</f>
        <v>0</v>
      </c>
      <c r="F425" s="9">
        <f>SUM('DATA B1'!I426-'DATA B1'!I425)+('DATA B1'!J426-'DATA B1'!J425)</f>
        <v>0</v>
      </c>
      <c r="G425" s="28">
        <f t="shared" si="118"/>
        <v>0</v>
      </c>
      <c r="H425" s="28">
        <f t="shared" si="119"/>
        <v>0</v>
      </c>
      <c r="I425" s="24">
        <f>SUM('WATER_STEAM RATIO'!K425)</f>
        <v>11</v>
      </c>
      <c r="J425" s="30">
        <f>SUM('DATA B2'!I426-'DATA B2'!I425)+('DATA B2'!J426-'DATA B2'!J425)</f>
        <v>666</v>
      </c>
      <c r="K425" s="28">
        <f>IFERROR(J425/(I425),0)</f>
        <v>60.545454545454547</v>
      </c>
      <c r="L425" s="28">
        <f t="shared" si="124"/>
        <v>61.111111111111114</v>
      </c>
      <c r="M425" s="89">
        <f>SUM('WATER_STEAM RATIO'!Q425)</f>
        <v>0</v>
      </c>
      <c r="N425" s="9">
        <f>SUM('DATA B3'!H426-'DATA B3'!H425)</f>
        <v>0</v>
      </c>
      <c r="O425" s="88">
        <f t="shared" si="125"/>
        <v>0</v>
      </c>
      <c r="P425" s="15">
        <f t="shared" si="123"/>
        <v>0</v>
      </c>
    </row>
    <row r="426" spans="3:16">
      <c r="C426" s="293"/>
      <c r="D426" s="258"/>
      <c r="E426" s="91">
        <f>SUMIF(E401:E425,"&gt;=0",E401:E425)</f>
        <v>0</v>
      </c>
      <c r="F426" s="91">
        <f>SUMIF(F401:F425,"&gt;=0",F401:F425)</f>
        <v>0</v>
      </c>
      <c r="G426" s="54">
        <f>IFERROR(F426/E426,0)</f>
        <v>0</v>
      </c>
      <c r="H426" s="54">
        <f>IFERROR(AVERAGE(H402:H425),0)</f>
        <v>0</v>
      </c>
      <c r="I426" s="91">
        <f>SUMIF(I401:I425,"&gt;=0",I401:I425)</f>
        <v>271</v>
      </c>
      <c r="J426" s="91">
        <f>SUMIF(J401:J425,"&gt;=0",J401:J425)</f>
        <v>16188</v>
      </c>
      <c r="K426" s="54">
        <f>IFERROR(J426/(I426),0)</f>
        <v>59.73431734317343</v>
      </c>
      <c r="L426" s="54">
        <f>IFERROR(AVERAGE(L402:L425),0)</f>
        <v>60.185185185185183</v>
      </c>
      <c r="M426" s="91">
        <f>SUMIF(M401:M425,"&gt;=0",M401:M425)</f>
        <v>0</v>
      </c>
      <c r="N426" s="91">
        <f>SUMIF(N401:N425,"&gt;=0",N401:N425)</f>
        <v>0</v>
      </c>
      <c r="O426" s="239">
        <f>IFERROR(N426/(M426),0)</f>
        <v>0</v>
      </c>
      <c r="P426" s="215">
        <f>IFERROR(AVERAGE(P402:P425),0)</f>
        <v>0</v>
      </c>
    </row>
    <row r="427" spans="3:16" ht="15" customHeight="1">
      <c r="C427" s="291">
        <f>SUM('WATER_STEAM RATIO'!B427:B452)</f>
        <v>46039</v>
      </c>
      <c r="D427" s="43">
        <v>0.29166666666666669</v>
      </c>
      <c r="E427" s="5">
        <f>SUM('WATER_STEAM RATIO'!E427)</f>
        <v>0</v>
      </c>
      <c r="F427" s="9"/>
      <c r="G427" s="28"/>
      <c r="H427" s="28"/>
      <c r="I427" s="24">
        <f>SUM('WATER_STEAM RATIO'!K427)</f>
        <v>11</v>
      </c>
      <c r="J427" s="30"/>
      <c r="K427" s="28"/>
      <c r="L427" s="28"/>
      <c r="M427" s="89">
        <f>SUM('WATER_STEAM RATIO'!Q427)</f>
        <v>0</v>
      </c>
      <c r="N427" s="9"/>
      <c r="O427" s="88"/>
      <c r="P427" s="15"/>
    </row>
    <row r="428" spans="3:16">
      <c r="C428" s="292"/>
      <c r="D428" s="43">
        <v>0.33333333333333298</v>
      </c>
      <c r="E428" s="5">
        <f>SUM('WATER_STEAM RATIO'!E428)</f>
        <v>0</v>
      </c>
      <c r="F428" s="9">
        <f>SUM('DATA B1'!I429-'DATA B1'!I428)+('DATA B1'!J429-'DATA B1'!J428)</f>
        <v>0</v>
      </c>
      <c r="G428" s="28">
        <f>IFERROR(F428/(E428),0)</f>
        <v>0</v>
      </c>
      <c r="H428" s="28">
        <f>IFERROR((E428/18)*100,0)</f>
        <v>0</v>
      </c>
      <c r="I428" s="24">
        <f>SUM('WATER_STEAM RATIO'!K428)</f>
        <v>13</v>
      </c>
      <c r="J428" s="30">
        <f>SUM('DATA B2'!I429-'DATA B2'!I428)+('DATA B2'!J429-'DATA B2'!J428)</f>
        <v>797</v>
      </c>
      <c r="K428" s="28">
        <f>IFERROR(J428/(I428),0)</f>
        <v>61.307692307692307</v>
      </c>
      <c r="L428" s="28">
        <f>IFERROR((I428/18)*100,0)</f>
        <v>72.222222222222214</v>
      </c>
      <c r="M428" s="89">
        <f>SUM('WATER_STEAM RATIO'!Q428)</f>
        <v>0</v>
      </c>
      <c r="N428" s="9">
        <f>SUM('DATA B3'!H429-'DATA B3'!H428)</f>
        <v>0</v>
      </c>
      <c r="O428" s="88">
        <f>IFERROR(N428/(M428),0)</f>
        <v>0</v>
      </c>
      <c r="P428" s="15">
        <f>IFERROR((M428/16)*100,0)</f>
        <v>0</v>
      </c>
    </row>
    <row r="429" spans="3:16">
      <c r="C429" s="292"/>
      <c r="D429" s="43">
        <v>0.375</v>
      </c>
      <c r="E429" s="5">
        <f>SUM('WATER_STEAM RATIO'!E429)</f>
        <v>0</v>
      </c>
      <c r="F429" s="9">
        <f>SUM('DATA B1'!I430-'DATA B1'!I429)+('DATA B1'!J430-'DATA B1'!J429)</f>
        <v>0</v>
      </c>
      <c r="G429" s="28">
        <f t="shared" ref="G429:G451" si="126">IFERROR(F429/(E429),0)</f>
        <v>0</v>
      </c>
      <c r="H429" s="28">
        <f t="shared" ref="H429:H451" si="127">IFERROR((E429/18)*100,0)</f>
        <v>0</v>
      </c>
      <c r="I429" s="24">
        <f>SUM('WATER_STEAM RATIO'!K429)</f>
        <v>10</v>
      </c>
      <c r="J429" s="30">
        <f>SUM('DATA B2'!I430-'DATA B2'!I429)+('DATA B2'!J430-'DATA B2'!J429)</f>
        <v>620</v>
      </c>
      <c r="K429" s="28">
        <f t="shared" ref="K429:K447" si="128">IFERROR(J429/(I429),0)</f>
        <v>62</v>
      </c>
      <c r="L429" s="28">
        <f t="shared" ref="L429:L439" si="129">IFERROR((I429/18)*100,0)</f>
        <v>55.555555555555557</v>
      </c>
      <c r="M429" s="89">
        <f>SUM('WATER_STEAM RATIO'!Q429)</f>
        <v>0</v>
      </c>
      <c r="N429" s="9">
        <f>SUM('DATA B3'!H430-'DATA B3'!H429)</f>
        <v>0</v>
      </c>
      <c r="O429" s="88">
        <f t="shared" ref="O429:O446" si="130">IFERROR(N429/(M429),0)</f>
        <v>0</v>
      </c>
      <c r="P429" s="15">
        <f t="shared" ref="P429:P451" si="131">IFERROR((M429/16)*100,0)</f>
        <v>0</v>
      </c>
    </row>
    <row r="430" spans="3:16">
      <c r="C430" s="292"/>
      <c r="D430" s="43">
        <v>0.41666666666666702</v>
      </c>
      <c r="E430" s="5">
        <f>SUM('WATER_STEAM RATIO'!E430)</f>
        <v>0</v>
      </c>
      <c r="F430" s="9">
        <f>SUM('DATA B1'!I431-'DATA B1'!I430)+('DATA B1'!J431-'DATA B1'!J430)</f>
        <v>0</v>
      </c>
      <c r="G430" s="28">
        <f t="shared" si="126"/>
        <v>0</v>
      </c>
      <c r="H430" s="28">
        <f t="shared" si="127"/>
        <v>0</v>
      </c>
      <c r="I430" s="24">
        <f>SUM('WATER_STEAM RATIO'!K430)</f>
        <v>10</v>
      </c>
      <c r="J430" s="30">
        <f>SUM('DATA B2'!I431-'DATA B2'!I430)+('DATA B2'!J431-'DATA B2'!J430)</f>
        <v>630</v>
      </c>
      <c r="K430" s="28">
        <f t="shared" si="128"/>
        <v>63</v>
      </c>
      <c r="L430" s="28">
        <f t="shared" si="129"/>
        <v>55.555555555555557</v>
      </c>
      <c r="M430" s="89">
        <f>SUM('WATER_STEAM RATIO'!Q430)</f>
        <v>0</v>
      </c>
      <c r="N430" s="9">
        <f>SUM('DATA B3'!H431-'DATA B3'!H430)</f>
        <v>0</v>
      </c>
      <c r="O430" s="88">
        <f t="shared" si="130"/>
        <v>0</v>
      </c>
      <c r="P430" s="15">
        <f t="shared" si="131"/>
        <v>0</v>
      </c>
    </row>
    <row r="431" spans="3:16">
      <c r="C431" s="292"/>
      <c r="D431" s="43">
        <v>0.45833333333333298</v>
      </c>
      <c r="E431" s="5">
        <f>SUM('WATER_STEAM RATIO'!E431)</f>
        <v>0</v>
      </c>
      <c r="F431" s="9">
        <f>SUM('DATA B1'!I432-'DATA B1'!I431)+('DATA B1'!J432-'DATA B1'!J431)</f>
        <v>0</v>
      </c>
      <c r="G431" s="28">
        <f t="shared" si="126"/>
        <v>0</v>
      </c>
      <c r="H431" s="28">
        <f t="shared" si="127"/>
        <v>0</v>
      </c>
      <c r="I431" s="24">
        <f>SUM('WATER_STEAM RATIO'!K431)</f>
        <v>10</v>
      </c>
      <c r="J431" s="30">
        <f>SUM('DATA B2'!I432-'DATA B2'!I431)+('DATA B2'!J432-'DATA B2'!J431)</f>
        <v>631</v>
      </c>
      <c r="K431" s="28">
        <f t="shared" si="128"/>
        <v>63.1</v>
      </c>
      <c r="L431" s="28">
        <f t="shared" si="129"/>
        <v>55.555555555555557</v>
      </c>
      <c r="M431" s="89">
        <f>SUM('WATER_STEAM RATIO'!Q431)</f>
        <v>0</v>
      </c>
      <c r="N431" s="9">
        <f>SUM('DATA B3'!H432-'DATA B3'!H431)</f>
        <v>0</v>
      </c>
      <c r="O431" s="88">
        <f t="shared" si="130"/>
        <v>0</v>
      </c>
      <c r="P431" s="15">
        <f t="shared" si="131"/>
        <v>0</v>
      </c>
    </row>
    <row r="432" spans="3:16">
      <c r="C432" s="292"/>
      <c r="D432" s="43">
        <v>0.5</v>
      </c>
      <c r="E432" s="5">
        <f>SUM('WATER_STEAM RATIO'!E432)</f>
        <v>0</v>
      </c>
      <c r="F432" s="9">
        <f>SUM('DATA B1'!I433-'DATA B1'!I432)+('DATA B1'!J433-'DATA B1'!J432)</f>
        <v>0</v>
      </c>
      <c r="G432" s="28">
        <f t="shared" si="126"/>
        <v>0</v>
      </c>
      <c r="H432" s="28">
        <f t="shared" si="127"/>
        <v>0</v>
      </c>
      <c r="I432" s="24">
        <f>SUM('WATER_STEAM RATIO'!K432)</f>
        <v>10</v>
      </c>
      <c r="J432" s="30">
        <f>SUM('DATA B2'!I433-'DATA B2'!I432)+('DATA B2'!J433-'DATA B2'!J432)</f>
        <v>656</v>
      </c>
      <c r="K432" s="28">
        <f t="shared" si="128"/>
        <v>65.599999999999994</v>
      </c>
      <c r="L432" s="28">
        <f t="shared" si="129"/>
        <v>55.555555555555557</v>
      </c>
      <c r="M432" s="89">
        <f>SUM('WATER_STEAM RATIO'!Q432)</f>
        <v>0</v>
      </c>
      <c r="N432" s="9">
        <f>SUM('DATA B3'!H433-'DATA B3'!H432)</f>
        <v>0</v>
      </c>
      <c r="O432" s="88">
        <f t="shared" si="130"/>
        <v>0</v>
      </c>
      <c r="P432" s="15">
        <f t="shared" si="131"/>
        <v>0</v>
      </c>
    </row>
    <row r="433" spans="3:16">
      <c r="C433" s="292"/>
      <c r="D433" s="43">
        <v>0.54166666666666696</v>
      </c>
      <c r="E433" s="5">
        <f>SUM('WATER_STEAM RATIO'!E433)</f>
        <v>0</v>
      </c>
      <c r="F433" s="9">
        <f>SUM('DATA B1'!I434-'DATA B1'!I433)+('DATA B1'!J434-'DATA B1'!J433)</f>
        <v>0</v>
      </c>
      <c r="G433" s="28">
        <f t="shared" si="126"/>
        <v>0</v>
      </c>
      <c r="H433" s="28">
        <f t="shared" si="127"/>
        <v>0</v>
      </c>
      <c r="I433" s="24">
        <f>SUM('WATER_STEAM RATIO'!K433)</f>
        <v>10</v>
      </c>
      <c r="J433" s="30">
        <f>SUM('DATA B2'!I434-'DATA B2'!I433)+('DATA B2'!J434-'DATA B2'!J433)</f>
        <v>620</v>
      </c>
      <c r="K433" s="28">
        <f t="shared" si="128"/>
        <v>62</v>
      </c>
      <c r="L433" s="28">
        <f t="shared" si="129"/>
        <v>55.555555555555557</v>
      </c>
      <c r="M433" s="89">
        <f>SUM('WATER_STEAM RATIO'!Q433)</f>
        <v>0</v>
      </c>
      <c r="N433" s="9">
        <f>SUM('DATA B3'!H434-'DATA B3'!H433)</f>
        <v>0</v>
      </c>
      <c r="O433" s="88">
        <f t="shared" si="130"/>
        <v>0</v>
      </c>
      <c r="P433" s="15">
        <f t="shared" si="131"/>
        <v>0</v>
      </c>
    </row>
    <row r="434" spans="3:16">
      <c r="C434" s="292"/>
      <c r="D434" s="43">
        <v>0.58333333333333304</v>
      </c>
      <c r="E434" s="5">
        <f>SUM('WATER_STEAM RATIO'!E434)</f>
        <v>0</v>
      </c>
      <c r="F434" s="9">
        <f>SUM('DATA B1'!I435-'DATA B1'!I434)+('DATA B1'!J435-'DATA B1'!J434)</f>
        <v>0</v>
      </c>
      <c r="G434" s="28">
        <f t="shared" si="126"/>
        <v>0</v>
      </c>
      <c r="H434" s="28">
        <f t="shared" si="127"/>
        <v>0</v>
      </c>
      <c r="I434" s="24">
        <f>SUM('WATER_STEAM RATIO'!K434)</f>
        <v>11</v>
      </c>
      <c r="J434" s="30">
        <f>SUM('DATA B2'!I435-'DATA B2'!I434)+('DATA B2'!J435-'DATA B2'!J434)</f>
        <v>727</v>
      </c>
      <c r="K434" s="28">
        <f t="shared" si="128"/>
        <v>66.090909090909093</v>
      </c>
      <c r="L434" s="28">
        <f t="shared" si="129"/>
        <v>61.111111111111114</v>
      </c>
      <c r="M434" s="89">
        <f>SUM('WATER_STEAM RATIO'!Q434)</f>
        <v>0</v>
      </c>
      <c r="N434" s="9">
        <f>SUM('DATA B3'!H435-'DATA B3'!H434)</f>
        <v>0</v>
      </c>
      <c r="O434" s="88">
        <f t="shared" si="130"/>
        <v>0</v>
      </c>
      <c r="P434" s="15">
        <f t="shared" si="131"/>
        <v>0</v>
      </c>
    </row>
    <row r="435" spans="3:16">
      <c r="C435" s="292"/>
      <c r="D435" s="43">
        <v>0.625</v>
      </c>
      <c r="E435" s="5">
        <f>SUM('WATER_STEAM RATIO'!E435)</f>
        <v>0</v>
      </c>
      <c r="F435" s="9">
        <f>SUM('DATA B1'!I436-'DATA B1'!I435)+('DATA B1'!J436-'DATA B1'!J435)</f>
        <v>0</v>
      </c>
      <c r="G435" s="28">
        <f t="shared" si="126"/>
        <v>0</v>
      </c>
      <c r="H435" s="28">
        <f t="shared" si="127"/>
        <v>0</v>
      </c>
      <c r="I435" s="24">
        <f>SUM('WATER_STEAM RATIO'!K435)</f>
        <v>11</v>
      </c>
      <c r="J435" s="30">
        <f>SUM('DATA B2'!I436-'DATA B2'!I435)+('DATA B2'!J436-'DATA B2'!J435)</f>
        <v>732</v>
      </c>
      <c r="K435" s="28">
        <f t="shared" si="128"/>
        <v>66.545454545454547</v>
      </c>
      <c r="L435" s="28">
        <f t="shared" si="129"/>
        <v>61.111111111111114</v>
      </c>
      <c r="M435" s="89">
        <f>SUM('WATER_STEAM RATIO'!Q435)</f>
        <v>0</v>
      </c>
      <c r="N435" s="9">
        <f>SUM('DATA B3'!H436-'DATA B3'!H435)</f>
        <v>0</v>
      </c>
      <c r="O435" s="88">
        <f t="shared" si="130"/>
        <v>0</v>
      </c>
      <c r="P435" s="15">
        <f t="shared" si="131"/>
        <v>0</v>
      </c>
    </row>
    <row r="436" spans="3:16">
      <c r="C436" s="292"/>
      <c r="D436" s="43">
        <v>0.66666666666666596</v>
      </c>
      <c r="E436" s="5">
        <f>SUM('WATER_STEAM RATIO'!E436)</f>
        <v>0</v>
      </c>
      <c r="F436" s="9">
        <f>SUM('DATA B1'!I437-'DATA B1'!I436)+('DATA B1'!J437-'DATA B1'!J436)</f>
        <v>0</v>
      </c>
      <c r="G436" s="28">
        <f t="shared" si="126"/>
        <v>0</v>
      </c>
      <c r="H436" s="28">
        <f t="shared" si="127"/>
        <v>0</v>
      </c>
      <c r="I436" s="24">
        <f>SUM('WATER_STEAM RATIO'!K436)</f>
        <v>10</v>
      </c>
      <c r="J436" s="30">
        <f>SUM('DATA B2'!I437-'DATA B2'!I436)+('DATA B2'!J437-'DATA B2'!J436)</f>
        <v>596</v>
      </c>
      <c r="K436" s="28">
        <f t="shared" si="128"/>
        <v>59.6</v>
      </c>
      <c r="L436" s="28">
        <f t="shared" si="129"/>
        <v>55.555555555555557</v>
      </c>
      <c r="M436" s="89">
        <f>SUM('WATER_STEAM RATIO'!Q436)</f>
        <v>0</v>
      </c>
      <c r="N436" s="9">
        <f>SUM('DATA B3'!H437-'DATA B3'!H436)</f>
        <v>0</v>
      </c>
      <c r="O436" s="88">
        <f t="shared" si="130"/>
        <v>0</v>
      </c>
      <c r="P436" s="15">
        <f t="shared" si="131"/>
        <v>0</v>
      </c>
    </row>
    <row r="437" spans="3:16">
      <c r="C437" s="292"/>
      <c r="D437" s="43">
        <v>0.70833333333333304</v>
      </c>
      <c r="E437" s="5">
        <f>SUM('WATER_STEAM RATIO'!E437)</f>
        <v>0</v>
      </c>
      <c r="F437" s="9">
        <f>SUM('DATA B1'!I438-'DATA B1'!I437)+('DATA B1'!J438-'DATA B1'!J437)</f>
        <v>0</v>
      </c>
      <c r="G437" s="28">
        <f t="shared" si="126"/>
        <v>0</v>
      </c>
      <c r="H437" s="28">
        <f t="shared" si="127"/>
        <v>0</v>
      </c>
      <c r="I437" s="24">
        <f>SUM('WATER_STEAM RATIO'!K437)</f>
        <v>10</v>
      </c>
      <c r="J437" s="30">
        <f>SUM('DATA B2'!I438-'DATA B2'!I437)+('DATA B2'!J438-'DATA B2'!J437)</f>
        <v>597</v>
      </c>
      <c r="K437" s="28">
        <f t="shared" si="128"/>
        <v>59.7</v>
      </c>
      <c r="L437" s="28">
        <f t="shared" si="129"/>
        <v>55.555555555555557</v>
      </c>
      <c r="M437" s="89">
        <f>SUM('WATER_STEAM RATIO'!Q437)</f>
        <v>0</v>
      </c>
      <c r="N437" s="9">
        <f>SUM('DATA B3'!H438-'DATA B3'!H437)</f>
        <v>0</v>
      </c>
      <c r="O437" s="88">
        <f t="shared" si="130"/>
        <v>0</v>
      </c>
      <c r="P437" s="15">
        <f t="shared" si="131"/>
        <v>0</v>
      </c>
    </row>
    <row r="438" spans="3:16">
      <c r="C438" s="292"/>
      <c r="D438" s="43">
        <v>0.75</v>
      </c>
      <c r="E438" s="5">
        <f>SUM('WATER_STEAM RATIO'!E438)</f>
        <v>0</v>
      </c>
      <c r="F438" s="9">
        <f>SUM('DATA B1'!I439-'DATA B1'!I438)+('DATA B1'!J439-'DATA B1'!J438)</f>
        <v>0</v>
      </c>
      <c r="G438" s="28">
        <f t="shared" si="126"/>
        <v>0</v>
      </c>
      <c r="H438" s="28">
        <f t="shared" si="127"/>
        <v>0</v>
      </c>
      <c r="I438" s="24">
        <f>SUM('WATER_STEAM RATIO'!K438)</f>
        <v>11</v>
      </c>
      <c r="J438" s="30">
        <f>SUM('DATA B2'!I439-'DATA B2'!I438)+('DATA B2'!J439-'DATA B2'!J438)</f>
        <v>693</v>
      </c>
      <c r="K438" s="28">
        <f t="shared" si="128"/>
        <v>63</v>
      </c>
      <c r="L438" s="28">
        <f t="shared" si="129"/>
        <v>61.111111111111114</v>
      </c>
      <c r="M438" s="89">
        <f>SUM('WATER_STEAM RATIO'!Q438)</f>
        <v>0</v>
      </c>
      <c r="N438" s="9">
        <f>SUM('DATA B3'!H439-'DATA B3'!H438)</f>
        <v>0</v>
      </c>
      <c r="O438" s="88">
        <f t="shared" si="130"/>
        <v>0</v>
      </c>
      <c r="P438" s="15">
        <f t="shared" si="131"/>
        <v>0</v>
      </c>
    </row>
    <row r="439" spans="3:16">
      <c r="C439" s="292"/>
      <c r="D439" s="43">
        <v>0.79166666666666596</v>
      </c>
      <c r="E439" s="5">
        <f>SUM('WATER_STEAM RATIO'!E439)</f>
        <v>0</v>
      </c>
      <c r="F439" s="9">
        <f>SUM('DATA B1'!I440-'DATA B1'!I439)+('DATA B1'!J440-'DATA B1'!J439)</f>
        <v>0</v>
      </c>
      <c r="G439" s="28">
        <f t="shared" si="126"/>
        <v>0</v>
      </c>
      <c r="H439" s="28">
        <f t="shared" si="127"/>
        <v>0</v>
      </c>
      <c r="I439" s="24">
        <f>SUM('WATER_STEAM RATIO'!K439)</f>
        <v>11</v>
      </c>
      <c r="J439" s="30">
        <f>SUM('DATA B2'!I440-'DATA B2'!I439)+('DATA B2'!J440-'DATA B2'!J439)</f>
        <v>684</v>
      </c>
      <c r="K439" s="28">
        <f t="shared" si="128"/>
        <v>62.18181818181818</v>
      </c>
      <c r="L439" s="28">
        <f t="shared" si="129"/>
        <v>61.111111111111114</v>
      </c>
      <c r="M439" s="89">
        <f>SUM('WATER_STEAM RATIO'!Q439)</f>
        <v>0</v>
      </c>
      <c r="N439" s="9">
        <f>SUM('DATA B3'!H440-'DATA B3'!H439)</f>
        <v>0</v>
      </c>
      <c r="O439" s="88">
        <f t="shared" si="130"/>
        <v>0</v>
      </c>
      <c r="P439" s="15">
        <f t="shared" si="131"/>
        <v>0</v>
      </c>
    </row>
    <row r="440" spans="3:16">
      <c r="C440" s="292"/>
      <c r="D440" s="43">
        <v>0.83333333333333304</v>
      </c>
      <c r="E440" s="5">
        <f>SUM('WATER_STEAM RATIO'!E440)</f>
        <v>0</v>
      </c>
      <c r="F440" s="9">
        <f>SUM('DATA B1'!I441-'DATA B1'!I440)+('DATA B1'!J441-'DATA B1'!J440)</f>
        <v>0</v>
      </c>
      <c r="G440" s="28">
        <f t="shared" si="126"/>
        <v>0</v>
      </c>
      <c r="H440" s="28">
        <f t="shared" si="127"/>
        <v>0</v>
      </c>
      <c r="I440" s="24">
        <f>SUM('WATER_STEAM RATIO'!K440)</f>
        <v>12</v>
      </c>
      <c r="J440" s="30">
        <f>SUM('DATA B2'!I441-'DATA B2'!I440)+('DATA B2'!J441-'DATA B2'!J440)</f>
        <v>854</v>
      </c>
      <c r="K440" s="28">
        <f t="shared" si="128"/>
        <v>71.166666666666671</v>
      </c>
      <c r="L440" s="28">
        <f>IFERROR((I440/18)*100,0)</f>
        <v>66.666666666666657</v>
      </c>
      <c r="M440" s="89">
        <f>SUM('WATER_STEAM RATIO'!Q440)</f>
        <v>0</v>
      </c>
      <c r="N440" s="9">
        <f>SUM('DATA B3'!H441-'DATA B3'!H440)</f>
        <v>0</v>
      </c>
      <c r="O440" s="88">
        <f t="shared" si="130"/>
        <v>0</v>
      </c>
      <c r="P440" s="15">
        <f t="shared" si="131"/>
        <v>0</v>
      </c>
    </row>
    <row r="441" spans="3:16">
      <c r="C441" s="292"/>
      <c r="D441" s="43">
        <v>0.875</v>
      </c>
      <c r="E441" s="5">
        <f>SUM('WATER_STEAM RATIO'!E441)</f>
        <v>0</v>
      </c>
      <c r="F441" s="9">
        <f>SUM('DATA B1'!I442-'DATA B1'!I441)+('DATA B1'!J442-'DATA B1'!J441)</f>
        <v>0</v>
      </c>
      <c r="G441" s="28">
        <f t="shared" si="126"/>
        <v>0</v>
      </c>
      <c r="H441" s="28">
        <f t="shared" si="127"/>
        <v>0</v>
      </c>
      <c r="I441" s="24">
        <f>SUM('WATER_STEAM RATIO'!K441)</f>
        <v>7</v>
      </c>
      <c r="J441" s="30">
        <f>SUM('DATA B2'!I442-'DATA B2'!I441)+('DATA B2'!J442-'DATA B2'!J441)</f>
        <v>443</v>
      </c>
      <c r="K441" s="28">
        <f t="shared" si="128"/>
        <v>63.285714285714285</v>
      </c>
      <c r="L441" s="28">
        <f t="shared" ref="L441:L451" si="132">IFERROR((I441/18)*100,0)</f>
        <v>38.888888888888893</v>
      </c>
      <c r="M441" s="89">
        <f>SUM('WATER_STEAM RATIO'!Q441)</f>
        <v>0</v>
      </c>
      <c r="N441" s="9">
        <f>SUM('DATA B3'!H442-'DATA B3'!H441)</f>
        <v>0</v>
      </c>
      <c r="O441" s="88">
        <f t="shared" si="130"/>
        <v>0</v>
      </c>
      <c r="P441" s="15">
        <f t="shared" si="131"/>
        <v>0</v>
      </c>
    </row>
    <row r="442" spans="3:16">
      <c r="C442" s="292"/>
      <c r="D442" s="43">
        <v>0.91666666666666596</v>
      </c>
      <c r="E442" s="5">
        <f>SUM('WATER_STEAM RATIO'!E442)</f>
        <v>0</v>
      </c>
      <c r="F442" s="9">
        <f>SUM('DATA B1'!I443-'DATA B1'!I442)+('DATA B1'!J443-'DATA B1'!J442)</f>
        <v>0</v>
      </c>
      <c r="G442" s="28">
        <f t="shared" si="126"/>
        <v>0</v>
      </c>
      <c r="H442" s="28">
        <f t="shared" si="127"/>
        <v>0</v>
      </c>
      <c r="I442" s="24">
        <f>SUM('WATER_STEAM RATIO'!K442)</f>
        <v>7</v>
      </c>
      <c r="J442" s="30">
        <f>SUM('DATA B2'!I443-'DATA B2'!I442)+('DATA B2'!J443-'DATA B2'!J442)</f>
        <v>445</v>
      </c>
      <c r="K442" s="28">
        <f t="shared" si="128"/>
        <v>63.571428571428569</v>
      </c>
      <c r="L442" s="28">
        <f t="shared" si="132"/>
        <v>38.888888888888893</v>
      </c>
      <c r="M442" s="89">
        <f>SUM('WATER_STEAM RATIO'!Q442)</f>
        <v>0</v>
      </c>
      <c r="N442" s="9">
        <f>SUM('DATA B3'!H443-'DATA B3'!H442)</f>
        <v>0</v>
      </c>
      <c r="O442" s="88">
        <f t="shared" si="130"/>
        <v>0</v>
      </c>
      <c r="P442" s="15">
        <f>IFERROR((M442/16)*100,0)</f>
        <v>0</v>
      </c>
    </row>
    <row r="443" spans="3:16">
      <c r="C443" s="292"/>
      <c r="D443" s="43">
        <v>0.95833333333333304</v>
      </c>
      <c r="E443" s="5">
        <f>SUM('WATER_STEAM RATIO'!E443)</f>
        <v>0</v>
      </c>
      <c r="F443" s="9">
        <f>SUM('DATA B1'!I444-'DATA B1'!I443)+('DATA B1'!J444-'DATA B1'!J443)</f>
        <v>0</v>
      </c>
      <c r="G443" s="28">
        <f t="shared" si="126"/>
        <v>0</v>
      </c>
      <c r="H443" s="28">
        <f t="shared" si="127"/>
        <v>0</v>
      </c>
      <c r="I443" s="24">
        <f>SUM('WATER_STEAM RATIO'!K443)</f>
        <v>8</v>
      </c>
      <c r="J443" s="30">
        <f>SUM('DATA B2'!I444-'DATA B2'!I443)+('DATA B2'!J444-'DATA B2'!J443)</f>
        <v>476</v>
      </c>
      <c r="K443" s="28">
        <f t="shared" si="128"/>
        <v>59.5</v>
      </c>
      <c r="L443" s="28">
        <f t="shared" si="132"/>
        <v>44.444444444444443</v>
      </c>
      <c r="M443" s="89">
        <f>SUM('WATER_STEAM RATIO'!Q443)</f>
        <v>0</v>
      </c>
      <c r="N443" s="9">
        <f>SUM('DATA B3'!H444-'DATA B3'!H443)</f>
        <v>0</v>
      </c>
      <c r="O443" s="88">
        <f t="shared" si="130"/>
        <v>0</v>
      </c>
      <c r="P443" s="15">
        <f t="shared" si="131"/>
        <v>0</v>
      </c>
    </row>
    <row r="444" spans="3:16">
      <c r="C444" s="292"/>
      <c r="D444" s="43">
        <v>1</v>
      </c>
      <c r="E444" s="5">
        <f>SUM('WATER_STEAM RATIO'!E444)</f>
        <v>0</v>
      </c>
      <c r="F444" s="9">
        <f>SUM('DATA B1'!I445-'DATA B1'!I444)+('DATA B1'!J445-'DATA B1'!J444)</f>
        <v>0</v>
      </c>
      <c r="G444" s="28">
        <f t="shared" si="126"/>
        <v>0</v>
      </c>
      <c r="H444" s="28">
        <f t="shared" si="127"/>
        <v>0</v>
      </c>
      <c r="I444" s="24">
        <f>SUM('WATER_STEAM RATIO'!K444)</f>
        <v>7</v>
      </c>
      <c r="J444" s="30">
        <f>SUM('DATA B2'!I445-'DATA B2'!I444)+('DATA B2'!J445-'DATA B2'!J444)</f>
        <v>453</v>
      </c>
      <c r="K444" s="28">
        <f t="shared" si="128"/>
        <v>64.714285714285708</v>
      </c>
      <c r="L444" s="28">
        <f t="shared" si="132"/>
        <v>38.888888888888893</v>
      </c>
      <c r="M444" s="89">
        <f>SUM('WATER_STEAM RATIO'!Q444)</f>
        <v>0</v>
      </c>
      <c r="N444" s="9">
        <f>SUM('DATA B3'!H445-'DATA B3'!H444)</f>
        <v>0</v>
      </c>
      <c r="O444" s="88">
        <f t="shared" si="130"/>
        <v>0</v>
      </c>
      <c r="P444" s="15">
        <f t="shared" si="131"/>
        <v>0</v>
      </c>
    </row>
    <row r="445" spans="3:16">
      <c r="C445" s="292"/>
      <c r="D445" s="43">
        <v>1.0416666666666701</v>
      </c>
      <c r="E445" s="5">
        <f>SUM('WATER_STEAM RATIO'!E445)</f>
        <v>0</v>
      </c>
      <c r="F445" s="9">
        <f>SUM('DATA B1'!I446-'DATA B1'!I445)+('DATA B1'!J446-'DATA B1'!J445)</f>
        <v>0</v>
      </c>
      <c r="G445" s="28">
        <f t="shared" si="126"/>
        <v>0</v>
      </c>
      <c r="H445" s="28">
        <f t="shared" si="127"/>
        <v>0</v>
      </c>
      <c r="I445" s="24">
        <f>SUM('WATER_STEAM RATIO'!K445)</f>
        <v>7</v>
      </c>
      <c r="J445" s="30">
        <f>SUM('DATA B2'!I446-'DATA B2'!I445)+('DATA B2'!J446-'DATA B2'!J445)</f>
        <v>450</v>
      </c>
      <c r="K445" s="28">
        <f t="shared" si="128"/>
        <v>64.285714285714292</v>
      </c>
      <c r="L445" s="28">
        <f t="shared" si="132"/>
        <v>38.888888888888893</v>
      </c>
      <c r="M445" s="89">
        <f>SUM('WATER_STEAM RATIO'!Q445)</f>
        <v>0</v>
      </c>
      <c r="N445" s="9">
        <f>SUM('DATA B3'!H446-'DATA B3'!H445)</f>
        <v>0</v>
      </c>
      <c r="O445" s="88">
        <f t="shared" si="130"/>
        <v>0</v>
      </c>
      <c r="P445" s="15">
        <f t="shared" si="131"/>
        <v>0</v>
      </c>
    </row>
    <row r="446" spans="3:16">
      <c r="C446" s="292"/>
      <c r="D446" s="43">
        <v>1.0833333333333399</v>
      </c>
      <c r="E446" s="5">
        <f>SUM('WATER_STEAM RATIO'!E446)</f>
        <v>0</v>
      </c>
      <c r="F446" s="9">
        <f>SUM('DATA B1'!I447-'DATA B1'!I446)+('DATA B1'!J447-'DATA B1'!J446)</f>
        <v>0</v>
      </c>
      <c r="G446" s="28">
        <f t="shared" si="126"/>
        <v>0</v>
      </c>
      <c r="H446" s="28">
        <f t="shared" si="127"/>
        <v>0</v>
      </c>
      <c r="I446" s="24">
        <f>SUM('WATER_STEAM RATIO'!K446)</f>
        <v>8</v>
      </c>
      <c r="J446" s="30">
        <f>SUM('DATA B2'!I447-'DATA B2'!I446)+('DATA B2'!J447-'DATA B2'!J446)</f>
        <v>473</v>
      </c>
      <c r="K446" s="28">
        <f t="shared" si="128"/>
        <v>59.125</v>
      </c>
      <c r="L446" s="28">
        <f t="shared" si="132"/>
        <v>44.444444444444443</v>
      </c>
      <c r="M446" s="89">
        <f>SUM('WATER_STEAM RATIO'!Q446)</f>
        <v>0</v>
      </c>
      <c r="N446" s="9">
        <f>SUM('DATA B3'!H447-'DATA B3'!H446)</f>
        <v>0</v>
      </c>
      <c r="O446" s="88">
        <f t="shared" si="130"/>
        <v>0</v>
      </c>
      <c r="P446" s="15">
        <f t="shared" si="131"/>
        <v>0</v>
      </c>
    </row>
    <row r="447" spans="3:16">
      <c r="C447" s="292"/>
      <c r="D447" s="43">
        <v>1.125</v>
      </c>
      <c r="E447" s="5">
        <f>SUM('WATER_STEAM RATIO'!E447)</f>
        <v>0</v>
      </c>
      <c r="F447" s="9">
        <f>SUM('DATA B1'!I448-'DATA B1'!I447)+('DATA B1'!J448-'DATA B1'!J447)</f>
        <v>0</v>
      </c>
      <c r="G447" s="28">
        <f t="shared" si="126"/>
        <v>0</v>
      </c>
      <c r="H447" s="28">
        <f t="shared" si="127"/>
        <v>0</v>
      </c>
      <c r="I447" s="24">
        <f>SUM('WATER_STEAM RATIO'!K447)</f>
        <v>8</v>
      </c>
      <c r="J447" s="30">
        <f>SUM('DATA B2'!I448-'DATA B2'!I447)+('DATA B2'!J448-'DATA B2'!J447)</f>
        <v>477</v>
      </c>
      <c r="K447" s="28">
        <f t="shared" si="128"/>
        <v>59.625</v>
      </c>
      <c r="L447" s="28">
        <f t="shared" si="132"/>
        <v>44.444444444444443</v>
      </c>
      <c r="M447" s="89">
        <f>SUM('WATER_STEAM RATIO'!Q447)</f>
        <v>0</v>
      </c>
      <c r="N447" s="9">
        <f>SUM('DATA B3'!H448-'DATA B3'!H447)</f>
        <v>0</v>
      </c>
      <c r="O447" s="88">
        <f t="shared" ref="O447:O451" si="133">IFERROR(N447/(M447),0)</f>
        <v>0</v>
      </c>
      <c r="P447" s="15">
        <f t="shared" si="131"/>
        <v>0</v>
      </c>
    </row>
    <row r="448" spans="3:16">
      <c r="C448" s="292"/>
      <c r="D448" s="43">
        <v>1.1666666666666701</v>
      </c>
      <c r="E448" s="5">
        <f>SUM('WATER_STEAM RATIO'!E448)</f>
        <v>0</v>
      </c>
      <c r="F448" s="9">
        <f>SUM('DATA B1'!I449-'DATA B1'!I448)+('DATA B1'!J449-'DATA B1'!J448)</f>
        <v>0</v>
      </c>
      <c r="G448" s="28">
        <f t="shared" si="126"/>
        <v>0</v>
      </c>
      <c r="H448" s="28">
        <f t="shared" si="127"/>
        <v>0</v>
      </c>
      <c r="I448" s="24">
        <f>SUM('WATER_STEAM RATIO'!K448)</f>
        <v>6</v>
      </c>
      <c r="J448" s="30">
        <f>SUM('DATA B2'!I449-'DATA B2'!I448)+('DATA B2'!J449-'DATA B2'!J448)</f>
        <v>397</v>
      </c>
      <c r="K448" s="28">
        <f>IFERROR(J448/(I448),0)</f>
        <v>66.166666666666671</v>
      </c>
      <c r="L448" s="28">
        <f t="shared" si="132"/>
        <v>33.333333333333329</v>
      </c>
      <c r="M448" s="89">
        <f>SUM('WATER_STEAM RATIO'!Q448)</f>
        <v>0</v>
      </c>
      <c r="N448" s="9">
        <f>SUM('DATA B3'!H449-'DATA B3'!H448)</f>
        <v>0</v>
      </c>
      <c r="O448" s="88">
        <f t="shared" si="133"/>
        <v>0</v>
      </c>
      <c r="P448" s="15">
        <f t="shared" si="131"/>
        <v>0</v>
      </c>
    </row>
    <row r="449" spans="3:16">
      <c r="C449" s="292"/>
      <c r="D449" s="43">
        <v>1.2083333333333399</v>
      </c>
      <c r="E449" s="5">
        <f>SUM('WATER_STEAM RATIO'!E449)</f>
        <v>0</v>
      </c>
      <c r="F449" s="9">
        <f>SUM('DATA B1'!I450-'DATA B1'!I449)+('DATA B1'!J450-'DATA B1'!J449)</f>
        <v>0</v>
      </c>
      <c r="G449" s="28">
        <f t="shared" si="126"/>
        <v>0</v>
      </c>
      <c r="H449" s="28">
        <f t="shared" si="127"/>
        <v>0</v>
      </c>
      <c r="I449" s="24">
        <f>SUM('WATER_STEAM RATIO'!K449)</f>
        <v>6</v>
      </c>
      <c r="J449" s="30">
        <f>SUM('DATA B2'!I450-'DATA B2'!I449)+('DATA B2'!J450-'DATA B2'!J449)</f>
        <v>398</v>
      </c>
      <c r="K449" s="28">
        <f>IFERROR(J449/(I449),0)</f>
        <v>66.333333333333329</v>
      </c>
      <c r="L449" s="28">
        <f t="shared" si="132"/>
        <v>33.333333333333329</v>
      </c>
      <c r="M449" s="89">
        <f>SUM('WATER_STEAM RATIO'!Q449)</f>
        <v>0</v>
      </c>
      <c r="N449" s="9">
        <f>SUM('DATA B3'!H450-'DATA B3'!H449)</f>
        <v>0</v>
      </c>
      <c r="O449" s="88">
        <f t="shared" si="133"/>
        <v>0</v>
      </c>
      <c r="P449" s="15">
        <f t="shared" si="131"/>
        <v>0</v>
      </c>
    </row>
    <row r="450" spans="3:16">
      <c r="C450" s="292"/>
      <c r="D450" s="43">
        <v>1.25</v>
      </c>
      <c r="E450" s="5">
        <f>SUM('WATER_STEAM RATIO'!E450)</f>
        <v>0</v>
      </c>
      <c r="F450" s="9">
        <f>SUM('DATA B1'!I451-'DATA B1'!I450)+('DATA B1'!J451-'DATA B1'!J450)</f>
        <v>0</v>
      </c>
      <c r="G450" s="28">
        <f t="shared" si="126"/>
        <v>0</v>
      </c>
      <c r="H450" s="28">
        <f t="shared" si="127"/>
        <v>0</v>
      </c>
      <c r="I450" s="24">
        <f>SUM('WATER_STEAM RATIO'!K450)</f>
        <v>6</v>
      </c>
      <c r="J450" s="30">
        <f>SUM('DATA B2'!I451-'DATA B2'!I450)+('DATA B2'!J451-'DATA B2'!J450)</f>
        <v>395</v>
      </c>
      <c r="K450" s="28">
        <f>IFERROR(J450/(I450),0)</f>
        <v>65.833333333333329</v>
      </c>
      <c r="L450" s="28">
        <f t="shared" si="132"/>
        <v>33.333333333333329</v>
      </c>
      <c r="M450" s="89">
        <f>SUM('WATER_STEAM RATIO'!Q450)</f>
        <v>0</v>
      </c>
      <c r="N450" s="9">
        <f>SUM('DATA B3'!H451-'DATA B3'!H450)</f>
        <v>0</v>
      </c>
      <c r="O450" s="88">
        <f t="shared" si="133"/>
        <v>0</v>
      </c>
      <c r="P450" s="15">
        <f t="shared" si="131"/>
        <v>0</v>
      </c>
    </row>
    <row r="451" spans="3:16">
      <c r="C451" s="292"/>
      <c r="D451" s="43">
        <v>1.2916666666666701</v>
      </c>
      <c r="E451" s="5">
        <f>SUM('WATER_STEAM RATIO'!E451)</f>
        <v>0</v>
      </c>
      <c r="F451" s="9">
        <f>SUM('DATA B1'!I452-'DATA B1'!I451)+('DATA B1'!J452-'DATA B1'!J451)</f>
        <v>0</v>
      </c>
      <c r="G451" s="28">
        <f t="shared" si="126"/>
        <v>0</v>
      </c>
      <c r="H451" s="28">
        <f t="shared" si="127"/>
        <v>0</v>
      </c>
      <c r="I451" s="24">
        <f>SUM('WATER_STEAM RATIO'!K451)</f>
        <v>7</v>
      </c>
      <c r="J451" s="30">
        <f>SUM('DATA B2'!I452-'DATA B2'!I451)+('DATA B2'!J452-'DATA B2'!J451)</f>
        <v>430</v>
      </c>
      <c r="K451" s="28">
        <f>IFERROR(J451/(I451),0)</f>
        <v>61.428571428571431</v>
      </c>
      <c r="L451" s="28">
        <f t="shared" si="132"/>
        <v>38.888888888888893</v>
      </c>
      <c r="M451" s="89">
        <f>SUM('WATER_STEAM RATIO'!Q451)</f>
        <v>0</v>
      </c>
      <c r="N451" s="9">
        <f>SUM('DATA B3'!H452-'DATA B3'!H451)</f>
        <v>0</v>
      </c>
      <c r="O451" s="88">
        <f t="shared" si="133"/>
        <v>0</v>
      </c>
      <c r="P451" s="15">
        <f t="shared" si="131"/>
        <v>0</v>
      </c>
    </row>
    <row r="452" spans="3:16">
      <c r="C452" s="293"/>
      <c r="D452" s="258"/>
      <c r="E452" s="91">
        <f>SUMIF(E427:E451,"&gt;=0",E427:E451)</f>
        <v>0</v>
      </c>
      <c r="F452" s="91">
        <f>SUMIF(F427:F451,"&gt;=0",F427:F451)</f>
        <v>0</v>
      </c>
      <c r="G452" s="54">
        <f>IFERROR(F452/E452,0)</f>
        <v>0</v>
      </c>
      <c r="H452" s="54">
        <f>IFERROR(AVERAGE(H428:H451),0)</f>
        <v>0</v>
      </c>
      <c r="I452" s="91">
        <f>SUMIF(I427:I451,"&gt;=0",I427:I451)</f>
        <v>227</v>
      </c>
      <c r="J452" s="91">
        <f>SUMIF(J427:J451,"&gt;=0",J427:J451)</f>
        <v>13674</v>
      </c>
      <c r="K452" s="54">
        <f>IFERROR(J452/(I452),0)</f>
        <v>60.237885462555063</v>
      </c>
      <c r="L452" s="54">
        <f>IFERROR(AVERAGE(L428:L451),0)</f>
        <v>49.999999999999993</v>
      </c>
      <c r="M452" s="91">
        <f>SUMIF(M427:M451,"&gt;=0",M427:M451)</f>
        <v>0</v>
      </c>
      <c r="N452" s="91">
        <f>SUMIF(N427:N451,"&gt;=0",N427:N451)</f>
        <v>0</v>
      </c>
      <c r="O452" s="239">
        <f>IFERROR(N452/(M452),0)</f>
        <v>0</v>
      </c>
      <c r="P452" s="215">
        <f>IFERROR(AVERAGE(P428:P451),0)</f>
        <v>0</v>
      </c>
    </row>
    <row r="453" spans="3:16" ht="15" customHeight="1">
      <c r="C453" s="291">
        <f>SUM('WATER_STEAM RATIO'!B453:B478)</f>
        <v>46040</v>
      </c>
      <c r="D453" s="43">
        <v>0.29166666666666669</v>
      </c>
      <c r="E453" s="5">
        <f>SUM('WATER_STEAM RATIO'!E453)</f>
        <v>0</v>
      </c>
      <c r="F453" s="9"/>
      <c r="G453" s="28"/>
      <c r="H453" s="28"/>
      <c r="I453" s="24">
        <f>SUM('WATER_STEAM RATIO'!K453)</f>
        <v>7</v>
      </c>
      <c r="J453" s="30"/>
      <c r="K453" s="28"/>
      <c r="L453" s="28"/>
      <c r="M453" s="89">
        <f>SUM('WATER_STEAM RATIO'!Q453)</f>
        <v>0</v>
      </c>
      <c r="N453" s="9"/>
      <c r="O453" s="88"/>
      <c r="P453" s="15"/>
    </row>
    <row r="454" spans="3:16">
      <c r="C454" s="292"/>
      <c r="D454" s="43">
        <v>0.33333333333333298</v>
      </c>
      <c r="E454" s="5">
        <f>SUM('WATER_STEAM RATIO'!E454)</f>
        <v>0</v>
      </c>
      <c r="F454" s="9">
        <f>SUM('DATA B1'!I455-'DATA B1'!I454)+('DATA B1'!J455-'DATA B1'!J454)</f>
        <v>0</v>
      </c>
      <c r="G454" s="28">
        <f>IFERROR(F454/(E454),0)</f>
        <v>0</v>
      </c>
      <c r="H454" s="28">
        <f>IFERROR((E454/18)*100,0)</f>
        <v>0</v>
      </c>
      <c r="I454" s="24">
        <f>SUM('WATER_STEAM RATIO'!K454)</f>
        <v>7</v>
      </c>
      <c r="J454" s="30">
        <f>SUM('DATA B2'!I455-'DATA B2'!I454)+('DATA B2'!J455-'DATA B2'!J454)</f>
        <v>495</v>
      </c>
      <c r="K454" s="28">
        <f>IFERROR(J454/(I454),0)</f>
        <v>70.714285714285708</v>
      </c>
      <c r="L454" s="28">
        <f>IFERROR((I454/18)*100,0)</f>
        <v>38.888888888888893</v>
      </c>
      <c r="M454" s="89">
        <f>SUM('WATER_STEAM RATIO'!Q454)</f>
        <v>0</v>
      </c>
      <c r="N454" s="9">
        <f>SUM('DATA B3'!H455-'DATA B3'!H454)</f>
        <v>0</v>
      </c>
      <c r="O454" s="88">
        <f>IFERROR(N454/(M454),0)</f>
        <v>0</v>
      </c>
      <c r="P454" s="15">
        <f>IFERROR((M454/16)*100,0)</f>
        <v>0</v>
      </c>
    </row>
    <row r="455" spans="3:16">
      <c r="C455" s="292"/>
      <c r="D455" s="43">
        <v>0.375</v>
      </c>
      <c r="E455" s="5">
        <f>SUM('WATER_STEAM RATIO'!E455)</f>
        <v>0</v>
      </c>
      <c r="F455" s="9">
        <f>SUM('DATA B1'!I456-'DATA B1'!I455)+('DATA B1'!J456-'DATA B1'!J455)</f>
        <v>0</v>
      </c>
      <c r="G455" s="28">
        <f t="shared" ref="G455:G477" si="134">IFERROR(F455/(E455),0)</f>
        <v>0</v>
      </c>
      <c r="H455" s="28">
        <f t="shared" ref="H455:H477" si="135">IFERROR((E455/18)*100,0)</f>
        <v>0</v>
      </c>
      <c r="I455" s="24">
        <f>SUM('WATER_STEAM RATIO'!K455)</f>
        <v>7</v>
      </c>
      <c r="J455" s="30">
        <f>SUM('DATA B2'!I456-'DATA B2'!I455)+('DATA B2'!J456-'DATA B2'!J455)</f>
        <v>438</v>
      </c>
      <c r="K455" s="28">
        <f t="shared" ref="K455:K473" si="136">IFERROR(J455/(I455),0)</f>
        <v>62.571428571428569</v>
      </c>
      <c r="L455" s="28">
        <f t="shared" ref="L455:L465" si="137">IFERROR((I455/18)*100,0)</f>
        <v>38.888888888888893</v>
      </c>
      <c r="M455" s="89">
        <f>SUM('WATER_STEAM RATIO'!Q455)</f>
        <v>0</v>
      </c>
      <c r="N455" s="9">
        <f>SUM('DATA B3'!H456-'DATA B3'!H455)</f>
        <v>0</v>
      </c>
      <c r="O455" s="88">
        <f t="shared" ref="O455:O472" si="138">IFERROR(N455/(M455),0)</f>
        <v>0</v>
      </c>
      <c r="P455" s="15">
        <f t="shared" ref="P455:P477" si="139">IFERROR((M455/16)*100,0)</f>
        <v>0</v>
      </c>
    </row>
    <row r="456" spans="3:16">
      <c r="C456" s="292"/>
      <c r="D456" s="43">
        <v>0.41666666666666702</v>
      </c>
      <c r="E456" s="5">
        <f>SUM('WATER_STEAM RATIO'!E456)</f>
        <v>0</v>
      </c>
      <c r="F456" s="9">
        <f>SUM('DATA B1'!I457-'DATA B1'!I456)+('DATA B1'!J457-'DATA B1'!J456)</f>
        <v>0</v>
      </c>
      <c r="G456" s="28">
        <f t="shared" si="134"/>
        <v>0</v>
      </c>
      <c r="H456" s="28">
        <f t="shared" si="135"/>
        <v>0</v>
      </c>
      <c r="I456" s="24">
        <f>SUM('WATER_STEAM RATIO'!K456)</f>
        <v>7</v>
      </c>
      <c r="J456" s="30">
        <f>SUM('DATA B2'!I457-'DATA B2'!I456)+('DATA B2'!J457-'DATA B2'!J456)</f>
        <v>423</v>
      </c>
      <c r="K456" s="28">
        <f t="shared" si="136"/>
        <v>60.428571428571431</v>
      </c>
      <c r="L456" s="28">
        <f t="shared" si="137"/>
        <v>38.888888888888893</v>
      </c>
      <c r="M456" s="89">
        <f>SUM('WATER_STEAM RATIO'!Q456)</f>
        <v>0</v>
      </c>
      <c r="N456" s="9">
        <f>SUM('DATA B3'!H457-'DATA B3'!H456)</f>
        <v>0</v>
      </c>
      <c r="O456" s="88">
        <f t="shared" si="138"/>
        <v>0</v>
      </c>
      <c r="P456" s="15">
        <f t="shared" si="139"/>
        <v>0</v>
      </c>
    </row>
    <row r="457" spans="3:16">
      <c r="C457" s="292"/>
      <c r="D457" s="43">
        <v>0.45833333333333298</v>
      </c>
      <c r="E457" s="5">
        <f>SUM('WATER_STEAM RATIO'!E457)</f>
        <v>0</v>
      </c>
      <c r="F457" s="9">
        <f>SUM('DATA B1'!I458-'DATA B1'!I457)+('DATA B1'!J458-'DATA B1'!J457)</f>
        <v>0</v>
      </c>
      <c r="G457" s="28">
        <f t="shared" si="134"/>
        <v>0</v>
      </c>
      <c r="H457" s="28">
        <f t="shared" si="135"/>
        <v>0</v>
      </c>
      <c r="I457" s="24">
        <f>SUM('WATER_STEAM RATIO'!K457)</f>
        <v>8</v>
      </c>
      <c r="J457" s="30">
        <f>SUM('DATA B2'!I458-'DATA B2'!I457)+('DATA B2'!J458-'DATA B2'!J457)</f>
        <v>454</v>
      </c>
      <c r="K457" s="28">
        <f t="shared" si="136"/>
        <v>56.75</v>
      </c>
      <c r="L457" s="28">
        <f t="shared" si="137"/>
        <v>44.444444444444443</v>
      </c>
      <c r="M457" s="89">
        <f>SUM('WATER_STEAM RATIO'!Q457)</f>
        <v>0</v>
      </c>
      <c r="N457" s="9">
        <f>SUM('DATA B3'!H458-'DATA B3'!H457)</f>
        <v>0</v>
      </c>
      <c r="O457" s="88">
        <f t="shared" si="138"/>
        <v>0</v>
      </c>
      <c r="P457" s="15">
        <f t="shared" si="139"/>
        <v>0</v>
      </c>
    </row>
    <row r="458" spans="3:16">
      <c r="C458" s="292"/>
      <c r="D458" s="43">
        <v>0.5</v>
      </c>
      <c r="E458" s="5">
        <f>SUM('WATER_STEAM RATIO'!E458)</f>
        <v>0</v>
      </c>
      <c r="F458" s="9">
        <f>SUM('DATA B1'!I459-'DATA B1'!I458)+('DATA B1'!J459-'DATA B1'!J458)</f>
        <v>0</v>
      </c>
      <c r="G458" s="28">
        <f t="shared" si="134"/>
        <v>0</v>
      </c>
      <c r="H458" s="28">
        <f t="shared" si="135"/>
        <v>0</v>
      </c>
      <c r="I458" s="24">
        <f>SUM('WATER_STEAM RATIO'!K458)</f>
        <v>8</v>
      </c>
      <c r="J458" s="30">
        <f>SUM('DATA B2'!I459-'DATA B2'!I458)+('DATA B2'!J459-'DATA B2'!J458)</f>
        <v>496</v>
      </c>
      <c r="K458" s="28">
        <f t="shared" si="136"/>
        <v>62</v>
      </c>
      <c r="L458" s="28">
        <f t="shared" si="137"/>
        <v>44.444444444444443</v>
      </c>
      <c r="M458" s="89">
        <f>SUM('WATER_STEAM RATIO'!Q458)</f>
        <v>0</v>
      </c>
      <c r="N458" s="9">
        <f>SUM('DATA B3'!H459-'DATA B3'!H458)</f>
        <v>0</v>
      </c>
      <c r="O458" s="88">
        <f t="shared" si="138"/>
        <v>0</v>
      </c>
      <c r="P458" s="15">
        <f t="shared" si="139"/>
        <v>0</v>
      </c>
    </row>
    <row r="459" spans="3:16">
      <c r="C459" s="292"/>
      <c r="D459" s="43">
        <v>0.54166666666666696</v>
      </c>
      <c r="E459" s="5">
        <f>SUM('WATER_STEAM RATIO'!E459)</f>
        <v>0</v>
      </c>
      <c r="F459" s="9">
        <f>SUM('DATA B1'!I460-'DATA B1'!I459)+('DATA B1'!J460-'DATA B1'!J459)</f>
        <v>0</v>
      </c>
      <c r="G459" s="28">
        <f t="shared" si="134"/>
        <v>0</v>
      </c>
      <c r="H459" s="28">
        <f t="shared" si="135"/>
        <v>0</v>
      </c>
      <c r="I459" s="24">
        <f>SUM('WATER_STEAM RATIO'!K459)</f>
        <v>8</v>
      </c>
      <c r="J459" s="30">
        <f>SUM('DATA B2'!I460-'DATA B2'!I459)+('DATA B2'!J460-'DATA B2'!J459)</f>
        <v>486</v>
      </c>
      <c r="K459" s="28">
        <f t="shared" si="136"/>
        <v>60.75</v>
      </c>
      <c r="L459" s="28">
        <f t="shared" si="137"/>
        <v>44.444444444444443</v>
      </c>
      <c r="M459" s="89">
        <f>SUM('WATER_STEAM RATIO'!Q459)</f>
        <v>0</v>
      </c>
      <c r="N459" s="9">
        <f>SUM('DATA B3'!H460-'DATA B3'!H459)</f>
        <v>0</v>
      </c>
      <c r="O459" s="88">
        <f t="shared" si="138"/>
        <v>0</v>
      </c>
      <c r="P459" s="15">
        <f t="shared" si="139"/>
        <v>0</v>
      </c>
    </row>
    <row r="460" spans="3:16">
      <c r="C460" s="292"/>
      <c r="D460" s="43">
        <v>0.58333333333333304</v>
      </c>
      <c r="E460" s="5">
        <f>SUM('WATER_STEAM RATIO'!E460)</f>
        <v>0</v>
      </c>
      <c r="F460" s="9">
        <f>SUM('DATA B1'!I461-'DATA B1'!I460)+('DATA B1'!J461-'DATA B1'!J460)</f>
        <v>0</v>
      </c>
      <c r="G460" s="28">
        <f t="shared" si="134"/>
        <v>0</v>
      </c>
      <c r="H460" s="28">
        <f t="shared" si="135"/>
        <v>0</v>
      </c>
      <c r="I460" s="24">
        <f>SUM('WATER_STEAM RATIO'!K460)</f>
        <v>8</v>
      </c>
      <c r="J460" s="30">
        <f>SUM('DATA B2'!I461-'DATA B2'!I460)+('DATA B2'!J461-'DATA B2'!J460)</f>
        <v>489</v>
      </c>
      <c r="K460" s="28">
        <f t="shared" si="136"/>
        <v>61.125</v>
      </c>
      <c r="L460" s="28">
        <f t="shared" si="137"/>
        <v>44.444444444444443</v>
      </c>
      <c r="M460" s="89">
        <f>SUM('WATER_STEAM RATIO'!Q460)</f>
        <v>0</v>
      </c>
      <c r="N460" s="9">
        <f>SUM('DATA B3'!H461-'DATA B3'!H460)</f>
        <v>0</v>
      </c>
      <c r="O460" s="88">
        <f t="shared" si="138"/>
        <v>0</v>
      </c>
      <c r="P460" s="15">
        <f t="shared" si="139"/>
        <v>0</v>
      </c>
    </row>
    <row r="461" spans="3:16">
      <c r="C461" s="292"/>
      <c r="D461" s="43">
        <v>0.625</v>
      </c>
      <c r="E461" s="5">
        <f>SUM('WATER_STEAM RATIO'!E461)</f>
        <v>0</v>
      </c>
      <c r="F461" s="9">
        <f>SUM('DATA B1'!I462-'DATA B1'!I461)+('DATA B1'!J462-'DATA B1'!J461)</f>
        <v>0</v>
      </c>
      <c r="G461" s="28">
        <f t="shared" si="134"/>
        <v>0</v>
      </c>
      <c r="H461" s="28">
        <f t="shared" si="135"/>
        <v>0</v>
      </c>
      <c r="I461" s="24">
        <f>SUM('WATER_STEAM RATIO'!K461)</f>
        <v>8</v>
      </c>
      <c r="J461" s="30">
        <f>SUM('DATA B2'!I462-'DATA B2'!I461)+('DATA B2'!J462-'DATA B2'!J461)</f>
        <v>499</v>
      </c>
      <c r="K461" s="28">
        <f t="shared" si="136"/>
        <v>62.375</v>
      </c>
      <c r="L461" s="28">
        <f t="shared" si="137"/>
        <v>44.444444444444443</v>
      </c>
      <c r="M461" s="89">
        <f>SUM('WATER_STEAM RATIO'!Q461)</f>
        <v>0</v>
      </c>
      <c r="N461" s="9">
        <f>SUM('DATA B3'!H462-'DATA B3'!H461)</f>
        <v>0</v>
      </c>
      <c r="O461" s="88">
        <f t="shared" si="138"/>
        <v>0</v>
      </c>
      <c r="P461" s="15">
        <f t="shared" si="139"/>
        <v>0</v>
      </c>
    </row>
    <row r="462" spans="3:16">
      <c r="C462" s="292"/>
      <c r="D462" s="43">
        <v>0.66666666666666596</v>
      </c>
      <c r="E462" s="5">
        <f>SUM('WATER_STEAM RATIO'!E462)</f>
        <v>0</v>
      </c>
      <c r="F462" s="9">
        <f>SUM('DATA B1'!I463-'DATA B1'!I462)+('DATA B1'!J463-'DATA B1'!J462)</f>
        <v>0</v>
      </c>
      <c r="G462" s="28">
        <f t="shared" si="134"/>
        <v>0</v>
      </c>
      <c r="H462" s="28">
        <f t="shared" si="135"/>
        <v>0</v>
      </c>
      <c r="I462" s="24">
        <f>SUM('WATER_STEAM RATIO'!K462)</f>
        <v>8</v>
      </c>
      <c r="J462" s="30">
        <f>SUM('DATA B2'!I463-'DATA B2'!I462)+('DATA B2'!J463-'DATA B2'!J462)</f>
        <v>490</v>
      </c>
      <c r="K462" s="28">
        <f t="shared" si="136"/>
        <v>61.25</v>
      </c>
      <c r="L462" s="28">
        <f t="shared" si="137"/>
        <v>44.444444444444443</v>
      </c>
      <c r="M462" s="89">
        <f>SUM('WATER_STEAM RATIO'!Q462)</f>
        <v>0</v>
      </c>
      <c r="N462" s="9">
        <f>SUM('DATA B3'!H463-'DATA B3'!H462)</f>
        <v>0</v>
      </c>
      <c r="O462" s="88">
        <f t="shared" si="138"/>
        <v>0</v>
      </c>
      <c r="P462" s="15">
        <f t="shared" si="139"/>
        <v>0</v>
      </c>
    </row>
    <row r="463" spans="3:16">
      <c r="C463" s="292"/>
      <c r="D463" s="43">
        <v>0.70833333333333304</v>
      </c>
      <c r="E463" s="5">
        <f>SUM('WATER_STEAM RATIO'!E463)</f>
        <v>0</v>
      </c>
      <c r="F463" s="9">
        <f>SUM('DATA B1'!I464-'DATA B1'!I463)+('DATA B1'!J464-'DATA B1'!J463)</f>
        <v>0</v>
      </c>
      <c r="G463" s="28">
        <f t="shared" si="134"/>
        <v>0</v>
      </c>
      <c r="H463" s="28">
        <f t="shared" si="135"/>
        <v>0</v>
      </c>
      <c r="I463" s="24">
        <f>SUM('WATER_STEAM RATIO'!K463)</f>
        <v>8</v>
      </c>
      <c r="J463" s="30">
        <f>SUM('DATA B2'!I464-'DATA B2'!I463)+('DATA B2'!J464-'DATA B2'!J463)</f>
        <v>488</v>
      </c>
      <c r="K463" s="28">
        <f t="shared" si="136"/>
        <v>61</v>
      </c>
      <c r="L463" s="28">
        <f t="shared" si="137"/>
        <v>44.444444444444443</v>
      </c>
      <c r="M463" s="89">
        <f>SUM('WATER_STEAM RATIO'!Q463)</f>
        <v>0</v>
      </c>
      <c r="N463" s="9">
        <f>SUM('DATA B3'!H464-'DATA B3'!H463)</f>
        <v>0</v>
      </c>
      <c r="O463" s="88">
        <f t="shared" si="138"/>
        <v>0</v>
      </c>
      <c r="P463" s="15">
        <f t="shared" si="139"/>
        <v>0</v>
      </c>
    </row>
    <row r="464" spans="3:16">
      <c r="C464" s="292"/>
      <c r="D464" s="43">
        <v>0.75</v>
      </c>
      <c r="E464" s="5">
        <f>SUM('WATER_STEAM RATIO'!E464)</f>
        <v>0</v>
      </c>
      <c r="F464" s="9">
        <f>SUM('DATA B1'!I465-'DATA B1'!I464)+('DATA B1'!J465-'DATA B1'!J464)</f>
        <v>0</v>
      </c>
      <c r="G464" s="28">
        <f t="shared" si="134"/>
        <v>0</v>
      </c>
      <c r="H464" s="28">
        <f t="shared" si="135"/>
        <v>0</v>
      </c>
      <c r="I464" s="24">
        <f>SUM('WATER_STEAM RATIO'!K464)</f>
        <v>8</v>
      </c>
      <c r="J464" s="30">
        <f>SUM('DATA B2'!I465-'DATA B2'!I464)+('DATA B2'!J465-'DATA B2'!J464)</f>
        <v>482</v>
      </c>
      <c r="K464" s="28">
        <f t="shared" si="136"/>
        <v>60.25</v>
      </c>
      <c r="L464" s="28">
        <f t="shared" si="137"/>
        <v>44.444444444444443</v>
      </c>
      <c r="M464" s="89">
        <f>SUM('WATER_STEAM RATIO'!Q464)</f>
        <v>0</v>
      </c>
      <c r="N464" s="9">
        <f>SUM('DATA B3'!H465-'DATA B3'!H464)</f>
        <v>0</v>
      </c>
      <c r="O464" s="88">
        <f t="shared" si="138"/>
        <v>0</v>
      </c>
      <c r="P464" s="15">
        <f t="shared" si="139"/>
        <v>0</v>
      </c>
    </row>
    <row r="465" spans="3:16">
      <c r="C465" s="292"/>
      <c r="D465" s="43">
        <v>0.79166666666666596</v>
      </c>
      <c r="E465" s="5">
        <f>SUM('WATER_STEAM RATIO'!E465)</f>
        <v>0</v>
      </c>
      <c r="F465" s="9">
        <f>SUM('DATA B1'!I466-'DATA B1'!I465)+('DATA B1'!J466-'DATA B1'!J465)</f>
        <v>0</v>
      </c>
      <c r="G465" s="28">
        <f t="shared" si="134"/>
        <v>0</v>
      </c>
      <c r="H465" s="28">
        <f t="shared" si="135"/>
        <v>0</v>
      </c>
      <c r="I465" s="24">
        <f>SUM('WATER_STEAM RATIO'!K465)</f>
        <v>9</v>
      </c>
      <c r="J465" s="30">
        <f>SUM('DATA B2'!I466-'DATA B2'!I465)+('DATA B2'!J466-'DATA B2'!J465)</f>
        <v>604</v>
      </c>
      <c r="K465" s="28">
        <f t="shared" si="136"/>
        <v>67.111111111111114</v>
      </c>
      <c r="L465" s="28">
        <f t="shared" si="137"/>
        <v>50</v>
      </c>
      <c r="M465" s="89">
        <f>SUM('WATER_STEAM RATIO'!Q465)</f>
        <v>0</v>
      </c>
      <c r="N465" s="9">
        <f>SUM('DATA B3'!H466-'DATA B3'!H465)</f>
        <v>0</v>
      </c>
      <c r="O465" s="88">
        <f t="shared" si="138"/>
        <v>0</v>
      </c>
      <c r="P465" s="15">
        <f t="shared" si="139"/>
        <v>0</v>
      </c>
    </row>
    <row r="466" spans="3:16">
      <c r="C466" s="292"/>
      <c r="D466" s="43">
        <v>0.83333333333333304</v>
      </c>
      <c r="E466" s="5">
        <f>SUM('WATER_STEAM RATIO'!E466)</f>
        <v>0</v>
      </c>
      <c r="F466" s="9">
        <f>SUM('DATA B1'!I467-'DATA B1'!I466)+('DATA B1'!J467-'DATA B1'!J466)</f>
        <v>0</v>
      </c>
      <c r="G466" s="28">
        <f t="shared" si="134"/>
        <v>0</v>
      </c>
      <c r="H466" s="28">
        <f t="shared" si="135"/>
        <v>0</v>
      </c>
      <c r="I466" s="24">
        <f>SUM('WATER_STEAM RATIO'!K466)</f>
        <v>8</v>
      </c>
      <c r="J466" s="30">
        <f>SUM('DATA B2'!I467-'DATA B2'!I466)+('DATA B2'!J467-'DATA B2'!J466)</f>
        <v>536</v>
      </c>
      <c r="K466" s="28">
        <f t="shared" si="136"/>
        <v>67</v>
      </c>
      <c r="L466" s="28">
        <f>IFERROR((I466/18)*100,0)</f>
        <v>44.444444444444443</v>
      </c>
      <c r="M466" s="89">
        <f>SUM('WATER_STEAM RATIO'!Q466)</f>
        <v>0</v>
      </c>
      <c r="N466" s="9">
        <f>SUM('DATA B3'!H467-'DATA B3'!H466)</f>
        <v>0</v>
      </c>
      <c r="O466" s="88">
        <f t="shared" si="138"/>
        <v>0</v>
      </c>
      <c r="P466" s="15">
        <f t="shared" si="139"/>
        <v>0</v>
      </c>
    </row>
    <row r="467" spans="3:16">
      <c r="C467" s="292"/>
      <c r="D467" s="43">
        <v>0.875</v>
      </c>
      <c r="E467" s="5">
        <f>SUM('WATER_STEAM RATIO'!E467)</f>
        <v>0</v>
      </c>
      <c r="F467" s="9">
        <f>SUM('DATA B1'!I468-'DATA B1'!I467)+('DATA B1'!J468-'DATA B1'!J467)</f>
        <v>0</v>
      </c>
      <c r="G467" s="28">
        <f t="shared" si="134"/>
        <v>0</v>
      </c>
      <c r="H467" s="28">
        <f t="shared" si="135"/>
        <v>0</v>
      </c>
      <c r="I467" s="24">
        <f>SUM('WATER_STEAM RATIO'!K467)</f>
        <v>6</v>
      </c>
      <c r="J467" s="30">
        <f>SUM('DATA B2'!I468-'DATA B2'!I467)+('DATA B2'!J468-'DATA B2'!J467)</f>
        <v>413</v>
      </c>
      <c r="K467" s="28">
        <f t="shared" si="136"/>
        <v>68.833333333333329</v>
      </c>
      <c r="L467" s="28">
        <f t="shared" ref="L467:L477" si="140">IFERROR((I467/18)*100,0)</f>
        <v>33.333333333333329</v>
      </c>
      <c r="M467" s="89">
        <f>SUM('WATER_STEAM RATIO'!Q467)</f>
        <v>0</v>
      </c>
      <c r="N467" s="9">
        <f>SUM('DATA B3'!H468-'DATA B3'!H467)</f>
        <v>0</v>
      </c>
      <c r="O467" s="88">
        <f t="shared" si="138"/>
        <v>0</v>
      </c>
      <c r="P467" s="15">
        <f t="shared" si="139"/>
        <v>0</v>
      </c>
    </row>
    <row r="468" spans="3:16">
      <c r="C468" s="292"/>
      <c r="D468" s="43">
        <v>0.91666666666666596</v>
      </c>
      <c r="E468" s="5">
        <f>SUM('WATER_STEAM RATIO'!E468)</f>
        <v>0</v>
      </c>
      <c r="F468" s="9">
        <f>SUM('DATA B1'!I469-'DATA B1'!I468)+('DATA B1'!J469-'DATA B1'!J468)</f>
        <v>0</v>
      </c>
      <c r="G468" s="28">
        <f t="shared" si="134"/>
        <v>0</v>
      </c>
      <c r="H468" s="28">
        <f t="shared" si="135"/>
        <v>0</v>
      </c>
      <c r="I468" s="24">
        <f>SUM('WATER_STEAM RATIO'!K468)</f>
        <v>7</v>
      </c>
      <c r="J468" s="30">
        <f>SUM('DATA B2'!I469-'DATA B2'!I468)+('DATA B2'!J469-'DATA B2'!J468)</f>
        <v>442</v>
      </c>
      <c r="K468" s="28">
        <f t="shared" si="136"/>
        <v>63.142857142857146</v>
      </c>
      <c r="L468" s="28">
        <f t="shared" si="140"/>
        <v>38.888888888888893</v>
      </c>
      <c r="M468" s="89">
        <f>SUM('WATER_STEAM RATIO'!Q468)</f>
        <v>0</v>
      </c>
      <c r="N468" s="9">
        <f>SUM('DATA B3'!H469-'DATA B3'!H468)</f>
        <v>0</v>
      </c>
      <c r="O468" s="88">
        <f t="shared" si="138"/>
        <v>0</v>
      </c>
      <c r="P468" s="15">
        <f>IFERROR((M468/16)*100,0)</f>
        <v>0</v>
      </c>
    </row>
    <row r="469" spans="3:16">
      <c r="C469" s="292"/>
      <c r="D469" s="43">
        <v>0.95833333333333304</v>
      </c>
      <c r="E469" s="5">
        <f>SUM('WATER_STEAM RATIO'!E469)</f>
        <v>0</v>
      </c>
      <c r="F469" s="9">
        <f>SUM('DATA B1'!I470-'DATA B1'!I469)+('DATA B1'!J470-'DATA B1'!J469)</f>
        <v>0</v>
      </c>
      <c r="G469" s="28">
        <f t="shared" si="134"/>
        <v>0</v>
      </c>
      <c r="H469" s="28">
        <f t="shared" si="135"/>
        <v>0</v>
      </c>
      <c r="I469" s="24">
        <f>SUM('WATER_STEAM RATIO'!K469)</f>
        <v>7</v>
      </c>
      <c r="J469" s="30">
        <f>SUM('DATA B2'!I470-'DATA B2'!I469)+('DATA B2'!J470-'DATA B2'!J469)</f>
        <v>446</v>
      </c>
      <c r="K469" s="28">
        <f t="shared" si="136"/>
        <v>63.714285714285715</v>
      </c>
      <c r="L469" s="28">
        <f t="shared" si="140"/>
        <v>38.888888888888893</v>
      </c>
      <c r="M469" s="89">
        <f>SUM('WATER_STEAM RATIO'!Q469)</f>
        <v>0</v>
      </c>
      <c r="N469" s="9">
        <f>SUM('DATA B3'!H470-'DATA B3'!H469)</f>
        <v>0</v>
      </c>
      <c r="O469" s="88">
        <f t="shared" si="138"/>
        <v>0</v>
      </c>
      <c r="P469" s="15">
        <f t="shared" si="139"/>
        <v>0</v>
      </c>
    </row>
    <row r="470" spans="3:16">
      <c r="C470" s="292"/>
      <c r="D470" s="43">
        <v>1</v>
      </c>
      <c r="E470" s="5">
        <f>SUM('WATER_STEAM RATIO'!E470)</f>
        <v>0</v>
      </c>
      <c r="F470" s="9">
        <f>SUM('DATA B1'!I471-'DATA B1'!I470)+('DATA B1'!J471-'DATA B1'!J470)</f>
        <v>0</v>
      </c>
      <c r="G470" s="28">
        <f t="shared" si="134"/>
        <v>0</v>
      </c>
      <c r="H470" s="28">
        <f t="shared" si="135"/>
        <v>0</v>
      </c>
      <c r="I470" s="24">
        <f>SUM('WATER_STEAM RATIO'!K470)</f>
        <v>7</v>
      </c>
      <c r="J470" s="30">
        <f>SUM('DATA B2'!I471-'DATA B2'!I470)+('DATA B2'!J471-'DATA B2'!J470)</f>
        <v>437</v>
      </c>
      <c r="K470" s="28">
        <f t="shared" si="136"/>
        <v>62.428571428571431</v>
      </c>
      <c r="L470" s="28">
        <f t="shared" si="140"/>
        <v>38.888888888888893</v>
      </c>
      <c r="M470" s="89">
        <f>SUM('WATER_STEAM RATIO'!Q470)</f>
        <v>0</v>
      </c>
      <c r="N470" s="9">
        <f>SUM('DATA B3'!H471-'DATA B3'!H470)</f>
        <v>0</v>
      </c>
      <c r="O470" s="88">
        <f t="shared" si="138"/>
        <v>0</v>
      </c>
      <c r="P470" s="15">
        <f t="shared" si="139"/>
        <v>0</v>
      </c>
    </row>
    <row r="471" spans="3:16">
      <c r="C471" s="292"/>
      <c r="D471" s="43">
        <v>1.0416666666666701</v>
      </c>
      <c r="E471" s="5">
        <f>SUM('WATER_STEAM RATIO'!E471)</f>
        <v>0</v>
      </c>
      <c r="F471" s="9">
        <f>SUM('DATA B1'!I472-'DATA B1'!I471)+('DATA B1'!J472-'DATA B1'!J471)</f>
        <v>0</v>
      </c>
      <c r="G471" s="28">
        <f t="shared" si="134"/>
        <v>0</v>
      </c>
      <c r="H471" s="28">
        <f t="shared" si="135"/>
        <v>0</v>
      </c>
      <c r="I471" s="24">
        <f>SUM('WATER_STEAM RATIO'!K471)</f>
        <v>7</v>
      </c>
      <c r="J471" s="30">
        <f>SUM('DATA B2'!I472-'DATA B2'!I471)+('DATA B2'!J472-'DATA B2'!J471)</f>
        <v>440</v>
      </c>
      <c r="K471" s="28">
        <f t="shared" si="136"/>
        <v>62.857142857142854</v>
      </c>
      <c r="L471" s="28">
        <f t="shared" si="140"/>
        <v>38.888888888888893</v>
      </c>
      <c r="M471" s="89">
        <f>SUM('WATER_STEAM RATIO'!Q471)</f>
        <v>0</v>
      </c>
      <c r="N471" s="9">
        <f>SUM('DATA B3'!H472-'DATA B3'!H471)</f>
        <v>0</v>
      </c>
      <c r="O471" s="88">
        <f t="shared" si="138"/>
        <v>0</v>
      </c>
      <c r="P471" s="15">
        <f t="shared" si="139"/>
        <v>0</v>
      </c>
    </row>
    <row r="472" spans="3:16">
      <c r="C472" s="292"/>
      <c r="D472" s="43">
        <v>1.0833333333333399</v>
      </c>
      <c r="E472" s="5">
        <f>SUM('WATER_STEAM RATIO'!E472)</f>
        <v>0</v>
      </c>
      <c r="F472" s="9">
        <f>SUM('DATA B1'!I473-'DATA B1'!I472)+('DATA B1'!J473-'DATA B1'!J472)</f>
        <v>0</v>
      </c>
      <c r="G472" s="28">
        <f t="shared" si="134"/>
        <v>0</v>
      </c>
      <c r="H472" s="28">
        <f t="shared" si="135"/>
        <v>0</v>
      </c>
      <c r="I472" s="24">
        <f>SUM('WATER_STEAM RATIO'!K472)</f>
        <v>8</v>
      </c>
      <c r="J472" s="30">
        <f>SUM('DATA B2'!I473-'DATA B2'!I472)+('DATA B2'!J473-'DATA B2'!J472)</f>
        <v>479</v>
      </c>
      <c r="K472" s="28">
        <f t="shared" si="136"/>
        <v>59.875</v>
      </c>
      <c r="L472" s="28">
        <f t="shared" si="140"/>
        <v>44.444444444444443</v>
      </c>
      <c r="M472" s="89">
        <f>SUM('WATER_STEAM RATIO'!Q472)</f>
        <v>0</v>
      </c>
      <c r="N472" s="9">
        <f>SUM('DATA B3'!H473-'DATA B3'!H472)</f>
        <v>0</v>
      </c>
      <c r="O472" s="88">
        <f t="shared" si="138"/>
        <v>0</v>
      </c>
      <c r="P472" s="15">
        <f t="shared" si="139"/>
        <v>0</v>
      </c>
    </row>
    <row r="473" spans="3:16">
      <c r="C473" s="292"/>
      <c r="D473" s="43">
        <v>1.125</v>
      </c>
      <c r="E473" s="5">
        <f>SUM('WATER_STEAM RATIO'!E473)</f>
        <v>0</v>
      </c>
      <c r="F473" s="9">
        <f>SUM('DATA B1'!I474-'DATA B1'!I473)+('DATA B1'!J474-'DATA B1'!J473)</f>
        <v>0</v>
      </c>
      <c r="G473" s="28">
        <f t="shared" si="134"/>
        <v>0</v>
      </c>
      <c r="H473" s="28">
        <f t="shared" si="135"/>
        <v>0</v>
      </c>
      <c r="I473" s="24">
        <f>SUM('WATER_STEAM RATIO'!K473)</f>
        <v>8</v>
      </c>
      <c r="J473" s="30">
        <f>SUM('DATA B2'!I474-'DATA B2'!I473)+('DATA B2'!J474-'DATA B2'!J473)</f>
        <v>480</v>
      </c>
      <c r="K473" s="28">
        <f t="shared" si="136"/>
        <v>60</v>
      </c>
      <c r="L473" s="28">
        <f t="shared" si="140"/>
        <v>44.444444444444443</v>
      </c>
      <c r="M473" s="89">
        <f>SUM('WATER_STEAM RATIO'!Q473)</f>
        <v>0</v>
      </c>
      <c r="N473" s="9">
        <f>SUM('DATA B3'!H474-'DATA B3'!H473)</f>
        <v>0</v>
      </c>
      <c r="O473" s="88">
        <f t="shared" ref="O473:O477" si="141">IFERROR(N473/(M473),0)</f>
        <v>0</v>
      </c>
      <c r="P473" s="15">
        <f t="shared" si="139"/>
        <v>0</v>
      </c>
    </row>
    <row r="474" spans="3:16">
      <c r="C474" s="292"/>
      <c r="D474" s="43">
        <v>1.1666666666666701</v>
      </c>
      <c r="E474" s="5">
        <f>SUM('WATER_STEAM RATIO'!E474)</f>
        <v>0</v>
      </c>
      <c r="F474" s="9">
        <f>SUM('DATA B1'!I475-'DATA B1'!I474)+('DATA B1'!J475-'DATA B1'!J474)</f>
        <v>0</v>
      </c>
      <c r="G474" s="28">
        <f t="shared" si="134"/>
        <v>0</v>
      </c>
      <c r="H474" s="28">
        <f t="shared" si="135"/>
        <v>0</v>
      </c>
      <c r="I474" s="24">
        <f>SUM('WATER_STEAM RATIO'!K474)</f>
        <v>7</v>
      </c>
      <c r="J474" s="30">
        <f>SUM('DATA B2'!I475-'DATA B2'!I474)+('DATA B2'!J475-'DATA B2'!J474)</f>
        <v>412</v>
      </c>
      <c r="K474" s="28">
        <f>IFERROR(J474/(I474),0)</f>
        <v>58.857142857142854</v>
      </c>
      <c r="L474" s="28">
        <f t="shared" si="140"/>
        <v>38.888888888888893</v>
      </c>
      <c r="M474" s="89">
        <f>SUM('WATER_STEAM RATIO'!Q474)</f>
        <v>0</v>
      </c>
      <c r="N474" s="9">
        <f>SUM('DATA B3'!H475-'DATA B3'!H474)</f>
        <v>0</v>
      </c>
      <c r="O474" s="88">
        <f t="shared" si="141"/>
        <v>0</v>
      </c>
      <c r="P474" s="15">
        <f t="shared" si="139"/>
        <v>0</v>
      </c>
    </row>
    <row r="475" spans="3:16">
      <c r="C475" s="292"/>
      <c r="D475" s="43">
        <v>1.2083333333333399</v>
      </c>
      <c r="E475" s="5">
        <f>SUM('WATER_STEAM RATIO'!E475)</f>
        <v>0</v>
      </c>
      <c r="F475" s="9">
        <f>SUM('DATA B1'!I476-'DATA B1'!I475)+('DATA B1'!J476-'DATA B1'!J475)</f>
        <v>0</v>
      </c>
      <c r="G475" s="28">
        <f t="shared" si="134"/>
        <v>0</v>
      </c>
      <c r="H475" s="28">
        <f t="shared" si="135"/>
        <v>0</v>
      </c>
      <c r="I475" s="24">
        <f>SUM('WATER_STEAM RATIO'!K475)</f>
        <v>7</v>
      </c>
      <c r="J475" s="30">
        <f>SUM('DATA B2'!I476-'DATA B2'!I475)+('DATA B2'!J476-'DATA B2'!J475)</f>
        <v>411</v>
      </c>
      <c r="K475" s="28">
        <f>IFERROR(J475/(I475),0)</f>
        <v>58.714285714285715</v>
      </c>
      <c r="L475" s="28">
        <f t="shared" si="140"/>
        <v>38.888888888888893</v>
      </c>
      <c r="M475" s="89">
        <f>SUM('WATER_STEAM RATIO'!Q475)</f>
        <v>0</v>
      </c>
      <c r="N475" s="9">
        <f>SUM('DATA B3'!H476-'DATA B3'!H475)</f>
        <v>0</v>
      </c>
      <c r="O475" s="88">
        <f t="shared" si="141"/>
        <v>0</v>
      </c>
      <c r="P475" s="15">
        <f t="shared" si="139"/>
        <v>0</v>
      </c>
    </row>
    <row r="476" spans="3:16">
      <c r="C476" s="292"/>
      <c r="D476" s="43">
        <v>1.25</v>
      </c>
      <c r="E476" s="5">
        <f>SUM('WATER_STEAM RATIO'!E476)</f>
        <v>0</v>
      </c>
      <c r="F476" s="9">
        <f>SUM('DATA B1'!I477-'DATA B1'!I476)+('DATA B1'!J477-'DATA B1'!J476)</f>
        <v>0</v>
      </c>
      <c r="G476" s="28">
        <f t="shared" si="134"/>
        <v>0</v>
      </c>
      <c r="H476" s="28">
        <f t="shared" si="135"/>
        <v>0</v>
      </c>
      <c r="I476" s="24">
        <f>SUM('WATER_STEAM RATIO'!K476)</f>
        <v>7</v>
      </c>
      <c r="J476" s="30">
        <f>SUM('DATA B2'!I477-'DATA B2'!I476)+('DATA B2'!J477-'DATA B2'!J476)</f>
        <v>413</v>
      </c>
      <c r="K476" s="28">
        <f>IFERROR(J476/(I476),0)</f>
        <v>59</v>
      </c>
      <c r="L476" s="28">
        <f t="shared" si="140"/>
        <v>38.888888888888893</v>
      </c>
      <c r="M476" s="89">
        <f>SUM('WATER_STEAM RATIO'!Q476)</f>
        <v>0</v>
      </c>
      <c r="N476" s="9">
        <f>SUM('DATA B3'!H477-'DATA B3'!H476)</f>
        <v>0</v>
      </c>
      <c r="O476" s="88">
        <f t="shared" si="141"/>
        <v>0</v>
      </c>
      <c r="P476" s="15">
        <f t="shared" si="139"/>
        <v>0</v>
      </c>
    </row>
    <row r="477" spans="3:16">
      <c r="C477" s="292"/>
      <c r="D477" s="43">
        <v>1.2916666666666701</v>
      </c>
      <c r="E477" s="5">
        <f>SUM('WATER_STEAM RATIO'!E477)</f>
        <v>0</v>
      </c>
      <c r="F477" s="9">
        <f>SUM('DATA B1'!I478-'DATA B1'!I477)+('DATA B1'!J478-'DATA B1'!J477)</f>
        <v>0</v>
      </c>
      <c r="G477" s="28">
        <f t="shared" si="134"/>
        <v>0</v>
      </c>
      <c r="H477" s="28">
        <f t="shared" si="135"/>
        <v>0</v>
      </c>
      <c r="I477" s="24">
        <f>SUM('WATER_STEAM RATIO'!K477)</f>
        <v>7</v>
      </c>
      <c r="J477" s="30">
        <f>SUM('DATA B2'!I478-'DATA B2'!I477)+('DATA B2'!J478-'DATA B2'!J477)</f>
        <v>416</v>
      </c>
      <c r="K477" s="28">
        <f>IFERROR(J477/(I477),0)</f>
        <v>59.428571428571431</v>
      </c>
      <c r="L477" s="28">
        <f t="shared" si="140"/>
        <v>38.888888888888893</v>
      </c>
      <c r="M477" s="89">
        <f>SUM('WATER_STEAM RATIO'!Q477)</f>
        <v>0</v>
      </c>
      <c r="N477" s="9">
        <f>SUM('DATA B3'!H478-'DATA B3'!H477)</f>
        <v>0</v>
      </c>
      <c r="O477" s="88">
        <f t="shared" si="141"/>
        <v>0</v>
      </c>
      <c r="P477" s="15">
        <f t="shared" si="139"/>
        <v>0</v>
      </c>
    </row>
    <row r="478" spans="3:16">
      <c r="C478" s="293"/>
      <c r="D478" s="258"/>
      <c r="E478" s="91">
        <f>SUMIF(E453:E477,"&gt;=0",E453:E477)</f>
        <v>0</v>
      </c>
      <c r="F478" s="91">
        <f>SUMIF(F453:F477,"&gt;=0",F453:F477)</f>
        <v>0</v>
      </c>
      <c r="G478" s="54">
        <f>IFERROR(F478/E478,0)</f>
        <v>0</v>
      </c>
      <c r="H478" s="54">
        <f>IFERROR(AVERAGE(H454:H477),0)</f>
        <v>0</v>
      </c>
      <c r="I478" s="91">
        <f>SUMIF(I453:I477,"&gt;=0",I453:I477)</f>
        <v>187</v>
      </c>
      <c r="J478" s="91">
        <f>SUMIF(J453:J477,"&gt;=0",J453:J477)</f>
        <v>11169</v>
      </c>
      <c r="K478" s="54">
        <f>IFERROR(J478/(I478),0)</f>
        <v>59.727272727272727</v>
      </c>
      <c r="L478" s="54">
        <f>IFERROR(AVERAGE(L454:L477),0)</f>
        <v>41.666666666666686</v>
      </c>
      <c r="M478" s="91">
        <f>SUMIF(M453:M477,"&gt;=0",M453:M477)</f>
        <v>0</v>
      </c>
      <c r="N478" s="91">
        <f>SUMIF(N453:N477,"&gt;=0",N453:N477)</f>
        <v>0</v>
      </c>
      <c r="O478" s="239">
        <f>IFERROR(N478/(M478),0)</f>
        <v>0</v>
      </c>
      <c r="P478" s="215">
        <f>IFERROR(AVERAGE(P454:P477),0)</f>
        <v>0</v>
      </c>
    </row>
    <row r="479" spans="3:16" ht="15" customHeight="1">
      <c r="C479" s="291">
        <f>SUM('WATER_STEAM RATIO'!B479:B504)</f>
        <v>46041</v>
      </c>
      <c r="D479" s="43">
        <v>0.29166666666666669</v>
      </c>
      <c r="E479" s="5">
        <f>SUM('WATER_STEAM RATIO'!E479)</f>
        <v>0</v>
      </c>
      <c r="F479" s="9"/>
      <c r="G479" s="28"/>
      <c r="H479" s="28"/>
      <c r="I479" s="24">
        <f>SUM('WATER_STEAM RATIO'!K479)</f>
        <v>7</v>
      </c>
      <c r="J479" s="30"/>
      <c r="K479" s="28"/>
      <c r="L479" s="28"/>
      <c r="M479" s="89">
        <f>SUM('WATER_STEAM RATIO'!Q479)</f>
        <v>0</v>
      </c>
      <c r="N479" s="9"/>
      <c r="O479" s="88"/>
      <c r="P479" s="15"/>
    </row>
    <row r="480" spans="3:16">
      <c r="C480" s="292"/>
      <c r="D480" s="43">
        <v>0.33333333333333298</v>
      </c>
      <c r="E480" s="5">
        <f>SUM('WATER_STEAM RATIO'!E480)</f>
        <v>0</v>
      </c>
      <c r="F480" s="9">
        <f>SUM('DATA B1'!I481-'DATA B1'!I480)+('DATA B1'!J481-'DATA B1'!J480)</f>
        <v>0</v>
      </c>
      <c r="G480" s="28">
        <f>IFERROR(F480/(E480),0)</f>
        <v>0</v>
      </c>
      <c r="H480" s="28">
        <f>IFERROR((E480/18)*100,0)</f>
        <v>0</v>
      </c>
      <c r="I480" s="24">
        <f>SUM('WATER_STEAM RATIO'!K480)</f>
        <v>7</v>
      </c>
      <c r="J480" s="30">
        <f>SUM('DATA B2'!I481-'DATA B2'!I480)+('DATA B2'!J481-'DATA B2'!J480)</f>
        <v>470</v>
      </c>
      <c r="K480" s="28">
        <f>IFERROR(J480/(I480),0)</f>
        <v>67.142857142857139</v>
      </c>
      <c r="L480" s="28">
        <f>IFERROR((I480/18)*100,0)</f>
        <v>38.888888888888893</v>
      </c>
      <c r="M480" s="89">
        <f>SUM('WATER_STEAM RATIO'!Q480)</f>
        <v>0</v>
      </c>
      <c r="N480" s="9">
        <f>SUM('DATA B3'!H481-'DATA B3'!H480)</f>
        <v>0</v>
      </c>
      <c r="O480" s="88">
        <f>IFERROR(N480/(M480),0)</f>
        <v>0</v>
      </c>
      <c r="P480" s="15">
        <f>IFERROR((M480/16)*100,0)</f>
        <v>0</v>
      </c>
    </row>
    <row r="481" spans="3:16">
      <c r="C481" s="292"/>
      <c r="D481" s="43">
        <v>0.375</v>
      </c>
      <c r="E481" s="5">
        <f>SUM('WATER_STEAM RATIO'!E481)</f>
        <v>0</v>
      </c>
      <c r="F481" s="9">
        <f>SUM('DATA B1'!I482-'DATA B1'!I481)+('DATA B1'!J482-'DATA B1'!J481)</f>
        <v>0</v>
      </c>
      <c r="G481" s="28">
        <f t="shared" ref="G481:G503" si="142">IFERROR(F481/(E481),0)</f>
        <v>0</v>
      </c>
      <c r="H481" s="28">
        <f t="shared" ref="H481:H503" si="143">IFERROR((E481/18)*100,0)</f>
        <v>0</v>
      </c>
      <c r="I481" s="24">
        <f>SUM('WATER_STEAM RATIO'!K481)</f>
        <v>7</v>
      </c>
      <c r="J481" s="30">
        <f>SUM('DATA B2'!I482-'DATA B2'!I481)+('DATA B2'!J482-'DATA B2'!J481)</f>
        <v>434</v>
      </c>
      <c r="K481" s="28">
        <f t="shared" ref="K481:K499" si="144">IFERROR(J481/(I481),0)</f>
        <v>62</v>
      </c>
      <c r="L481" s="28">
        <f t="shared" ref="L481:L491" si="145">IFERROR((I481/18)*100,0)</f>
        <v>38.888888888888893</v>
      </c>
      <c r="M481" s="89">
        <f>SUM('WATER_STEAM RATIO'!Q481)</f>
        <v>0</v>
      </c>
      <c r="N481" s="9">
        <f>SUM('DATA B3'!H482-'DATA B3'!H481)</f>
        <v>0</v>
      </c>
      <c r="O481" s="88">
        <f t="shared" ref="O481:O498" si="146">IFERROR(N481/(M481),0)</f>
        <v>0</v>
      </c>
      <c r="P481" s="15">
        <f t="shared" ref="P481:P503" si="147">IFERROR((M481/16)*100,0)</f>
        <v>0</v>
      </c>
    </row>
    <row r="482" spans="3:16">
      <c r="C482" s="292"/>
      <c r="D482" s="43">
        <v>0.41666666666666702</v>
      </c>
      <c r="E482" s="5">
        <f>SUM('WATER_STEAM RATIO'!E482)</f>
        <v>0</v>
      </c>
      <c r="F482" s="9">
        <f>SUM('DATA B1'!I483-'DATA B1'!I482)+('DATA B1'!J483-'DATA B1'!J482)</f>
        <v>0</v>
      </c>
      <c r="G482" s="28">
        <f t="shared" si="142"/>
        <v>0</v>
      </c>
      <c r="H482" s="28">
        <f t="shared" si="143"/>
        <v>0</v>
      </c>
      <c r="I482" s="24">
        <f>SUM('WATER_STEAM RATIO'!K482)</f>
        <v>8</v>
      </c>
      <c r="J482" s="30">
        <f>SUM('DATA B2'!I483-'DATA B2'!I482)+('DATA B2'!J483-'DATA B2'!J482)</f>
        <v>497</v>
      </c>
      <c r="K482" s="28">
        <f t="shared" si="144"/>
        <v>62.125</v>
      </c>
      <c r="L482" s="28">
        <f t="shared" si="145"/>
        <v>44.444444444444443</v>
      </c>
      <c r="M482" s="89">
        <f>SUM('WATER_STEAM RATIO'!Q482)</f>
        <v>0</v>
      </c>
      <c r="N482" s="9">
        <f>SUM('DATA B3'!H483-'DATA B3'!H482)</f>
        <v>0</v>
      </c>
      <c r="O482" s="88">
        <f t="shared" si="146"/>
        <v>0</v>
      </c>
      <c r="P482" s="15">
        <f t="shared" si="147"/>
        <v>0</v>
      </c>
    </row>
    <row r="483" spans="3:16">
      <c r="C483" s="292"/>
      <c r="D483" s="43">
        <v>0.45833333333333298</v>
      </c>
      <c r="E483" s="5">
        <f>SUM('WATER_STEAM RATIO'!E483)</f>
        <v>0</v>
      </c>
      <c r="F483" s="9">
        <f>SUM('DATA B1'!I484-'DATA B1'!I483)+('DATA B1'!J484-'DATA B1'!J483)</f>
        <v>0</v>
      </c>
      <c r="G483" s="28">
        <f t="shared" si="142"/>
        <v>0</v>
      </c>
      <c r="H483" s="28">
        <f t="shared" si="143"/>
        <v>0</v>
      </c>
      <c r="I483" s="24">
        <f>SUM('WATER_STEAM RATIO'!K483)</f>
        <v>8</v>
      </c>
      <c r="J483" s="30">
        <f>SUM('DATA B2'!I484-'DATA B2'!I483)+('DATA B2'!J484-'DATA B2'!J483)</f>
        <v>484</v>
      </c>
      <c r="K483" s="28">
        <f t="shared" si="144"/>
        <v>60.5</v>
      </c>
      <c r="L483" s="28">
        <f t="shared" si="145"/>
        <v>44.444444444444443</v>
      </c>
      <c r="M483" s="89">
        <f>SUM('WATER_STEAM RATIO'!Q483)</f>
        <v>0</v>
      </c>
      <c r="N483" s="9">
        <f>SUM('DATA B3'!H484-'DATA B3'!H483)</f>
        <v>0</v>
      </c>
      <c r="O483" s="88">
        <f t="shared" si="146"/>
        <v>0</v>
      </c>
      <c r="P483" s="15">
        <f t="shared" si="147"/>
        <v>0</v>
      </c>
    </row>
    <row r="484" spans="3:16">
      <c r="C484" s="292"/>
      <c r="D484" s="43">
        <v>0.5</v>
      </c>
      <c r="E484" s="5">
        <f>SUM('WATER_STEAM RATIO'!E484)</f>
        <v>0</v>
      </c>
      <c r="F484" s="9">
        <f>SUM('DATA B1'!I485-'DATA B1'!I484)+('DATA B1'!J485-'DATA B1'!J484)</f>
        <v>0</v>
      </c>
      <c r="G484" s="28">
        <f t="shared" si="142"/>
        <v>0</v>
      </c>
      <c r="H484" s="28">
        <f t="shared" si="143"/>
        <v>0</v>
      </c>
      <c r="I484" s="24">
        <f>SUM('WATER_STEAM RATIO'!K484)</f>
        <v>1</v>
      </c>
      <c r="J484" s="30">
        <f>SUM('DATA B2'!I485-'DATA B2'!I484)+('DATA B2'!J485-'DATA B2'!J484)</f>
        <v>72</v>
      </c>
      <c r="K484" s="28">
        <f t="shared" si="144"/>
        <v>72</v>
      </c>
      <c r="L484" s="28">
        <f t="shared" si="145"/>
        <v>5.5555555555555554</v>
      </c>
      <c r="M484" s="89">
        <f>SUM('WATER_STEAM RATIO'!Q484)</f>
        <v>0</v>
      </c>
      <c r="N484" s="9">
        <f>SUM('DATA B3'!H485-'DATA B3'!H484)</f>
        <v>0</v>
      </c>
      <c r="O484" s="88">
        <f t="shared" si="146"/>
        <v>0</v>
      </c>
      <c r="P484" s="15">
        <f t="shared" si="147"/>
        <v>0</v>
      </c>
    </row>
    <row r="485" spans="3:16">
      <c r="C485" s="292"/>
      <c r="D485" s="43">
        <v>0.54166666666666696</v>
      </c>
      <c r="E485" s="5">
        <f>SUM('WATER_STEAM RATIO'!E485)</f>
        <v>0</v>
      </c>
      <c r="F485" s="9">
        <f>SUM('DATA B1'!I486-'DATA B1'!I485)+('DATA B1'!J486-'DATA B1'!J485)</f>
        <v>0</v>
      </c>
      <c r="G485" s="28">
        <f t="shared" si="142"/>
        <v>0</v>
      </c>
      <c r="H485" s="28">
        <f t="shared" si="143"/>
        <v>0</v>
      </c>
      <c r="I485" s="24">
        <f>SUM('WATER_STEAM RATIO'!K485)</f>
        <v>1</v>
      </c>
      <c r="J485" s="30">
        <f>SUM('DATA B2'!I486-'DATA B2'!I485)+('DATA B2'!J486-'DATA B2'!J485)</f>
        <v>67</v>
      </c>
      <c r="K485" s="28">
        <f t="shared" si="144"/>
        <v>67</v>
      </c>
      <c r="L485" s="28">
        <f t="shared" si="145"/>
        <v>5.5555555555555554</v>
      </c>
      <c r="M485" s="89">
        <f>SUM('WATER_STEAM RATIO'!Q485)</f>
        <v>0</v>
      </c>
      <c r="N485" s="9">
        <f>SUM('DATA B3'!H486-'DATA B3'!H485)</f>
        <v>0</v>
      </c>
      <c r="O485" s="88">
        <f t="shared" si="146"/>
        <v>0</v>
      </c>
      <c r="P485" s="15">
        <f t="shared" si="147"/>
        <v>0</v>
      </c>
    </row>
    <row r="486" spans="3:16">
      <c r="C486" s="292"/>
      <c r="D486" s="43">
        <v>0.58333333333333304</v>
      </c>
      <c r="E486" s="5">
        <f>SUM('WATER_STEAM RATIO'!E486)</f>
        <v>0</v>
      </c>
      <c r="F486" s="9">
        <f>SUM('DATA B1'!I487-'DATA B1'!I486)+('DATA B1'!J487-'DATA B1'!J486)</f>
        <v>0</v>
      </c>
      <c r="G486" s="28">
        <f t="shared" si="142"/>
        <v>0</v>
      </c>
      <c r="H486" s="28">
        <f t="shared" si="143"/>
        <v>0</v>
      </c>
      <c r="I486" s="24">
        <f>SUM('WATER_STEAM RATIO'!K486)</f>
        <v>1</v>
      </c>
      <c r="J486" s="30">
        <f>SUM('DATA B2'!I487-'DATA B2'!I486)+('DATA B2'!J487-'DATA B2'!J486)</f>
        <v>72</v>
      </c>
      <c r="K486" s="28">
        <f t="shared" si="144"/>
        <v>72</v>
      </c>
      <c r="L486" s="28">
        <f t="shared" si="145"/>
        <v>5.5555555555555554</v>
      </c>
      <c r="M486" s="89">
        <f>SUM('WATER_STEAM RATIO'!Q486)</f>
        <v>14</v>
      </c>
      <c r="N486" s="9">
        <f>SUM('DATA B3'!H487-'DATA B3'!H486)</f>
        <v>955</v>
      </c>
      <c r="O486" s="88">
        <f t="shared" si="146"/>
        <v>68.214285714285708</v>
      </c>
      <c r="P486" s="15">
        <f t="shared" si="147"/>
        <v>87.5</v>
      </c>
    </row>
    <row r="487" spans="3:16">
      <c r="C487" s="292"/>
      <c r="D487" s="43">
        <v>0.625</v>
      </c>
      <c r="E487" s="5">
        <f>SUM('WATER_STEAM RATIO'!E487)</f>
        <v>0</v>
      </c>
      <c r="F487" s="9">
        <f>SUM('DATA B1'!I488-'DATA B1'!I487)+('DATA B1'!J488-'DATA B1'!J487)</f>
        <v>0</v>
      </c>
      <c r="G487" s="28">
        <f t="shared" si="142"/>
        <v>0</v>
      </c>
      <c r="H487" s="28">
        <f t="shared" si="143"/>
        <v>0</v>
      </c>
      <c r="I487" s="24">
        <f>SUM('WATER_STEAM RATIO'!K487)</f>
        <v>1</v>
      </c>
      <c r="J487" s="30">
        <f>SUM('DATA B2'!I488-'DATA B2'!I487)+('DATA B2'!J488-'DATA B2'!J487)</f>
        <v>82</v>
      </c>
      <c r="K487" s="28">
        <f t="shared" si="144"/>
        <v>82</v>
      </c>
      <c r="L487" s="28">
        <f t="shared" si="145"/>
        <v>5.5555555555555554</v>
      </c>
      <c r="M487" s="89">
        <f>SUM('WATER_STEAM RATIO'!Q487)</f>
        <v>15</v>
      </c>
      <c r="N487" s="9">
        <f>SUM('DATA B3'!H488-'DATA B3'!H487)</f>
        <v>966</v>
      </c>
      <c r="O487" s="88">
        <f t="shared" si="146"/>
        <v>64.400000000000006</v>
      </c>
      <c r="P487" s="15">
        <f t="shared" si="147"/>
        <v>93.75</v>
      </c>
    </row>
    <row r="488" spans="3:16">
      <c r="C488" s="292"/>
      <c r="D488" s="43">
        <v>0.66666666666666663</v>
      </c>
      <c r="E488" s="5">
        <f>SUM('WATER_STEAM RATIO'!E488)</f>
        <v>0</v>
      </c>
      <c r="F488" s="9">
        <f>SUM('DATA B1'!I489-'DATA B1'!I488)+('DATA B1'!J489-'DATA B1'!J488)</f>
        <v>0</v>
      </c>
      <c r="G488" s="28">
        <f t="shared" si="142"/>
        <v>0</v>
      </c>
      <c r="H488" s="28">
        <f t="shared" si="143"/>
        <v>0</v>
      </c>
      <c r="I488" s="24">
        <f>SUM('WATER_STEAM RATIO'!K488)</f>
        <v>0</v>
      </c>
      <c r="J488" s="30">
        <f>SUM('DATA B2'!I489-'DATA B2'!I488)+('DATA B2'!J489-'DATA B2'!J488)</f>
        <v>0</v>
      </c>
      <c r="K488" s="28">
        <f t="shared" si="144"/>
        <v>0</v>
      </c>
      <c r="L488" s="28">
        <f t="shared" si="145"/>
        <v>0</v>
      </c>
      <c r="M488" s="89">
        <f>SUM('WATER_STEAM RATIO'!Q488)</f>
        <v>11</v>
      </c>
      <c r="N488" s="9">
        <f>SUM('DATA B3'!H489-'DATA B3'!H488)</f>
        <v>548</v>
      </c>
      <c r="O488" s="88">
        <f t="shared" si="146"/>
        <v>49.81818181818182</v>
      </c>
      <c r="P488" s="15">
        <f t="shared" si="147"/>
        <v>68.75</v>
      </c>
    </row>
    <row r="489" spans="3:16">
      <c r="C489" s="292"/>
      <c r="D489" s="43">
        <v>0.70833333333333304</v>
      </c>
      <c r="E489" s="5">
        <f>SUM('WATER_STEAM RATIO'!E489)</f>
        <v>0</v>
      </c>
      <c r="F489" s="9">
        <f>SUM('DATA B1'!I490-'DATA B1'!I489)+('DATA B1'!J490-'DATA B1'!J489)</f>
        <v>0</v>
      </c>
      <c r="G489" s="28">
        <f t="shared" si="142"/>
        <v>0</v>
      </c>
      <c r="H489" s="28">
        <f t="shared" si="143"/>
        <v>0</v>
      </c>
      <c r="I489" s="24">
        <f>SUM('WATER_STEAM RATIO'!K489)</f>
        <v>0</v>
      </c>
      <c r="J489" s="30">
        <f>SUM('DATA B2'!I490-'DATA B2'!I489)+('DATA B2'!J490-'DATA B2'!J489)</f>
        <v>0</v>
      </c>
      <c r="K489" s="28">
        <f t="shared" si="144"/>
        <v>0</v>
      </c>
      <c r="L489" s="28">
        <f t="shared" si="145"/>
        <v>0</v>
      </c>
      <c r="M489" s="89">
        <f>SUM('WATER_STEAM RATIO'!Q489)</f>
        <v>11</v>
      </c>
      <c r="N489" s="9">
        <f>SUM('DATA B3'!H490-'DATA B3'!H489)</f>
        <v>511</v>
      </c>
      <c r="O489" s="88">
        <f t="shared" si="146"/>
        <v>46.454545454545453</v>
      </c>
      <c r="P489" s="15">
        <f t="shared" si="147"/>
        <v>68.75</v>
      </c>
    </row>
    <row r="490" spans="3:16">
      <c r="C490" s="292"/>
      <c r="D490" s="43">
        <v>0.75</v>
      </c>
      <c r="E490" s="5">
        <f>SUM('WATER_STEAM RATIO'!E490)</f>
        <v>0</v>
      </c>
      <c r="F490" s="9">
        <f>SUM('DATA B1'!I491-'DATA B1'!I490)+('DATA B1'!J491-'DATA B1'!J490)</f>
        <v>0</v>
      </c>
      <c r="G490" s="28">
        <f t="shared" si="142"/>
        <v>0</v>
      </c>
      <c r="H490" s="28">
        <f t="shared" si="143"/>
        <v>0</v>
      </c>
      <c r="I490" s="24">
        <f>SUM('WATER_STEAM RATIO'!K490)</f>
        <v>0</v>
      </c>
      <c r="J490" s="30">
        <f>SUM('DATA B2'!I491-'DATA B2'!I490)+('DATA B2'!J491-'DATA B2'!J490)</f>
        <v>0</v>
      </c>
      <c r="K490" s="28">
        <f t="shared" si="144"/>
        <v>0</v>
      </c>
      <c r="L490" s="28">
        <f t="shared" si="145"/>
        <v>0</v>
      </c>
      <c r="M490" s="89">
        <f>SUM('WATER_STEAM RATIO'!Q490)</f>
        <v>12</v>
      </c>
      <c r="N490" s="9">
        <f>SUM('DATA B3'!H491-'DATA B3'!H490)</f>
        <v>508</v>
      </c>
      <c r="O490" s="88">
        <f t="shared" si="146"/>
        <v>42.333333333333336</v>
      </c>
      <c r="P490" s="15">
        <f t="shared" si="147"/>
        <v>75</v>
      </c>
    </row>
    <row r="491" spans="3:16">
      <c r="C491" s="292"/>
      <c r="D491" s="43">
        <v>0.79166666666666596</v>
      </c>
      <c r="E491" s="5">
        <f>SUM('WATER_STEAM RATIO'!E491)</f>
        <v>0</v>
      </c>
      <c r="F491" s="9">
        <f>SUM('DATA B1'!I492-'DATA B1'!I491)+('DATA B1'!J492-'DATA B1'!J491)</f>
        <v>0</v>
      </c>
      <c r="G491" s="28">
        <f t="shared" si="142"/>
        <v>0</v>
      </c>
      <c r="H491" s="28">
        <f t="shared" si="143"/>
        <v>0</v>
      </c>
      <c r="I491" s="24">
        <f>SUM('WATER_STEAM RATIO'!K491)</f>
        <v>0</v>
      </c>
      <c r="J491" s="30">
        <f>SUM('DATA B2'!I492-'DATA B2'!I491)+('DATA B2'!J492-'DATA B2'!J491)</f>
        <v>0</v>
      </c>
      <c r="K491" s="28">
        <f t="shared" si="144"/>
        <v>0</v>
      </c>
      <c r="L491" s="28">
        <f t="shared" si="145"/>
        <v>0</v>
      </c>
      <c r="M491" s="89">
        <f>SUM('WATER_STEAM RATIO'!Q491)</f>
        <v>12</v>
      </c>
      <c r="N491" s="9">
        <f>SUM('DATA B3'!H492-'DATA B3'!H491)</f>
        <v>627</v>
      </c>
      <c r="O491" s="88">
        <f t="shared" si="146"/>
        <v>52.25</v>
      </c>
      <c r="P491" s="15">
        <f t="shared" si="147"/>
        <v>75</v>
      </c>
    </row>
    <row r="492" spans="3:16">
      <c r="C492" s="292"/>
      <c r="D492" s="43">
        <v>0.83333333333333304</v>
      </c>
      <c r="E492" s="5">
        <f>SUM('WATER_STEAM RATIO'!E492)</f>
        <v>0</v>
      </c>
      <c r="F492" s="9">
        <f>SUM('DATA B1'!I493-'DATA B1'!I492)+('DATA B1'!J493-'DATA B1'!J492)</f>
        <v>0</v>
      </c>
      <c r="G492" s="28">
        <f t="shared" si="142"/>
        <v>0</v>
      </c>
      <c r="H492" s="28">
        <f t="shared" si="143"/>
        <v>0</v>
      </c>
      <c r="I492" s="24">
        <f>SUM('WATER_STEAM RATIO'!K492)</f>
        <v>0</v>
      </c>
      <c r="J492" s="30">
        <f>SUM('DATA B2'!I493-'DATA B2'!I492)+('DATA B2'!J493-'DATA B2'!J492)</f>
        <v>0</v>
      </c>
      <c r="K492" s="28">
        <f t="shared" si="144"/>
        <v>0</v>
      </c>
      <c r="L492" s="28">
        <f>IFERROR((I492/18)*100,0)</f>
        <v>0</v>
      </c>
      <c r="M492" s="89">
        <f>SUM('WATER_STEAM RATIO'!Q492)</f>
        <v>14</v>
      </c>
      <c r="N492" s="9">
        <f>SUM('DATA B3'!H493-'DATA B3'!H492)</f>
        <v>751</v>
      </c>
      <c r="O492" s="88">
        <f t="shared" si="146"/>
        <v>53.642857142857146</v>
      </c>
      <c r="P492" s="15">
        <f t="shared" si="147"/>
        <v>87.5</v>
      </c>
    </row>
    <row r="493" spans="3:16">
      <c r="C493" s="292"/>
      <c r="D493" s="43">
        <v>0.875</v>
      </c>
      <c r="E493" s="5">
        <f>SUM('WATER_STEAM RATIO'!E493)</f>
        <v>0</v>
      </c>
      <c r="F493" s="9">
        <f>SUM('DATA B1'!I494-'DATA B1'!I493)+('DATA B1'!J494-'DATA B1'!J493)</f>
        <v>0</v>
      </c>
      <c r="G493" s="28">
        <f t="shared" si="142"/>
        <v>0</v>
      </c>
      <c r="H493" s="28">
        <f t="shared" si="143"/>
        <v>0</v>
      </c>
      <c r="I493" s="24">
        <f>SUM('WATER_STEAM RATIO'!K493)</f>
        <v>0</v>
      </c>
      <c r="J493" s="30">
        <f>SUM('DATA B2'!I494-'DATA B2'!I493)+('DATA B2'!J494-'DATA B2'!J493)</f>
        <v>0</v>
      </c>
      <c r="K493" s="28">
        <f t="shared" si="144"/>
        <v>0</v>
      </c>
      <c r="L493" s="28">
        <f t="shared" ref="L493:L503" si="148">IFERROR((I493/18)*100,0)</f>
        <v>0</v>
      </c>
      <c r="M493" s="89">
        <f>SUM('WATER_STEAM RATIO'!Q493)</f>
        <v>10</v>
      </c>
      <c r="N493" s="9">
        <f>SUM('DATA B3'!H494-'DATA B3'!H493)</f>
        <v>530</v>
      </c>
      <c r="O493" s="88">
        <f t="shared" si="146"/>
        <v>53</v>
      </c>
      <c r="P493" s="15">
        <f t="shared" si="147"/>
        <v>62.5</v>
      </c>
    </row>
    <row r="494" spans="3:16">
      <c r="C494" s="292"/>
      <c r="D494" s="43">
        <v>0.91666666666666596</v>
      </c>
      <c r="E494" s="5">
        <f>SUM('WATER_STEAM RATIO'!E494)</f>
        <v>0</v>
      </c>
      <c r="F494" s="9">
        <f>SUM('DATA B1'!I495-'DATA B1'!I494)+('DATA B1'!J495-'DATA B1'!J494)</f>
        <v>0</v>
      </c>
      <c r="G494" s="28">
        <f t="shared" si="142"/>
        <v>0</v>
      </c>
      <c r="H494" s="28">
        <f t="shared" si="143"/>
        <v>0</v>
      </c>
      <c r="I494" s="24">
        <f>SUM('WATER_STEAM RATIO'!K494)</f>
        <v>0</v>
      </c>
      <c r="J494" s="30">
        <f>SUM('DATA B2'!I495-'DATA B2'!I494)+('DATA B2'!J495-'DATA B2'!J494)</f>
        <v>0</v>
      </c>
      <c r="K494" s="28">
        <f t="shared" si="144"/>
        <v>0</v>
      </c>
      <c r="L494" s="28">
        <f t="shared" si="148"/>
        <v>0</v>
      </c>
      <c r="M494" s="89">
        <f>SUM('WATER_STEAM RATIO'!Q494)</f>
        <v>11</v>
      </c>
      <c r="N494" s="9">
        <f>SUM('DATA B3'!H495-'DATA B3'!H494)</f>
        <v>556</v>
      </c>
      <c r="O494" s="88">
        <f t="shared" si="146"/>
        <v>50.545454545454547</v>
      </c>
      <c r="P494" s="15">
        <f>IFERROR((M494/16)*100,0)</f>
        <v>68.75</v>
      </c>
    </row>
    <row r="495" spans="3:16">
      <c r="C495" s="292"/>
      <c r="D495" s="43">
        <v>0.95833333333333304</v>
      </c>
      <c r="E495" s="5">
        <f>SUM('WATER_STEAM RATIO'!E495)</f>
        <v>0</v>
      </c>
      <c r="F495" s="9">
        <f>SUM('DATA B1'!I496-'DATA B1'!I495)+('DATA B1'!J496-'DATA B1'!J495)</f>
        <v>0</v>
      </c>
      <c r="G495" s="28">
        <f t="shared" si="142"/>
        <v>0</v>
      </c>
      <c r="H495" s="28">
        <f t="shared" si="143"/>
        <v>0</v>
      </c>
      <c r="I495" s="24">
        <f>SUM('WATER_STEAM RATIO'!K495)</f>
        <v>0</v>
      </c>
      <c r="J495" s="30">
        <f>SUM('DATA B2'!I496-'DATA B2'!I495)+('DATA B2'!J496-'DATA B2'!J495)</f>
        <v>0</v>
      </c>
      <c r="K495" s="28">
        <f t="shared" si="144"/>
        <v>0</v>
      </c>
      <c r="L495" s="28">
        <f t="shared" si="148"/>
        <v>0</v>
      </c>
      <c r="M495" s="89">
        <f>SUM('WATER_STEAM RATIO'!Q495)</f>
        <v>11</v>
      </c>
      <c r="N495" s="9">
        <f>SUM('DATA B3'!H496-'DATA B3'!H495)</f>
        <v>565</v>
      </c>
      <c r="O495" s="88">
        <f t="shared" si="146"/>
        <v>51.363636363636367</v>
      </c>
      <c r="P495" s="15">
        <f t="shared" si="147"/>
        <v>68.75</v>
      </c>
    </row>
    <row r="496" spans="3:16">
      <c r="C496" s="292"/>
      <c r="D496" s="43">
        <v>1</v>
      </c>
      <c r="E496" s="5">
        <f>SUM('WATER_STEAM RATIO'!E496)</f>
        <v>0</v>
      </c>
      <c r="F496" s="9">
        <f>SUM('DATA B1'!I497-'DATA B1'!I496)+('DATA B1'!J497-'DATA B1'!J496)</f>
        <v>0</v>
      </c>
      <c r="G496" s="28">
        <f t="shared" si="142"/>
        <v>0</v>
      </c>
      <c r="H496" s="28">
        <f t="shared" si="143"/>
        <v>0</v>
      </c>
      <c r="I496" s="24">
        <f>SUM('WATER_STEAM RATIO'!K496)</f>
        <v>0</v>
      </c>
      <c r="J496" s="30">
        <f>SUM('DATA B2'!I497-'DATA B2'!I496)+('DATA B2'!J497-'DATA B2'!J496)</f>
        <v>0</v>
      </c>
      <c r="K496" s="28">
        <f t="shared" si="144"/>
        <v>0</v>
      </c>
      <c r="L496" s="28">
        <f t="shared" si="148"/>
        <v>0</v>
      </c>
      <c r="M496" s="89">
        <f>SUM('WATER_STEAM RATIO'!Q496)</f>
        <v>11</v>
      </c>
      <c r="N496" s="9">
        <f>SUM('DATA B3'!H497-'DATA B3'!H496)</f>
        <v>563</v>
      </c>
      <c r="O496" s="88">
        <f t="shared" si="146"/>
        <v>51.18181818181818</v>
      </c>
      <c r="P496" s="15">
        <f t="shared" si="147"/>
        <v>68.75</v>
      </c>
    </row>
    <row r="497" spans="3:16">
      <c r="C497" s="292"/>
      <c r="D497" s="43">
        <v>1.0416666666666701</v>
      </c>
      <c r="E497" s="5">
        <f>SUM('WATER_STEAM RATIO'!E497)</f>
        <v>0</v>
      </c>
      <c r="F497" s="9">
        <f>SUM('DATA B1'!I498-'DATA B1'!I497)+('DATA B1'!J498-'DATA B1'!J497)</f>
        <v>0</v>
      </c>
      <c r="G497" s="28">
        <f t="shared" si="142"/>
        <v>0</v>
      </c>
      <c r="H497" s="28">
        <f t="shared" si="143"/>
        <v>0</v>
      </c>
      <c r="I497" s="24">
        <f>SUM('WATER_STEAM RATIO'!K497)</f>
        <v>0</v>
      </c>
      <c r="J497" s="30">
        <f>SUM('DATA B2'!I498-'DATA B2'!I497)+('DATA B2'!J498-'DATA B2'!J497)</f>
        <v>0</v>
      </c>
      <c r="K497" s="28">
        <f t="shared" si="144"/>
        <v>0</v>
      </c>
      <c r="L497" s="28">
        <f t="shared" si="148"/>
        <v>0</v>
      </c>
      <c r="M497" s="89">
        <f>SUM('WATER_STEAM RATIO'!Q497)</f>
        <v>11</v>
      </c>
      <c r="N497" s="9">
        <f>SUM('DATA B3'!H498-'DATA B3'!H497)</f>
        <v>567</v>
      </c>
      <c r="O497" s="88">
        <f t="shared" si="146"/>
        <v>51.545454545454547</v>
      </c>
      <c r="P497" s="15">
        <f t="shared" si="147"/>
        <v>68.75</v>
      </c>
    </row>
    <row r="498" spans="3:16">
      <c r="C498" s="292"/>
      <c r="D498" s="43">
        <v>1.0833333333333399</v>
      </c>
      <c r="E498" s="5">
        <f>SUM('WATER_STEAM RATIO'!E498)</f>
        <v>0</v>
      </c>
      <c r="F498" s="9">
        <f>SUM('DATA B1'!I499-'DATA B1'!I498)+('DATA B1'!J499-'DATA B1'!J498)</f>
        <v>0</v>
      </c>
      <c r="G498" s="28">
        <f t="shared" si="142"/>
        <v>0</v>
      </c>
      <c r="H498" s="28">
        <f t="shared" si="143"/>
        <v>0</v>
      </c>
      <c r="I498" s="24">
        <f>SUM('WATER_STEAM RATIO'!K498)</f>
        <v>0</v>
      </c>
      <c r="J498" s="30">
        <f>SUM('DATA B2'!I499-'DATA B2'!I498)+('DATA B2'!J499-'DATA B2'!J498)</f>
        <v>0</v>
      </c>
      <c r="K498" s="28">
        <f t="shared" si="144"/>
        <v>0</v>
      </c>
      <c r="L498" s="28">
        <f t="shared" si="148"/>
        <v>0</v>
      </c>
      <c r="M498" s="89">
        <f>SUM('WATER_STEAM RATIO'!Q498)</f>
        <v>10</v>
      </c>
      <c r="N498" s="9">
        <f>SUM('DATA B3'!H499-'DATA B3'!H498)</f>
        <v>556</v>
      </c>
      <c r="O498" s="88">
        <f t="shared" si="146"/>
        <v>55.6</v>
      </c>
      <c r="P498" s="15">
        <f t="shared" si="147"/>
        <v>62.5</v>
      </c>
    </row>
    <row r="499" spans="3:16">
      <c r="C499" s="292"/>
      <c r="D499" s="43">
        <v>1.125</v>
      </c>
      <c r="E499" s="5">
        <f>SUM('WATER_STEAM RATIO'!E499)</f>
        <v>0</v>
      </c>
      <c r="F499" s="9">
        <f>SUM('DATA B1'!I500-'DATA B1'!I499)+('DATA B1'!J500-'DATA B1'!J499)</f>
        <v>0</v>
      </c>
      <c r="G499" s="28">
        <f t="shared" si="142"/>
        <v>0</v>
      </c>
      <c r="H499" s="28">
        <f t="shared" si="143"/>
        <v>0</v>
      </c>
      <c r="I499" s="24">
        <f>SUM('WATER_STEAM RATIO'!K499)</f>
        <v>0</v>
      </c>
      <c r="J499" s="30">
        <f>SUM('DATA B2'!I500-'DATA B2'!I499)+('DATA B2'!J500-'DATA B2'!J499)</f>
        <v>0</v>
      </c>
      <c r="K499" s="28">
        <f t="shared" si="144"/>
        <v>0</v>
      </c>
      <c r="L499" s="28">
        <f t="shared" si="148"/>
        <v>0</v>
      </c>
      <c r="M499" s="89">
        <f>SUM('WATER_STEAM RATIO'!Q499)</f>
        <v>12</v>
      </c>
      <c r="N499" s="9">
        <f>SUM('DATA B3'!H500-'DATA B3'!H499)</f>
        <v>574</v>
      </c>
      <c r="O499" s="88">
        <f t="shared" ref="O499:O503" si="149">IFERROR(N499/(M499),0)</f>
        <v>47.833333333333336</v>
      </c>
      <c r="P499" s="15">
        <f t="shared" si="147"/>
        <v>75</v>
      </c>
    </row>
    <row r="500" spans="3:16">
      <c r="C500" s="292"/>
      <c r="D500" s="43">
        <v>1.1666666666666701</v>
      </c>
      <c r="E500" s="5">
        <f>SUM('WATER_STEAM RATIO'!E500)</f>
        <v>0</v>
      </c>
      <c r="F500" s="9">
        <f>SUM('DATA B1'!I501-'DATA B1'!I500)+('DATA B1'!J501-'DATA B1'!J500)</f>
        <v>0</v>
      </c>
      <c r="G500" s="28">
        <f t="shared" si="142"/>
        <v>0</v>
      </c>
      <c r="H500" s="28">
        <f t="shared" si="143"/>
        <v>0</v>
      </c>
      <c r="I500" s="24">
        <f>SUM('WATER_STEAM RATIO'!K500)</f>
        <v>0</v>
      </c>
      <c r="J500" s="30">
        <f>SUM('DATA B2'!I501-'DATA B2'!I500)+('DATA B2'!J501-'DATA B2'!J500)</f>
        <v>0</v>
      </c>
      <c r="K500" s="28">
        <f>IFERROR(J500/(I500),0)</f>
        <v>0</v>
      </c>
      <c r="L500" s="28">
        <f t="shared" si="148"/>
        <v>0</v>
      </c>
      <c r="M500" s="89">
        <f>SUM('WATER_STEAM RATIO'!Q500)</f>
        <v>14</v>
      </c>
      <c r="N500" s="9">
        <f>SUM('DATA B3'!H501-'DATA B3'!H500)</f>
        <v>696</v>
      </c>
      <c r="O500" s="88">
        <f t="shared" si="149"/>
        <v>49.714285714285715</v>
      </c>
      <c r="P500" s="15">
        <f t="shared" si="147"/>
        <v>87.5</v>
      </c>
    </row>
    <row r="501" spans="3:16">
      <c r="C501" s="292"/>
      <c r="D501" s="43">
        <v>1.2083333333333399</v>
      </c>
      <c r="E501" s="5">
        <f>SUM('WATER_STEAM RATIO'!E501)</f>
        <v>0</v>
      </c>
      <c r="F501" s="9">
        <f>SUM('DATA B1'!I502-'DATA B1'!I501)+('DATA B1'!J502-'DATA B1'!J501)</f>
        <v>0</v>
      </c>
      <c r="G501" s="28">
        <f t="shared" si="142"/>
        <v>0</v>
      </c>
      <c r="H501" s="28">
        <f t="shared" si="143"/>
        <v>0</v>
      </c>
      <c r="I501" s="24">
        <f>SUM('WATER_STEAM RATIO'!K501)</f>
        <v>0</v>
      </c>
      <c r="J501" s="30">
        <f>SUM('DATA B2'!I502-'DATA B2'!I501)+('DATA B2'!J502-'DATA B2'!J501)</f>
        <v>0</v>
      </c>
      <c r="K501" s="28">
        <f>IFERROR(J501/(I501),0)</f>
        <v>0</v>
      </c>
      <c r="L501" s="28">
        <f t="shared" si="148"/>
        <v>0</v>
      </c>
      <c r="M501" s="89">
        <f>SUM('WATER_STEAM RATIO'!Q501)</f>
        <v>14</v>
      </c>
      <c r="N501" s="9">
        <f>SUM('DATA B3'!H502-'DATA B3'!H501)</f>
        <v>700</v>
      </c>
      <c r="O501" s="88">
        <f t="shared" si="149"/>
        <v>50</v>
      </c>
      <c r="P501" s="15">
        <f t="shared" si="147"/>
        <v>87.5</v>
      </c>
    </row>
    <row r="502" spans="3:16">
      <c r="C502" s="292"/>
      <c r="D502" s="43">
        <v>1.25</v>
      </c>
      <c r="E502" s="5">
        <f>SUM('WATER_STEAM RATIO'!E502)</f>
        <v>0</v>
      </c>
      <c r="F502" s="9">
        <f>SUM('DATA B1'!I503-'DATA B1'!I502)+('DATA B1'!J503-'DATA B1'!J502)</f>
        <v>0</v>
      </c>
      <c r="G502" s="28">
        <f t="shared" si="142"/>
        <v>0</v>
      </c>
      <c r="H502" s="28">
        <f t="shared" si="143"/>
        <v>0</v>
      </c>
      <c r="I502" s="24">
        <f>SUM('WATER_STEAM RATIO'!K502)</f>
        <v>0</v>
      </c>
      <c r="J502" s="30">
        <f>SUM('DATA B2'!I503-'DATA B2'!I502)+('DATA B2'!J503-'DATA B2'!J502)</f>
        <v>0</v>
      </c>
      <c r="K502" s="28">
        <f>IFERROR(J502/(I502),0)</f>
        <v>0</v>
      </c>
      <c r="L502" s="28">
        <f t="shared" si="148"/>
        <v>0</v>
      </c>
      <c r="M502" s="89">
        <f>SUM('WATER_STEAM RATIO'!Q502)</f>
        <v>14</v>
      </c>
      <c r="N502" s="9">
        <f>SUM('DATA B3'!H503-'DATA B3'!H502)</f>
        <v>693</v>
      </c>
      <c r="O502" s="88">
        <f t="shared" si="149"/>
        <v>49.5</v>
      </c>
      <c r="P502" s="15">
        <f t="shared" si="147"/>
        <v>87.5</v>
      </c>
    </row>
    <row r="503" spans="3:16">
      <c r="C503" s="292"/>
      <c r="D503" s="43">
        <v>1.2916666666666701</v>
      </c>
      <c r="E503" s="5">
        <f>SUM('WATER_STEAM RATIO'!E503)</f>
        <v>0</v>
      </c>
      <c r="F503" s="9">
        <f>SUM('DATA B1'!I504-'DATA B1'!I503)+('DATA B1'!J504-'DATA B1'!J503)</f>
        <v>0</v>
      </c>
      <c r="G503" s="28">
        <f t="shared" si="142"/>
        <v>0</v>
      </c>
      <c r="H503" s="28">
        <f t="shared" si="143"/>
        <v>0</v>
      </c>
      <c r="I503" s="24">
        <f>SUM('WATER_STEAM RATIO'!K503)</f>
        <v>0</v>
      </c>
      <c r="J503" s="30">
        <f>SUM('DATA B2'!I504-'DATA B2'!I503)+('DATA B2'!J504-'DATA B2'!J503)</f>
        <v>0</v>
      </c>
      <c r="K503" s="28">
        <f>IFERROR(J503/(I503),0)</f>
        <v>0</v>
      </c>
      <c r="L503" s="28">
        <f t="shared" si="148"/>
        <v>0</v>
      </c>
      <c r="M503" s="89">
        <f>SUM('WATER_STEAM RATIO'!Q503)</f>
        <v>14</v>
      </c>
      <c r="N503" s="9">
        <f>SUM('DATA B3'!H504-'DATA B3'!H503)</f>
        <v>706</v>
      </c>
      <c r="O503" s="88">
        <f t="shared" si="149"/>
        <v>50.428571428571431</v>
      </c>
      <c r="P503" s="15">
        <f t="shared" si="147"/>
        <v>87.5</v>
      </c>
    </row>
    <row r="504" spans="3:16">
      <c r="C504" s="293"/>
      <c r="D504" s="258"/>
      <c r="E504" s="91">
        <f>SUMIF(E479:E503,"&gt;=0",E479:E503)</f>
        <v>0</v>
      </c>
      <c r="F504" s="91">
        <f>SUMIF(F479:F503,"&gt;=0",F479:F503)</f>
        <v>0</v>
      </c>
      <c r="G504" s="54">
        <f>IFERROR(F504/E504,0)</f>
        <v>0</v>
      </c>
      <c r="H504" s="54">
        <f>IFERROR(AVERAGE(H480:H503),0)</f>
        <v>0</v>
      </c>
      <c r="I504" s="91">
        <f>SUMIF(I479:I503,"&gt;=0",I479:I503)</f>
        <v>41</v>
      </c>
      <c r="J504" s="91">
        <f>SUMIF(J479:J503,"&gt;=0",J479:J503)</f>
        <v>2178</v>
      </c>
      <c r="K504" s="54">
        <f>IFERROR(J504/(I504),0)</f>
        <v>53.121951219512198</v>
      </c>
      <c r="L504" s="54">
        <f>IFERROR(AVERAGE(L480:L503),0)</f>
        <v>7.8703703703703694</v>
      </c>
      <c r="M504" s="91">
        <f>SUMIF(M479:M503,"&gt;=0",M479:M503)</f>
        <v>221</v>
      </c>
      <c r="N504" s="91">
        <f>SUMIF(N479:N503,"&gt;=0",N479:N503)</f>
        <v>11572</v>
      </c>
      <c r="O504" s="239">
        <f>IFERROR(N504/(M504),0)</f>
        <v>52.361990950226243</v>
      </c>
      <c r="P504" s="215">
        <f>IFERROR(AVERAGE(P480:P503),0)</f>
        <v>57.552083333333336</v>
      </c>
    </row>
    <row r="505" spans="3:16" ht="15" customHeight="1">
      <c r="C505" s="291">
        <f>SUM('WATER_STEAM RATIO'!B505:B530)</f>
        <v>46042</v>
      </c>
      <c r="D505" s="43">
        <v>0.29166666666666669</v>
      </c>
      <c r="E505" s="5">
        <f>SUM('WATER_STEAM RATIO'!E505)</f>
        <v>0</v>
      </c>
      <c r="F505" s="9"/>
      <c r="G505" s="28"/>
      <c r="H505" s="28"/>
      <c r="I505" s="24">
        <f>SUM('WATER_STEAM RATIO'!K505)</f>
        <v>0</v>
      </c>
      <c r="J505" s="30"/>
      <c r="K505" s="28"/>
      <c r="L505" s="28"/>
      <c r="M505" s="89">
        <f>SUM('WATER_STEAM RATIO'!Q505)</f>
        <v>14</v>
      </c>
      <c r="N505" s="9"/>
      <c r="O505" s="88"/>
      <c r="P505" s="15"/>
    </row>
    <row r="506" spans="3:16">
      <c r="C506" s="292"/>
      <c r="D506" s="43">
        <v>0.33333333333333298</v>
      </c>
      <c r="E506" s="5">
        <f>SUM('WATER_STEAM RATIO'!E506)</f>
        <v>0</v>
      </c>
      <c r="F506" s="9">
        <f>SUM('DATA B1'!I507-'DATA B1'!I506)+('DATA B1'!J507-'DATA B1'!J506)</f>
        <v>0</v>
      </c>
      <c r="G506" s="28">
        <f>IFERROR(F506/(E506),0)</f>
        <v>0</v>
      </c>
      <c r="H506" s="28">
        <f>IFERROR((E506/18)*100,0)</f>
        <v>0</v>
      </c>
      <c r="I506" s="24">
        <f>SUM('WATER_STEAM RATIO'!K506)</f>
        <v>0</v>
      </c>
      <c r="J506" s="30">
        <f>SUM('DATA B2'!I507-'DATA B2'!I506)+('DATA B2'!J507-'DATA B2'!J506)</f>
        <v>0</v>
      </c>
      <c r="K506" s="28">
        <f>IFERROR(J506/(I506),0)</f>
        <v>0</v>
      </c>
      <c r="L506" s="28">
        <f>IFERROR((I506/18)*100,0)</f>
        <v>0</v>
      </c>
      <c r="M506" s="89">
        <f>SUM('WATER_STEAM RATIO'!Q506)</f>
        <v>14</v>
      </c>
      <c r="N506" s="9">
        <f>SUM('DATA B3'!H507-'DATA B3'!H506)</f>
        <v>715</v>
      </c>
      <c r="O506" s="88">
        <f>IFERROR(N506/(M506),0)</f>
        <v>51.071428571428569</v>
      </c>
      <c r="P506" s="15">
        <f>IFERROR((M506/16)*100,0)</f>
        <v>87.5</v>
      </c>
    </row>
    <row r="507" spans="3:16">
      <c r="C507" s="292"/>
      <c r="D507" s="43">
        <v>0.375</v>
      </c>
      <c r="E507" s="5">
        <f>SUM('WATER_STEAM RATIO'!E507)</f>
        <v>0</v>
      </c>
      <c r="F507" s="9">
        <f>SUM('DATA B1'!I508-'DATA B1'!I507)+('DATA B1'!J508-'DATA B1'!J507)</f>
        <v>0</v>
      </c>
      <c r="G507" s="28">
        <f t="shared" ref="G507:G529" si="150">IFERROR(F507/(E507),0)</f>
        <v>0</v>
      </c>
      <c r="H507" s="28">
        <f t="shared" ref="H507:H529" si="151">IFERROR((E507/18)*100,0)</f>
        <v>0</v>
      </c>
      <c r="I507" s="24">
        <f>SUM('WATER_STEAM RATIO'!K507)</f>
        <v>0</v>
      </c>
      <c r="J507" s="30">
        <f>SUM('DATA B2'!I508-'DATA B2'!I507)+('DATA B2'!J508-'DATA B2'!J507)</f>
        <v>0</v>
      </c>
      <c r="K507" s="28">
        <f t="shared" ref="K507:K525" si="152">IFERROR(J507/(I507),0)</f>
        <v>0</v>
      </c>
      <c r="L507" s="28">
        <f t="shared" ref="L507:L517" si="153">IFERROR((I507/18)*100,0)</f>
        <v>0</v>
      </c>
      <c r="M507" s="89">
        <f>SUM('WATER_STEAM RATIO'!Q507)</f>
        <v>10</v>
      </c>
      <c r="N507" s="9">
        <f>SUM('DATA B3'!H508-'DATA B3'!H507)</f>
        <v>512</v>
      </c>
      <c r="O507" s="88">
        <f t="shared" ref="O507:O524" si="154">IFERROR(N507/(M507),0)</f>
        <v>51.2</v>
      </c>
      <c r="P507" s="15">
        <f t="shared" ref="P507:P529" si="155">IFERROR((M507/16)*100,0)</f>
        <v>62.5</v>
      </c>
    </row>
    <row r="508" spans="3:16">
      <c r="C508" s="292"/>
      <c r="D508" s="43">
        <v>0.41666666666666702</v>
      </c>
      <c r="E508" s="5">
        <f>SUM('WATER_STEAM RATIO'!E508)</f>
        <v>0</v>
      </c>
      <c r="F508" s="9">
        <f>SUM('DATA B1'!I509-'DATA B1'!I508)+('DATA B1'!J509-'DATA B1'!J508)</f>
        <v>0</v>
      </c>
      <c r="G508" s="28">
        <f t="shared" si="150"/>
        <v>0</v>
      </c>
      <c r="H508" s="28">
        <f t="shared" si="151"/>
        <v>0</v>
      </c>
      <c r="I508" s="24">
        <f>SUM('WATER_STEAM RATIO'!K508)</f>
        <v>0</v>
      </c>
      <c r="J508" s="30">
        <f>SUM('DATA B2'!I509-'DATA B2'!I508)+('DATA B2'!J509-'DATA B2'!J508)</f>
        <v>0</v>
      </c>
      <c r="K508" s="28">
        <f t="shared" si="152"/>
        <v>0</v>
      </c>
      <c r="L508" s="28">
        <f t="shared" si="153"/>
        <v>0</v>
      </c>
      <c r="M508" s="89">
        <f>SUM('WATER_STEAM RATIO'!Q508)</f>
        <v>10</v>
      </c>
      <c r="N508" s="9">
        <f>SUM('DATA B3'!H509-'DATA B3'!H508)</f>
        <v>504</v>
      </c>
      <c r="O508" s="88">
        <f t="shared" si="154"/>
        <v>50.4</v>
      </c>
      <c r="P508" s="15">
        <f t="shared" si="155"/>
        <v>62.5</v>
      </c>
    </row>
    <row r="509" spans="3:16">
      <c r="C509" s="292"/>
      <c r="D509" s="43">
        <v>0.45833333333333298</v>
      </c>
      <c r="E509" s="5">
        <f>SUM('WATER_STEAM RATIO'!E509)</f>
        <v>0</v>
      </c>
      <c r="F509" s="9">
        <f>SUM('DATA B1'!I510-'DATA B1'!I509)+('DATA B1'!J510-'DATA B1'!J509)</f>
        <v>0</v>
      </c>
      <c r="G509" s="28">
        <f t="shared" si="150"/>
        <v>0</v>
      </c>
      <c r="H509" s="28">
        <f t="shared" si="151"/>
        <v>0</v>
      </c>
      <c r="I509" s="24">
        <f>SUM('WATER_STEAM RATIO'!K509)</f>
        <v>0</v>
      </c>
      <c r="J509" s="30">
        <f>SUM('DATA B2'!I510-'DATA B2'!I509)+('DATA B2'!J510-'DATA B2'!J509)</f>
        <v>0</v>
      </c>
      <c r="K509" s="28">
        <f t="shared" si="152"/>
        <v>0</v>
      </c>
      <c r="L509" s="28">
        <f t="shared" si="153"/>
        <v>0</v>
      </c>
      <c r="M509" s="89">
        <f>SUM('WATER_STEAM RATIO'!Q509)</f>
        <v>11</v>
      </c>
      <c r="N509" s="9">
        <f>SUM('DATA B3'!H510-'DATA B3'!H509)</f>
        <v>534</v>
      </c>
      <c r="O509" s="88">
        <f t="shared" si="154"/>
        <v>48.545454545454547</v>
      </c>
      <c r="P509" s="15">
        <f t="shared" si="155"/>
        <v>68.75</v>
      </c>
    </row>
    <row r="510" spans="3:16">
      <c r="C510" s="292"/>
      <c r="D510" s="43">
        <v>0.5</v>
      </c>
      <c r="E510" s="5">
        <f>SUM('WATER_STEAM RATIO'!E510)</f>
        <v>0</v>
      </c>
      <c r="F510" s="9">
        <f>SUM('DATA B1'!I511-'DATA B1'!I510)+('DATA B1'!J511-'DATA B1'!J510)</f>
        <v>0</v>
      </c>
      <c r="G510" s="28">
        <f t="shared" si="150"/>
        <v>0</v>
      </c>
      <c r="H510" s="28">
        <f t="shared" si="151"/>
        <v>0</v>
      </c>
      <c r="I510" s="24">
        <f>SUM('WATER_STEAM RATIO'!K510)</f>
        <v>0</v>
      </c>
      <c r="J510" s="30">
        <f>SUM('DATA B2'!I511-'DATA B2'!I510)+('DATA B2'!J511-'DATA B2'!J510)</f>
        <v>0</v>
      </c>
      <c r="K510" s="28">
        <f t="shared" si="152"/>
        <v>0</v>
      </c>
      <c r="L510" s="28">
        <f t="shared" si="153"/>
        <v>0</v>
      </c>
      <c r="M510" s="89">
        <f>SUM('WATER_STEAM RATIO'!Q510)</f>
        <v>12</v>
      </c>
      <c r="N510" s="9">
        <f>SUM('DATA B3'!H511-'DATA B3'!H510)</f>
        <v>626</v>
      </c>
      <c r="O510" s="88">
        <f t="shared" si="154"/>
        <v>52.166666666666664</v>
      </c>
      <c r="P510" s="15">
        <f t="shared" si="155"/>
        <v>75</v>
      </c>
    </row>
    <row r="511" spans="3:16">
      <c r="C511" s="292"/>
      <c r="D511" s="43">
        <v>0.54166666666666696</v>
      </c>
      <c r="E511" s="5">
        <f>SUM('WATER_STEAM RATIO'!E511)</f>
        <v>0</v>
      </c>
      <c r="F511" s="9">
        <f>SUM('DATA B1'!I512-'DATA B1'!I511)+('DATA B1'!J512-'DATA B1'!J511)</f>
        <v>0</v>
      </c>
      <c r="G511" s="28">
        <f t="shared" si="150"/>
        <v>0</v>
      </c>
      <c r="H511" s="28">
        <f t="shared" si="151"/>
        <v>0</v>
      </c>
      <c r="I511" s="24">
        <f>SUM('WATER_STEAM RATIO'!K511)</f>
        <v>0</v>
      </c>
      <c r="J511" s="30">
        <f>SUM('DATA B2'!I512-'DATA B2'!I511)+('DATA B2'!J512-'DATA B2'!J511)</f>
        <v>0</v>
      </c>
      <c r="K511" s="28">
        <f t="shared" si="152"/>
        <v>0</v>
      </c>
      <c r="L511" s="28">
        <f t="shared" si="153"/>
        <v>0</v>
      </c>
      <c r="M511" s="89">
        <f>SUM('WATER_STEAM RATIO'!Q511)</f>
        <v>12</v>
      </c>
      <c r="N511" s="9">
        <f>SUM('DATA B3'!H512-'DATA B3'!H511)</f>
        <v>629</v>
      </c>
      <c r="O511" s="88">
        <f t="shared" si="154"/>
        <v>52.416666666666664</v>
      </c>
      <c r="P511" s="15">
        <f t="shared" si="155"/>
        <v>75</v>
      </c>
    </row>
    <row r="512" spans="3:16">
      <c r="C512" s="292"/>
      <c r="D512" s="43">
        <v>0.58333333333333304</v>
      </c>
      <c r="E512" s="5">
        <f>SUM('WATER_STEAM RATIO'!E512)</f>
        <v>0</v>
      </c>
      <c r="F512" s="9">
        <f>SUM('DATA B1'!I513-'DATA B1'!I512)+('DATA B1'!J513-'DATA B1'!J512)</f>
        <v>0</v>
      </c>
      <c r="G512" s="28">
        <f t="shared" si="150"/>
        <v>0</v>
      </c>
      <c r="H512" s="28">
        <f t="shared" si="151"/>
        <v>0</v>
      </c>
      <c r="I512" s="24">
        <f>SUM('WATER_STEAM RATIO'!K512)</f>
        <v>0</v>
      </c>
      <c r="J512" s="30">
        <f>SUM('DATA B2'!I513-'DATA B2'!I512)+('DATA B2'!J513-'DATA B2'!J512)</f>
        <v>0</v>
      </c>
      <c r="K512" s="28">
        <f t="shared" si="152"/>
        <v>0</v>
      </c>
      <c r="L512" s="28">
        <f t="shared" si="153"/>
        <v>0</v>
      </c>
      <c r="M512" s="89">
        <f>SUM('WATER_STEAM RATIO'!Q512)</f>
        <v>12</v>
      </c>
      <c r="N512" s="9">
        <f>SUM('DATA B3'!H513-'DATA B3'!H512)</f>
        <v>611</v>
      </c>
      <c r="O512" s="88">
        <f t="shared" si="154"/>
        <v>50.916666666666664</v>
      </c>
      <c r="P512" s="15">
        <f t="shared" si="155"/>
        <v>75</v>
      </c>
    </row>
    <row r="513" spans="3:16">
      <c r="C513" s="292"/>
      <c r="D513" s="43">
        <v>0.625</v>
      </c>
      <c r="E513" s="5">
        <f>SUM('WATER_STEAM RATIO'!E513)</f>
        <v>0</v>
      </c>
      <c r="F513" s="9">
        <f>SUM('DATA B1'!I514-'DATA B1'!I513)+('DATA B1'!J514-'DATA B1'!J513)</f>
        <v>0</v>
      </c>
      <c r="G513" s="28">
        <f t="shared" si="150"/>
        <v>0</v>
      </c>
      <c r="H513" s="28">
        <f t="shared" si="151"/>
        <v>0</v>
      </c>
      <c r="I513" s="24">
        <f>SUM('WATER_STEAM RATIO'!K513)</f>
        <v>0</v>
      </c>
      <c r="J513" s="30">
        <f>SUM('DATA B2'!I514-'DATA B2'!I513)+('DATA B2'!J514-'DATA B2'!J513)</f>
        <v>0</v>
      </c>
      <c r="K513" s="28">
        <f t="shared" si="152"/>
        <v>0</v>
      </c>
      <c r="L513" s="28">
        <f t="shared" si="153"/>
        <v>0</v>
      </c>
      <c r="M513" s="89">
        <f>SUM('WATER_STEAM RATIO'!Q513)</f>
        <v>12</v>
      </c>
      <c r="N513" s="9">
        <f>SUM('DATA B3'!H514-'DATA B3'!H513)</f>
        <v>641</v>
      </c>
      <c r="O513" s="88">
        <f t="shared" si="154"/>
        <v>53.416666666666664</v>
      </c>
      <c r="P513" s="15">
        <f t="shared" si="155"/>
        <v>75</v>
      </c>
    </row>
    <row r="514" spans="3:16">
      <c r="C514" s="292"/>
      <c r="D514" s="43">
        <v>0.66666666666666596</v>
      </c>
      <c r="E514" s="5">
        <f>SUM('WATER_STEAM RATIO'!E514)</f>
        <v>0</v>
      </c>
      <c r="F514" s="9">
        <f>SUM('DATA B1'!I515-'DATA B1'!I514)+('DATA B1'!J515-'DATA B1'!J514)</f>
        <v>0</v>
      </c>
      <c r="G514" s="28">
        <f t="shared" si="150"/>
        <v>0</v>
      </c>
      <c r="H514" s="28">
        <f t="shared" si="151"/>
        <v>0</v>
      </c>
      <c r="I514" s="24">
        <f>SUM('WATER_STEAM RATIO'!K514)</f>
        <v>0</v>
      </c>
      <c r="J514" s="30">
        <f>SUM('DATA B2'!I515-'DATA B2'!I514)+('DATA B2'!J515-'DATA B2'!J514)</f>
        <v>0</v>
      </c>
      <c r="K514" s="28">
        <f t="shared" si="152"/>
        <v>0</v>
      </c>
      <c r="L514" s="28">
        <f t="shared" si="153"/>
        <v>0</v>
      </c>
      <c r="M514" s="89">
        <f>SUM('WATER_STEAM RATIO'!Q514)</f>
        <v>13</v>
      </c>
      <c r="N514" s="9">
        <f>SUM('DATA B3'!H515-'DATA B3'!H514)</f>
        <v>658</v>
      </c>
      <c r="O514" s="88">
        <f t="shared" si="154"/>
        <v>50.615384615384613</v>
      </c>
      <c r="P514" s="15">
        <f t="shared" si="155"/>
        <v>81.25</v>
      </c>
    </row>
    <row r="515" spans="3:16">
      <c r="C515" s="292"/>
      <c r="D515" s="43">
        <v>0.70833333333333304</v>
      </c>
      <c r="E515" s="5">
        <f>SUM('WATER_STEAM RATIO'!E515)</f>
        <v>0</v>
      </c>
      <c r="F515" s="9">
        <f>SUM('DATA B1'!I516-'DATA B1'!I515)+('DATA B1'!J516-'DATA B1'!J515)</f>
        <v>0</v>
      </c>
      <c r="G515" s="28">
        <f t="shared" si="150"/>
        <v>0</v>
      </c>
      <c r="H515" s="28">
        <f t="shared" si="151"/>
        <v>0</v>
      </c>
      <c r="I515" s="24">
        <f>SUM('WATER_STEAM RATIO'!K515)</f>
        <v>0</v>
      </c>
      <c r="J515" s="30">
        <f>SUM('DATA B2'!I516-'DATA B2'!I515)+('DATA B2'!J516-'DATA B2'!J515)</f>
        <v>0</v>
      </c>
      <c r="K515" s="28">
        <f t="shared" si="152"/>
        <v>0</v>
      </c>
      <c r="L515" s="28">
        <f t="shared" si="153"/>
        <v>0</v>
      </c>
      <c r="M515" s="89">
        <f>SUM('WATER_STEAM RATIO'!Q515)</f>
        <v>13</v>
      </c>
      <c r="N515" s="9">
        <f>SUM('DATA B3'!H516-'DATA B3'!H515)</f>
        <v>664</v>
      </c>
      <c r="O515" s="88">
        <f t="shared" si="154"/>
        <v>51.07692307692308</v>
      </c>
      <c r="P515" s="15">
        <f t="shared" si="155"/>
        <v>81.25</v>
      </c>
    </row>
    <row r="516" spans="3:16">
      <c r="C516" s="292"/>
      <c r="D516" s="43">
        <v>0.75</v>
      </c>
      <c r="E516" s="5">
        <f>SUM('WATER_STEAM RATIO'!E516)</f>
        <v>0</v>
      </c>
      <c r="F516" s="9">
        <f>SUM('DATA B1'!I517-'DATA B1'!I516)+('DATA B1'!J517-'DATA B1'!J516)</f>
        <v>0</v>
      </c>
      <c r="G516" s="28">
        <f t="shared" si="150"/>
        <v>0</v>
      </c>
      <c r="H516" s="28">
        <f t="shared" si="151"/>
        <v>0</v>
      </c>
      <c r="I516" s="24">
        <f>SUM('WATER_STEAM RATIO'!K516)</f>
        <v>0</v>
      </c>
      <c r="J516" s="30">
        <f>SUM('DATA B2'!I517-'DATA B2'!I516)+('DATA B2'!J517-'DATA B2'!J516)</f>
        <v>0</v>
      </c>
      <c r="K516" s="28">
        <f t="shared" si="152"/>
        <v>0</v>
      </c>
      <c r="L516" s="28">
        <f t="shared" si="153"/>
        <v>0</v>
      </c>
      <c r="M516" s="89">
        <f>SUM('WATER_STEAM RATIO'!Q516)</f>
        <v>13</v>
      </c>
      <c r="N516" s="9">
        <f>SUM('DATA B3'!H517-'DATA B3'!H516)</f>
        <v>647</v>
      </c>
      <c r="O516" s="88">
        <f t="shared" si="154"/>
        <v>49.769230769230766</v>
      </c>
      <c r="P516" s="15">
        <f t="shared" si="155"/>
        <v>81.25</v>
      </c>
    </row>
    <row r="517" spans="3:16">
      <c r="C517" s="292"/>
      <c r="D517" s="43">
        <v>0.79166666666666596</v>
      </c>
      <c r="E517" s="5">
        <f>SUM('WATER_STEAM RATIO'!E517)</f>
        <v>0</v>
      </c>
      <c r="F517" s="9">
        <f>SUM('DATA B1'!I518-'DATA B1'!I517)+('DATA B1'!J518-'DATA B1'!J517)</f>
        <v>0</v>
      </c>
      <c r="G517" s="28">
        <f t="shared" si="150"/>
        <v>0</v>
      </c>
      <c r="H517" s="28">
        <f t="shared" si="151"/>
        <v>0</v>
      </c>
      <c r="I517" s="24">
        <f>SUM('WATER_STEAM RATIO'!K517)</f>
        <v>0</v>
      </c>
      <c r="J517" s="30">
        <f>SUM('DATA B2'!I518-'DATA B2'!I517)+('DATA B2'!J518-'DATA B2'!J517)</f>
        <v>0</v>
      </c>
      <c r="K517" s="28">
        <f t="shared" si="152"/>
        <v>0</v>
      </c>
      <c r="L517" s="28">
        <f t="shared" si="153"/>
        <v>0</v>
      </c>
      <c r="M517" s="89">
        <f>SUM('WATER_STEAM RATIO'!Q517)</f>
        <v>13</v>
      </c>
      <c r="N517" s="9">
        <f>SUM('DATA B3'!H518-'DATA B3'!H517)</f>
        <v>666</v>
      </c>
      <c r="O517" s="88">
        <f t="shared" si="154"/>
        <v>51.230769230769234</v>
      </c>
      <c r="P517" s="15">
        <f t="shared" si="155"/>
        <v>81.25</v>
      </c>
    </row>
    <row r="518" spans="3:16">
      <c r="C518" s="292"/>
      <c r="D518" s="43">
        <v>0.83333333333333304</v>
      </c>
      <c r="E518" s="5">
        <f>SUM('WATER_STEAM RATIO'!E518)</f>
        <v>0</v>
      </c>
      <c r="F518" s="9">
        <f>SUM('DATA B1'!I519-'DATA B1'!I518)+('DATA B1'!J519-'DATA B1'!J518)</f>
        <v>0</v>
      </c>
      <c r="G518" s="28">
        <f t="shared" si="150"/>
        <v>0</v>
      </c>
      <c r="H518" s="28">
        <f t="shared" si="151"/>
        <v>0</v>
      </c>
      <c r="I518" s="24">
        <f>SUM('WATER_STEAM RATIO'!K518)</f>
        <v>0</v>
      </c>
      <c r="J518" s="30">
        <f>SUM('DATA B2'!I519-'DATA B2'!I518)+('DATA B2'!J519-'DATA B2'!J518)</f>
        <v>0</v>
      </c>
      <c r="K518" s="28">
        <f t="shared" si="152"/>
        <v>0</v>
      </c>
      <c r="L518" s="28">
        <f>IFERROR((I518/18)*100,0)</f>
        <v>0</v>
      </c>
      <c r="M518" s="89">
        <f>SUM('WATER_STEAM RATIO'!Q518)</f>
        <v>10</v>
      </c>
      <c r="N518" s="9">
        <f>SUM('DATA B3'!H519-'DATA B3'!H518)</f>
        <v>477</v>
      </c>
      <c r="O518" s="88">
        <f t="shared" si="154"/>
        <v>47.7</v>
      </c>
      <c r="P518" s="15">
        <f t="shared" si="155"/>
        <v>62.5</v>
      </c>
    </row>
    <row r="519" spans="3:16">
      <c r="C519" s="292"/>
      <c r="D519" s="43">
        <v>0.875</v>
      </c>
      <c r="E519" s="5">
        <f>SUM('WATER_STEAM RATIO'!E519)</f>
        <v>0</v>
      </c>
      <c r="F519" s="9">
        <f>SUM('DATA B1'!I520-'DATA B1'!I519)+('DATA B1'!J520-'DATA B1'!J519)</f>
        <v>0</v>
      </c>
      <c r="G519" s="28">
        <f t="shared" si="150"/>
        <v>0</v>
      </c>
      <c r="H519" s="28">
        <f t="shared" si="151"/>
        <v>0</v>
      </c>
      <c r="I519" s="24">
        <f>SUM('WATER_STEAM RATIO'!K519)</f>
        <v>0</v>
      </c>
      <c r="J519" s="30">
        <f>SUM('DATA B2'!I520-'DATA B2'!I519)+('DATA B2'!J520-'DATA B2'!J519)</f>
        <v>0</v>
      </c>
      <c r="K519" s="28">
        <f t="shared" si="152"/>
        <v>0</v>
      </c>
      <c r="L519" s="28">
        <f t="shared" ref="L519:L529" si="156">IFERROR((I519/18)*100,0)</f>
        <v>0</v>
      </c>
      <c r="M519" s="89">
        <f>SUM('WATER_STEAM RATIO'!Q519)</f>
        <v>9</v>
      </c>
      <c r="N519" s="9">
        <f>SUM('DATA B3'!H520-'DATA B3'!H519)</f>
        <v>420</v>
      </c>
      <c r="O519" s="88">
        <f t="shared" si="154"/>
        <v>46.666666666666664</v>
      </c>
      <c r="P519" s="15">
        <f t="shared" si="155"/>
        <v>56.25</v>
      </c>
    </row>
    <row r="520" spans="3:16">
      <c r="C520" s="292"/>
      <c r="D520" s="43">
        <v>0.91666666666666596</v>
      </c>
      <c r="E520" s="5">
        <f>SUM('WATER_STEAM RATIO'!E520)</f>
        <v>0</v>
      </c>
      <c r="F520" s="9">
        <f>SUM('DATA B1'!I521-'DATA B1'!I520)+('DATA B1'!J521-'DATA B1'!J520)</f>
        <v>0</v>
      </c>
      <c r="G520" s="28">
        <f t="shared" si="150"/>
        <v>0</v>
      </c>
      <c r="H520" s="28">
        <f t="shared" si="151"/>
        <v>0</v>
      </c>
      <c r="I520" s="24">
        <f>SUM('WATER_STEAM RATIO'!K520)</f>
        <v>0</v>
      </c>
      <c r="J520" s="30">
        <f>SUM('DATA B2'!I521-'DATA B2'!I520)+('DATA B2'!J521-'DATA B2'!J520)</f>
        <v>0</v>
      </c>
      <c r="K520" s="28">
        <f t="shared" si="152"/>
        <v>0</v>
      </c>
      <c r="L520" s="28">
        <f t="shared" si="156"/>
        <v>0</v>
      </c>
      <c r="M520" s="89">
        <f>SUM('WATER_STEAM RATIO'!Q520)</f>
        <v>10</v>
      </c>
      <c r="N520" s="9">
        <f>SUM('DATA B3'!H521-'DATA B3'!H520)</f>
        <v>445</v>
      </c>
      <c r="O520" s="88">
        <f t="shared" si="154"/>
        <v>44.5</v>
      </c>
      <c r="P520" s="15">
        <f>IFERROR((M520/16)*100,0)</f>
        <v>62.5</v>
      </c>
    </row>
    <row r="521" spans="3:16">
      <c r="C521" s="292"/>
      <c r="D521" s="43">
        <v>0.95833333333333304</v>
      </c>
      <c r="E521" s="5">
        <f>SUM('WATER_STEAM RATIO'!E521)</f>
        <v>0</v>
      </c>
      <c r="F521" s="9">
        <f>SUM('DATA B1'!I522-'DATA B1'!I521)+('DATA B1'!J522-'DATA B1'!J521)</f>
        <v>0</v>
      </c>
      <c r="G521" s="28">
        <f t="shared" si="150"/>
        <v>0</v>
      </c>
      <c r="H521" s="28">
        <f t="shared" si="151"/>
        <v>0</v>
      </c>
      <c r="I521" s="24">
        <f>SUM('WATER_STEAM RATIO'!K521)</f>
        <v>0</v>
      </c>
      <c r="J521" s="30">
        <f>SUM('DATA B2'!I522-'DATA B2'!I521)+('DATA B2'!J522-'DATA B2'!J521)</f>
        <v>0</v>
      </c>
      <c r="K521" s="28">
        <f t="shared" si="152"/>
        <v>0</v>
      </c>
      <c r="L521" s="28">
        <f t="shared" si="156"/>
        <v>0</v>
      </c>
      <c r="M521" s="89">
        <f>SUM('WATER_STEAM RATIO'!Q521)</f>
        <v>10</v>
      </c>
      <c r="N521" s="9">
        <f>SUM('DATA B3'!H522-'DATA B3'!H521)</f>
        <v>457</v>
      </c>
      <c r="O521" s="88">
        <f t="shared" si="154"/>
        <v>45.7</v>
      </c>
      <c r="P521" s="15">
        <f t="shared" si="155"/>
        <v>62.5</v>
      </c>
    </row>
    <row r="522" spans="3:16">
      <c r="C522" s="292"/>
      <c r="D522" s="43">
        <v>1</v>
      </c>
      <c r="E522" s="5">
        <f>SUM('WATER_STEAM RATIO'!E522)</f>
        <v>0</v>
      </c>
      <c r="F522" s="9">
        <f>SUM('DATA B1'!I523-'DATA B1'!I522)+('DATA B1'!J523-'DATA B1'!J522)</f>
        <v>0</v>
      </c>
      <c r="G522" s="28">
        <f t="shared" si="150"/>
        <v>0</v>
      </c>
      <c r="H522" s="28">
        <f t="shared" si="151"/>
        <v>0</v>
      </c>
      <c r="I522" s="24">
        <f>SUM('WATER_STEAM RATIO'!K522)</f>
        <v>0</v>
      </c>
      <c r="J522" s="30">
        <f>SUM('DATA B2'!I523-'DATA B2'!I522)+('DATA B2'!J523-'DATA B2'!J522)</f>
        <v>0</v>
      </c>
      <c r="K522" s="28">
        <f t="shared" si="152"/>
        <v>0</v>
      </c>
      <c r="L522" s="28">
        <f t="shared" si="156"/>
        <v>0</v>
      </c>
      <c r="M522" s="89">
        <f>SUM('WATER_STEAM RATIO'!Q522)</f>
        <v>10</v>
      </c>
      <c r="N522" s="9">
        <f>SUM('DATA B3'!H523-'DATA B3'!H522)</f>
        <v>455</v>
      </c>
      <c r="O522" s="88">
        <f t="shared" si="154"/>
        <v>45.5</v>
      </c>
      <c r="P522" s="15">
        <f t="shared" si="155"/>
        <v>62.5</v>
      </c>
    </row>
    <row r="523" spans="3:16">
      <c r="C523" s="292"/>
      <c r="D523" s="43">
        <v>1.0416666666666701</v>
      </c>
      <c r="E523" s="5">
        <f>SUM('WATER_STEAM RATIO'!E523)</f>
        <v>0</v>
      </c>
      <c r="F523" s="9">
        <f>SUM('DATA B1'!I524-'DATA B1'!I523)+('DATA B1'!J524-'DATA B1'!J523)</f>
        <v>0</v>
      </c>
      <c r="G523" s="28">
        <f t="shared" si="150"/>
        <v>0</v>
      </c>
      <c r="H523" s="28">
        <f t="shared" si="151"/>
        <v>0</v>
      </c>
      <c r="I523" s="24">
        <f>SUM('WATER_STEAM RATIO'!K523)</f>
        <v>0</v>
      </c>
      <c r="J523" s="30">
        <f>SUM('DATA B2'!I524-'DATA B2'!I523)+('DATA B2'!J524-'DATA B2'!J523)</f>
        <v>0</v>
      </c>
      <c r="K523" s="28">
        <f t="shared" si="152"/>
        <v>0</v>
      </c>
      <c r="L523" s="28">
        <f t="shared" si="156"/>
        <v>0</v>
      </c>
      <c r="M523" s="89">
        <f>SUM('WATER_STEAM RATIO'!Q523)</f>
        <v>10</v>
      </c>
      <c r="N523" s="9">
        <f>SUM('DATA B3'!H524-'DATA B3'!H523)</f>
        <v>459</v>
      </c>
      <c r="O523" s="88">
        <f t="shared" si="154"/>
        <v>45.9</v>
      </c>
      <c r="P523" s="15">
        <f t="shared" si="155"/>
        <v>62.5</v>
      </c>
    </row>
    <row r="524" spans="3:16">
      <c r="C524" s="292"/>
      <c r="D524" s="43">
        <v>1.0833333333333399</v>
      </c>
      <c r="E524" s="5">
        <f>SUM('WATER_STEAM RATIO'!E524)</f>
        <v>0</v>
      </c>
      <c r="F524" s="9">
        <f>SUM('DATA B1'!I525-'DATA B1'!I524)+('DATA B1'!J525-'DATA B1'!J524)</f>
        <v>0</v>
      </c>
      <c r="G524" s="28">
        <f t="shared" si="150"/>
        <v>0</v>
      </c>
      <c r="H524" s="28">
        <f t="shared" si="151"/>
        <v>0</v>
      </c>
      <c r="I524" s="24">
        <f>SUM('WATER_STEAM RATIO'!K524)</f>
        <v>0</v>
      </c>
      <c r="J524" s="30">
        <f>SUM('DATA B2'!I525-'DATA B2'!I524)+('DATA B2'!J525-'DATA B2'!J524)</f>
        <v>0</v>
      </c>
      <c r="K524" s="28">
        <f t="shared" si="152"/>
        <v>0</v>
      </c>
      <c r="L524" s="28">
        <f t="shared" si="156"/>
        <v>0</v>
      </c>
      <c r="M524" s="89">
        <f>SUM('WATER_STEAM RATIO'!Q524)</f>
        <v>9</v>
      </c>
      <c r="N524" s="9">
        <f>SUM('DATA B3'!H525-'DATA B3'!H524)</f>
        <v>448</v>
      </c>
      <c r="O524" s="88">
        <f t="shared" si="154"/>
        <v>49.777777777777779</v>
      </c>
      <c r="P524" s="15">
        <f t="shared" si="155"/>
        <v>56.25</v>
      </c>
    </row>
    <row r="525" spans="3:16">
      <c r="C525" s="292"/>
      <c r="D525" s="43">
        <v>1.125</v>
      </c>
      <c r="E525" s="5">
        <f>SUM('WATER_STEAM RATIO'!E525)</f>
        <v>0</v>
      </c>
      <c r="F525" s="9">
        <f>SUM('DATA B1'!I526-'DATA B1'!I525)+('DATA B1'!J526-'DATA B1'!J525)</f>
        <v>0</v>
      </c>
      <c r="G525" s="28">
        <f t="shared" si="150"/>
        <v>0</v>
      </c>
      <c r="H525" s="28">
        <f t="shared" si="151"/>
        <v>0</v>
      </c>
      <c r="I525" s="24">
        <f>SUM('WATER_STEAM RATIO'!K525)</f>
        <v>0</v>
      </c>
      <c r="J525" s="30">
        <f>SUM('DATA B2'!I526-'DATA B2'!I525)+('DATA B2'!J526-'DATA B2'!J525)</f>
        <v>0</v>
      </c>
      <c r="K525" s="28">
        <f t="shared" si="152"/>
        <v>0</v>
      </c>
      <c r="L525" s="28">
        <f t="shared" si="156"/>
        <v>0</v>
      </c>
      <c r="M525" s="89">
        <f>SUM('WATER_STEAM RATIO'!Q525)</f>
        <v>11</v>
      </c>
      <c r="N525" s="9">
        <f>SUM('DATA B3'!H526-'DATA B3'!H525)</f>
        <v>466</v>
      </c>
      <c r="O525" s="88">
        <f t="shared" ref="O525:O529" si="157">IFERROR(N525/(M525),0)</f>
        <v>42.363636363636367</v>
      </c>
      <c r="P525" s="15">
        <f t="shared" si="155"/>
        <v>68.75</v>
      </c>
    </row>
    <row r="526" spans="3:16">
      <c r="C526" s="292"/>
      <c r="D526" s="43">
        <v>1.1666666666666701</v>
      </c>
      <c r="E526" s="5">
        <f>SUM('WATER_STEAM RATIO'!E526)</f>
        <v>0</v>
      </c>
      <c r="F526" s="9">
        <f>SUM('DATA B1'!I527-'DATA B1'!I526)+('DATA B1'!J527-'DATA B1'!J526)</f>
        <v>0</v>
      </c>
      <c r="G526" s="28">
        <f t="shared" si="150"/>
        <v>0</v>
      </c>
      <c r="H526" s="28">
        <f t="shared" si="151"/>
        <v>0</v>
      </c>
      <c r="I526" s="24">
        <f>SUM('WATER_STEAM RATIO'!K526)</f>
        <v>0</v>
      </c>
      <c r="J526" s="30">
        <f>SUM('DATA B2'!I527-'DATA B2'!I526)+('DATA B2'!J527-'DATA B2'!J526)</f>
        <v>0</v>
      </c>
      <c r="K526" s="28">
        <f>IFERROR(J526/(I526),0)</f>
        <v>0</v>
      </c>
      <c r="L526" s="28">
        <f t="shared" si="156"/>
        <v>0</v>
      </c>
      <c r="M526" s="89">
        <f>SUM('WATER_STEAM RATIO'!Q526)</f>
        <v>10</v>
      </c>
      <c r="N526" s="9">
        <f>SUM('DATA B3'!H527-'DATA B3'!H526)</f>
        <v>455</v>
      </c>
      <c r="O526" s="88">
        <f t="shared" si="157"/>
        <v>45.5</v>
      </c>
      <c r="P526" s="15">
        <f t="shared" si="155"/>
        <v>62.5</v>
      </c>
    </row>
    <row r="527" spans="3:16">
      <c r="C527" s="292"/>
      <c r="D527" s="43">
        <v>1.2083333333333399</v>
      </c>
      <c r="E527" s="5">
        <f>SUM('WATER_STEAM RATIO'!E527)</f>
        <v>0</v>
      </c>
      <c r="F527" s="9">
        <f>SUM('DATA B1'!I528-'DATA B1'!I527)+('DATA B1'!J528-'DATA B1'!J527)</f>
        <v>0</v>
      </c>
      <c r="G527" s="28">
        <f t="shared" si="150"/>
        <v>0</v>
      </c>
      <c r="H527" s="28">
        <f t="shared" si="151"/>
        <v>0</v>
      </c>
      <c r="I527" s="24">
        <f>SUM('WATER_STEAM RATIO'!K527)</f>
        <v>0</v>
      </c>
      <c r="J527" s="30">
        <f>SUM('DATA B2'!I528-'DATA B2'!I527)+('DATA B2'!J528-'DATA B2'!J527)</f>
        <v>0</v>
      </c>
      <c r="K527" s="28">
        <f>IFERROR(J527/(I527),0)</f>
        <v>0</v>
      </c>
      <c r="L527" s="28">
        <f t="shared" si="156"/>
        <v>0</v>
      </c>
      <c r="M527" s="89">
        <f>SUM('WATER_STEAM RATIO'!Q527)</f>
        <v>10</v>
      </c>
      <c r="N527" s="9">
        <f>SUM('DATA B3'!H528-'DATA B3'!H527)</f>
        <v>459</v>
      </c>
      <c r="O527" s="88">
        <f t="shared" si="157"/>
        <v>45.9</v>
      </c>
      <c r="P527" s="15">
        <f t="shared" si="155"/>
        <v>62.5</v>
      </c>
    </row>
    <row r="528" spans="3:16">
      <c r="C528" s="292"/>
      <c r="D528" s="43">
        <v>1.25</v>
      </c>
      <c r="E528" s="5">
        <f>SUM('WATER_STEAM RATIO'!E528)</f>
        <v>0</v>
      </c>
      <c r="F528" s="9">
        <f>SUM('DATA B1'!I529-'DATA B1'!I528)+('DATA B1'!J529-'DATA B1'!J528)</f>
        <v>0</v>
      </c>
      <c r="G528" s="28">
        <f t="shared" si="150"/>
        <v>0</v>
      </c>
      <c r="H528" s="28">
        <f t="shared" si="151"/>
        <v>0</v>
      </c>
      <c r="I528" s="24">
        <f>SUM('WATER_STEAM RATIO'!K528)</f>
        <v>0</v>
      </c>
      <c r="J528" s="30">
        <f>SUM('DATA B2'!I529-'DATA B2'!I528)+('DATA B2'!J529-'DATA B2'!J528)</f>
        <v>0</v>
      </c>
      <c r="K528" s="28">
        <f>IFERROR(J528/(I528),0)</f>
        <v>0</v>
      </c>
      <c r="L528" s="28">
        <f t="shared" si="156"/>
        <v>0</v>
      </c>
      <c r="M528" s="89">
        <f>SUM('WATER_STEAM RATIO'!Q528)</f>
        <v>10</v>
      </c>
      <c r="N528" s="9">
        <f>SUM('DATA B3'!H529-'DATA B3'!H528)</f>
        <v>451</v>
      </c>
      <c r="O528" s="88">
        <f t="shared" si="157"/>
        <v>45.1</v>
      </c>
      <c r="P528" s="15">
        <f t="shared" si="155"/>
        <v>62.5</v>
      </c>
    </row>
    <row r="529" spans="3:16">
      <c r="C529" s="292"/>
      <c r="D529" s="43">
        <v>1.2916666666666701</v>
      </c>
      <c r="E529" s="5">
        <f>SUM('WATER_STEAM RATIO'!E529)</f>
        <v>0</v>
      </c>
      <c r="F529" s="9">
        <f>SUM('DATA B1'!I530-'DATA B1'!I529)+('DATA B1'!J530-'DATA B1'!J529)</f>
        <v>0</v>
      </c>
      <c r="G529" s="28">
        <f t="shared" si="150"/>
        <v>0</v>
      </c>
      <c r="H529" s="28">
        <f t="shared" si="151"/>
        <v>0</v>
      </c>
      <c r="I529" s="24">
        <f>SUM('WATER_STEAM RATIO'!K529)</f>
        <v>0</v>
      </c>
      <c r="J529" s="30">
        <f>SUM('DATA B2'!I530-'DATA B2'!I529)+('DATA B2'!J530-'DATA B2'!J529)</f>
        <v>0</v>
      </c>
      <c r="K529" s="28">
        <f>IFERROR(J529/(I529),0)</f>
        <v>0</v>
      </c>
      <c r="L529" s="28">
        <f t="shared" si="156"/>
        <v>0</v>
      </c>
      <c r="M529" s="89">
        <f>SUM('WATER_STEAM RATIO'!Q529)</f>
        <v>10</v>
      </c>
      <c r="N529" s="9">
        <f>SUM('DATA B3'!H530-'DATA B3'!H529)</f>
        <v>466</v>
      </c>
      <c r="O529" s="88">
        <f t="shared" si="157"/>
        <v>46.6</v>
      </c>
      <c r="P529" s="15">
        <f t="shared" si="155"/>
        <v>62.5</v>
      </c>
    </row>
    <row r="530" spans="3:16">
      <c r="C530" s="293"/>
      <c r="D530" s="258"/>
      <c r="E530" s="91">
        <f>SUMIF(E505:E529,"&gt;=0",E505:E529)</f>
        <v>0</v>
      </c>
      <c r="F530" s="91">
        <f>SUMIF(F505:F529,"&gt;=0",F505:F529)</f>
        <v>0</v>
      </c>
      <c r="G530" s="54">
        <f>IFERROR(F530/E530,0)</f>
        <v>0</v>
      </c>
      <c r="H530" s="54">
        <f>IFERROR(AVERAGE(H506:H529),0)</f>
        <v>0</v>
      </c>
      <c r="I530" s="91">
        <f>SUMIF(I505:I529,"&gt;=0",I505:I529)</f>
        <v>0</v>
      </c>
      <c r="J530" s="91">
        <f>SUMIF(J505:J529,"&gt;=0",J505:J529)</f>
        <v>0</v>
      </c>
      <c r="K530" s="54">
        <f>IFERROR(J530/(I530),0)</f>
        <v>0</v>
      </c>
      <c r="L530" s="54">
        <f>IFERROR(AVERAGE(L506:L529),0)</f>
        <v>0</v>
      </c>
      <c r="M530" s="91">
        <f>SUMIF(M505:M529,"&gt;=0",M505:M529)</f>
        <v>278</v>
      </c>
      <c r="N530" s="91">
        <f>SUMIF(N505:N529,"&gt;=0",N505:N529)</f>
        <v>12865</v>
      </c>
      <c r="O530" s="239">
        <f>IFERROR(N530/(M530),0)</f>
        <v>46.276978417266186</v>
      </c>
      <c r="P530" s="215">
        <f>IFERROR(AVERAGE(P506:P529),0)</f>
        <v>68.75</v>
      </c>
    </row>
    <row r="531" spans="3:16" ht="15" customHeight="1">
      <c r="C531" s="291">
        <f>SUM('WATER_STEAM RATIO'!B531:B556)</f>
        <v>46043</v>
      </c>
      <c r="D531" s="43">
        <v>0.29166666666666669</v>
      </c>
      <c r="E531" s="5">
        <f>SUM('WATER_STEAM RATIO'!E531)</f>
        <v>0</v>
      </c>
      <c r="F531" s="9"/>
      <c r="G531" s="28"/>
      <c r="H531" s="28"/>
      <c r="I531" s="24">
        <f>SUM('WATER_STEAM RATIO'!K531)</f>
        <v>0</v>
      </c>
      <c r="J531" s="30"/>
      <c r="K531" s="28"/>
      <c r="L531" s="28"/>
      <c r="M531" s="89">
        <f>SUM('WATER_STEAM RATIO'!Q531)</f>
        <v>10</v>
      </c>
      <c r="N531" s="9"/>
      <c r="O531" s="88"/>
      <c r="P531" s="15"/>
    </row>
    <row r="532" spans="3:16">
      <c r="C532" s="292"/>
      <c r="D532" s="43">
        <v>0.33333333333333298</v>
      </c>
      <c r="E532" s="5">
        <f>SUM('WATER_STEAM RATIO'!E532)</f>
        <v>0</v>
      </c>
      <c r="F532" s="9">
        <f>SUM('DATA B1'!I533-'DATA B1'!I532)+('DATA B1'!J533-'DATA B1'!J532)</f>
        <v>0</v>
      </c>
      <c r="G532" s="28">
        <f>IFERROR(F532/(E532),0)</f>
        <v>0</v>
      </c>
      <c r="H532" s="28">
        <f>IFERROR((E532/18)*100,0)</f>
        <v>0</v>
      </c>
      <c r="I532" s="24">
        <f>SUM('WATER_STEAM RATIO'!K532)</f>
        <v>0</v>
      </c>
      <c r="J532" s="30">
        <f>SUM('DATA B2'!I533-'DATA B2'!I532)+('DATA B2'!J533-'DATA B2'!J532)</f>
        <v>0</v>
      </c>
      <c r="K532" s="28">
        <f>IFERROR(J532/(I532),0)</f>
        <v>0</v>
      </c>
      <c r="L532" s="28">
        <f>IFERROR((I532/18)*100,0)</f>
        <v>0</v>
      </c>
      <c r="M532" s="89">
        <f>SUM('WATER_STEAM RATIO'!Q532)</f>
        <v>13</v>
      </c>
      <c r="N532" s="9">
        <f>SUM('DATA B3'!H533-'DATA B3'!H532)</f>
        <v>605</v>
      </c>
      <c r="O532" s="88">
        <f>IFERROR(N532/(M532),0)</f>
        <v>46.53846153846154</v>
      </c>
      <c r="P532" s="15">
        <f>IFERROR((M532/16)*100,0)</f>
        <v>81.25</v>
      </c>
    </row>
    <row r="533" spans="3:16">
      <c r="C533" s="292"/>
      <c r="D533" s="43">
        <v>0.375</v>
      </c>
      <c r="E533" s="5">
        <f>SUM('WATER_STEAM RATIO'!E533)</f>
        <v>0</v>
      </c>
      <c r="F533" s="9">
        <f>SUM('DATA B1'!I534-'DATA B1'!I533)+('DATA B1'!J534-'DATA B1'!J533)</f>
        <v>0</v>
      </c>
      <c r="G533" s="28">
        <f t="shared" ref="G533:G555" si="158">IFERROR(F533/(E533),0)</f>
        <v>0</v>
      </c>
      <c r="H533" s="28">
        <f t="shared" ref="H533:H555" si="159">IFERROR((E533/18)*100,0)</f>
        <v>0</v>
      </c>
      <c r="I533" s="24">
        <f>SUM('WATER_STEAM RATIO'!K533)</f>
        <v>0</v>
      </c>
      <c r="J533" s="30">
        <f>SUM('DATA B2'!I534-'DATA B2'!I533)+('DATA B2'!J534-'DATA B2'!J533)</f>
        <v>0</v>
      </c>
      <c r="K533" s="28">
        <f t="shared" ref="K533:K551" si="160">IFERROR(J533/(I533),0)</f>
        <v>0</v>
      </c>
      <c r="L533" s="28">
        <f t="shared" ref="L533:L543" si="161">IFERROR((I533/18)*100,0)</f>
        <v>0</v>
      </c>
      <c r="M533" s="89">
        <f>SUM('WATER_STEAM RATIO'!Q533)</f>
        <v>9</v>
      </c>
      <c r="N533" s="9">
        <f>SUM('DATA B3'!H534-'DATA B3'!H533)</f>
        <v>412</v>
      </c>
      <c r="O533" s="88">
        <f t="shared" ref="O533:O550" si="162">IFERROR(N533/(M533),0)</f>
        <v>45.777777777777779</v>
      </c>
      <c r="P533" s="15">
        <f t="shared" ref="P533:P555" si="163">IFERROR((M533/16)*100,0)</f>
        <v>56.25</v>
      </c>
    </row>
    <row r="534" spans="3:16">
      <c r="C534" s="292"/>
      <c r="D534" s="43">
        <v>0.41666666666666702</v>
      </c>
      <c r="E534" s="5">
        <f>SUM('WATER_STEAM RATIO'!E534)</f>
        <v>0</v>
      </c>
      <c r="F534" s="9">
        <f>SUM('DATA B1'!I535-'DATA B1'!I534)+('DATA B1'!J535-'DATA B1'!J534)</f>
        <v>0</v>
      </c>
      <c r="G534" s="28">
        <f t="shared" si="158"/>
        <v>0</v>
      </c>
      <c r="H534" s="28">
        <f t="shared" si="159"/>
        <v>0</v>
      </c>
      <c r="I534" s="24">
        <f>SUM('WATER_STEAM RATIO'!K534)</f>
        <v>0</v>
      </c>
      <c r="J534" s="30">
        <f>SUM('DATA B2'!I535-'DATA B2'!I534)+('DATA B2'!J535-'DATA B2'!J534)</f>
        <v>0</v>
      </c>
      <c r="K534" s="28">
        <f t="shared" si="160"/>
        <v>0</v>
      </c>
      <c r="L534" s="28">
        <f t="shared" si="161"/>
        <v>0</v>
      </c>
      <c r="M534" s="89">
        <f>SUM('WATER_STEAM RATIO'!Q534)</f>
        <v>9</v>
      </c>
      <c r="N534" s="9">
        <f>SUM('DATA B3'!H535-'DATA B3'!H534)</f>
        <v>414</v>
      </c>
      <c r="O534" s="88">
        <f t="shared" si="162"/>
        <v>46</v>
      </c>
      <c r="P534" s="15">
        <f t="shared" si="163"/>
        <v>56.25</v>
      </c>
    </row>
    <row r="535" spans="3:16">
      <c r="C535" s="292"/>
      <c r="D535" s="43">
        <v>0.45833333333333298</v>
      </c>
      <c r="E535" s="5">
        <f>SUM('WATER_STEAM RATIO'!E535)</f>
        <v>0</v>
      </c>
      <c r="F535" s="9">
        <f>SUM('DATA B1'!I536-'DATA B1'!I535)+('DATA B1'!J536-'DATA B1'!J535)</f>
        <v>0</v>
      </c>
      <c r="G535" s="28">
        <f t="shared" si="158"/>
        <v>0</v>
      </c>
      <c r="H535" s="28">
        <f t="shared" si="159"/>
        <v>0</v>
      </c>
      <c r="I535" s="24">
        <f>SUM('WATER_STEAM RATIO'!K535)</f>
        <v>0</v>
      </c>
      <c r="J535" s="30">
        <f>SUM('DATA B2'!I536-'DATA B2'!I535)+('DATA B2'!J536-'DATA B2'!J535)</f>
        <v>0</v>
      </c>
      <c r="K535" s="28">
        <f t="shared" si="160"/>
        <v>0</v>
      </c>
      <c r="L535" s="28">
        <f t="shared" si="161"/>
        <v>0</v>
      </c>
      <c r="M535" s="89">
        <f>SUM('WATER_STEAM RATIO'!Q535)</f>
        <v>10</v>
      </c>
      <c r="N535" s="9">
        <f>SUM('DATA B3'!H536-'DATA B3'!H535)</f>
        <v>426</v>
      </c>
      <c r="O535" s="88">
        <f t="shared" si="162"/>
        <v>42.6</v>
      </c>
      <c r="P535" s="15">
        <f t="shared" si="163"/>
        <v>62.5</v>
      </c>
    </row>
    <row r="536" spans="3:16">
      <c r="C536" s="292"/>
      <c r="D536" s="43">
        <v>0.5</v>
      </c>
      <c r="E536" s="5">
        <f>SUM('WATER_STEAM RATIO'!E536)</f>
        <v>0</v>
      </c>
      <c r="F536" s="9">
        <f>SUM('DATA B1'!I537-'DATA B1'!I536)+('DATA B1'!J537-'DATA B1'!J536)</f>
        <v>0</v>
      </c>
      <c r="G536" s="28">
        <f t="shared" si="158"/>
        <v>0</v>
      </c>
      <c r="H536" s="28">
        <f t="shared" si="159"/>
        <v>0</v>
      </c>
      <c r="I536" s="24">
        <f>SUM('WATER_STEAM RATIO'!K536)</f>
        <v>0</v>
      </c>
      <c r="J536" s="30">
        <f>SUM('DATA B2'!I537-'DATA B2'!I536)+('DATA B2'!J537-'DATA B2'!J536)</f>
        <v>0</v>
      </c>
      <c r="K536" s="28">
        <f t="shared" si="160"/>
        <v>0</v>
      </c>
      <c r="L536" s="28">
        <f t="shared" si="161"/>
        <v>0</v>
      </c>
      <c r="M536" s="89">
        <f>SUM('WATER_STEAM RATIO'!Q536)</f>
        <v>-221732</v>
      </c>
      <c r="N536" s="9">
        <f>SUM('DATA B3'!H537-'DATA B3'!H536)</f>
        <v>-751540</v>
      </c>
      <c r="O536" s="88">
        <f t="shared" si="162"/>
        <v>3.3894070319123988</v>
      </c>
      <c r="P536" s="15">
        <f t="shared" si="163"/>
        <v>-1385825</v>
      </c>
    </row>
    <row r="537" spans="3:16">
      <c r="C537" s="292"/>
      <c r="D537" s="43">
        <v>0.54166666666666696</v>
      </c>
      <c r="E537" s="5">
        <f>SUM('WATER_STEAM RATIO'!E537)</f>
        <v>0</v>
      </c>
      <c r="F537" s="9">
        <f>SUM('DATA B1'!I538-'DATA B1'!I537)+('DATA B1'!J538-'DATA B1'!J537)</f>
        <v>0</v>
      </c>
      <c r="G537" s="28">
        <f t="shared" si="158"/>
        <v>0</v>
      </c>
      <c r="H537" s="28">
        <f t="shared" si="159"/>
        <v>0</v>
      </c>
      <c r="I537" s="24">
        <f>SUM('WATER_STEAM RATIO'!K537)</f>
        <v>0</v>
      </c>
      <c r="J537" s="30">
        <f>SUM('DATA B2'!I538-'DATA B2'!I537)+('DATA B2'!J538-'DATA B2'!J537)</f>
        <v>0</v>
      </c>
      <c r="K537" s="28">
        <f t="shared" si="160"/>
        <v>0</v>
      </c>
      <c r="L537" s="28">
        <f t="shared" si="161"/>
        <v>0</v>
      </c>
      <c r="M537" s="89">
        <f>SUM('WATER_STEAM RATIO'!Q537)</f>
        <v>0</v>
      </c>
      <c r="N537" s="9">
        <f>SUM('DATA B3'!H538-'DATA B3'!H537)</f>
        <v>0</v>
      </c>
      <c r="O537" s="88">
        <f t="shared" si="162"/>
        <v>0</v>
      </c>
      <c r="P537" s="15">
        <f t="shared" si="163"/>
        <v>0</v>
      </c>
    </row>
    <row r="538" spans="3:16">
      <c r="C538" s="292"/>
      <c r="D538" s="43">
        <v>0.58333333333333304</v>
      </c>
      <c r="E538" s="5">
        <f>SUM('WATER_STEAM RATIO'!E538)</f>
        <v>0</v>
      </c>
      <c r="F538" s="9">
        <f>SUM('DATA B1'!I539-'DATA B1'!I538)+('DATA B1'!J539-'DATA B1'!J538)</f>
        <v>0</v>
      </c>
      <c r="G538" s="28">
        <f t="shared" si="158"/>
        <v>0</v>
      </c>
      <c r="H538" s="28">
        <f t="shared" si="159"/>
        <v>0</v>
      </c>
      <c r="I538" s="24">
        <f>SUM('WATER_STEAM RATIO'!K538)</f>
        <v>0</v>
      </c>
      <c r="J538" s="30">
        <f>SUM('DATA B2'!I539-'DATA B2'!I538)+('DATA B2'!J539-'DATA B2'!J538)</f>
        <v>0</v>
      </c>
      <c r="K538" s="28">
        <f t="shared" si="160"/>
        <v>0</v>
      </c>
      <c r="L538" s="28">
        <f t="shared" si="161"/>
        <v>0</v>
      </c>
      <c r="M538" s="89">
        <f>SUM('WATER_STEAM RATIO'!Q538)</f>
        <v>0</v>
      </c>
      <c r="N538" s="9">
        <f>SUM('DATA B3'!H539-'DATA B3'!H538)</f>
        <v>0</v>
      </c>
      <c r="O538" s="88">
        <f t="shared" si="162"/>
        <v>0</v>
      </c>
      <c r="P538" s="15">
        <f t="shared" si="163"/>
        <v>0</v>
      </c>
    </row>
    <row r="539" spans="3:16">
      <c r="C539" s="292"/>
      <c r="D539" s="43">
        <v>0.625</v>
      </c>
      <c r="E539" s="5">
        <f>SUM('WATER_STEAM RATIO'!E539)</f>
        <v>0</v>
      </c>
      <c r="F539" s="9">
        <f>SUM('DATA B1'!I540-'DATA B1'!I539)+('DATA B1'!J540-'DATA B1'!J539)</f>
        <v>0</v>
      </c>
      <c r="G539" s="28">
        <f t="shared" si="158"/>
        <v>0</v>
      </c>
      <c r="H539" s="28">
        <f t="shared" si="159"/>
        <v>0</v>
      </c>
      <c r="I539" s="24">
        <f>SUM('WATER_STEAM RATIO'!K539)</f>
        <v>0</v>
      </c>
      <c r="J539" s="30">
        <f>SUM('DATA B2'!I540-'DATA B2'!I539)+('DATA B2'!J540-'DATA B2'!J539)</f>
        <v>0</v>
      </c>
      <c r="K539" s="28">
        <f t="shared" si="160"/>
        <v>0</v>
      </c>
      <c r="L539" s="28">
        <f t="shared" si="161"/>
        <v>0</v>
      </c>
      <c r="M539" s="89">
        <f>SUM('WATER_STEAM RATIO'!Q539)</f>
        <v>0</v>
      </c>
      <c r="N539" s="9">
        <f>SUM('DATA B3'!H540-'DATA B3'!H539)</f>
        <v>0</v>
      </c>
      <c r="O539" s="88">
        <f t="shared" si="162"/>
        <v>0</v>
      </c>
      <c r="P539" s="15">
        <f t="shared" si="163"/>
        <v>0</v>
      </c>
    </row>
    <row r="540" spans="3:16">
      <c r="C540" s="292"/>
      <c r="D540" s="43">
        <v>0.66666666666666596</v>
      </c>
      <c r="E540" s="5">
        <f>SUM('WATER_STEAM RATIO'!E540)</f>
        <v>0</v>
      </c>
      <c r="F540" s="9">
        <f>SUM('DATA B1'!I541-'DATA B1'!I540)+('DATA B1'!J541-'DATA B1'!J540)</f>
        <v>0</v>
      </c>
      <c r="G540" s="28">
        <f t="shared" si="158"/>
        <v>0</v>
      </c>
      <c r="H540" s="28">
        <f t="shared" si="159"/>
        <v>0</v>
      </c>
      <c r="I540" s="24">
        <f>SUM('WATER_STEAM RATIO'!K540)</f>
        <v>0</v>
      </c>
      <c r="J540" s="30">
        <f>SUM('DATA B2'!I541-'DATA B2'!I540)+('DATA B2'!J541-'DATA B2'!J540)</f>
        <v>0</v>
      </c>
      <c r="K540" s="28">
        <f t="shared" si="160"/>
        <v>0</v>
      </c>
      <c r="L540" s="28">
        <f t="shared" si="161"/>
        <v>0</v>
      </c>
      <c r="M540" s="89">
        <f>SUM('WATER_STEAM RATIO'!Q540)</f>
        <v>0</v>
      </c>
      <c r="N540" s="9">
        <f>SUM('DATA B3'!H541-'DATA B3'!H540)</f>
        <v>0</v>
      </c>
      <c r="O540" s="88">
        <f t="shared" si="162"/>
        <v>0</v>
      </c>
      <c r="P540" s="15">
        <f t="shared" si="163"/>
        <v>0</v>
      </c>
    </row>
    <row r="541" spans="3:16">
      <c r="C541" s="292"/>
      <c r="D541" s="43">
        <v>0.70833333333333304</v>
      </c>
      <c r="E541" s="5">
        <f>SUM('WATER_STEAM RATIO'!E541)</f>
        <v>0</v>
      </c>
      <c r="F541" s="9">
        <f>SUM('DATA B1'!I542-'DATA B1'!I541)+('DATA B1'!J542-'DATA B1'!J541)</f>
        <v>0</v>
      </c>
      <c r="G541" s="28">
        <f t="shared" si="158"/>
        <v>0</v>
      </c>
      <c r="H541" s="28">
        <f t="shared" si="159"/>
        <v>0</v>
      </c>
      <c r="I541" s="24">
        <f>SUM('WATER_STEAM RATIO'!K541)</f>
        <v>0</v>
      </c>
      <c r="J541" s="30">
        <f>SUM('DATA B2'!I542-'DATA B2'!I541)+('DATA B2'!J542-'DATA B2'!J541)</f>
        <v>0</v>
      </c>
      <c r="K541" s="28">
        <f t="shared" si="160"/>
        <v>0</v>
      </c>
      <c r="L541" s="28">
        <f t="shared" si="161"/>
        <v>0</v>
      </c>
      <c r="M541" s="89">
        <f>SUM('WATER_STEAM RATIO'!Q541)</f>
        <v>0</v>
      </c>
      <c r="N541" s="9">
        <f>SUM('DATA B3'!H542-'DATA B3'!H541)</f>
        <v>0</v>
      </c>
      <c r="O541" s="88">
        <f t="shared" si="162"/>
        <v>0</v>
      </c>
      <c r="P541" s="15">
        <f t="shared" si="163"/>
        <v>0</v>
      </c>
    </row>
    <row r="542" spans="3:16">
      <c r="C542" s="292"/>
      <c r="D542" s="43">
        <v>0.75</v>
      </c>
      <c r="E542" s="5">
        <f>SUM('WATER_STEAM RATIO'!E542)</f>
        <v>0</v>
      </c>
      <c r="F542" s="9">
        <f>SUM('DATA B1'!I543-'DATA B1'!I542)+('DATA B1'!J543-'DATA B1'!J542)</f>
        <v>0</v>
      </c>
      <c r="G542" s="28">
        <f t="shared" si="158"/>
        <v>0</v>
      </c>
      <c r="H542" s="28">
        <f t="shared" si="159"/>
        <v>0</v>
      </c>
      <c r="I542" s="24">
        <f>SUM('WATER_STEAM RATIO'!K542)</f>
        <v>0</v>
      </c>
      <c r="J542" s="30">
        <f>SUM('DATA B2'!I543-'DATA B2'!I542)+('DATA B2'!J543-'DATA B2'!J542)</f>
        <v>0</v>
      </c>
      <c r="K542" s="28">
        <f t="shared" si="160"/>
        <v>0</v>
      </c>
      <c r="L542" s="28">
        <f t="shared" si="161"/>
        <v>0</v>
      </c>
      <c r="M542" s="89">
        <f>SUM('WATER_STEAM RATIO'!Q542)</f>
        <v>0</v>
      </c>
      <c r="N542" s="9">
        <f>SUM('DATA B3'!H543-'DATA B3'!H542)</f>
        <v>0</v>
      </c>
      <c r="O542" s="88">
        <f t="shared" si="162"/>
        <v>0</v>
      </c>
      <c r="P542" s="15">
        <f t="shared" si="163"/>
        <v>0</v>
      </c>
    </row>
    <row r="543" spans="3:16">
      <c r="C543" s="292"/>
      <c r="D543" s="43">
        <v>0.79166666666666596</v>
      </c>
      <c r="E543" s="5">
        <f>SUM('WATER_STEAM RATIO'!E543)</f>
        <v>0</v>
      </c>
      <c r="F543" s="9">
        <f>SUM('DATA B1'!I544-'DATA B1'!I543)+('DATA B1'!J544-'DATA B1'!J543)</f>
        <v>0</v>
      </c>
      <c r="G543" s="28">
        <f t="shared" si="158"/>
        <v>0</v>
      </c>
      <c r="H543" s="28">
        <f t="shared" si="159"/>
        <v>0</v>
      </c>
      <c r="I543" s="24">
        <f>SUM('WATER_STEAM RATIO'!K543)</f>
        <v>0</v>
      </c>
      <c r="J543" s="30">
        <f>SUM('DATA B2'!I544-'DATA B2'!I543)+('DATA B2'!J544-'DATA B2'!J543)</f>
        <v>0</v>
      </c>
      <c r="K543" s="28">
        <f t="shared" si="160"/>
        <v>0</v>
      </c>
      <c r="L543" s="28">
        <f t="shared" si="161"/>
        <v>0</v>
      </c>
      <c r="M543" s="89">
        <f>SUM('WATER_STEAM RATIO'!Q543)</f>
        <v>0</v>
      </c>
      <c r="N543" s="9">
        <f>SUM('DATA B3'!H544-'DATA B3'!H543)</f>
        <v>0</v>
      </c>
      <c r="O543" s="88">
        <f t="shared" si="162"/>
        <v>0</v>
      </c>
      <c r="P543" s="15">
        <f t="shared" si="163"/>
        <v>0</v>
      </c>
    </row>
    <row r="544" spans="3:16">
      <c r="C544" s="292"/>
      <c r="D544" s="43">
        <v>0.83333333333333304</v>
      </c>
      <c r="E544" s="5">
        <f>SUM('WATER_STEAM RATIO'!E544)</f>
        <v>-222134</v>
      </c>
      <c r="F544" s="9">
        <f>SUM('DATA B1'!I545-'DATA B1'!I544)+('DATA B1'!J545-'DATA B1'!J544)</f>
        <v>-323121</v>
      </c>
      <c r="G544" s="28">
        <f t="shared" si="158"/>
        <v>1.4546219849280164</v>
      </c>
      <c r="H544" s="28">
        <f t="shared" si="159"/>
        <v>-1234077.7777777778</v>
      </c>
      <c r="I544" s="24">
        <f>SUM('WATER_STEAM RATIO'!K544)</f>
        <v>-515358</v>
      </c>
      <c r="J544" s="30">
        <f>SUM('DATA B2'!I545-'DATA B2'!I544)+('DATA B2'!J545-'DATA B2'!J544)</f>
        <v>-701152</v>
      </c>
      <c r="K544" s="28">
        <f t="shared" si="160"/>
        <v>1.3605144385068244</v>
      </c>
      <c r="L544" s="28">
        <f>IFERROR((I544/18)*100,0)</f>
        <v>-2863100</v>
      </c>
      <c r="M544" s="89">
        <f>SUM('WATER_STEAM RATIO'!Q544)</f>
        <v>0</v>
      </c>
      <c r="N544" s="9">
        <f>SUM('DATA B3'!H545-'DATA B3'!H544)</f>
        <v>0</v>
      </c>
      <c r="O544" s="88">
        <f t="shared" si="162"/>
        <v>0</v>
      </c>
      <c r="P544" s="15">
        <f t="shared" si="163"/>
        <v>0</v>
      </c>
    </row>
    <row r="545" spans="3:16">
      <c r="C545" s="292"/>
      <c r="D545" s="43">
        <v>0.875</v>
      </c>
      <c r="E545" s="5">
        <f>SUM('WATER_STEAM RATIO'!E545)</f>
        <v>0</v>
      </c>
      <c r="F545" s="9">
        <f>SUM('DATA B1'!I546-'DATA B1'!I545)+('DATA B1'!J546-'DATA B1'!J545)</f>
        <v>0</v>
      </c>
      <c r="G545" s="28">
        <f t="shared" si="158"/>
        <v>0</v>
      </c>
      <c r="H545" s="28">
        <f t="shared" si="159"/>
        <v>0</v>
      </c>
      <c r="I545" s="24">
        <f>SUM('WATER_STEAM RATIO'!K545)</f>
        <v>0</v>
      </c>
      <c r="J545" s="30">
        <f>SUM('DATA B2'!I546-'DATA B2'!I545)+('DATA B2'!J546-'DATA B2'!J545)</f>
        <v>0</v>
      </c>
      <c r="K545" s="28">
        <f t="shared" si="160"/>
        <v>0</v>
      </c>
      <c r="L545" s="28">
        <f t="shared" ref="L545:L555" si="164">IFERROR((I545/18)*100,0)</f>
        <v>0</v>
      </c>
      <c r="M545" s="89">
        <f>SUM('WATER_STEAM RATIO'!Q545)</f>
        <v>0</v>
      </c>
      <c r="N545" s="9">
        <f>SUM('DATA B3'!H546-'DATA B3'!H545)</f>
        <v>0</v>
      </c>
      <c r="O545" s="88">
        <f t="shared" si="162"/>
        <v>0</v>
      </c>
      <c r="P545" s="15">
        <f t="shared" si="163"/>
        <v>0</v>
      </c>
    </row>
    <row r="546" spans="3:16">
      <c r="C546" s="292"/>
      <c r="D546" s="43">
        <v>0.91666666666666596</v>
      </c>
      <c r="E546" s="5">
        <f>SUM('WATER_STEAM RATIO'!E546)</f>
        <v>0</v>
      </c>
      <c r="F546" s="9">
        <f>SUM('DATA B1'!I547-'DATA B1'!I546)+('DATA B1'!J547-'DATA B1'!J546)</f>
        <v>0</v>
      </c>
      <c r="G546" s="28">
        <f t="shared" si="158"/>
        <v>0</v>
      </c>
      <c r="H546" s="28">
        <f t="shared" si="159"/>
        <v>0</v>
      </c>
      <c r="I546" s="24">
        <f>SUM('WATER_STEAM RATIO'!K546)</f>
        <v>0</v>
      </c>
      <c r="J546" s="30">
        <f>SUM('DATA B2'!I547-'DATA B2'!I546)+('DATA B2'!J547-'DATA B2'!J546)</f>
        <v>0</v>
      </c>
      <c r="K546" s="28">
        <f t="shared" si="160"/>
        <v>0</v>
      </c>
      <c r="L546" s="28">
        <f t="shared" si="164"/>
        <v>0</v>
      </c>
      <c r="M546" s="89">
        <f>SUM('WATER_STEAM RATIO'!Q546)</f>
        <v>0</v>
      </c>
      <c r="N546" s="9">
        <f>SUM('DATA B3'!H547-'DATA B3'!H546)</f>
        <v>0</v>
      </c>
      <c r="O546" s="88">
        <f t="shared" si="162"/>
        <v>0</v>
      </c>
      <c r="P546" s="15">
        <f>IFERROR((M546/16)*100,0)</f>
        <v>0</v>
      </c>
    </row>
    <row r="547" spans="3:16">
      <c r="C547" s="292"/>
      <c r="D547" s="43">
        <v>0.95833333333333304</v>
      </c>
      <c r="E547" s="5">
        <f>SUM('WATER_STEAM RATIO'!E547)</f>
        <v>0</v>
      </c>
      <c r="F547" s="9">
        <f>SUM('DATA B1'!I548-'DATA B1'!I547)+('DATA B1'!J548-'DATA B1'!J547)</f>
        <v>0</v>
      </c>
      <c r="G547" s="28">
        <f t="shared" si="158"/>
        <v>0</v>
      </c>
      <c r="H547" s="28">
        <f t="shared" si="159"/>
        <v>0</v>
      </c>
      <c r="I547" s="24">
        <f>SUM('WATER_STEAM RATIO'!K547)</f>
        <v>0</v>
      </c>
      <c r="J547" s="30">
        <f>SUM('DATA B2'!I548-'DATA B2'!I547)+('DATA B2'!J548-'DATA B2'!J547)</f>
        <v>0</v>
      </c>
      <c r="K547" s="28">
        <f t="shared" si="160"/>
        <v>0</v>
      </c>
      <c r="L547" s="28">
        <f t="shared" si="164"/>
        <v>0</v>
      </c>
      <c r="M547" s="89">
        <f>SUM('WATER_STEAM RATIO'!Q547)</f>
        <v>0</v>
      </c>
      <c r="N547" s="9">
        <f>SUM('DATA B3'!H548-'DATA B3'!H547)</f>
        <v>0</v>
      </c>
      <c r="O547" s="88">
        <f t="shared" si="162"/>
        <v>0</v>
      </c>
      <c r="P547" s="15">
        <f t="shared" si="163"/>
        <v>0</v>
      </c>
    </row>
    <row r="548" spans="3:16">
      <c r="C548" s="292"/>
      <c r="D548" s="43">
        <v>1</v>
      </c>
      <c r="E548" s="5">
        <f>SUM('WATER_STEAM RATIO'!E548)</f>
        <v>0</v>
      </c>
      <c r="F548" s="9">
        <f>SUM('DATA B1'!I549-'DATA B1'!I548)+('DATA B1'!J549-'DATA B1'!J548)</f>
        <v>0</v>
      </c>
      <c r="G548" s="28">
        <f t="shared" si="158"/>
        <v>0</v>
      </c>
      <c r="H548" s="28">
        <f t="shared" si="159"/>
        <v>0</v>
      </c>
      <c r="I548" s="24">
        <f>SUM('WATER_STEAM RATIO'!K548)</f>
        <v>0</v>
      </c>
      <c r="J548" s="30">
        <f>SUM('DATA B2'!I549-'DATA B2'!I548)+('DATA B2'!J549-'DATA B2'!J548)</f>
        <v>0</v>
      </c>
      <c r="K548" s="28">
        <f t="shared" si="160"/>
        <v>0</v>
      </c>
      <c r="L548" s="28">
        <f t="shared" si="164"/>
        <v>0</v>
      </c>
      <c r="M548" s="89">
        <f>SUM('WATER_STEAM RATIO'!Q548)</f>
        <v>0</v>
      </c>
      <c r="N548" s="9">
        <f>SUM('DATA B3'!H549-'DATA B3'!H548)</f>
        <v>0</v>
      </c>
      <c r="O548" s="88">
        <f t="shared" si="162"/>
        <v>0</v>
      </c>
      <c r="P548" s="15">
        <f t="shared" si="163"/>
        <v>0</v>
      </c>
    </row>
    <row r="549" spans="3:16">
      <c r="C549" s="292"/>
      <c r="D549" s="43">
        <v>1.0416666666666701</v>
      </c>
      <c r="E549" s="5">
        <f>SUM('WATER_STEAM RATIO'!E549)</f>
        <v>0</v>
      </c>
      <c r="F549" s="9">
        <f>SUM('DATA B1'!I550-'DATA B1'!I549)+('DATA B1'!J550-'DATA B1'!J549)</f>
        <v>0</v>
      </c>
      <c r="G549" s="28">
        <f t="shared" si="158"/>
        <v>0</v>
      </c>
      <c r="H549" s="28">
        <f t="shared" si="159"/>
        <v>0</v>
      </c>
      <c r="I549" s="24">
        <f>SUM('WATER_STEAM RATIO'!K549)</f>
        <v>0</v>
      </c>
      <c r="J549" s="30">
        <f>SUM('DATA B2'!I550-'DATA B2'!I549)+('DATA B2'!J550-'DATA B2'!J549)</f>
        <v>0</v>
      </c>
      <c r="K549" s="28">
        <f t="shared" si="160"/>
        <v>0</v>
      </c>
      <c r="L549" s="28">
        <f t="shared" si="164"/>
        <v>0</v>
      </c>
      <c r="M549" s="89">
        <f>SUM('WATER_STEAM RATIO'!Q549)</f>
        <v>0</v>
      </c>
      <c r="N549" s="9">
        <f>SUM('DATA B3'!H550-'DATA B3'!H549)</f>
        <v>0</v>
      </c>
      <c r="O549" s="88">
        <f t="shared" si="162"/>
        <v>0</v>
      </c>
      <c r="P549" s="15">
        <f t="shared" si="163"/>
        <v>0</v>
      </c>
    </row>
    <row r="550" spans="3:16">
      <c r="C550" s="292"/>
      <c r="D550" s="43">
        <v>1.0833333333333399</v>
      </c>
      <c r="E550" s="5">
        <f>SUM('WATER_STEAM RATIO'!E550)</f>
        <v>0</v>
      </c>
      <c r="F550" s="9">
        <f>SUM('DATA B1'!I551-'DATA B1'!I550)+('DATA B1'!J551-'DATA B1'!J550)</f>
        <v>0</v>
      </c>
      <c r="G550" s="28">
        <f t="shared" si="158"/>
        <v>0</v>
      </c>
      <c r="H550" s="28">
        <f t="shared" si="159"/>
        <v>0</v>
      </c>
      <c r="I550" s="24">
        <f>SUM('WATER_STEAM RATIO'!K550)</f>
        <v>0</v>
      </c>
      <c r="J550" s="30">
        <f>SUM('DATA B2'!I551-'DATA B2'!I550)+('DATA B2'!J551-'DATA B2'!J550)</f>
        <v>0</v>
      </c>
      <c r="K550" s="28">
        <f t="shared" si="160"/>
        <v>0</v>
      </c>
      <c r="L550" s="28">
        <f t="shared" si="164"/>
        <v>0</v>
      </c>
      <c r="M550" s="89">
        <f>SUM('WATER_STEAM RATIO'!Q550)</f>
        <v>0</v>
      </c>
      <c r="N550" s="9">
        <f>SUM('DATA B3'!H551-'DATA B3'!H550)</f>
        <v>0</v>
      </c>
      <c r="O550" s="88">
        <f t="shared" si="162"/>
        <v>0</v>
      </c>
      <c r="P550" s="15">
        <f t="shared" si="163"/>
        <v>0</v>
      </c>
    </row>
    <row r="551" spans="3:16">
      <c r="C551" s="292"/>
      <c r="D551" s="43">
        <v>1.125</v>
      </c>
      <c r="E551" s="5">
        <f>SUM('WATER_STEAM RATIO'!E551)</f>
        <v>0</v>
      </c>
      <c r="F551" s="9">
        <f>SUM('DATA B1'!I552-'DATA B1'!I551)+('DATA B1'!J552-'DATA B1'!J551)</f>
        <v>0</v>
      </c>
      <c r="G551" s="28">
        <f t="shared" si="158"/>
        <v>0</v>
      </c>
      <c r="H551" s="28">
        <f t="shared" si="159"/>
        <v>0</v>
      </c>
      <c r="I551" s="24">
        <f>SUM('WATER_STEAM RATIO'!K551)</f>
        <v>0</v>
      </c>
      <c r="J551" s="30">
        <f>SUM('DATA B2'!I552-'DATA B2'!I551)+('DATA B2'!J552-'DATA B2'!J551)</f>
        <v>0</v>
      </c>
      <c r="K551" s="28">
        <f t="shared" si="160"/>
        <v>0</v>
      </c>
      <c r="L551" s="28">
        <f t="shared" si="164"/>
        <v>0</v>
      </c>
      <c r="M551" s="89">
        <f>SUM('WATER_STEAM RATIO'!Q551)</f>
        <v>0</v>
      </c>
      <c r="N551" s="9">
        <f>SUM('DATA B3'!H552-'DATA B3'!H551)</f>
        <v>0</v>
      </c>
      <c r="O551" s="88">
        <f t="shared" ref="O551:O555" si="165">IFERROR(N551/(M551),0)</f>
        <v>0</v>
      </c>
      <c r="P551" s="15">
        <f t="shared" si="163"/>
        <v>0</v>
      </c>
    </row>
    <row r="552" spans="3:16">
      <c r="C552" s="292"/>
      <c r="D552" s="43">
        <v>1.1666666666666701</v>
      </c>
      <c r="E552" s="5">
        <f>SUM('WATER_STEAM RATIO'!E552)</f>
        <v>0</v>
      </c>
      <c r="F552" s="9">
        <f>SUM('DATA B1'!I553-'DATA B1'!I552)+('DATA B1'!J553-'DATA B1'!J552)</f>
        <v>0</v>
      </c>
      <c r="G552" s="28">
        <f t="shared" si="158"/>
        <v>0</v>
      </c>
      <c r="H552" s="28">
        <f t="shared" si="159"/>
        <v>0</v>
      </c>
      <c r="I552" s="24">
        <f>SUM('WATER_STEAM RATIO'!K552)</f>
        <v>0</v>
      </c>
      <c r="J552" s="30">
        <f>SUM('DATA B2'!I553-'DATA B2'!I552)+('DATA B2'!J553-'DATA B2'!J552)</f>
        <v>0</v>
      </c>
      <c r="K552" s="28">
        <f>IFERROR(J552/(I552),0)</f>
        <v>0</v>
      </c>
      <c r="L552" s="28">
        <f t="shared" si="164"/>
        <v>0</v>
      </c>
      <c r="M552" s="89">
        <f>SUM('WATER_STEAM RATIO'!Q552)</f>
        <v>0</v>
      </c>
      <c r="N552" s="9">
        <f>SUM('DATA B3'!H553-'DATA B3'!H552)</f>
        <v>0</v>
      </c>
      <c r="O552" s="88">
        <f t="shared" si="165"/>
        <v>0</v>
      </c>
      <c r="P552" s="15">
        <f t="shared" si="163"/>
        <v>0</v>
      </c>
    </row>
    <row r="553" spans="3:16">
      <c r="C553" s="292"/>
      <c r="D553" s="43">
        <v>1.2083333333333399</v>
      </c>
      <c r="E553" s="5">
        <f>SUM('WATER_STEAM RATIO'!E553)</f>
        <v>0</v>
      </c>
      <c r="F553" s="9">
        <f>SUM('DATA B1'!I554-'DATA B1'!I553)+('DATA B1'!J554-'DATA B1'!J553)</f>
        <v>0</v>
      </c>
      <c r="G553" s="28">
        <f t="shared" si="158"/>
        <v>0</v>
      </c>
      <c r="H553" s="28">
        <f t="shared" si="159"/>
        <v>0</v>
      </c>
      <c r="I553" s="24">
        <f>SUM('WATER_STEAM RATIO'!K553)</f>
        <v>0</v>
      </c>
      <c r="J553" s="30">
        <f>SUM('DATA B2'!I554-'DATA B2'!I553)+('DATA B2'!J554-'DATA B2'!J553)</f>
        <v>0</v>
      </c>
      <c r="K553" s="28">
        <f>IFERROR(J553/(I553),0)</f>
        <v>0</v>
      </c>
      <c r="L553" s="28">
        <f t="shared" si="164"/>
        <v>0</v>
      </c>
      <c r="M553" s="89">
        <f>SUM('WATER_STEAM RATIO'!Q553)</f>
        <v>0</v>
      </c>
      <c r="N553" s="9">
        <f>SUM('DATA B3'!H554-'DATA B3'!H553)</f>
        <v>0</v>
      </c>
      <c r="O553" s="88">
        <f t="shared" si="165"/>
        <v>0</v>
      </c>
      <c r="P553" s="15">
        <f t="shared" si="163"/>
        <v>0</v>
      </c>
    </row>
    <row r="554" spans="3:16">
      <c r="C554" s="292"/>
      <c r="D554" s="43">
        <v>1.25</v>
      </c>
      <c r="E554" s="5">
        <f>SUM('WATER_STEAM RATIO'!E554)</f>
        <v>0</v>
      </c>
      <c r="F554" s="9">
        <f>SUM('DATA B1'!I555-'DATA B1'!I554)+('DATA B1'!J555-'DATA B1'!J554)</f>
        <v>0</v>
      </c>
      <c r="G554" s="28">
        <f t="shared" si="158"/>
        <v>0</v>
      </c>
      <c r="H554" s="28">
        <f t="shared" si="159"/>
        <v>0</v>
      </c>
      <c r="I554" s="24">
        <f>SUM('WATER_STEAM RATIO'!K554)</f>
        <v>0</v>
      </c>
      <c r="J554" s="30">
        <f>SUM('DATA B2'!I555-'DATA B2'!I554)+('DATA B2'!J555-'DATA B2'!J554)</f>
        <v>0</v>
      </c>
      <c r="K554" s="28">
        <f>IFERROR(J554/(I554),0)</f>
        <v>0</v>
      </c>
      <c r="L554" s="28">
        <f t="shared" si="164"/>
        <v>0</v>
      </c>
      <c r="M554" s="89">
        <f>SUM('WATER_STEAM RATIO'!Q554)</f>
        <v>0</v>
      </c>
      <c r="N554" s="9">
        <f>SUM('DATA B3'!H555-'DATA B3'!H554)</f>
        <v>0</v>
      </c>
      <c r="O554" s="88">
        <f t="shared" si="165"/>
        <v>0</v>
      </c>
      <c r="P554" s="15">
        <f t="shared" si="163"/>
        <v>0</v>
      </c>
    </row>
    <row r="555" spans="3:16">
      <c r="C555" s="292"/>
      <c r="D555" s="43">
        <v>1.2916666666666701</v>
      </c>
      <c r="E555" s="5">
        <f>SUM('WATER_STEAM RATIO'!E555)</f>
        <v>0</v>
      </c>
      <c r="F555" s="9">
        <f>SUM('DATA B1'!I556-'DATA B1'!I555)+('DATA B1'!J556-'DATA B1'!J555)</f>
        <v>0</v>
      </c>
      <c r="G555" s="28">
        <f t="shared" si="158"/>
        <v>0</v>
      </c>
      <c r="H555" s="28">
        <f t="shared" si="159"/>
        <v>0</v>
      </c>
      <c r="I555" s="24">
        <f>SUM('WATER_STEAM RATIO'!K555)</f>
        <v>0</v>
      </c>
      <c r="J555" s="30">
        <f>SUM('DATA B2'!I556-'DATA B2'!I555)+('DATA B2'!J556-'DATA B2'!J555)</f>
        <v>0</v>
      </c>
      <c r="K555" s="28">
        <f>IFERROR(J555/(I555),0)</f>
        <v>0</v>
      </c>
      <c r="L555" s="28">
        <f t="shared" si="164"/>
        <v>0</v>
      </c>
      <c r="M555" s="89">
        <f>SUM('WATER_STEAM RATIO'!Q555)</f>
        <v>0</v>
      </c>
      <c r="N555" s="9">
        <f>SUM('DATA B3'!H556-'DATA B3'!H555)</f>
        <v>0</v>
      </c>
      <c r="O555" s="88">
        <f t="shared" si="165"/>
        <v>0</v>
      </c>
      <c r="P555" s="15">
        <f t="shared" si="163"/>
        <v>0</v>
      </c>
    </row>
    <row r="556" spans="3:16">
      <c r="C556" s="293"/>
      <c r="D556" s="258"/>
      <c r="E556" s="91">
        <f>SUMIF(E531:E555,"&gt;=0",E531:E555)</f>
        <v>0</v>
      </c>
      <c r="F556" s="91">
        <f>SUMIF(F531:F555,"&gt;=0",F531:F555)</f>
        <v>0</v>
      </c>
      <c r="G556" s="54">
        <f>IFERROR(F556/E556,0)</f>
        <v>0</v>
      </c>
      <c r="H556" s="54">
        <f>IFERROR(AVERAGE(H532:H555),0)</f>
        <v>-51419.907407407409</v>
      </c>
      <c r="I556" s="91">
        <f>SUMIF(I531:I555,"&gt;=0",I531:I555)</f>
        <v>0</v>
      </c>
      <c r="J556" s="91">
        <f>SUMIF(J531:J555,"&gt;=0",J531:J555)</f>
        <v>0</v>
      </c>
      <c r="K556" s="54">
        <f>IFERROR(J556/(I556),0)</f>
        <v>0</v>
      </c>
      <c r="L556" s="54">
        <f>IFERROR(AVERAGE(L532:L555),0)</f>
        <v>-119295.83333333333</v>
      </c>
      <c r="M556" s="91">
        <f>SUMIF(M531:M555,"&gt;=0",M531:M555)</f>
        <v>51</v>
      </c>
      <c r="N556" s="91">
        <f>SUMIF(N531:N555,"&gt;=0",N531:N555)</f>
        <v>1857</v>
      </c>
      <c r="O556" s="239">
        <f>IFERROR(N556/(M556),0)</f>
        <v>36.411764705882355</v>
      </c>
      <c r="P556" s="215">
        <f>IFERROR(AVERAGE(P532:P555),0)</f>
        <v>-57732.03125</v>
      </c>
    </row>
    <row r="557" spans="3:16" ht="15" customHeight="1">
      <c r="C557" s="291">
        <f>SUM('WATER_STEAM RATIO'!B557:B582)</f>
        <v>46044</v>
      </c>
      <c r="D557" s="43">
        <v>0.29166666666666669</v>
      </c>
      <c r="E557" s="5">
        <f>SUM('WATER_STEAM RATIO'!E557)</f>
        <v>0</v>
      </c>
      <c r="F557" s="9"/>
      <c r="G557" s="28"/>
      <c r="H557" s="28"/>
      <c r="I557" s="24">
        <f>SUM('WATER_STEAM RATIO'!K557)</f>
        <v>0</v>
      </c>
      <c r="J557" s="30"/>
      <c r="K557" s="28"/>
      <c r="L557" s="28"/>
      <c r="M557" s="89">
        <f>SUM('WATER_STEAM RATIO'!Q557)</f>
        <v>0</v>
      </c>
      <c r="N557" s="9"/>
      <c r="O557" s="88"/>
      <c r="P557" s="15"/>
    </row>
    <row r="558" spans="3:16">
      <c r="C558" s="292"/>
      <c r="D558" s="43">
        <v>0.33333333333333298</v>
      </c>
      <c r="E558" s="5">
        <f>SUM('WATER_STEAM RATIO'!E558)</f>
        <v>0</v>
      </c>
      <c r="F558" s="9">
        <f>SUM('DATA B1'!I559-'DATA B1'!I558)+('DATA B1'!J559-'DATA B1'!J558)</f>
        <v>0</v>
      </c>
      <c r="G558" s="28">
        <f>IFERROR(F558/(E558),0)</f>
        <v>0</v>
      </c>
      <c r="H558" s="28">
        <f>IFERROR((E558/18)*100,0)</f>
        <v>0</v>
      </c>
      <c r="I558" s="24">
        <f>SUM('WATER_STEAM RATIO'!K558)</f>
        <v>0</v>
      </c>
      <c r="J558" s="30">
        <f>SUM('DATA B2'!I559-'DATA B2'!I558)+('DATA B2'!J559-'DATA B2'!J558)</f>
        <v>0</v>
      </c>
      <c r="K558" s="28">
        <f>IFERROR(J558/(I558),0)</f>
        <v>0</v>
      </c>
      <c r="L558" s="28">
        <f>IFERROR((I558/18)*100,0)</f>
        <v>0</v>
      </c>
      <c r="M558" s="89">
        <f>SUM('WATER_STEAM RATIO'!Q558)</f>
        <v>0</v>
      </c>
      <c r="N558" s="9">
        <f>SUM('DATA B3'!H559-'DATA B3'!H558)</f>
        <v>0</v>
      </c>
      <c r="O558" s="88">
        <f>IFERROR(N558/(M558),0)</f>
        <v>0</v>
      </c>
      <c r="P558" s="15">
        <f>IFERROR((M558/16)*100,0)</f>
        <v>0</v>
      </c>
    </row>
    <row r="559" spans="3:16">
      <c r="C559" s="292"/>
      <c r="D559" s="43">
        <v>0.375</v>
      </c>
      <c r="E559" s="5">
        <f>SUM('WATER_STEAM RATIO'!E559)</f>
        <v>0</v>
      </c>
      <c r="F559" s="9">
        <f>SUM('DATA B1'!I560-'DATA B1'!I559)+('DATA B1'!J560-'DATA B1'!J559)</f>
        <v>0</v>
      </c>
      <c r="G559" s="28">
        <f t="shared" ref="G559:G581" si="166">IFERROR(F559/(E559),0)</f>
        <v>0</v>
      </c>
      <c r="H559" s="28">
        <f t="shared" ref="H559:H581" si="167">IFERROR((E559/18)*100,0)</f>
        <v>0</v>
      </c>
      <c r="I559" s="24">
        <f>SUM('WATER_STEAM RATIO'!K559)</f>
        <v>0</v>
      </c>
      <c r="J559" s="30">
        <f>SUM('DATA B2'!I560-'DATA B2'!I559)+('DATA B2'!J560-'DATA B2'!J559)</f>
        <v>0</v>
      </c>
      <c r="K559" s="28">
        <f t="shared" ref="K559:K577" si="168">IFERROR(J559/(I559),0)</f>
        <v>0</v>
      </c>
      <c r="L559" s="28">
        <f t="shared" ref="L559:L569" si="169">IFERROR((I559/18)*100,0)</f>
        <v>0</v>
      </c>
      <c r="M559" s="89">
        <f>SUM('WATER_STEAM RATIO'!Q559)</f>
        <v>0</v>
      </c>
      <c r="N559" s="9">
        <f>SUM('DATA B3'!H560-'DATA B3'!H559)</f>
        <v>0</v>
      </c>
      <c r="O559" s="88">
        <f t="shared" ref="O559:O576" si="170">IFERROR(N559/(M559),0)</f>
        <v>0</v>
      </c>
      <c r="P559" s="15">
        <f t="shared" ref="P559:P581" si="171">IFERROR((M559/16)*100,0)</f>
        <v>0</v>
      </c>
    </row>
    <row r="560" spans="3:16">
      <c r="C560" s="292"/>
      <c r="D560" s="43">
        <v>0.41666666666666702</v>
      </c>
      <c r="E560" s="5">
        <f>SUM('WATER_STEAM RATIO'!E560)</f>
        <v>0</v>
      </c>
      <c r="F560" s="9">
        <f>SUM('DATA B1'!I561-'DATA B1'!I560)+('DATA B1'!J561-'DATA B1'!J560)</f>
        <v>0</v>
      </c>
      <c r="G560" s="28">
        <f t="shared" si="166"/>
        <v>0</v>
      </c>
      <c r="H560" s="28">
        <f t="shared" si="167"/>
        <v>0</v>
      </c>
      <c r="I560" s="24">
        <f>SUM('WATER_STEAM RATIO'!K560)</f>
        <v>0</v>
      </c>
      <c r="J560" s="30">
        <f>SUM('DATA B2'!I561-'DATA B2'!I560)+('DATA B2'!J561-'DATA B2'!J560)</f>
        <v>0</v>
      </c>
      <c r="K560" s="28">
        <f t="shared" si="168"/>
        <v>0</v>
      </c>
      <c r="L560" s="28">
        <f t="shared" si="169"/>
        <v>0</v>
      </c>
      <c r="M560" s="89">
        <f>SUM('WATER_STEAM RATIO'!Q560)</f>
        <v>0</v>
      </c>
      <c r="N560" s="9">
        <f>SUM('DATA B3'!H561-'DATA B3'!H560)</f>
        <v>0</v>
      </c>
      <c r="O560" s="88">
        <f t="shared" si="170"/>
        <v>0</v>
      </c>
      <c r="P560" s="15">
        <f t="shared" si="171"/>
        <v>0</v>
      </c>
    </row>
    <row r="561" spans="3:16">
      <c r="C561" s="292"/>
      <c r="D561" s="43">
        <v>0.45833333333333298</v>
      </c>
      <c r="E561" s="5">
        <f>SUM('WATER_STEAM RATIO'!E561)</f>
        <v>0</v>
      </c>
      <c r="F561" s="9">
        <f>SUM('DATA B1'!I562-'DATA B1'!I561)+('DATA B1'!J562-'DATA B1'!J561)</f>
        <v>0</v>
      </c>
      <c r="G561" s="28">
        <f t="shared" si="166"/>
        <v>0</v>
      </c>
      <c r="H561" s="28">
        <f t="shared" si="167"/>
        <v>0</v>
      </c>
      <c r="I561" s="24">
        <f>SUM('WATER_STEAM RATIO'!K561)</f>
        <v>0</v>
      </c>
      <c r="J561" s="30">
        <f>SUM('DATA B2'!I562-'DATA B2'!I561)+('DATA B2'!J562-'DATA B2'!J561)</f>
        <v>0</v>
      </c>
      <c r="K561" s="28">
        <f t="shared" si="168"/>
        <v>0</v>
      </c>
      <c r="L561" s="28">
        <f t="shared" si="169"/>
        <v>0</v>
      </c>
      <c r="M561" s="89">
        <f>SUM('WATER_STEAM RATIO'!Q561)</f>
        <v>0</v>
      </c>
      <c r="N561" s="9">
        <f>SUM('DATA B3'!H562-'DATA B3'!H561)</f>
        <v>0</v>
      </c>
      <c r="O561" s="88">
        <f t="shared" si="170"/>
        <v>0</v>
      </c>
      <c r="P561" s="15">
        <f t="shared" si="171"/>
        <v>0</v>
      </c>
    </row>
    <row r="562" spans="3:16">
      <c r="C562" s="292"/>
      <c r="D562" s="43">
        <v>0.5</v>
      </c>
      <c r="E562" s="5">
        <f>SUM('WATER_STEAM RATIO'!E562)</f>
        <v>0</v>
      </c>
      <c r="F562" s="9">
        <f>SUM('DATA B1'!I563-'DATA B1'!I562)+('DATA B1'!J563-'DATA B1'!J562)</f>
        <v>0</v>
      </c>
      <c r="G562" s="28">
        <f t="shared" si="166"/>
        <v>0</v>
      </c>
      <c r="H562" s="28">
        <f t="shared" si="167"/>
        <v>0</v>
      </c>
      <c r="I562" s="24">
        <f>SUM('WATER_STEAM RATIO'!K562)</f>
        <v>0</v>
      </c>
      <c r="J562" s="30">
        <f>SUM('DATA B2'!I563-'DATA B2'!I562)+('DATA B2'!J563-'DATA B2'!J562)</f>
        <v>0</v>
      </c>
      <c r="K562" s="28">
        <f t="shared" si="168"/>
        <v>0</v>
      </c>
      <c r="L562" s="28">
        <f t="shared" si="169"/>
        <v>0</v>
      </c>
      <c r="M562" s="89">
        <f>SUM('WATER_STEAM RATIO'!Q562)</f>
        <v>0</v>
      </c>
      <c r="N562" s="9">
        <f>SUM('DATA B3'!H563-'DATA B3'!H562)</f>
        <v>0</v>
      </c>
      <c r="O562" s="88">
        <f t="shared" si="170"/>
        <v>0</v>
      </c>
      <c r="P562" s="15">
        <f t="shared" si="171"/>
        <v>0</v>
      </c>
    </row>
    <row r="563" spans="3:16">
      <c r="C563" s="292"/>
      <c r="D563" s="43">
        <v>0.54166666666666696</v>
      </c>
      <c r="E563" s="5">
        <f>SUM('WATER_STEAM RATIO'!E563)</f>
        <v>0</v>
      </c>
      <c r="F563" s="9">
        <f>SUM('DATA B1'!I564-'DATA B1'!I563)+('DATA B1'!J564-'DATA B1'!J563)</f>
        <v>0</v>
      </c>
      <c r="G563" s="28">
        <f t="shared" si="166"/>
        <v>0</v>
      </c>
      <c r="H563" s="28">
        <f t="shared" si="167"/>
        <v>0</v>
      </c>
      <c r="I563" s="24">
        <f>SUM('WATER_STEAM RATIO'!K563)</f>
        <v>0</v>
      </c>
      <c r="J563" s="30">
        <f>SUM('DATA B2'!I564-'DATA B2'!I563)+('DATA B2'!J564-'DATA B2'!J563)</f>
        <v>0</v>
      </c>
      <c r="K563" s="28">
        <f t="shared" si="168"/>
        <v>0</v>
      </c>
      <c r="L563" s="28">
        <f t="shared" si="169"/>
        <v>0</v>
      </c>
      <c r="M563" s="89">
        <f>SUM('WATER_STEAM RATIO'!Q563)</f>
        <v>0</v>
      </c>
      <c r="N563" s="9">
        <f>SUM('DATA B3'!H564-'DATA B3'!H563)</f>
        <v>0</v>
      </c>
      <c r="O563" s="88">
        <f t="shared" si="170"/>
        <v>0</v>
      </c>
      <c r="P563" s="15">
        <f t="shared" si="171"/>
        <v>0</v>
      </c>
    </row>
    <row r="564" spans="3:16">
      <c r="C564" s="292"/>
      <c r="D564" s="43">
        <v>0.58333333333333304</v>
      </c>
      <c r="E564" s="5">
        <f>SUM('WATER_STEAM RATIO'!E564)</f>
        <v>0</v>
      </c>
      <c r="F564" s="9">
        <f>SUM('DATA B1'!I565-'DATA B1'!I564)+('DATA B1'!J565-'DATA B1'!J564)</f>
        <v>0</v>
      </c>
      <c r="G564" s="28">
        <f t="shared" si="166"/>
        <v>0</v>
      </c>
      <c r="H564" s="28">
        <f t="shared" si="167"/>
        <v>0</v>
      </c>
      <c r="I564" s="24">
        <f>SUM('WATER_STEAM RATIO'!K564)</f>
        <v>0</v>
      </c>
      <c r="J564" s="30">
        <f>SUM('DATA B2'!I565-'DATA B2'!I564)+('DATA B2'!J565-'DATA B2'!J564)</f>
        <v>0</v>
      </c>
      <c r="K564" s="28">
        <f t="shared" si="168"/>
        <v>0</v>
      </c>
      <c r="L564" s="28">
        <f t="shared" si="169"/>
        <v>0</v>
      </c>
      <c r="M564" s="89">
        <f>SUM('WATER_STEAM RATIO'!Q564)</f>
        <v>0</v>
      </c>
      <c r="N564" s="9">
        <f>SUM('DATA B3'!H565-'DATA B3'!H564)</f>
        <v>0</v>
      </c>
      <c r="O564" s="88">
        <f t="shared" si="170"/>
        <v>0</v>
      </c>
      <c r="P564" s="15">
        <f t="shared" si="171"/>
        <v>0</v>
      </c>
    </row>
    <row r="565" spans="3:16">
      <c r="C565" s="292"/>
      <c r="D565" s="43">
        <v>0.625</v>
      </c>
      <c r="E565" s="5">
        <f>SUM('WATER_STEAM RATIO'!E565)</f>
        <v>0</v>
      </c>
      <c r="F565" s="9">
        <f>SUM('DATA B1'!I566-'DATA B1'!I565)+('DATA B1'!J566-'DATA B1'!J565)</f>
        <v>0</v>
      </c>
      <c r="G565" s="28">
        <f t="shared" si="166"/>
        <v>0</v>
      </c>
      <c r="H565" s="28">
        <f t="shared" si="167"/>
        <v>0</v>
      </c>
      <c r="I565" s="24">
        <f>SUM('WATER_STEAM RATIO'!K565)</f>
        <v>0</v>
      </c>
      <c r="J565" s="30">
        <f>SUM('DATA B2'!I566-'DATA B2'!I565)+('DATA B2'!J566-'DATA B2'!J565)</f>
        <v>0</v>
      </c>
      <c r="K565" s="28">
        <f t="shared" si="168"/>
        <v>0</v>
      </c>
      <c r="L565" s="28">
        <f t="shared" si="169"/>
        <v>0</v>
      </c>
      <c r="M565" s="89">
        <f>SUM('WATER_STEAM RATIO'!Q565)</f>
        <v>0</v>
      </c>
      <c r="N565" s="9">
        <f>SUM('DATA B3'!H566-'DATA B3'!H565)</f>
        <v>0</v>
      </c>
      <c r="O565" s="88">
        <f t="shared" si="170"/>
        <v>0</v>
      </c>
      <c r="P565" s="15">
        <f t="shared" si="171"/>
        <v>0</v>
      </c>
    </row>
    <row r="566" spans="3:16">
      <c r="C566" s="292"/>
      <c r="D566" s="43">
        <v>0.66666666666666596</v>
      </c>
      <c r="E566" s="5">
        <f>SUM('WATER_STEAM RATIO'!E566)</f>
        <v>0</v>
      </c>
      <c r="F566" s="9">
        <f>SUM('DATA B1'!I567-'DATA B1'!I566)+('DATA B1'!J567-'DATA B1'!J566)</f>
        <v>0</v>
      </c>
      <c r="G566" s="28">
        <f t="shared" si="166"/>
        <v>0</v>
      </c>
      <c r="H566" s="28">
        <f t="shared" si="167"/>
        <v>0</v>
      </c>
      <c r="I566" s="24">
        <f>SUM('WATER_STEAM RATIO'!K566)</f>
        <v>0</v>
      </c>
      <c r="J566" s="30">
        <f>SUM('DATA B2'!I567-'DATA B2'!I566)+('DATA B2'!J567-'DATA B2'!J566)</f>
        <v>0</v>
      </c>
      <c r="K566" s="28">
        <f t="shared" si="168"/>
        <v>0</v>
      </c>
      <c r="L566" s="28">
        <f t="shared" si="169"/>
        <v>0</v>
      </c>
      <c r="M566" s="89">
        <f>SUM('WATER_STEAM RATIO'!Q566)</f>
        <v>0</v>
      </c>
      <c r="N566" s="9">
        <f>SUM('DATA B3'!H567-'DATA B3'!H566)</f>
        <v>0</v>
      </c>
      <c r="O566" s="88">
        <f t="shared" si="170"/>
        <v>0</v>
      </c>
      <c r="P566" s="15">
        <f t="shared" si="171"/>
        <v>0</v>
      </c>
    </row>
    <row r="567" spans="3:16">
      <c r="C567" s="292"/>
      <c r="D567" s="43">
        <v>0.70833333333333304</v>
      </c>
      <c r="E567" s="5">
        <f>SUM('WATER_STEAM RATIO'!E567)</f>
        <v>0</v>
      </c>
      <c r="F567" s="9">
        <f>SUM('DATA B1'!I568-'DATA B1'!I567)+('DATA B1'!J568-'DATA B1'!J567)</f>
        <v>0</v>
      </c>
      <c r="G567" s="28">
        <f t="shared" si="166"/>
        <v>0</v>
      </c>
      <c r="H567" s="28">
        <f t="shared" si="167"/>
        <v>0</v>
      </c>
      <c r="I567" s="24">
        <f>SUM('WATER_STEAM RATIO'!K567)</f>
        <v>0</v>
      </c>
      <c r="J567" s="30">
        <f>SUM('DATA B2'!I568-'DATA B2'!I567)+('DATA B2'!J568-'DATA B2'!J567)</f>
        <v>0</v>
      </c>
      <c r="K567" s="28">
        <f t="shared" si="168"/>
        <v>0</v>
      </c>
      <c r="L567" s="28">
        <f t="shared" si="169"/>
        <v>0</v>
      </c>
      <c r="M567" s="89">
        <f>SUM('WATER_STEAM RATIO'!Q567)</f>
        <v>0</v>
      </c>
      <c r="N567" s="9">
        <f>SUM('DATA B3'!H568-'DATA B3'!H567)</f>
        <v>0</v>
      </c>
      <c r="O567" s="88">
        <f t="shared" si="170"/>
        <v>0</v>
      </c>
      <c r="P567" s="15">
        <f t="shared" si="171"/>
        <v>0</v>
      </c>
    </row>
    <row r="568" spans="3:16">
      <c r="C568" s="292"/>
      <c r="D568" s="43">
        <v>0.75</v>
      </c>
      <c r="E568" s="5">
        <f>SUM('WATER_STEAM RATIO'!E568)</f>
        <v>0</v>
      </c>
      <c r="F568" s="9">
        <f>SUM('DATA B1'!I569-'DATA B1'!I568)+('DATA B1'!J569-'DATA B1'!J568)</f>
        <v>0</v>
      </c>
      <c r="G568" s="28">
        <f t="shared" si="166"/>
        <v>0</v>
      </c>
      <c r="H568" s="28">
        <f t="shared" si="167"/>
        <v>0</v>
      </c>
      <c r="I568" s="24">
        <f>SUM('WATER_STEAM RATIO'!K568)</f>
        <v>0</v>
      </c>
      <c r="J568" s="30">
        <f>SUM('DATA B2'!I569-'DATA B2'!I568)+('DATA B2'!J569-'DATA B2'!J568)</f>
        <v>0</v>
      </c>
      <c r="K568" s="28">
        <f t="shared" si="168"/>
        <v>0</v>
      </c>
      <c r="L568" s="28">
        <f t="shared" si="169"/>
        <v>0</v>
      </c>
      <c r="M568" s="89">
        <f>SUM('WATER_STEAM RATIO'!Q568)</f>
        <v>0</v>
      </c>
      <c r="N568" s="9">
        <f>SUM('DATA B3'!H569-'DATA B3'!H568)</f>
        <v>0</v>
      </c>
      <c r="O568" s="88">
        <f t="shared" si="170"/>
        <v>0</v>
      </c>
      <c r="P568" s="15">
        <f t="shared" si="171"/>
        <v>0</v>
      </c>
    </row>
    <row r="569" spans="3:16">
      <c r="C569" s="292"/>
      <c r="D569" s="43">
        <v>0.79166666666666596</v>
      </c>
      <c r="E569" s="5">
        <f>SUM('WATER_STEAM RATIO'!E569)</f>
        <v>0</v>
      </c>
      <c r="F569" s="9">
        <f>SUM('DATA B1'!I570-'DATA B1'!I569)+('DATA B1'!J570-'DATA B1'!J569)</f>
        <v>0</v>
      </c>
      <c r="G569" s="28">
        <f t="shared" si="166"/>
        <v>0</v>
      </c>
      <c r="H569" s="28">
        <f t="shared" si="167"/>
        <v>0</v>
      </c>
      <c r="I569" s="24">
        <f>SUM('WATER_STEAM RATIO'!K569)</f>
        <v>0</v>
      </c>
      <c r="J569" s="30">
        <f>SUM('DATA B2'!I570-'DATA B2'!I569)+('DATA B2'!J570-'DATA B2'!J569)</f>
        <v>0</v>
      </c>
      <c r="K569" s="28">
        <f t="shared" si="168"/>
        <v>0</v>
      </c>
      <c r="L569" s="28">
        <f t="shared" si="169"/>
        <v>0</v>
      </c>
      <c r="M569" s="89">
        <f>SUM('WATER_STEAM RATIO'!Q569)</f>
        <v>0</v>
      </c>
      <c r="N569" s="9">
        <f>SUM('DATA B3'!H570-'DATA B3'!H569)</f>
        <v>0</v>
      </c>
      <c r="O569" s="88">
        <f t="shared" si="170"/>
        <v>0</v>
      </c>
      <c r="P569" s="15">
        <f t="shared" si="171"/>
        <v>0</v>
      </c>
    </row>
    <row r="570" spans="3:16">
      <c r="C570" s="292"/>
      <c r="D570" s="43">
        <v>0.83333333333333304</v>
      </c>
      <c r="E570" s="5">
        <f>SUM('WATER_STEAM RATIO'!E570)</f>
        <v>0</v>
      </c>
      <c r="F570" s="9">
        <f>SUM('DATA B1'!I571-'DATA B1'!I570)+('DATA B1'!J571-'DATA B1'!J570)</f>
        <v>0</v>
      </c>
      <c r="G570" s="28">
        <f t="shared" si="166"/>
        <v>0</v>
      </c>
      <c r="H570" s="28">
        <f t="shared" si="167"/>
        <v>0</v>
      </c>
      <c r="I570" s="24">
        <f>SUM('WATER_STEAM RATIO'!K570)</f>
        <v>0</v>
      </c>
      <c r="J570" s="30">
        <f>SUM('DATA B2'!I571-'DATA B2'!I570)+('DATA B2'!J571-'DATA B2'!J570)</f>
        <v>0</v>
      </c>
      <c r="K570" s="28">
        <f t="shared" si="168"/>
        <v>0</v>
      </c>
      <c r="L570" s="28">
        <f>IFERROR((I570/18)*100,0)</f>
        <v>0</v>
      </c>
      <c r="M570" s="89">
        <f>SUM('WATER_STEAM RATIO'!Q570)</f>
        <v>0</v>
      </c>
      <c r="N570" s="9">
        <f>SUM('DATA B3'!H571-'DATA B3'!H570)</f>
        <v>0</v>
      </c>
      <c r="O570" s="88">
        <f t="shared" si="170"/>
        <v>0</v>
      </c>
      <c r="P570" s="15">
        <f t="shared" si="171"/>
        <v>0</v>
      </c>
    </row>
    <row r="571" spans="3:16">
      <c r="C571" s="292"/>
      <c r="D571" s="43">
        <v>0.875</v>
      </c>
      <c r="E571" s="5">
        <f>SUM('WATER_STEAM RATIO'!E571)</f>
        <v>0</v>
      </c>
      <c r="F571" s="9">
        <f>SUM('DATA B1'!I572-'DATA B1'!I571)+('DATA B1'!J572-'DATA B1'!J571)</f>
        <v>0</v>
      </c>
      <c r="G571" s="28">
        <f t="shared" si="166"/>
        <v>0</v>
      </c>
      <c r="H571" s="28">
        <f t="shared" si="167"/>
        <v>0</v>
      </c>
      <c r="I571" s="24">
        <f>SUM('WATER_STEAM RATIO'!K571)</f>
        <v>0</v>
      </c>
      <c r="J571" s="30">
        <f>SUM('DATA B2'!I572-'DATA B2'!I571)+('DATA B2'!J572-'DATA B2'!J571)</f>
        <v>0</v>
      </c>
      <c r="K571" s="28">
        <f t="shared" si="168"/>
        <v>0</v>
      </c>
      <c r="L571" s="28">
        <f t="shared" ref="L571:L581" si="172">IFERROR((I571/18)*100,0)</f>
        <v>0</v>
      </c>
      <c r="M571" s="89">
        <f>SUM('WATER_STEAM RATIO'!Q571)</f>
        <v>0</v>
      </c>
      <c r="N571" s="9">
        <f>SUM('DATA B3'!H572-'DATA B3'!H571)</f>
        <v>0</v>
      </c>
      <c r="O571" s="88">
        <f t="shared" si="170"/>
        <v>0</v>
      </c>
      <c r="P571" s="15">
        <f t="shared" si="171"/>
        <v>0</v>
      </c>
    </row>
    <row r="572" spans="3:16">
      <c r="C572" s="292"/>
      <c r="D572" s="43">
        <v>0.91666666666666596</v>
      </c>
      <c r="E572" s="5">
        <f>SUM('WATER_STEAM RATIO'!E572)</f>
        <v>0</v>
      </c>
      <c r="F572" s="9">
        <f>SUM('DATA B1'!I573-'DATA B1'!I572)+('DATA B1'!J573-'DATA B1'!J572)</f>
        <v>0</v>
      </c>
      <c r="G572" s="28">
        <f t="shared" si="166"/>
        <v>0</v>
      </c>
      <c r="H572" s="28">
        <f t="shared" si="167"/>
        <v>0</v>
      </c>
      <c r="I572" s="24">
        <f>SUM('WATER_STEAM RATIO'!K572)</f>
        <v>0</v>
      </c>
      <c r="J572" s="30">
        <f>SUM('DATA B2'!I573-'DATA B2'!I572)+('DATA B2'!J573-'DATA B2'!J572)</f>
        <v>0</v>
      </c>
      <c r="K572" s="28">
        <f t="shared" si="168"/>
        <v>0</v>
      </c>
      <c r="L572" s="28">
        <f t="shared" si="172"/>
        <v>0</v>
      </c>
      <c r="M572" s="89">
        <f>SUM('WATER_STEAM RATIO'!Q572)</f>
        <v>0</v>
      </c>
      <c r="N572" s="9">
        <f>SUM('DATA B3'!H573-'DATA B3'!H572)</f>
        <v>0</v>
      </c>
      <c r="O572" s="88">
        <f t="shared" si="170"/>
        <v>0</v>
      </c>
      <c r="P572" s="15">
        <f>IFERROR((M572/16)*100,0)</f>
        <v>0</v>
      </c>
    </row>
    <row r="573" spans="3:16">
      <c r="C573" s="292"/>
      <c r="D573" s="43">
        <v>0.95833333333333304</v>
      </c>
      <c r="E573" s="5">
        <f>SUM('WATER_STEAM RATIO'!E573)</f>
        <v>0</v>
      </c>
      <c r="F573" s="9">
        <f>SUM('DATA B1'!I574-'DATA B1'!I573)+('DATA B1'!J574-'DATA B1'!J573)</f>
        <v>0</v>
      </c>
      <c r="G573" s="28">
        <f t="shared" si="166"/>
        <v>0</v>
      </c>
      <c r="H573" s="28">
        <f t="shared" si="167"/>
        <v>0</v>
      </c>
      <c r="I573" s="24">
        <f>SUM('WATER_STEAM RATIO'!K573)</f>
        <v>0</v>
      </c>
      <c r="J573" s="30">
        <f>SUM('DATA B2'!I574-'DATA B2'!I573)+('DATA B2'!J574-'DATA B2'!J573)</f>
        <v>0</v>
      </c>
      <c r="K573" s="28">
        <f t="shared" si="168"/>
        <v>0</v>
      </c>
      <c r="L573" s="28">
        <f t="shared" si="172"/>
        <v>0</v>
      </c>
      <c r="M573" s="89">
        <f>SUM('WATER_STEAM RATIO'!Q573)</f>
        <v>0</v>
      </c>
      <c r="N573" s="9">
        <f>SUM('DATA B3'!H574-'DATA B3'!H573)</f>
        <v>0</v>
      </c>
      <c r="O573" s="88">
        <f t="shared" si="170"/>
        <v>0</v>
      </c>
      <c r="P573" s="15">
        <f t="shared" si="171"/>
        <v>0</v>
      </c>
    </row>
    <row r="574" spans="3:16">
      <c r="C574" s="292"/>
      <c r="D574" s="43">
        <v>1</v>
      </c>
      <c r="E574" s="5">
        <f>SUM('WATER_STEAM RATIO'!E574)</f>
        <v>0</v>
      </c>
      <c r="F574" s="9">
        <f>SUM('DATA B1'!I575-'DATA B1'!I574)+('DATA B1'!J575-'DATA B1'!J574)</f>
        <v>0</v>
      </c>
      <c r="G574" s="28">
        <f t="shared" si="166"/>
        <v>0</v>
      </c>
      <c r="H574" s="28">
        <f t="shared" si="167"/>
        <v>0</v>
      </c>
      <c r="I574" s="24">
        <f>SUM('WATER_STEAM RATIO'!K574)</f>
        <v>0</v>
      </c>
      <c r="J574" s="30">
        <f>SUM('DATA B2'!I575-'DATA B2'!I574)+('DATA B2'!J575-'DATA B2'!J574)</f>
        <v>0</v>
      </c>
      <c r="K574" s="28">
        <f t="shared" si="168"/>
        <v>0</v>
      </c>
      <c r="L574" s="28">
        <f t="shared" si="172"/>
        <v>0</v>
      </c>
      <c r="M574" s="89">
        <f>SUM('WATER_STEAM RATIO'!Q574)</f>
        <v>0</v>
      </c>
      <c r="N574" s="9">
        <f>SUM('DATA B3'!H575-'DATA B3'!H574)</f>
        <v>0</v>
      </c>
      <c r="O574" s="88">
        <f t="shared" si="170"/>
        <v>0</v>
      </c>
      <c r="P574" s="15">
        <f t="shared" si="171"/>
        <v>0</v>
      </c>
    </row>
    <row r="575" spans="3:16">
      <c r="C575" s="292"/>
      <c r="D575" s="43">
        <v>1.0416666666666701</v>
      </c>
      <c r="E575" s="5">
        <f>SUM('WATER_STEAM RATIO'!E575)</f>
        <v>0</v>
      </c>
      <c r="F575" s="9">
        <f>SUM('DATA B1'!I576-'DATA B1'!I575)+('DATA B1'!J576-'DATA B1'!J575)</f>
        <v>0</v>
      </c>
      <c r="G575" s="28">
        <f t="shared" si="166"/>
        <v>0</v>
      </c>
      <c r="H575" s="28">
        <f t="shared" si="167"/>
        <v>0</v>
      </c>
      <c r="I575" s="24">
        <f>SUM('WATER_STEAM RATIO'!K575)</f>
        <v>0</v>
      </c>
      <c r="J575" s="30">
        <f>SUM('DATA B2'!I576-'DATA B2'!I575)+('DATA B2'!J576-'DATA B2'!J575)</f>
        <v>0</v>
      </c>
      <c r="K575" s="28">
        <f t="shared" si="168"/>
        <v>0</v>
      </c>
      <c r="L575" s="28">
        <f t="shared" si="172"/>
        <v>0</v>
      </c>
      <c r="M575" s="89">
        <f>SUM('WATER_STEAM RATIO'!Q575)</f>
        <v>0</v>
      </c>
      <c r="N575" s="9">
        <f>SUM('DATA B3'!H576-'DATA B3'!H575)</f>
        <v>0</v>
      </c>
      <c r="O575" s="88">
        <f t="shared" si="170"/>
        <v>0</v>
      </c>
      <c r="P575" s="15">
        <f t="shared" si="171"/>
        <v>0</v>
      </c>
    </row>
    <row r="576" spans="3:16">
      <c r="C576" s="292"/>
      <c r="D576" s="43">
        <v>1.0833333333333399</v>
      </c>
      <c r="E576" s="5">
        <f>SUM('WATER_STEAM RATIO'!E576)</f>
        <v>0</v>
      </c>
      <c r="F576" s="9">
        <f>SUM('DATA B1'!I577-'DATA B1'!I576)+('DATA B1'!J577-'DATA B1'!J576)</f>
        <v>0</v>
      </c>
      <c r="G576" s="28">
        <f t="shared" si="166"/>
        <v>0</v>
      </c>
      <c r="H576" s="28">
        <f t="shared" si="167"/>
        <v>0</v>
      </c>
      <c r="I576" s="24">
        <f>SUM('WATER_STEAM RATIO'!K576)</f>
        <v>0</v>
      </c>
      <c r="J576" s="30">
        <f>SUM('DATA B2'!I577-'DATA B2'!I576)+('DATA B2'!J577-'DATA B2'!J576)</f>
        <v>0</v>
      </c>
      <c r="K576" s="28">
        <f t="shared" si="168"/>
        <v>0</v>
      </c>
      <c r="L576" s="28">
        <f t="shared" si="172"/>
        <v>0</v>
      </c>
      <c r="M576" s="89">
        <f>SUM('WATER_STEAM RATIO'!Q576)</f>
        <v>0</v>
      </c>
      <c r="N576" s="9">
        <f>SUM('DATA B3'!H577-'DATA B3'!H576)</f>
        <v>0</v>
      </c>
      <c r="O576" s="88">
        <f t="shared" si="170"/>
        <v>0</v>
      </c>
      <c r="P576" s="15">
        <f t="shared" si="171"/>
        <v>0</v>
      </c>
    </row>
    <row r="577" spans="3:16">
      <c r="C577" s="292"/>
      <c r="D577" s="43">
        <v>1.125</v>
      </c>
      <c r="E577" s="5">
        <f>SUM('WATER_STEAM RATIO'!E577)</f>
        <v>0</v>
      </c>
      <c r="F577" s="9">
        <f>SUM('DATA B1'!I578-'DATA B1'!I577)+('DATA B1'!J578-'DATA B1'!J577)</f>
        <v>0</v>
      </c>
      <c r="G577" s="28">
        <f t="shared" si="166"/>
        <v>0</v>
      </c>
      <c r="H577" s="28">
        <f t="shared" si="167"/>
        <v>0</v>
      </c>
      <c r="I577" s="24">
        <f>SUM('WATER_STEAM RATIO'!K577)</f>
        <v>0</v>
      </c>
      <c r="J577" s="30">
        <f>SUM('DATA B2'!I578-'DATA B2'!I577)+('DATA B2'!J578-'DATA B2'!J577)</f>
        <v>0</v>
      </c>
      <c r="K577" s="28">
        <f t="shared" si="168"/>
        <v>0</v>
      </c>
      <c r="L577" s="28">
        <f t="shared" si="172"/>
        <v>0</v>
      </c>
      <c r="M577" s="89">
        <f>SUM('WATER_STEAM RATIO'!Q577)</f>
        <v>0</v>
      </c>
      <c r="N577" s="9">
        <f>SUM('DATA B3'!H578-'DATA B3'!H577)</f>
        <v>0</v>
      </c>
      <c r="O577" s="88">
        <f t="shared" ref="O577:O581" si="173">IFERROR(N577/(M577),0)</f>
        <v>0</v>
      </c>
      <c r="P577" s="15">
        <f t="shared" si="171"/>
        <v>0</v>
      </c>
    </row>
    <row r="578" spans="3:16">
      <c r="C578" s="292"/>
      <c r="D578" s="43">
        <v>1.1666666666666701</v>
      </c>
      <c r="E578" s="5">
        <f>SUM('WATER_STEAM RATIO'!E578)</f>
        <v>0</v>
      </c>
      <c r="F578" s="9">
        <f>SUM('DATA B1'!I579-'DATA B1'!I578)+('DATA B1'!J579-'DATA B1'!J578)</f>
        <v>0</v>
      </c>
      <c r="G578" s="28">
        <f t="shared" si="166"/>
        <v>0</v>
      </c>
      <c r="H578" s="28">
        <f t="shared" si="167"/>
        <v>0</v>
      </c>
      <c r="I578" s="24">
        <f>SUM('WATER_STEAM RATIO'!K578)</f>
        <v>0</v>
      </c>
      <c r="J578" s="30">
        <f>SUM('DATA B2'!I579-'DATA B2'!I578)+('DATA B2'!J579-'DATA B2'!J578)</f>
        <v>0</v>
      </c>
      <c r="K578" s="28">
        <f>IFERROR(J578/(I578),0)</f>
        <v>0</v>
      </c>
      <c r="L578" s="28">
        <f t="shared" si="172"/>
        <v>0</v>
      </c>
      <c r="M578" s="89">
        <f>SUM('WATER_STEAM RATIO'!Q578)</f>
        <v>0</v>
      </c>
      <c r="N578" s="9">
        <f>SUM('DATA B3'!H579-'DATA B3'!H578)</f>
        <v>0</v>
      </c>
      <c r="O578" s="88">
        <f t="shared" si="173"/>
        <v>0</v>
      </c>
      <c r="P578" s="15">
        <f t="shared" si="171"/>
        <v>0</v>
      </c>
    </row>
    <row r="579" spans="3:16">
      <c r="C579" s="292"/>
      <c r="D579" s="43">
        <v>1.2083333333333399</v>
      </c>
      <c r="E579" s="5">
        <f>SUM('WATER_STEAM RATIO'!E579)</f>
        <v>0</v>
      </c>
      <c r="F579" s="9">
        <f>SUM('DATA B1'!I580-'DATA B1'!I579)+('DATA B1'!J580-'DATA B1'!J579)</f>
        <v>0</v>
      </c>
      <c r="G579" s="28">
        <f t="shared" si="166"/>
        <v>0</v>
      </c>
      <c r="H579" s="28">
        <f t="shared" si="167"/>
        <v>0</v>
      </c>
      <c r="I579" s="24">
        <f>SUM('WATER_STEAM RATIO'!K579)</f>
        <v>0</v>
      </c>
      <c r="J579" s="30">
        <f>SUM('DATA B2'!I580-'DATA B2'!I579)+('DATA B2'!J580-'DATA B2'!J579)</f>
        <v>0</v>
      </c>
      <c r="K579" s="28">
        <f>IFERROR(J579/(I579),0)</f>
        <v>0</v>
      </c>
      <c r="L579" s="28">
        <f t="shared" si="172"/>
        <v>0</v>
      </c>
      <c r="M579" s="89">
        <f>SUM('WATER_STEAM RATIO'!Q579)</f>
        <v>0</v>
      </c>
      <c r="N579" s="9">
        <f>SUM('DATA B3'!H580-'DATA B3'!H579)</f>
        <v>0</v>
      </c>
      <c r="O579" s="88">
        <f t="shared" si="173"/>
        <v>0</v>
      </c>
      <c r="P579" s="15">
        <f t="shared" si="171"/>
        <v>0</v>
      </c>
    </row>
    <row r="580" spans="3:16">
      <c r="C580" s="292"/>
      <c r="D580" s="43">
        <v>1.25</v>
      </c>
      <c r="E580" s="5">
        <f>SUM('WATER_STEAM RATIO'!E580)</f>
        <v>0</v>
      </c>
      <c r="F580" s="9">
        <f>SUM('DATA B1'!I581-'DATA B1'!I580)+('DATA B1'!J581-'DATA B1'!J580)</f>
        <v>0</v>
      </c>
      <c r="G580" s="28">
        <f t="shared" si="166"/>
        <v>0</v>
      </c>
      <c r="H580" s="28">
        <f t="shared" si="167"/>
        <v>0</v>
      </c>
      <c r="I580" s="24">
        <f>SUM('WATER_STEAM RATIO'!K580)</f>
        <v>0</v>
      </c>
      <c r="J580" s="30">
        <f>SUM('DATA B2'!I581-'DATA B2'!I580)+('DATA B2'!J581-'DATA B2'!J580)</f>
        <v>0</v>
      </c>
      <c r="K580" s="28">
        <f>IFERROR(J580/(I580),0)</f>
        <v>0</v>
      </c>
      <c r="L580" s="28">
        <f t="shared" si="172"/>
        <v>0</v>
      </c>
      <c r="M580" s="89">
        <f>SUM('WATER_STEAM RATIO'!Q580)</f>
        <v>0</v>
      </c>
      <c r="N580" s="9">
        <f>SUM('DATA B3'!H581-'DATA B3'!H580)</f>
        <v>0</v>
      </c>
      <c r="O580" s="88">
        <f t="shared" si="173"/>
        <v>0</v>
      </c>
      <c r="P580" s="15">
        <f t="shared" si="171"/>
        <v>0</v>
      </c>
    </row>
    <row r="581" spans="3:16">
      <c r="C581" s="292"/>
      <c r="D581" s="43">
        <v>1.2916666666666701</v>
      </c>
      <c r="E581" s="5">
        <f>SUM('WATER_STEAM RATIO'!E581)</f>
        <v>0</v>
      </c>
      <c r="F581" s="9">
        <f>SUM('DATA B1'!I582-'DATA B1'!I581)+('DATA B1'!J582-'DATA B1'!J581)</f>
        <v>0</v>
      </c>
      <c r="G581" s="28">
        <f t="shared" si="166"/>
        <v>0</v>
      </c>
      <c r="H581" s="28">
        <f t="shared" si="167"/>
        <v>0</v>
      </c>
      <c r="I581" s="24">
        <f>SUM('WATER_STEAM RATIO'!K581)</f>
        <v>0</v>
      </c>
      <c r="J581" s="30">
        <f>SUM('DATA B2'!I582-'DATA B2'!I581)+('DATA B2'!J582-'DATA B2'!J581)</f>
        <v>0</v>
      </c>
      <c r="K581" s="28">
        <f>IFERROR(J581/(I581),0)</f>
        <v>0</v>
      </c>
      <c r="L581" s="28">
        <f t="shared" si="172"/>
        <v>0</v>
      </c>
      <c r="M581" s="89">
        <f>SUM('WATER_STEAM RATIO'!Q581)</f>
        <v>0</v>
      </c>
      <c r="N581" s="9">
        <f>SUM('DATA B3'!H582-'DATA B3'!H581)</f>
        <v>0</v>
      </c>
      <c r="O581" s="88">
        <f t="shared" si="173"/>
        <v>0</v>
      </c>
      <c r="P581" s="15">
        <f t="shared" si="171"/>
        <v>0</v>
      </c>
    </row>
    <row r="582" spans="3:16">
      <c r="C582" s="293"/>
      <c r="D582" s="258"/>
      <c r="E582" s="91">
        <f>SUMIF(E557:E581,"&gt;=0",E557:E581)</f>
        <v>0</v>
      </c>
      <c r="F582" s="91">
        <f>SUMIF(F557:F581,"&gt;=0",F557:F581)</f>
        <v>0</v>
      </c>
      <c r="G582" s="54">
        <f>IFERROR(F582/E582,0)</f>
        <v>0</v>
      </c>
      <c r="H582" s="54">
        <f>IFERROR(AVERAGE(H558:H581),0)</f>
        <v>0</v>
      </c>
      <c r="I582" s="91">
        <f>SUMIF(I557:I581,"&gt;=0",I557:I581)</f>
        <v>0</v>
      </c>
      <c r="J582" s="91">
        <f>SUMIF(J557:J581,"&gt;=0",J557:J581)</f>
        <v>0</v>
      </c>
      <c r="K582" s="54">
        <f>IFERROR(J582/(I582),0)</f>
        <v>0</v>
      </c>
      <c r="L582" s="54">
        <f>IFERROR(AVERAGE(L558:L581),0)</f>
        <v>0</v>
      </c>
      <c r="M582" s="91">
        <f>SUMIF(M557:M581,"&gt;=0",M557:M581)</f>
        <v>0</v>
      </c>
      <c r="N582" s="91">
        <f>SUMIF(N557:N581,"&gt;=0",N557:N581)</f>
        <v>0</v>
      </c>
      <c r="O582" s="239">
        <f>IFERROR(N582/(M582),0)</f>
        <v>0</v>
      </c>
      <c r="P582" s="215">
        <f>IFERROR(AVERAGE(P558:P581),0)</f>
        <v>0</v>
      </c>
    </row>
    <row r="583" spans="3:16" ht="15" customHeight="1">
      <c r="C583" s="291">
        <f>SUM('WATER_STEAM RATIO'!B583:B608)</f>
        <v>46045</v>
      </c>
      <c r="D583" s="43">
        <v>0.29166666666666669</v>
      </c>
      <c r="E583" s="5">
        <f>SUM('WATER_STEAM RATIO'!E583)</f>
        <v>0</v>
      </c>
      <c r="F583" s="9"/>
      <c r="G583" s="28"/>
      <c r="H583" s="28"/>
      <c r="I583" s="24">
        <f>SUM('WATER_STEAM RATIO'!K583)</f>
        <v>0</v>
      </c>
      <c r="J583" s="30"/>
      <c r="K583" s="28"/>
      <c r="L583" s="28"/>
      <c r="M583" s="89">
        <f>SUM('WATER_STEAM RATIO'!Q583)</f>
        <v>0</v>
      </c>
      <c r="N583" s="9"/>
      <c r="O583" s="88"/>
      <c r="P583" s="15"/>
    </row>
    <row r="584" spans="3:16">
      <c r="C584" s="292"/>
      <c r="D584" s="43">
        <v>0.33333333333333298</v>
      </c>
      <c r="E584" s="5">
        <f>SUM('WATER_STEAM RATIO'!E584)</f>
        <v>0</v>
      </c>
      <c r="F584" s="9">
        <f>SUM('DATA B1'!I585-'DATA B1'!I584)+('DATA B1'!J585-'DATA B1'!J584)</f>
        <v>0</v>
      </c>
      <c r="G584" s="28">
        <f>IFERROR(F584/(E584),0)</f>
        <v>0</v>
      </c>
      <c r="H584" s="28">
        <f>IFERROR((E584/18)*100,0)</f>
        <v>0</v>
      </c>
      <c r="I584" s="24">
        <f>SUM('WATER_STEAM RATIO'!K584)</f>
        <v>0</v>
      </c>
      <c r="J584" s="30">
        <f>SUM('DATA B2'!I585-'DATA B2'!I584)+('DATA B2'!J585-'DATA B2'!J584)</f>
        <v>0</v>
      </c>
      <c r="K584" s="28">
        <f>IFERROR(J584/(I584),0)</f>
        <v>0</v>
      </c>
      <c r="L584" s="28">
        <f>IFERROR((I584/18)*100,0)</f>
        <v>0</v>
      </c>
      <c r="M584" s="89">
        <f>SUM('WATER_STEAM RATIO'!Q584)</f>
        <v>0</v>
      </c>
      <c r="N584" s="9">
        <f>SUM('DATA B3'!H585-'DATA B3'!H584)</f>
        <v>0</v>
      </c>
      <c r="O584" s="88">
        <f>IFERROR(N584/(M584),0)</f>
        <v>0</v>
      </c>
      <c r="P584" s="15">
        <f>IFERROR((M584/16)*100,0)</f>
        <v>0</v>
      </c>
    </row>
    <row r="585" spans="3:16">
      <c r="C585" s="292"/>
      <c r="D585" s="43">
        <v>0.375</v>
      </c>
      <c r="E585" s="5">
        <f>SUM('WATER_STEAM RATIO'!E585)</f>
        <v>0</v>
      </c>
      <c r="F585" s="9">
        <f>SUM('DATA B1'!I586-'DATA B1'!I585)+('DATA B1'!J586-'DATA B1'!J585)</f>
        <v>0</v>
      </c>
      <c r="G585" s="28">
        <f t="shared" ref="G585:G607" si="174">IFERROR(F585/(E585),0)</f>
        <v>0</v>
      </c>
      <c r="H585" s="28">
        <f t="shared" ref="H585:H607" si="175">IFERROR((E585/18)*100,0)</f>
        <v>0</v>
      </c>
      <c r="I585" s="24">
        <f>SUM('WATER_STEAM RATIO'!K585)</f>
        <v>0</v>
      </c>
      <c r="J585" s="30">
        <f>SUM('DATA B2'!I586-'DATA B2'!I585)+('DATA B2'!J586-'DATA B2'!J585)</f>
        <v>0</v>
      </c>
      <c r="K585" s="28">
        <f t="shared" ref="K585:K603" si="176">IFERROR(J585/(I585),0)</f>
        <v>0</v>
      </c>
      <c r="L585" s="28">
        <f t="shared" ref="L585:L595" si="177">IFERROR((I585/18)*100,0)</f>
        <v>0</v>
      </c>
      <c r="M585" s="89">
        <f>SUM('WATER_STEAM RATIO'!Q585)</f>
        <v>0</v>
      </c>
      <c r="N585" s="9">
        <f>SUM('DATA B3'!H586-'DATA B3'!H585)</f>
        <v>0</v>
      </c>
      <c r="O585" s="88">
        <f t="shared" ref="O585:O602" si="178">IFERROR(N585/(M585),0)</f>
        <v>0</v>
      </c>
      <c r="P585" s="15">
        <f t="shared" ref="P585:P607" si="179">IFERROR((M585/16)*100,0)</f>
        <v>0</v>
      </c>
    </row>
    <row r="586" spans="3:16">
      <c r="C586" s="292"/>
      <c r="D586" s="43">
        <v>0.41666666666666702</v>
      </c>
      <c r="E586" s="5">
        <f>SUM('WATER_STEAM RATIO'!E586)</f>
        <v>0</v>
      </c>
      <c r="F586" s="9">
        <f>SUM('DATA B1'!I587-'DATA B1'!I586)+('DATA B1'!J587-'DATA B1'!J586)</f>
        <v>0</v>
      </c>
      <c r="G586" s="28">
        <f t="shared" si="174"/>
        <v>0</v>
      </c>
      <c r="H586" s="28">
        <f t="shared" si="175"/>
        <v>0</v>
      </c>
      <c r="I586" s="24">
        <f>SUM('WATER_STEAM RATIO'!K586)</f>
        <v>0</v>
      </c>
      <c r="J586" s="30">
        <f>SUM('DATA B2'!I587-'DATA B2'!I586)+('DATA B2'!J587-'DATA B2'!J586)</f>
        <v>0</v>
      </c>
      <c r="K586" s="28">
        <f t="shared" si="176"/>
        <v>0</v>
      </c>
      <c r="L586" s="28">
        <f t="shared" si="177"/>
        <v>0</v>
      </c>
      <c r="M586" s="89">
        <f>SUM('WATER_STEAM RATIO'!Q586)</f>
        <v>0</v>
      </c>
      <c r="N586" s="9">
        <f>SUM('DATA B3'!H587-'DATA B3'!H586)</f>
        <v>0</v>
      </c>
      <c r="O586" s="88">
        <f t="shared" si="178"/>
        <v>0</v>
      </c>
      <c r="P586" s="15">
        <f t="shared" si="179"/>
        <v>0</v>
      </c>
    </row>
    <row r="587" spans="3:16">
      <c r="C587" s="292"/>
      <c r="D587" s="43">
        <v>0.45833333333333298</v>
      </c>
      <c r="E587" s="5">
        <f>SUM('WATER_STEAM RATIO'!E587)</f>
        <v>0</v>
      </c>
      <c r="F587" s="9">
        <f>SUM('DATA B1'!I588-'DATA B1'!I587)+('DATA B1'!J588-'DATA B1'!J587)</f>
        <v>0</v>
      </c>
      <c r="G587" s="28">
        <f t="shared" si="174"/>
        <v>0</v>
      </c>
      <c r="H587" s="28">
        <f t="shared" si="175"/>
        <v>0</v>
      </c>
      <c r="I587" s="24">
        <f>SUM('WATER_STEAM RATIO'!K587)</f>
        <v>0</v>
      </c>
      <c r="J587" s="30">
        <f>SUM('DATA B2'!I588-'DATA B2'!I587)+('DATA B2'!J588-'DATA B2'!J587)</f>
        <v>0</v>
      </c>
      <c r="K587" s="28">
        <f t="shared" si="176"/>
        <v>0</v>
      </c>
      <c r="L587" s="28">
        <f t="shared" si="177"/>
        <v>0</v>
      </c>
      <c r="M587" s="89">
        <f>SUM('WATER_STEAM RATIO'!Q587)</f>
        <v>0</v>
      </c>
      <c r="N587" s="9">
        <f>SUM('DATA B3'!H588-'DATA B3'!H587)</f>
        <v>0</v>
      </c>
      <c r="O587" s="88">
        <f t="shared" si="178"/>
        <v>0</v>
      </c>
      <c r="P587" s="15">
        <f t="shared" si="179"/>
        <v>0</v>
      </c>
    </row>
    <row r="588" spans="3:16">
      <c r="C588" s="292"/>
      <c r="D588" s="43">
        <v>0.5</v>
      </c>
      <c r="E588" s="5">
        <f>SUM('WATER_STEAM RATIO'!E588)</f>
        <v>0</v>
      </c>
      <c r="F588" s="9">
        <f>SUM('DATA B1'!I589-'DATA B1'!I588)+('DATA B1'!J589-'DATA B1'!J588)</f>
        <v>0</v>
      </c>
      <c r="G588" s="28">
        <f t="shared" si="174"/>
        <v>0</v>
      </c>
      <c r="H588" s="28">
        <f t="shared" si="175"/>
        <v>0</v>
      </c>
      <c r="I588" s="24">
        <f>SUM('WATER_STEAM RATIO'!K588)</f>
        <v>0</v>
      </c>
      <c r="J588" s="30">
        <f>SUM('DATA B2'!I589-'DATA B2'!I588)+('DATA B2'!J589-'DATA B2'!J588)</f>
        <v>0</v>
      </c>
      <c r="K588" s="28">
        <f t="shared" si="176"/>
        <v>0</v>
      </c>
      <c r="L588" s="28">
        <f t="shared" si="177"/>
        <v>0</v>
      </c>
      <c r="M588" s="89">
        <f>SUM('WATER_STEAM RATIO'!Q588)</f>
        <v>0</v>
      </c>
      <c r="N588" s="9">
        <f>SUM('DATA B3'!H589-'DATA B3'!H588)</f>
        <v>0</v>
      </c>
      <c r="O588" s="88">
        <f t="shared" si="178"/>
        <v>0</v>
      </c>
      <c r="P588" s="15">
        <f t="shared" si="179"/>
        <v>0</v>
      </c>
    </row>
    <row r="589" spans="3:16">
      <c r="C589" s="292"/>
      <c r="D589" s="43">
        <v>0.54166666666666696</v>
      </c>
      <c r="E589" s="5">
        <f>SUM('WATER_STEAM RATIO'!E589)</f>
        <v>0</v>
      </c>
      <c r="F589" s="9">
        <f>SUM('DATA B1'!I590-'DATA B1'!I589)+('DATA B1'!J590-'DATA B1'!J589)</f>
        <v>0</v>
      </c>
      <c r="G589" s="28">
        <f t="shared" si="174"/>
        <v>0</v>
      </c>
      <c r="H589" s="28">
        <f t="shared" si="175"/>
        <v>0</v>
      </c>
      <c r="I589" s="24">
        <f>SUM('WATER_STEAM RATIO'!K589)</f>
        <v>0</v>
      </c>
      <c r="J589" s="30">
        <f>SUM('DATA B2'!I590-'DATA B2'!I589)+('DATA B2'!J590-'DATA B2'!J589)</f>
        <v>0</v>
      </c>
      <c r="K589" s="28">
        <f t="shared" si="176"/>
        <v>0</v>
      </c>
      <c r="L589" s="28">
        <f t="shared" si="177"/>
        <v>0</v>
      </c>
      <c r="M589" s="89">
        <f>SUM('WATER_STEAM RATIO'!Q589)</f>
        <v>0</v>
      </c>
      <c r="N589" s="9">
        <f>SUM('DATA B3'!H590-'DATA B3'!H589)</f>
        <v>0</v>
      </c>
      <c r="O589" s="88">
        <f t="shared" si="178"/>
        <v>0</v>
      </c>
      <c r="P589" s="15">
        <f t="shared" si="179"/>
        <v>0</v>
      </c>
    </row>
    <row r="590" spans="3:16">
      <c r="C590" s="292"/>
      <c r="D590" s="43">
        <v>0.58333333333333304</v>
      </c>
      <c r="E590" s="5">
        <f>SUM('WATER_STEAM RATIO'!E590)</f>
        <v>0</v>
      </c>
      <c r="F590" s="9">
        <f>SUM('DATA B1'!I591-'DATA B1'!I590)+('DATA B1'!J591-'DATA B1'!J590)</f>
        <v>0</v>
      </c>
      <c r="G590" s="28">
        <f t="shared" si="174"/>
        <v>0</v>
      </c>
      <c r="H590" s="28">
        <f t="shared" si="175"/>
        <v>0</v>
      </c>
      <c r="I590" s="24">
        <f>SUM('WATER_STEAM RATIO'!K590)</f>
        <v>0</v>
      </c>
      <c r="J590" s="30">
        <f>SUM('DATA B2'!I591-'DATA B2'!I590)+('DATA B2'!J591-'DATA B2'!J590)</f>
        <v>0</v>
      </c>
      <c r="K590" s="28">
        <f t="shared" si="176"/>
        <v>0</v>
      </c>
      <c r="L590" s="28">
        <f t="shared" si="177"/>
        <v>0</v>
      </c>
      <c r="M590" s="89">
        <f>SUM('WATER_STEAM RATIO'!Q590)</f>
        <v>0</v>
      </c>
      <c r="N590" s="9">
        <f>SUM('DATA B3'!H591-'DATA B3'!H590)</f>
        <v>0</v>
      </c>
      <c r="O590" s="88">
        <f t="shared" si="178"/>
        <v>0</v>
      </c>
      <c r="P590" s="15">
        <f t="shared" si="179"/>
        <v>0</v>
      </c>
    </row>
    <row r="591" spans="3:16">
      <c r="C591" s="292"/>
      <c r="D591" s="43">
        <v>0.625</v>
      </c>
      <c r="E591" s="5">
        <f>SUM('WATER_STEAM RATIO'!E591)</f>
        <v>0</v>
      </c>
      <c r="F591" s="9">
        <f>SUM('DATA B1'!I592-'DATA B1'!I591)+('DATA B1'!J592-'DATA B1'!J591)</f>
        <v>0</v>
      </c>
      <c r="G591" s="28">
        <f t="shared" si="174"/>
        <v>0</v>
      </c>
      <c r="H591" s="28">
        <f t="shared" si="175"/>
        <v>0</v>
      </c>
      <c r="I591" s="24">
        <f>SUM('WATER_STEAM RATIO'!K591)</f>
        <v>0</v>
      </c>
      <c r="J591" s="30">
        <f>SUM('DATA B2'!I592-'DATA B2'!I591)+('DATA B2'!J592-'DATA B2'!J591)</f>
        <v>0</v>
      </c>
      <c r="K591" s="28">
        <f t="shared" si="176"/>
        <v>0</v>
      </c>
      <c r="L591" s="28">
        <f t="shared" si="177"/>
        <v>0</v>
      </c>
      <c r="M591" s="89">
        <f>SUM('WATER_STEAM RATIO'!Q591)</f>
        <v>0</v>
      </c>
      <c r="N591" s="9">
        <f>SUM('DATA B3'!H592-'DATA B3'!H591)</f>
        <v>0</v>
      </c>
      <c r="O591" s="88">
        <f t="shared" si="178"/>
        <v>0</v>
      </c>
      <c r="P591" s="15">
        <f t="shared" si="179"/>
        <v>0</v>
      </c>
    </row>
    <row r="592" spans="3:16">
      <c r="C592" s="292"/>
      <c r="D592" s="43">
        <v>0.66666666666666596</v>
      </c>
      <c r="E592" s="5">
        <f>SUM('WATER_STEAM RATIO'!E592)</f>
        <v>0</v>
      </c>
      <c r="F592" s="9">
        <f>SUM('DATA B1'!I593-'DATA B1'!I592)+('DATA B1'!J593-'DATA B1'!J592)</f>
        <v>0</v>
      </c>
      <c r="G592" s="28">
        <f t="shared" si="174"/>
        <v>0</v>
      </c>
      <c r="H592" s="28">
        <f t="shared" si="175"/>
        <v>0</v>
      </c>
      <c r="I592" s="24">
        <f>SUM('WATER_STEAM RATIO'!K592)</f>
        <v>0</v>
      </c>
      <c r="J592" s="30">
        <f>SUM('DATA B2'!I593-'DATA B2'!I592)+('DATA B2'!J593-'DATA B2'!J592)</f>
        <v>0</v>
      </c>
      <c r="K592" s="28">
        <f t="shared" si="176"/>
        <v>0</v>
      </c>
      <c r="L592" s="28">
        <f t="shared" si="177"/>
        <v>0</v>
      </c>
      <c r="M592" s="89">
        <f>SUM('WATER_STEAM RATIO'!Q592)</f>
        <v>0</v>
      </c>
      <c r="N592" s="9">
        <f>SUM('DATA B3'!H593-'DATA B3'!H592)</f>
        <v>0</v>
      </c>
      <c r="O592" s="88">
        <f t="shared" si="178"/>
        <v>0</v>
      </c>
      <c r="P592" s="15">
        <f t="shared" si="179"/>
        <v>0</v>
      </c>
    </row>
    <row r="593" spans="3:16">
      <c r="C593" s="292"/>
      <c r="D593" s="43">
        <v>0.70833333333333304</v>
      </c>
      <c r="E593" s="5">
        <f>SUM('WATER_STEAM RATIO'!E593)</f>
        <v>0</v>
      </c>
      <c r="F593" s="9">
        <f>SUM('DATA B1'!I594-'DATA B1'!I593)+('DATA B1'!J594-'DATA B1'!J593)</f>
        <v>0</v>
      </c>
      <c r="G593" s="28">
        <f t="shared" si="174"/>
        <v>0</v>
      </c>
      <c r="H593" s="28">
        <f t="shared" si="175"/>
        <v>0</v>
      </c>
      <c r="I593" s="24">
        <f>SUM('WATER_STEAM RATIO'!K593)</f>
        <v>0</v>
      </c>
      <c r="J593" s="30">
        <f>SUM('DATA B2'!I594-'DATA B2'!I593)+('DATA B2'!J594-'DATA B2'!J593)</f>
        <v>0</v>
      </c>
      <c r="K593" s="28">
        <f t="shared" si="176"/>
        <v>0</v>
      </c>
      <c r="L593" s="28">
        <f t="shared" si="177"/>
        <v>0</v>
      </c>
      <c r="M593" s="89">
        <f>SUM('WATER_STEAM RATIO'!Q593)</f>
        <v>0</v>
      </c>
      <c r="N593" s="9">
        <f>SUM('DATA B3'!H594-'DATA B3'!H593)</f>
        <v>0</v>
      </c>
      <c r="O593" s="88">
        <f t="shared" si="178"/>
        <v>0</v>
      </c>
      <c r="P593" s="15">
        <f t="shared" si="179"/>
        <v>0</v>
      </c>
    </row>
    <row r="594" spans="3:16">
      <c r="C594" s="292"/>
      <c r="D594" s="43">
        <v>0.75</v>
      </c>
      <c r="E594" s="5">
        <f>SUM('WATER_STEAM RATIO'!E594)</f>
        <v>0</v>
      </c>
      <c r="F594" s="9">
        <f>SUM('DATA B1'!I595-'DATA B1'!I594)+('DATA B1'!J595-'DATA B1'!J594)</f>
        <v>0</v>
      </c>
      <c r="G594" s="28">
        <f t="shared" si="174"/>
        <v>0</v>
      </c>
      <c r="H594" s="28">
        <f t="shared" si="175"/>
        <v>0</v>
      </c>
      <c r="I594" s="24">
        <f>SUM('WATER_STEAM RATIO'!K594)</f>
        <v>0</v>
      </c>
      <c r="J594" s="30">
        <f>SUM('DATA B2'!I595-'DATA B2'!I594)+('DATA B2'!J595-'DATA B2'!J594)</f>
        <v>0</v>
      </c>
      <c r="K594" s="28">
        <f t="shared" si="176"/>
        <v>0</v>
      </c>
      <c r="L594" s="28">
        <f t="shared" si="177"/>
        <v>0</v>
      </c>
      <c r="M594" s="89">
        <f>SUM('WATER_STEAM RATIO'!Q594)</f>
        <v>0</v>
      </c>
      <c r="N594" s="9">
        <f>SUM('DATA B3'!H595-'DATA B3'!H594)</f>
        <v>0</v>
      </c>
      <c r="O594" s="88">
        <f t="shared" si="178"/>
        <v>0</v>
      </c>
      <c r="P594" s="15">
        <f t="shared" si="179"/>
        <v>0</v>
      </c>
    </row>
    <row r="595" spans="3:16">
      <c r="C595" s="292"/>
      <c r="D595" s="43">
        <v>0.79166666666666596</v>
      </c>
      <c r="E595" s="5">
        <f>SUM('WATER_STEAM RATIO'!E595)</f>
        <v>0</v>
      </c>
      <c r="F595" s="9">
        <f>SUM('DATA B1'!I596-'DATA B1'!I595)+('DATA B1'!J596-'DATA B1'!J595)</f>
        <v>0</v>
      </c>
      <c r="G595" s="28">
        <f t="shared" si="174"/>
        <v>0</v>
      </c>
      <c r="H595" s="28">
        <f t="shared" si="175"/>
        <v>0</v>
      </c>
      <c r="I595" s="24">
        <f>SUM('WATER_STEAM RATIO'!K595)</f>
        <v>0</v>
      </c>
      <c r="J595" s="30">
        <f>SUM('DATA B2'!I596-'DATA B2'!I595)+('DATA B2'!J596-'DATA B2'!J595)</f>
        <v>0</v>
      </c>
      <c r="K595" s="28">
        <f t="shared" si="176"/>
        <v>0</v>
      </c>
      <c r="L595" s="28">
        <f t="shared" si="177"/>
        <v>0</v>
      </c>
      <c r="M595" s="89">
        <f>SUM('WATER_STEAM RATIO'!Q595)</f>
        <v>0</v>
      </c>
      <c r="N595" s="9">
        <f>SUM('DATA B3'!H596-'DATA B3'!H595)</f>
        <v>0</v>
      </c>
      <c r="O595" s="88">
        <f t="shared" si="178"/>
        <v>0</v>
      </c>
      <c r="P595" s="15">
        <f t="shared" si="179"/>
        <v>0</v>
      </c>
    </row>
    <row r="596" spans="3:16">
      <c r="C596" s="292"/>
      <c r="D596" s="43">
        <v>0.83333333333333304</v>
      </c>
      <c r="E596" s="5">
        <f>SUM('WATER_STEAM RATIO'!E596)</f>
        <v>0</v>
      </c>
      <c r="F596" s="9">
        <f>SUM('DATA B1'!I597-'DATA B1'!I596)+('DATA B1'!J597-'DATA B1'!J596)</f>
        <v>0</v>
      </c>
      <c r="G596" s="28">
        <f t="shared" si="174"/>
        <v>0</v>
      </c>
      <c r="H596" s="28">
        <f t="shared" si="175"/>
        <v>0</v>
      </c>
      <c r="I596" s="24">
        <f>SUM('WATER_STEAM RATIO'!K596)</f>
        <v>0</v>
      </c>
      <c r="J596" s="30">
        <f>SUM('DATA B2'!I597-'DATA B2'!I596)+('DATA B2'!J597-'DATA B2'!J596)</f>
        <v>0</v>
      </c>
      <c r="K596" s="28">
        <f t="shared" si="176"/>
        <v>0</v>
      </c>
      <c r="L596" s="28">
        <f>IFERROR((I596/18)*100,0)</f>
        <v>0</v>
      </c>
      <c r="M596" s="89">
        <f>SUM('WATER_STEAM RATIO'!Q596)</f>
        <v>0</v>
      </c>
      <c r="N596" s="9">
        <f>SUM('DATA B3'!H597-'DATA B3'!H596)</f>
        <v>0</v>
      </c>
      <c r="O596" s="88">
        <f t="shared" si="178"/>
        <v>0</v>
      </c>
      <c r="P596" s="15">
        <f t="shared" si="179"/>
        <v>0</v>
      </c>
    </row>
    <row r="597" spans="3:16">
      <c r="C597" s="292"/>
      <c r="D597" s="43">
        <v>0.875</v>
      </c>
      <c r="E597" s="5">
        <f>SUM('WATER_STEAM RATIO'!E597)</f>
        <v>0</v>
      </c>
      <c r="F597" s="9">
        <f>SUM('DATA B1'!I598-'DATA B1'!I597)+('DATA B1'!J598-'DATA B1'!J597)</f>
        <v>0</v>
      </c>
      <c r="G597" s="28">
        <f t="shared" si="174"/>
        <v>0</v>
      </c>
      <c r="H597" s="28">
        <f t="shared" si="175"/>
        <v>0</v>
      </c>
      <c r="I597" s="24">
        <f>SUM('WATER_STEAM RATIO'!K597)</f>
        <v>0</v>
      </c>
      <c r="J597" s="30">
        <f>SUM('DATA B2'!I598-'DATA B2'!I597)+('DATA B2'!J598-'DATA B2'!J597)</f>
        <v>0</v>
      </c>
      <c r="K597" s="28">
        <f t="shared" si="176"/>
        <v>0</v>
      </c>
      <c r="L597" s="28">
        <f t="shared" ref="L597:L607" si="180">IFERROR((I597/18)*100,0)</f>
        <v>0</v>
      </c>
      <c r="M597" s="89">
        <f>SUM('WATER_STEAM RATIO'!Q597)</f>
        <v>0</v>
      </c>
      <c r="N597" s="9">
        <f>SUM('DATA B3'!H598-'DATA B3'!H597)</f>
        <v>0</v>
      </c>
      <c r="O597" s="88">
        <f t="shared" si="178"/>
        <v>0</v>
      </c>
      <c r="P597" s="15">
        <f t="shared" si="179"/>
        <v>0</v>
      </c>
    </row>
    <row r="598" spans="3:16">
      <c r="C598" s="292"/>
      <c r="D598" s="43">
        <v>0.91666666666666596</v>
      </c>
      <c r="E598" s="5">
        <f>SUM('WATER_STEAM RATIO'!E598)</f>
        <v>0</v>
      </c>
      <c r="F598" s="9">
        <f>SUM('DATA B1'!I599-'DATA B1'!I598)+('DATA B1'!J599-'DATA B1'!J598)</f>
        <v>0</v>
      </c>
      <c r="G598" s="28">
        <f t="shared" si="174"/>
        <v>0</v>
      </c>
      <c r="H598" s="28">
        <f t="shared" si="175"/>
        <v>0</v>
      </c>
      <c r="I598" s="24">
        <f>SUM('WATER_STEAM RATIO'!K598)</f>
        <v>0</v>
      </c>
      <c r="J598" s="30">
        <f>SUM('DATA B2'!I599-'DATA B2'!I598)+('DATA B2'!J599-'DATA B2'!J598)</f>
        <v>0</v>
      </c>
      <c r="K598" s="28">
        <f t="shared" si="176"/>
        <v>0</v>
      </c>
      <c r="L598" s="28">
        <f t="shared" si="180"/>
        <v>0</v>
      </c>
      <c r="M598" s="89">
        <f>SUM('WATER_STEAM RATIO'!Q598)</f>
        <v>0</v>
      </c>
      <c r="N598" s="9">
        <f>SUM('DATA B3'!H599-'DATA B3'!H598)</f>
        <v>0</v>
      </c>
      <c r="O598" s="88">
        <f t="shared" si="178"/>
        <v>0</v>
      </c>
      <c r="P598" s="15">
        <f>IFERROR((M598/16)*100,0)</f>
        <v>0</v>
      </c>
    </row>
    <row r="599" spans="3:16">
      <c r="C599" s="292"/>
      <c r="D599" s="43">
        <v>0.95833333333333304</v>
      </c>
      <c r="E599" s="5">
        <f>SUM('WATER_STEAM RATIO'!E599)</f>
        <v>0</v>
      </c>
      <c r="F599" s="9">
        <f>SUM('DATA B1'!I600-'DATA B1'!I599)+('DATA B1'!J600-'DATA B1'!J599)</f>
        <v>0</v>
      </c>
      <c r="G599" s="28">
        <f t="shared" si="174"/>
        <v>0</v>
      </c>
      <c r="H599" s="28">
        <f t="shared" si="175"/>
        <v>0</v>
      </c>
      <c r="I599" s="24">
        <f>SUM('WATER_STEAM RATIO'!K599)</f>
        <v>0</v>
      </c>
      <c r="J599" s="30">
        <f>SUM('DATA B2'!I600-'DATA B2'!I599)+('DATA B2'!J600-'DATA B2'!J599)</f>
        <v>0</v>
      </c>
      <c r="K599" s="28">
        <f t="shared" si="176"/>
        <v>0</v>
      </c>
      <c r="L599" s="28">
        <f t="shared" si="180"/>
        <v>0</v>
      </c>
      <c r="M599" s="89">
        <f>SUM('WATER_STEAM RATIO'!Q599)</f>
        <v>0</v>
      </c>
      <c r="N599" s="9">
        <f>SUM('DATA B3'!H600-'DATA B3'!H599)</f>
        <v>0</v>
      </c>
      <c r="O599" s="88">
        <f t="shared" si="178"/>
        <v>0</v>
      </c>
      <c r="P599" s="15">
        <f t="shared" si="179"/>
        <v>0</v>
      </c>
    </row>
    <row r="600" spans="3:16">
      <c r="C600" s="292"/>
      <c r="D600" s="43">
        <v>1</v>
      </c>
      <c r="E600" s="5">
        <f>SUM('WATER_STEAM RATIO'!E600)</f>
        <v>0</v>
      </c>
      <c r="F600" s="9">
        <f>SUM('DATA B1'!I601-'DATA B1'!I600)+('DATA B1'!J601-'DATA B1'!J600)</f>
        <v>0</v>
      </c>
      <c r="G600" s="28">
        <f t="shared" si="174"/>
        <v>0</v>
      </c>
      <c r="H600" s="28">
        <f t="shared" si="175"/>
        <v>0</v>
      </c>
      <c r="I600" s="24">
        <f>SUM('WATER_STEAM RATIO'!K600)</f>
        <v>0</v>
      </c>
      <c r="J600" s="30">
        <f>SUM('DATA B2'!I601-'DATA B2'!I600)+('DATA B2'!J601-'DATA B2'!J600)</f>
        <v>0</v>
      </c>
      <c r="K600" s="28">
        <f t="shared" si="176"/>
        <v>0</v>
      </c>
      <c r="L600" s="28">
        <f t="shared" si="180"/>
        <v>0</v>
      </c>
      <c r="M600" s="89">
        <f>SUM('WATER_STEAM RATIO'!Q600)</f>
        <v>0</v>
      </c>
      <c r="N600" s="9">
        <f>SUM('DATA B3'!H601-'DATA B3'!H600)</f>
        <v>0</v>
      </c>
      <c r="O600" s="88">
        <f t="shared" si="178"/>
        <v>0</v>
      </c>
      <c r="P600" s="15">
        <f t="shared" si="179"/>
        <v>0</v>
      </c>
    </row>
    <row r="601" spans="3:16">
      <c r="C601" s="292"/>
      <c r="D601" s="43">
        <v>1.0416666666666701</v>
      </c>
      <c r="E601" s="5">
        <f>SUM('WATER_STEAM RATIO'!E601)</f>
        <v>0</v>
      </c>
      <c r="F601" s="9">
        <f>SUM('DATA B1'!I602-'DATA B1'!I601)+('DATA B1'!J602-'DATA B1'!J601)</f>
        <v>0</v>
      </c>
      <c r="G601" s="28">
        <f t="shared" si="174"/>
        <v>0</v>
      </c>
      <c r="H601" s="28">
        <f t="shared" si="175"/>
        <v>0</v>
      </c>
      <c r="I601" s="24">
        <f>SUM('WATER_STEAM RATIO'!K601)</f>
        <v>0</v>
      </c>
      <c r="J601" s="30">
        <f>SUM('DATA B2'!I602-'DATA B2'!I601)+('DATA B2'!J602-'DATA B2'!J601)</f>
        <v>0</v>
      </c>
      <c r="K601" s="28">
        <f t="shared" si="176"/>
        <v>0</v>
      </c>
      <c r="L601" s="28">
        <f t="shared" si="180"/>
        <v>0</v>
      </c>
      <c r="M601" s="89">
        <f>SUM('WATER_STEAM RATIO'!Q601)</f>
        <v>0</v>
      </c>
      <c r="N601" s="9">
        <f>SUM('DATA B3'!H602-'DATA B3'!H601)</f>
        <v>0</v>
      </c>
      <c r="O601" s="88">
        <f t="shared" si="178"/>
        <v>0</v>
      </c>
      <c r="P601" s="15">
        <f t="shared" si="179"/>
        <v>0</v>
      </c>
    </row>
    <row r="602" spans="3:16">
      <c r="C602" s="292"/>
      <c r="D602" s="43">
        <v>1.0833333333333399</v>
      </c>
      <c r="E602" s="5">
        <f>SUM('WATER_STEAM RATIO'!E602)</f>
        <v>0</v>
      </c>
      <c r="F602" s="9">
        <f>SUM('DATA B1'!I603-'DATA B1'!I602)+('DATA B1'!J603-'DATA B1'!J602)</f>
        <v>0</v>
      </c>
      <c r="G602" s="28">
        <f t="shared" si="174"/>
        <v>0</v>
      </c>
      <c r="H602" s="28">
        <f t="shared" si="175"/>
        <v>0</v>
      </c>
      <c r="I602" s="24">
        <f>SUM('WATER_STEAM RATIO'!K602)</f>
        <v>0</v>
      </c>
      <c r="J602" s="30">
        <f>SUM('DATA B2'!I603-'DATA B2'!I602)+('DATA B2'!J603-'DATA B2'!J602)</f>
        <v>0</v>
      </c>
      <c r="K602" s="28">
        <f t="shared" si="176"/>
        <v>0</v>
      </c>
      <c r="L602" s="28">
        <f t="shared" si="180"/>
        <v>0</v>
      </c>
      <c r="M602" s="89">
        <f>SUM('WATER_STEAM RATIO'!Q602)</f>
        <v>0</v>
      </c>
      <c r="N602" s="9">
        <f>SUM('DATA B3'!H603-'DATA B3'!H602)</f>
        <v>0</v>
      </c>
      <c r="O602" s="88">
        <f t="shared" si="178"/>
        <v>0</v>
      </c>
      <c r="P602" s="15">
        <f t="shared" si="179"/>
        <v>0</v>
      </c>
    </row>
    <row r="603" spans="3:16">
      <c r="C603" s="292"/>
      <c r="D603" s="43">
        <v>1.125</v>
      </c>
      <c r="E603" s="5">
        <f>SUM('WATER_STEAM RATIO'!E603)</f>
        <v>0</v>
      </c>
      <c r="F603" s="9">
        <f>SUM('DATA B1'!I604-'DATA B1'!I603)+('DATA B1'!J604-'DATA B1'!J603)</f>
        <v>0</v>
      </c>
      <c r="G603" s="28">
        <f t="shared" si="174"/>
        <v>0</v>
      </c>
      <c r="H603" s="28">
        <f t="shared" si="175"/>
        <v>0</v>
      </c>
      <c r="I603" s="24">
        <f>SUM('WATER_STEAM RATIO'!K603)</f>
        <v>0</v>
      </c>
      <c r="J603" s="30">
        <f>SUM('DATA B2'!I604-'DATA B2'!I603)+('DATA B2'!J604-'DATA B2'!J603)</f>
        <v>0</v>
      </c>
      <c r="K603" s="28">
        <f t="shared" si="176"/>
        <v>0</v>
      </c>
      <c r="L603" s="28">
        <f t="shared" si="180"/>
        <v>0</v>
      </c>
      <c r="M603" s="89">
        <f>SUM('WATER_STEAM RATIO'!Q603)</f>
        <v>0</v>
      </c>
      <c r="N603" s="9">
        <f>SUM('DATA B3'!H604-'DATA B3'!H603)</f>
        <v>0</v>
      </c>
      <c r="O603" s="88">
        <f t="shared" ref="O603:O607" si="181">IFERROR(N603/(M603),0)</f>
        <v>0</v>
      </c>
      <c r="P603" s="15">
        <f t="shared" si="179"/>
        <v>0</v>
      </c>
    </row>
    <row r="604" spans="3:16">
      <c r="C604" s="292"/>
      <c r="D604" s="43">
        <v>1.1666666666666701</v>
      </c>
      <c r="E604" s="5">
        <f>SUM('WATER_STEAM RATIO'!E604)</f>
        <v>0</v>
      </c>
      <c r="F604" s="9">
        <f>SUM('DATA B1'!I605-'DATA B1'!I604)+('DATA B1'!J605-'DATA B1'!J604)</f>
        <v>0</v>
      </c>
      <c r="G604" s="28">
        <f t="shared" si="174"/>
        <v>0</v>
      </c>
      <c r="H604" s="28">
        <f t="shared" si="175"/>
        <v>0</v>
      </c>
      <c r="I604" s="24">
        <f>SUM('WATER_STEAM RATIO'!K604)</f>
        <v>0</v>
      </c>
      <c r="J604" s="30">
        <f>SUM('DATA B2'!I605-'DATA B2'!I604)+('DATA B2'!J605-'DATA B2'!J604)</f>
        <v>0</v>
      </c>
      <c r="K604" s="28">
        <f>IFERROR(J604/(I604),0)</f>
        <v>0</v>
      </c>
      <c r="L604" s="28">
        <f t="shared" si="180"/>
        <v>0</v>
      </c>
      <c r="M604" s="89">
        <f>SUM('WATER_STEAM RATIO'!Q604)</f>
        <v>0</v>
      </c>
      <c r="N604" s="9">
        <f>SUM('DATA B3'!H605-'DATA B3'!H604)</f>
        <v>0</v>
      </c>
      <c r="O604" s="88">
        <f t="shared" si="181"/>
        <v>0</v>
      </c>
      <c r="P604" s="15">
        <f t="shared" si="179"/>
        <v>0</v>
      </c>
    </row>
    <row r="605" spans="3:16">
      <c r="C605" s="292"/>
      <c r="D605" s="43">
        <v>1.2083333333333399</v>
      </c>
      <c r="E605" s="5">
        <f>SUM('WATER_STEAM RATIO'!E605)</f>
        <v>0</v>
      </c>
      <c r="F605" s="9">
        <f>SUM('DATA B1'!I606-'DATA B1'!I605)+('DATA B1'!J606-'DATA B1'!J605)</f>
        <v>0</v>
      </c>
      <c r="G605" s="28">
        <f t="shared" si="174"/>
        <v>0</v>
      </c>
      <c r="H605" s="28">
        <f t="shared" si="175"/>
        <v>0</v>
      </c>
      <c r="I605" s="24">
        <f>SUM('WATER_STEAM RATIO'!K605)</f>
        <v>0</v>
      </c>
      <c r="J605" s="30">
        <f>SUM('DATA B2'!I606-'DATA B2'!I605)+('DATA B2'!J606-'DATA B2'!J605)</f>
        <v>0</v>
      </c>
      <c r="K605" s="28">
        <f>IFERROR(J605/(I605),0)</f>
        <v>0</v>
      </c>
      <c r="L605" s="28">
        <f t="shared" si="180"/>
        <v>0</v>
      </c>
      <c r="M605" s="89">
        <f>SUM('WATER_STEAM RATIO'!Q605)</f>
        <v>0</v>
      </c>
      <c r="N605" s="9">
        <f>SUM('DATA B3'!H606-'DATA B3'!H605)</f>
        <v>0</v>
      </c>
      <c r="O605" s="88">
        <f t="shared" si="181"/>
        <v>0</v>
      </c>
      <c r="P605" s="15">
        <f t="shared" si="179"/>
        <v>0</v>
      </c>
    </row>
    <row r="606" spans="3:16">
      <c r="C606" s="292"/>
      <c r="D606" s="43">
        <v>1.25</v>
      </c>
      <c r="E606" s="5">
        <f>SUM('WATER_STEAM RATIO'!E606)</f>
        <v>0</v>
      </c>
      <c r="F606" s="9">
        <f>SUM('DATA B1'!I607-'DATA B1'!I606)+('DATA B1'!J607-'DATA B1'!J606)</f>
        <v>0</v>
      </c>
      <c r="G606" s="28">
        <f t="shared" si="174"/>
        <v>0</v>
      </c>
      <c r="H606" s="28">
        <f t="shared" si="175"/>
        <v>0</v>
      </c>
      <c r="I606" s="24">
        <f>SUM('WATER_STEAM RATIO'!K606)</f>
        <v>0</v>
      </c>
      <c r="J606" s="30">
        <f>SUM('DATA B2'!I607-'DATA B2'!I606)+('DATA B2'!J607-'DATA B2'!J606)</f>
        <v>0</v>
      </c>
      <c r="K606" s="28">
        <f>IFERROR(J606/(I606),0)</f>
        <v>0</v>
      </c>
      <c r="L606" s="28">
        <f t="shared" si="180"/>
        <v>0</v>
      </c>
      <c r="M606" s="89">
        <f>SUM('WATER_STEAM RATIO'!Q606)</f>
        <v>0</v>
      </c>
      <c r="N606" s="9">
        <f>SUM('DATA B3'!H607-'DATA B3'!H606)</f>
        <v>0</v>
      </c>
      <c r="O606" s="88">
        <f t="shared" si="181"/>
        <v>0</v>
      </c>
      <c r="P606" s="15">
        <f t="shared" si="179"/>
        <v>0</v>
      </c>
    </row>
    <row r="607" spans="3:16">
      <c r="C607" s="292"/>
      <c r="D607" s="43">
        <v>1.2916666666666701</v>
      </c>
      <c r="E607" s="5">
        <f>SUM('WATER_STEAM RATIO'!E607)</f>
        <v>0</v>
      </c>
      <c r="F607" s="9">
        <f>SUM('DATA B1'!I608-'DATA B1'!I607)+('DATA B1'!J608-'DATA B1'!J607)</f>
        <v>0</v>
      </c>
      <c r="G607" s="28">
        <f t="shared" si="174"/>
        <v>0</v>
      </c>
      <c r="H607" s="28">
        <f t="shared" si="175"/>
        <v>0</v>
      </c>
      <c r="I607" s="24">
        <f>SUM('WATER_STEAM RATIO'!K607)</f>
        <v>0</v>
      </c>
      <c r="J607" s="30">
        <f>SUM('DATA B2'!I608-'DATA B2'!I607)+('DATA B2'!J608-'DATA B2'!J607)</f>
        <v>0</v>
      </c>
      <c r="K607" s="28">
        <f>IFERROR(J607/(I607),0)</f>
        <v>0</v>
      </c>
      <c r="L607" s="28">
        <f t="shared" si="180"/>
        <v>0</v>
      </c>
      <c r="M607" s="89">
        <f>SUM('WATER_STEAM RATIO'!Q607)</f>
        <v>0</v>
      </c>
      <c r="N607" s="9">
        <f>SUM('DATA B3'!H608-'DATA B3'!H607)</f>
        <v>0</v>
      </c>
      <c r="O607" s="88">
        <f t="shared" si="181"/>
        <v>0</v>
      </c>
      <c r="P607" s="15">
        <f t="shared" si="179"/>
        <v>0</v>
      </c>
    </row>
    <row r="608" spans="3:16">
      <c r="C608" s="293"/>
      <c r="D608" s="258"/>
      <c r="E608" s="91">
        <f>SUMIF(E583:E607,"&gt;=0",E583:E607)</f>
        <v>0</v>
      </c>
      <c r="F608" s="91">
        <f>SUMIF(F583:F607,"&gt;=0",F583:F607)</f>
        <v>0</v>
      </c>
      <c r="G608" s="54">
        <f>IFERROR(F608/E608,0)</f>
        <v>0</v>
      </c>
      <c r="H608" s="54">
        <f>IFERROR(AVERAGE(H584:H607),0)</f>
        <v>0</v>
      </c>
      <c r="I608" s="91">
        <f>SUMIF(I583:I607,"&gt;=0",I583:I607)</f>
        <v>0</v>
      </c>
      <c r="J608" s="91">
        <f>SUMIF(J583:J607,"&gt;=0",J583:J607)</f>
        <v>0</v>
      </c>
      <c r="K608" s="54">
        <f>IFERROR(J608/(I608),0)</f>
        <v>0</v>
      </c>
      <c r="L608" s="54">
        <f>IFERROR(AVERAGE(L584:L607),0)</f>
        <v>0</v>
      </c>
      <c r="M608" s="91">
        <f>SUMIF(M583:M607,"&gt;=0",M583:M607)</f>
        <v>0</v>
      </c>
      <c r="N608" s="91">
        <f>SUMIF(N583:N607,"&gt;=0",N583:N607)</f>
        <v>0</v>
      </c>
      <c r="O608" s="239">
        <f>IFERROR(N608/(M608),0)</f>
        <v>0</v>
      </c>
      <c r="P608" s="215">
        <f>IFERROR(AVERAGE(P584:P607),0)</f>
        <v>0</v>
      </c>
    </row>
    <row r="609" spans="3:16" ht="15" customHeight="1">
      <c r="C609" s="291">
        <f>SUM('WATER_STEAM RATIO'!B609:B634)</f>
        <v>46046</v>
      </c>
      <c r="D609" s="43">
        <v>0.29166666666666669</v>
      </c>
      <c r="E609" s="5">
        <f>SUM('WATER_STEAM RATIO'!E609)</f>
        <v>0</v>
      </c>
      <c r="F609" s="9"/>
      <c r="G609" s="28"/>
      <c r="H609" s="28"/>
      <c r="I609" s="24">
        <f>SUM('WATER_STEAM RATIO'!K609)</f>
        <v>0</v>
      </c>
      <c r="J609" s="30"/>
      <c r="K609" s="28"/>
      <c r="L609" s="28"/>
      <c r="M609" s="89">
        <f>SUM('WATER_STEAM RATIO'!Q609)</f>
        <v>0</v>
      </c>
      <c r="N609" s="9"/>
      <c r="O609" s="88"/>
      <c r="P609" s="15"/>
    </row>
    <row r="610" spans="3:16">
      <c r="C610" s="292"/>
      <c r="D610" s="43">
        <v>0.33333333333333298</v>
      </c>
      <c r="E610" s="5">
        <f>SUM('WATER_STEAM RATIO'!E610)</f>
        <v>0</v>
      </c>
      <c r="F610" s="9">
        <f>SUM('DATA B1'!I611-'DATA B1'!I610)+('DATA B1'!J611-'DATA B1'!J610)</f>
        <v>0</v>
      </c>
      <c r="G610" s="28">
        <f>IFERROR(F610/(E610),0)</f>
        <v>0</v>
      </c>
      <c r="H610" s="28">
        <f>IFERROR((E610/18)*100,0)</f>
        <v>0</v>
      </c>
      <c r="I610" s="24">
        <f>SUM('WATER_STEAM RATIO'!K610)</f>
        <v>0</v>
      </c>
      <c r="J610" s="30">
        <f>SUM('DATA B2'!I611-'DATA B2'!I610)+('DATA B2'!J611-'DATA B2'!J610)</f>
        <v>0</v>
      </c>
      <c r="K610" s="28">
        <f>IFERROR(J610/(I610),0)</f>
        <v>0</v>
      </c>
      <c r="L610" s="28">
        <f>IFERROR((I610/18)*100,0)</f>
        <v>0</v>
      </c>
      <c r="M610" s="89">
        <f>SUM('WATER_STEAM RATIO'!Q610)</f>
        <v>0</v>
      </c>
      <c r="N610" s="9">
        <f>SUM('DATA B3'!H611-'DATA B3'!H610)</f>
        <v>0</v>
      </c>
      <c r="O610" s="88">
        <f>IFERROR(N610/(M610),0)</f>
        <v>0</v>
      </c>
      <c r="P610" s="15">
        <f>IFERROR((M610/16)*100,0)</f>
        <v>0</v>
      </c>
    </row>
    <row r="611" spans="3:16">
      <c r="C611" s="292"/>
      <c r="D611" s="43">
        <v>0.375</v>
      </c>
      <c r="E611" s="5">
        <f>SUM('WATER_STEAM RATIO'!E611)</f>
        <v>0</v>
      </c>
      <c r="F611" s="9">
        <f>SUM('DATA B1'!I612-'DATA B1'!I611)+('DATA B1'!J612-'DATA B1'!J611)</f>
        <v>0</v>
      </c>
      <c r="G611" s="28">
        <f t="shared" ref="G611:G633" si="182">IFERROR(F611/(E611),0)</f>
        <v>0</v>
      </c>
      <c r="H611" s="28">
        <f t="shared" ref="H611:H633" si="183">IFERROR((E611/18)*100,0)</f>
        <v>0</v>
      </c>
      <c r="I611" s="24">
        <f>SUM('WATER_STEAM RATIO'!K611)</f>
        <v>0</v>
      </c>
      <c r="J611" s="30">
        <f>SUM('DATA B2'!I612-'DATA B2'!I611)+('DATA B2'!J612-'DATA B2'!J611)</f>
        <v>0</v>
      </c>
      <c r="K611" s="28">
        <f t="shared" ref="K611:K629" si="184">IFERROR(J611/(I611),0)</f>
        <v>0</v>
      </c>
      <c r="L611" s="28">
        <f t="shared" ref="L611:L621" si="185">IFERROR((I611/18)*100,0)</f>
        <v>0</v>
      </c>
      <c r="M611" s="89">
        <f>SUM('WATER_STEAM RATIO'!Q611)</f>
        <v>0</v>
      </c>
      <c r="N611" s="9">
        <f>SUM('DATA B3'!H612-'DATA B3'!H611)</f>
        <v>0</v>
      </c>
      <c r="O611" s="88">
        <f t="shared" ref="O611:O628" si="186">IFERROR(N611/(M611),0)</f>
        <v>0</v>
      </c>
      <c r="P611" s="15">
        <f t="shared" ref="P611:P633" si="187">IFERROR((M611/16)*100,0)</f>
        <v>0</v>
      </c>
    </row>
    <row r="612" spans="3:16">
      <c r="C612" s="292"/>
      <c r="D612" s="43">
        <v>0.41666666666666702</v>
      </c>
      <c r="E612" s="5">
        <f>SUM('WATER_STEAM RATIO'!E612)</f>
        <v>0</v>
      </c>
      <c r="F612" s="9">
        <f>SUM('DATA B1'!I613-'DATA B1'!I612)+('DATA B1'!J613-'DATA B1'!J612)</f>
        <v>0</v>
      </c>
      <c r="G612" s="28">
        <f t="shared" si="182"/>
        <v>0</v>
      </c>
      <c r="H612" s="28">
        <f t="shared" si="183"/>
        <v>0</v>
      </c>
      <c r="I612" s="24">
        <f>SUM('WATER_STEAM RATIO'!K612)</f>
        <v>0</v>
      </c>
      <c r="J612" s="30">
        <f>SUM('DATA B2'!I613-'DATA B2'!I612)+('DATA B2'!J613-'DATA B2'!J612)</f>
        <v>0</v>
      </c>
      <c r="K612" s="28">
        <f t="shared" si="184"/>
        <v>0</v>
      </c>
      <c r="L612" s="28">
        <f t="shared" si="185"/>
        <v>0</v>
      </c>
      <c r="M612" s="89">
        <f>SUM('WATER_STEAM RATIO'!Q612)</f>
        <v>0</v>
      </c>
      <c r="N612" s="9">
        <f>SUM('DATA B3'!H613-'DATA B3'!H612)</f>
        <v>0</v>
      </c>
      <c r="O612" s="88">
        <f t="shared" si="186"/>
        <v>0</v>
      </c>
      <c r="P612" s="15">
        <f t="shared" si="187"/>
        <v>0</v>
      </c>
    </row>
    <row r="613" spans="3:16">
      <c r="C613" s="292"/>
      <c r="D613" s="43">
        <v>0.45833333333333298</v>
      </c>
      <c r="E613" s="5">
        <f>SUM('WATER_STEAM RATIO'!E613)</f>
        <v>0</v>
      </c>
      <c r="F613" s="9">
        <f>SUM('DATA B1'!I614-'DATA B1'!I613)+('DATA B1'!J614-'DATA B1'!J613)</f>
        <v>0</v>
      </c>
      <c r="G613" s="28">
        <f t="shared" si="182"/>
        <v>0</v>
      </c>
      <c r="H613" s="28">
        <f t="shared" si="183"/>
        <v>0</v>
      </c>
      <c r="I613" s="24">
        <f>SUM('WATER_STEAM RATIO'!K613)</f>
        <v>0</v>
      </c>
      <c r="J613" s="30">
        <f>SUM('DATA B2'!I614-'DATA B2'!I613)+('DATA B2'!J614-'DATA B2'!J613)</f>
        <v>0</v>
      </c>
      <c r="K613" s="28">
        <f t="shared" si="184"/>
        <v>0</v>
      </c>
      <c r="L613" s="28">
        <f t="shared" si="185"/>
        <v>0</v>
      </c>
      <c r="M613" s="89">
        <f>SUM('WATER_STEAM RATIO'!Q613)</f>
        <v>0</v>
      </c>
      <c r="N613" s="9">
        <f>SUM('DATA B3'!H614-'DATA B3'!H613)</f>
        <v>0</v>
      </c>
      <c r="O613" s="88">
        <f t="shared" si="186"/>
        <v>0</v>
      </c>
      <c r="P613" s="15">
        <f t="shared" si="187"/>
        <v>0</v>
      </c>
    </row>
    <row r="614" spans="3:16">
      <c r="C614" s="292"/>
      <c r="D614" s="43">
        <v>0.5</v>
      </c>
      <c r="E614" s="5">
        <f>SUM('WATER_STEAM RATIO'!E614)</f>
        <v>0</v>
      </c>
      <c r="F614" s="9">
        <f>SUM('DATA B1'!I615-'DATA B1'!I614)+('DATA B1'!J615-'DATA B1'!J614)</f>
        <v>0</v>
      </c>
      <c r="G614" s="28">
        <f t="shared" si="182"/>
        <v>0</v>
      </c>
      <c r="H614" s="28">
        <f t="shared" si="183"/>
        <v>0</v>
      </c>
      <c r="I614" s="24">
        <f>SUM('WATER_STEAM RATIO'!K614)</f>
        <v>0</v>
      </c>
      <c r="J614" s="30">
        <f>SUM('DATA B2'!I615-'DATA B2'!I614)+('DATA B2'!J615-'DATA B2'!J614)</f>
        <v>0</v>
      </c>
      <c r="K614" s="28">
        <f t="shared" si="184"/>
        <v>0</v>
      </c>
      <c r="L614" s="28">
        <f t="shared" si="185"/>
        <v>0</v>
      </c>
      <c r="M614" s="89">
        <f>SUM('WATER_STEAM RATIO'!Q614)</f>
        <v>0</v>
      </c>
      <c r="N614" s="9">
        <f>SUM('DATA B3'!H615-'DATA B3'!H614)</f>
        <v>0</v>
      </c>
      <c r="O614" s="88">
        <f t="shared" si="186"/>
        <v>0</v>
      </c>
      <c r="P614" s="15">
        <f t="shared" si="187"/>
        <v>0</v>
      </c>
    </row>
    <row r="615" spans="3:16">
      <c r="C615" s="292"/>
      <c r="D615" s="43">
        <v>0.54166666666666696</v>
      </c>
      <c r="E615" s="5">
        <f>SUM('WATER_STEAM RATIO'!E615)</f>
        <v>0</v>
      </c>
      <c r="F615" s="9">
        <f>SUM('DATA B1'!I616-'DATA B1'!I615)+('DATA B1'!J616-'DATA B1'!J615)</f>
        <v>0</v>
      </c>
      <c r="G615" s="28">
        <f t="shared" si="182"/>
        <v>0</v>
      </c>
      <c r="H615" s="28">
        <f t="shared" si="183"/>
        <v>0</v>
      </c>
      <c r="I615" s="24">
        <f>SUM('WATER_STEAM RATIO'!K615)</f>
        <v>0</v>
      </c>
      <c r="J615" s="30">
        <f>SUM('DATA B2'!I616-'DATA B2'!I615)+('DATA B2'!J616-'DATA B2'!J615)</f>
        <v>0</v>
      </c>
      <c r="K615" s="28">
        <f t="shared" si="184"/>
        <v>0</v>
      </c>
      <c r="L615" s="28">
        <f t="shared" si="185"/>
        <v>0</v>
      </c>
      <c r="M615" s="89">
        <f>SUM('WATER_STEAM RATIO'!Q615)</f>
        <v>0</v>
      </c>
      <c r="N615" s="9">
        <f>SUM('DATA B3'!H616-'DATA B3'!H615)</f>
        <v>0</v>
      </c>
      <c r="O615" s="88">
        <f t="shared" si="186"/>
        <v>0</v>
      </c>
      <c r="P615" s="15">
        <f t="shared" si="187"/>
        <v>0</v>
      </c>
    </row>
    <row r="616" spans="3:16">
      <c r="C616" s="292"/>
      <c r="D616" s="43">
        <v>0.58333333333333304</v>
      </c>
      <c r="E616" s="5">
        <f>SUM('WATER_STEAM RATIO'!E616)</f>
        <v>0</v>
      </c>
      <c r="F616" s="9">
        <f>SUM('DATA B1'!I617-'DATA B1'!I616)+('DATA B1'!J617-'DATA B1'!J616)</f>
        <v>0</v>
      </c>
      <c r="G616" s="28">
        <f t="shared" si="182"/>
        <v>0</v>
      </c>
      <c r="H616" s="28">
        <f t="shared" si="183"/>
        <v>0</v>
      </c>
      <c r="I616" s="24">
        <f>SUM('WATER_STEAM RATIO'!K616)</f>
        <v>0</v>
      </c>
      <c r="J616" s="30">
        <f>SUM('DATA B2'!I617-'DATA B2'!I616)+('DATA B2'!J617-'DATA B2'!J616)</f>
        <v>0</v>
      </c>
      <c r="K616" s="28">
        <f t="shared" si="184"/>
        <v>0</v>
      </c>
      <c r="L616" s="28">
        <f t="shared" si="185"/>
        <v>0</v>
      </c>
      <c r="M616" s="89">
        <f>SUM('WATER_STEAM RATIO'!Q616)</f>
        <v>0</v>
      </c>
      <c r="N616" s="9">
        <f>SUM('DATA B3'!H617-'DATA B3'!H616)</f>
        <v>0</v>
      </c>
      <c r="O616" s="88">
        <f t="shared" si="186"/>
        <v>0</v>
      </c>
      <c r="P616" s="15">
        <f t="shared" si="187"/>
        <v>0</v>
      </c>
    </row>
    <row r="617" spans="3:16">
      <c r="C617" s="292"/>
      <c r="D617" s="43">
        <v>0.625</v>
      </c>
      <c r="E617" s="5">
        <f>SUM('WATER_STEAM RATIO'!E617)</f>
        <v>0</v>
      </c>
      <c r="F617" s="9">
        <f>SUM('DATA B1'!I618-'DATA B1'!I617)+('DATA B1'!J618-'DATA B1'!J617)</f>
        <v>0</v>
      </c>
      <c r="G617" s="28">
        <f t="shared" si="182"/>
        <v>0</v>
      </c>
      <c r="H617" s="28">
        <f t="shared" si="183"/>
        <v>0</v>
      </c>
      <c r="I617" s="24">
        <f>SUM('WATER_STEAM RATIO'!K617)</f>
        <v>0</v>
      </c>
      <c r="J617" s="30">
        <f>SUM('DATA B2'!I618-'DATA B2'!I617)+('DATA B2'!J618-'DATA B2'!J617)</f>
        <v>0</v>
      </c>
      <c r="K617" s="28">
        <f t="shared" si="184"/>
        <v>0</v>
      </c>
      <c r="L617" s="28">
        <f t="shared" si="185"/>
        <v>0</v>
      </c>
      <c r="M617" s="89">
        <f>SUM('WATER_STEAM RATIO'!Q617)</f>
        <v>0</v>
      </c>
      <c r="N617" s="9">
        <f>SUM('DATA B3'!H618-'DATA B3'!H617)</f>
        <v>0</v>
      </c>
      <c r="O617" s="88">
        <f t="shared" si="186"/>
        <v>0</v>
      </c>
      <c r="P617" s="15">
        <f t="shared" si="187"/>
        <v>0</v>
      </c>
    </row>
    <row r="618" spans="3:16">
      <c r="C618" s="292"/>
      <c r="D618" s="43">
        <v>0.66666666666666596</v>
      </c>
      <c r="E618" s="5">
        <f>SUM('WATER_STEAM RATIO'!E618)</f>
        <v>0</v>
      </c>
      <c r="F618" s="9">
        <f>SUM('DATA B1'!I619-'DATA B1'!I618)+('DATA B1'!J619-'DATA B1'!J618)</f>
        <v>0</v>
      </c>
      <c r="G618" s="28">
        <f t="shared" si="182"/>
        <v>0</v>
      </c>
      <c r="H618" s="28">
        <f t="shared" si="183"/>
        <v>0</v>
      </c>
      <c r="I618" s="24">
        <f>SUM('WATER_STEAM RATIO'!K618)</f>
        <v>0</v>
      </c>
      <c r="J618" s="30">
        <f>SUM('DATA B2'!I619-'DATA B2'!I618)+('DATA B2'!J619-'DATA B2'!J618)</f>
        <v>0</v>
      </c>
      <c r="K618" s="28">
        <f t="shared" si="184"/>
        <v>0</v>
      </c>
      <c r="L618" s="28">
        <f t="shared" si="185"/>
        <v>0</v>
      </c>
      <c r="M618" s="89">
        <f>SUM('WATER_STEAM RATIO'!Q618)</f>
        <v>0</v>
      </c>
      <c r="N618" s="9">
        <f>SUM('DATA B3'!H619-'DATA B3'!H618)</f>
        <v>0</v>
      </c>
      <c r="O618" s="88">
        <f t="shared" si="186"/>
        <v>0</v>
      </c>
      <c r="P618" s="15">
        <f t="shared" si="187"/>
        <v>0</v>
      </c>
    </row>
    <row r="619" spans="3:16">
      <c r="C619" s="292"/>
      <c r="D619" s="43">
        <v>0.70833333333333304</v>
      </c>
      <c r="E619" s="5">
        <f>SUM('WATER_STEAM RATIO'!E619)</f>
        <v>0</v>
      </c>
      <c r="F619" s="9">
        <f>SUM('DATA B1'!I620-'DATA B1'!I619)+('DATA B1'!J620-'DATA B1'!J619)</f>
        <v>0</v>
      </c>
      <c r="G619" s="28">
        <f t="shared" si="182"/>
        <v>0</v>
      </c>
      <c r="H619" s="28">
        <f t="shared" si="183"/>
        <v>0</v>
      </c>
      <c r="I619" s="24">
        <f>SUM('WATER_STEAM RATIO'!K619)</f>
        <v>0</v>
      </c>
      <c r="J619" s="30">
        <f>SUM('DATA B2'!I620-'DATA B2'!I619)+('DATA B2'!J620-'DATA B2'!J619)</f>
        <v>0</v>
      </c>
      <c r="K619" s="28">
        <f t="shared" si="184"/>
        <v>0</v>
      </c>
      <c r="L619" s="28">
        <f t="shared" si="185"/>
        <v>0</v>
      </c>
      <c r="M619" s="89">
        <f>SUM('WATER_STEAM RATIO'!Q619)</f>
        <v>0</v>
      </c>
      <c r="N619" s="9">
        <f>SUM('DATA B3'!H620-'DATA B3'!H619)</f>
        <v>0</v>
      </c>
      <c r="O619" s="88">
        <f t="shared" si="186"/>
        <v>0</v>
      </c>
      <c r="P619" s="15">
        <f t="shared" si="187"/>
        <v>0</v>
      </c>
    </row>
    <row r="620" spans="3:16">
      <c r="C620" s="292"/>
      <c r="D620" s="43">
        <v>0.75</v>
      </c>
      <c r="E620" s="5">
        <f>SUM('WATER_STEAM RATIO'!E620)</f>
        <v>0</v>
      </c>
      <c r="F620" s="9">
        <f>SUM('DATA B1'!I621-'DATA B1'!I620)+('DATA B1'!J621-'DATA B1'!J620)</f>
        <v>0</v>
      </c>
      <c r="G620" s="28">
        <f t="shared" si="182"/>
        <v>0</v>
      </c>
      <c r="H620" s="28">
        <f t="shared" si="183"/>
        <v>0</v>
      </c>
      <c r="I620" s="24">
        <f>SUM('WATER_STEAM RATIO'!K620)</f>
        <v>0</v>
      </c>
      <c r="J620" s="30">
        <f>SUM('DATA B2'!I621-'DATA B2'!I620)+('DATA B2'!J621-'DATA B2'!J620)</f>
        <v>0</v>
      </c>
      <c r="K620" s="28">
        <f t="shared" si="184"/>
        <v>0</v>
      </c>
      <c r="L620" s="28">
        <f t="shared" si="185"/>
        <v>0</v>
      </c>
      <c r="M620" s="89">
        <f>SUM('WATER_STEAM RATIO'!Q620)</f>
        <v>0</v>
      </c>
      <c r="N620" s="9">
        <f>SUM('DATA B3'!H621-'DATA B3'!H620)</f>
        <v>0</v>
      </c>
      <c r="O620" s="88">
        <f t="shared" si="186"/>
        <v>0</v>
      </c>
      <c r="P620" s="15">
        <f t="shared" si="187"/>
        <v>0</v>
      </c>
    </row>
    <row r="621" spans="3:16">
      <c r="C621" s="292"/>
      <c r="D621" s="43">
        <v>0.79166666666666596</v>
      </c>
      <c r="E621" s="5">
        <f>SUM('WATER_STEAM RATIO'!E621)</f>
        <v>0</v>
      </c>
      <c r="F621" s="9">
        <f>SUM('DATA B1'!I622-'DATA B1'!I621)+('DATA B1'!J622-'DATA B1'!J621)</f>
        <v>0</v>
      </c>
      <c r="G621" s="28">
        <f t="shared" si="182"/>
        <v>0</v>
      </c>
      <c r="H621" s="28">
        <f t="shared" si="183"/>
        <v>0</v>
      </c>
      <c r="I621" s="24">
        <f>SUM('WATER_STEAM RATIO'!K621)</f>
        <v>0</v>
      </c>
      <c r="J621" s="30">
        <f>SUM('DATA B2'!I622-'DATA B2'!I621)+('DATA B2'!J622-'DATA B2'!J621)</f>
        <v>0</v>
      </c>
      <c r="K621" s="28">
        <f t="shared" si="184"/>
        <v>0</v>
      </c>
      <c r="L621" s="28">
        <f t="shared" si="185"/>
        <v>0</v>
      </c>
      <c r="M621" s="89">
        <f>SUM('WATER_STEAM RATIO'!Q621)</f>
        <v>0</v>
      </c>
      <c r="N621" s="9">
        <f>SUM('DATA B3'!H622-'DATA B3'!H621)</f>
        <v>0</v>
      </c>
      <c r="O621" s="88">
        <f t="shared" si="186"/>
        <v>0</v>
      </c>
      <c r="P621" s="15">
        <f t="shared" si="187"/>
        <v>0</v>
      </c>
    </row>
    <row r="622" spans="3:16">
      <c r="C622" s="292"/>
      <c r="D622" s="43">
        <v>0.83333333333333304</v>
      </c>
      <c r="E622" s="5">
        <f>SUM('WATER_STEAM RATIO'!E622)</f>
        <v>0</v>
      </c>
      <c r="F622" s="9">
        <f>SUM('DATA B1'!I623-'DATA B1'!I622)+('DATA B1'!J623-'DATA B1'!J622)</f>
        <v>0</v>
      </c>
      <c r="G622" s="28">
        <f t="shared" si="182"/>
        <v>0</v>
      </c>
      <c r="H622" s="28">
        <f t="shared" si="183"/>
        <v>0</v>
      </c>
      <c r="I622" s="24">
        <f>SUM('WATER_STEAM RATIO'!K622)</f>
        <v>0</v>
      </c>
      <c r="J622" s="30">
        <f>SUM('DATA B2'!I623-'DATA B2'!I622)+('DATA B2'!J623-'DATA B2'!J622)</f>
        <v>0</v>
      </c>
      <c r="K622" s="28">
        <f t="shared" si="184"/>
        <v>0</v>
      </c>
      <c r="L622" s="28">
        <f>IFERROR((I622/18)*100,0)</f>
        <v>0</v>
      </c>
      <c r="M622" s="89">
        <f>SUM('WATER_STEAM RATIO'!Q622)</f>
        <v>0</v>
      </c>
      <c r="N622" s="9">
        <f>SUM('DATA B3'!H623-'DATA B3'!H622)</f>
        <v>0</v>
      </c>
      <c r="O622" s="88">
        <f t="shared" si="186"/>
        <v>0</v>
      </c>
      <c r="P622" s="15">
        <f t="shared" si="187"/>
        <v>0</v>
      </c>
    </row>
    <row r="623" spans="3:16">
      <c r="C623" s="292"/>
      <c r="D623" s="43">
        <v>0.875</v>
      </c>
      <c r="E623" s="5">
        <f>SUM('WATER_STEAM RATIO'!E623)</f>
        <v>0</v>
      </c>
      <c r="F623" s="9">
        <f>SUM('DATA B1'!I624-'DATA B1'!I623)+('DATA B1'!J624-'DATA B1'!J623)</f>
        <v>0</v>
      </c>
      <c r="G623" s="28">
        <f t="shared" si="182"/>
        <v>0</v>
      </c>
      <c r="H623" s="28">
        <f t="shared" si="183"/>
        <v>0</v>
      </c>
      <c r="I623" s="24">
        <f>SUM('WATER_STEAM RATIO'!K623)</f>
        <v>0</v>
      </c>
      <c r="J623" s="30">
        <f>SUM('DATA B2'!I624-'DATA B2'!I623)+('DATA B2'!J624-'DATA B2'!J623)</f>
        <v>0</v>
      </c>
      <c r="K623" s="28">
        <f t="shared" si="184"/>
        <v>0</v>
      </c>
      <c r="L623" s="28">
        <f t="shared" ref="L623:L633" si="188">IFERROR((I623/18)*100,0)</f>
        <v>0</v>
      </c>
      <c r="M623" s="89">
        <f>SUM('WATER_STEAM RATIO'!Q623)</f>
        <v>0</v>
      </c>
      <c r="N623" s="9">
        <f>SUM('DATA B3'!H624-'DATA B3'!H623)</f>
        <v>0</v>
      </c>
      <c r="O623" s="88">
        <f t="shared" si="186"/>
        <v>0</v>
      </c>
      <c r="P623" s="15">
        <f t="shared" si="187"/>
        <v>0</v>
      </c>
    </row>
    <row r="624" spans="3:16">
      <c r="C624" s="292"/>
      <c r="D624" s="43">
        <v>0.91666666666666596</v>
      </c>
      <c r="E624" s="5">
        <f>SUM('WATER_STEAM RATIO'!E624)</f>
        <v>0</v>
      </c>
      <c r="F624" s="9">
        <f>SUM('DATA B1'!I625-'DATA B1'!I624)+('DATA B1'!J625-'DATA B1'!J624)</f>
        <v>0</v>
      </c>
      <c r="G624" s="28">
        <f t="shared" si="182"/>
        <v>0</v>
      </c>
      <c r="H624" s="28">
        <f t="shared" si="183"/>
        <v>0</v>
      </c>
      <c r="I624" s="24">
        <f>SUM('WATER_STEAM RATIO'!K624)</f>
        <v>0</v>
      </c>
      <c r="J624" s="30">
        <f>SUM('DATA B2'!I625-'DATA B2'!I624)+('DATA B2'!J625-'DATA B2'!J624)</f>
        <v>0</v>
      </c>
      <c r="K624" s="28">
        <f t="shared" si="184"/>
        <v>0</v>
      </c>
      <c r="L624" s="28">
        <f t="shared" si="188"/>
        <v>0</v>
      </c>
      <c r="M624" s="89">
        <f>SUM('WATER_STEAM RATIO'!Q624)</f>
        <v>0</v>
      </c>
      <c r="N624" s="9">
        <f>SUM('DATA B3'!H625-'DATA B3'!H624)</f>
        <v>0</v>
      </c>
      <c r="O624" s="88">
        <f t="shared" si="186"/>
        <v>0</v>
      </c>
      <c r="P624" s="15">
        <f>IFERROR((M624/16)*100,0)</f>
        <v>0</v>
      </c>
    </row>
    <row r="625" spans="3:16">
      <c r="C625" s="292"/>
      <c r="D625" s="43">
        <v>0.95833333333333304</v>
      </c>
      <c r="E625" s="5">
        <f>SUM('WATER_STEAM RATIO'!E625)</f>
        <v>0</v>
      </c>
      <c r="F625" s="9">
        <f>SUM('DATA B1'!I626-'DATA B1'!I625)+('DATA B1'!J626-'DATA B1'!J625)</f>
        <v>0</v>
      </c>
      <c r="G625" s="28">
        <f t="shared" si="182"/>
        <v>0</v>
      </c>
      <c r="H625" s="28">
        <f t="shared" si="183"/>
        <v>0</v>
      </c>
      <c r="I625" s="24">
        <f>SUM('WATER_STEAM RATIO'!K625)</f>
        <v>0</v>
      </c>
      <c r="J625" s="30">
        <f>SUM('DATA B2'!I626-'DATA B2'!I625)+('DATA B2'!J626-'DATA B2'!J625)</f>
        <v>0</v>
      </c>
      <c r="K625" s="28">
        <f t="shared" si="184"/>
        <v>0</v>
      </c>
      <c r="L625" s="28">
        <f t="shared" si="188"/>
        <v>0</v>
      </c>
      <c r="M625" s="89">
        <f>SUM('WATER_STEAM RATIO'!Q625)</f>
        <v>0</v>
      </c>
      <c r="N625" s="9">
        <f>SUM('DATA B3'!H626-'DATA B3'!H625)</f>
        <v>0</v>
      </c>
      <c r="O625" s="88">
        <f t="shared" si="186"/>
        <v>0</v>
      </c>
      <c r="P625" s="15">
        <f t="shared" si="187"/>
        <v>0</v>
      </c>
    </row>
    <row r="626" spans="3:16">
      <c r="C626" s="292"/>
      <c r="D626" s="43">
        <v>1</v>
      </c>
      <c r="E626" s="5">
        <f>SUM('WATER_STEAM RATIO'!E626)</f>
        <v>0</v>
      </c>
      <c r="F626" s="9">
        <f>SUM('DATA B1'!I627-'DATA B1'!I626)+('DATA B1'!J627-'DATA B1'!J626)</f>
        <v>0</v>
      </c>
      <c r="G626" s="28">
        <f t="shared" si="182"/>
        <v>0</v>
      </c>
      <c r="H626" s="28">
        <f t="shared" si="183"/>
        <v>0</v>
      </c>
      <c r="I626" s="24">
        <f>SUM('WATER_STEAM RATIO'!K626)</f>
        <v>0</v>
      </c>
      <c r="J626" s="30">
        <f>SUM('DATA B2'!I627-'DATA B2'!I626)+('DATA B2'!J627-'DATA B2'!J626)</f>
        <v>0</v>
      </c>
      <c r="K626" s="28">
        <f t="shared" si="184"/>
        <v>0</v>
      </c>
      <c r="L626" s="28">
        <f t="shared" si="188"/>
        <v>0</v>
      </c>
      <c r="M626" s="89">
        <f>SUM('WATER_STEAM RATIO'!Q626)</f>
        <v>0</v>
      </c>
      <c r="N626" s="9">
        <f>SUM('DATA B3'!H627-'DATA B3'!H626)</f>
        <v>0</v>
      </c>
      <c r="O626" s="88">
        <f t="shared" si="186"/>
        <v>0</v>
      </c>
      <c r="P626" s="15">
        <f t="shared" si="187"/>
        <v>0</v>
      </c>
    </row>
    <row r="627" spans="3:16">
      <c r="C627" s="292"/>
      <c r="D627" s="43">
        <v>1.0416666666666701</v>
      </c>
      <c r="E627" s="5">
        <f>SUM('WATER_STEAM RATIO'!E627)</f>
        <v>0</v>
      </c>
      <c r="F627" s="9">
        <f>SUM('DATA B1'!I628-'DATA B1'!I627)+('DATA B1'!J628-'DATA B1'!J627)</f>
        <v>0</v>
      </c>
      <c r="G627" s="28">
        <f t="shared" si="182"/>
        <v>0</v>
      </c>
      <c r="H627" s="28">
        <f t="shared" si="183"/>
        <v>0</v>
      </c>
      <c r="I627" s="24">
        <f>SUM('WATER_STEAM RATIO'!K627)</f>
        <v>0</v>
      </c>
      <c r="J627" s="30">
        <f>SUM('DATA B2'!I628-'DATA B2'!I627)+('DATA B2'!J628-'DATA B2'!J627)</f>
        <v>0</v>
      </c>
      <c r="K627" s="28">
        <f t="shared" si="184"/>
        <v>0</v>
      </c>
      <c r="L627" s="28">
        <f t="shared" si="188"/>
        <v>0</v>
      </c>
      <c r="M627" s="89">
        <f>SUM('WATER_STEAM RATIO'!Q627)</f>
        <v>0</v>
      </c>
      <c r="N627" s="9">
        <f>SUM('DATA B3'!H628-'DATA B3'!H627)</f>
        <v>0</v>
      </c>
      <c r="O627" s="88">
        <f t="shared" si="186"/>
        <v>0</v>
      </c>
      <c r="P627" s="15">
        <f t="shared" si="187"/>
        <v>0</v>
      </c>
    </row>
    <row r="628" spans="3:16">
      <c r="C628" s="292"/>
      <c r="D628" s="43">
        <v>1.0833333333333399</v>
      </c>
      <c r="E628" s="5">
        <f>SUM('WATER_STEAM RATIO'!E628)</f>
        <v>0</v>
      </c>
      <c r="F628" s="9">
        <f>SUM('DATA B1'!I629-'DATA B1'!I628)+('DATA B1'!J629-'DATA B1'!J628)</f>
        <v>0</v>
      </c>
      <c r="G628" s="28">
        <f t="shared" si="182"/>
        <v>0</v>
      </c>
      <c r="H628" s="28">
        <f t="shared" si="183"/>
        <v>0</v>
      </c>
      <c r="I628" s="24">
        <f>SUM('WATER_STEAM RATIO'!K628)</f>
        <v>0</v>
      </c>
      <c r="J628" s="30">
        <f>SUM('DATA B2'!I629-'DATA B2'!I628)+('DATA B2'!J629-'DATA B2'!J628)</f>
        <v>0</v>
      </c>
      <c r="K628" s="28">
        <f t="shared" si="184"/>
        <v>0</v>
      </c>
      <c r="L628" s="28">
        <f t="shared" si="188"/>
        <v>0</v>
      </c>
      <c r="M628" s="89">
        <f>SUM('WATER_STEAM RATIO'!Q628)</f>
        <v>0</v>
      </c>
      <c r="N628" s="9">
        <f>SUM('DATA B3'!H629-'DATA B3'!H628)</f>
        <v>0</v>
      </c>
      <c r="O628" s="88">
        <f t="shared" si="186"/>
        <v>0</v>
      </c>
      <c r="P628" s="15">
        <f t="shared" si="187"/>
        <v>0</v>
      </c>
    </row>
    <row r="629" spans="3:16">
      <c r="C629" s="292"/>
      <c r="D629" s="43">
        <v>1.125</v>
      </c>
      <c r="E629" s="5">
        <f>SUM('WATER_STEAM RATIO'!E629)</f>
        <v>0</v>
      </c>
      <c r="F629" s="9">
        <f>SUM('DATA B1'!I630-'DATA B1'!I629)+('DATA B1'!J630-'DATA B1'!J629)</f>
        <v>0</v>
      </c>
      <c r="G629" s="28">
        <f t="shared" si="182"/>
        <v>0</v>
      </c>
      <c r="H629" s="28">
        <f t="shared" si="183"/>
        <v>0</v>
      </c>
      <c r="I629" s="24">
        <f>SUM('WATER_STEAM RATIO'!K629)</f>
        <v>0</v>
      </c>
      <c r="J629" s="30">
        <f>SUM('DATA B2'!I630-'DATA B2'!I629)+('DATA B2'!J630-'DATA B2'!J629)</f>
        <v>0</v>
      </c>
      <c r="K629" s="28">
        <f t="shared" si="184"/>
        <v>0</v>
      </c>
      <c r="L629" s="28">
        <f t="shared" si="188"/>
        <v>0</v>
      </c>
      <c r="M629" s="89">
        <f>SUM('WATER_STEAM RATIO'!Q629)</f>
        <v>0</v>
      </c>
      <c r="N629" s="9">
        <f>SUM('DATA B3'!H630-'DATA B3'!H629)</f>
        <v>0</v>
      </c>
      <c r="O629" s="88">
        <f t="shared" ref="O629:O633" si="189">IFERROR(N629/(M629),0)</f>
        <v>0</v>
      </c>
      <c r="P629" s="15">
        <f t="shared" si="187"/>
        <v>0</v>
      </c>
    </row>
    <row r="630" spans="3:16">
      <c r="C630" s="292"/>
      <c r="D630" s="43">
        <v>1.1666666666666701</v>
      </c>
      <c r="E630" s="5">
        <f>SUM('WATER_STEAM RATIO'!E630)</f>
        <v>0</v>
      </c>
      <c r="F630" s="9">
        <f>SUM('DATA B1'!I631-'DATA B1'!I630)+('DATA B1'!J631-'DATA B1'!J630)</f>
        <v>0</v>
      </c>
      <c r="G630" s="28">
        <f t="shared" si="182"/>
        <v>0</v>
      </c>
      <c r="H630" s="28">
        <f t="shared" si="183"/>
        <v>0</v>
      </c>
      <c r="I630" s="24">
        <f>SUM('WATER_STEAM RATIO'!K630)</f>
        <v>0</v>
      </c>
      <c r="J630" s="30">
        <f>SUM('DATA B2'!I631-'DATA B2'!I630)+('DATA B2'!J631-'DATA B2'!J630)</f>
        <v>0</v>
      </c>
      <c r="K630" s="28">
        <f>IFERROR(J630/(I630),0)</f>
        <v>0</v>
      </c>
      <c r="L630" s="28">
        <f t="shared" si="188"/>
        <v>0</v>
      </c>
      <c r="M630" s="89">
        <f>SUM('WATER_STEAM RATIO'!Q630)</f>
        <v>0</v>
      </c>
      <c r="N630" s="9">
        <f>SUM('DATA B3'!H631-'DATA B3'!H630)</f>
        <v>0</v>
      </c>
      <c r="O630" s="88">
        <f t="shared" si="189"/>
        <v>0</v>
      </c>
      <c r="P630" s="15">
        <f t="shared" si="187"/>
        <v>0</v>
      </c>
    </row>
    <row r="631" spans="3:16">
      <c r="C631" s="292"/>
      <c r="D631" s="43">
        <v>1.2083333333333399</v>
      </c>
      <c r="E631" s="5">
        <f>SUM('WATER_STEAM RATIO'!E631)</f>
        <v>0</v>
      </c>
      <c r="F631" s="9">
        <f>SUM('DATA B1'!I632-'DATA B1'!I631)+('DATA B1'!J632-'DATA B1'!J631)</f>
        <v>0</v>
      </c>
      <c r="G631" s="28">
        <f t="shared" si="182"/>
        <v>0</v>
      </c>
      <c r="H631" s="28">
        <f t="shared" si="183"/>
        <v>0</v>
      </c>
      <c r="I631" s="24">
        <f>SUM('WATER_STEAM RATIO'!K631)</f>
        <v>0</v>
      </c>
      <c r="J631" s="30">
        <f>SUM('DATA B2'!I632-'DATA B2'!I631)+('DATA B2'!J632-'DATA B2'!J631)</f>
        <v>0</v>
      </c>
      <c r="K631" s="28">
        <f>IFERROR(J631/(I631),0)</f>
        <v>0</v>
      </c>
      <c r="L631" s="28">
        <f t="shared" si="188"/>
        <v>0</v>
      </c>
      <c r="M631" s="89">
        <f>SUM('WATER_STEAM RATIO'!Q631)</f>
        <v>0</v>
      </c>
      <c r="N631" s="9">
        <f>SUM('DATA B3'!H632-'DATA B3'!H631)</f>
        <v>0</v>
      </c>
      <c r="O631" s="88">
        <f t="shared" si="189"/>
        <v>0</v>
      </c>
      <c r="P631" s="15">
        <f t="shared" si="187"/>
        <v>0</v>
      </c>
    </row>
    <row r="632" spans="3:16">
      <c r="C632" s="292"/>
      <c r="D632" s="43">
        <v>1.25</v>
      </c>
      <c r="E632" s="5">
        <f>SUM('WATER_STEAM RATIO'!E632)</f>
        <v>0</v>
      </c>
      <c r="F632" s="9">
        <f>SUM('DATA B1'!I633-'DATA B1'!I632)+('DATA B1'!J633-'DATA B1'!J632)</f>
        <v>0</v>
      </c>
      <c r="G632" s="28">
        <f t="shared" si="182"/>
        <v>0</v>
      </c>
      <c r="H632" s="28">
        <f t="shared" si="183"/>
        <v>0</v>
      </c>
      <c r="I632" s="24">
        <f>SUM('WATER_STEAM RATIO'!K632)</f>
        <v>0</v>
      </c>
      <c r="J632" s="30">
        <f>SUM('DATA B2'!I633-'DATA B2'!I632)+('DATA B2'!J633-'DATA B2'!J632)</f>
        <v>0</v>
      </c>
      <c r="K632" s="28">
        <f>IFERROR(J632/(I632),0)</f>
        <v>0</v>
      </c>
      <c r="L632" s="28">
        <f t="shared" si="188"/>
        <v>0</v>
      </c>
      <c r="M632" s="89">
        <f>SUM('WATER_STEAM RATIO'!Q632)</f>
        <v>0</v>
      </c>
      <c r="N632" s="9">
        <f>SUM('DATA B3'!H633-'DATA B3'!H632)</f>
        <v>0</v>
      </c>
      <c r="O632" s="88">
        <f t="shared" si="189"/>
        <v>0</v>
      </c>
      <c r="P632" s="15">
        <f t="shared" si="187"/>
        <v>0</v>
      </c>
    </row>
    <row r="633" spans="3:16">
      <c r="C633" s="292"/>
      <c r="D633" s="43">
        <v>1.2916666666666701</v>
      </c>
      <c r="E633" s="5">
        <f>SUM('WATER_STEAM RATIO'!E633)</f>
        <v>0</v>
      </c>
      <c r="F633" s="9">
        <f>SUM('DATA B1'!I634-'DATA B1'!I633)+('DATA B1'!J634-'DATA B1'!J633)</f>
        <v>0</v>
      </c>
      <c r="G633" s="28">
        <f t="shared" si="182"/>
        <v>0</v>
      </c>
      <c r="H633" s="28">
        <f t="shared" si="183"/>
        <v>0</v>
      </c>
      <c r="I633" s="24">
        <f>SUM('WATER_STEAM RATIO'!K633)</f>
        <v>0</v>
      </c>
      <c r="J633" s="30">
        <f>SUM('DATA B2'!I634-'DATA B2'!I633)+('DATA B2'!J634-'DATA B2'!J633)</f>
        <v>0</v>
      </c>
      <c r="K633" s="28">
        <f>IFERROR(J633/(I633),0)</f>
        <v>0</v>
      </c>
      <c r="L633" s="28">
        <f t="shared" si="188"/>
        <v>0</v>
      </c>
      <c r="M633" s="89">
        <f>SUM('WATER_STEAM RATIO'!Q633)</f>
        <v>0</v>
      </c>
      <c r="N633" s="9">
        <f>SUM('DATA B3'!H634-'DATA B3'!H633)</f>
        <v>0</v>
      </c>
      <c r="O633" s="88">
        <f t="shared" si="189"/>
        <v>0</v>
      </c>
      <c r="P633" s="15">
        <f t="shared" si="187"/>
        <v>0</v>
      </c>
    </row>
    <row r="634" spans="3:16">
      <c r="C634" s="293"/>
      <c r="D634" s="258"/>
      <c r="E634" s="91">
        <f>SUMIF(E609:E633,"&gt;=0",E609:E633)</f>
        <v>0</v>
      </c>
      <c r="F634" s="91">
        <f>SUMIF(F609:F633,"&gt;=0",F609:F633)</f>
        <v>0</v>
      </c>
      <c r="G634" s="54">
        <f>IFERROR(F634/E634,0)</f>
        <v>0</v>
      </c>
      <c r="H634" s="54">
        <f>IFERROR(AVERAGE(H610:H633),0)</f>
        <v>0</v>
      </c>
      <c r="I634" s="91">
        <f>SUMIF(I609:I633,"&gt;=0",I609:I633)</f>
        <v>0</v>
      </c>
      <c r="J634" s="91">
        <f>SUMIF(J609:J633,"&gt;=0",J609:J633)</f>
        <v>0</v>
      </c>
      <c r="K634" s="54">
        <f>IFERROR(J634/(I634),0)</f>
        <v>0</v>
      </c>
      <c r="L634" s="54">
        <f>IFERROR(AVERAGE(L610:L633),0)</f>
        <v>0</v>
      </c>
      <c r="M634" s="91">
        <f>SUMIF(M609:M633,"&gt;=0",M609:M633)</f>
        <v>0</v>
      </c>
      <c r="N634" s="91">
        <f>SUMIF(N609:N633,"&gt;=0",N609:N633)</f>
        <v>0</v>
      </c>
      <c r="O634" s="239">
        <f>IFERROR(N634/(M634),0)</f>
        <v>0</v>
      </c>
      <c r="P634" s="215">
        <f>IFERROR(AVERAGE(P610:P633),0)</f>
        <v>0</v>
      </c>
    </row>
    <row r="635" spans="3:16" ht="15" customHeight="1">
      <c r="C635" s="291">
        <f>SUM('WATER_STEAM RATIO'!B635:B660)</f>
        <v>46047</v>
      </c>
      <c r="D635" s="43">
        <v>0.29166666666666669</v>
      </c>
      <c r="E635" s="5">
        <f>SUM('WATER_STEAM RATIO'!E635)</f>
        <v>0</v>
      </c>
      <c r="F635" s="9"/>
      <c r="G635" s="28"/>
      <c r="H635" s="28"/>
      <c r="I635" s="24">
        <f>SUM('WATER_STEAM RATIO'!K635)</f>
        <v>0</v>
      </c>
      <c r="J635" s="30"/>
      <c r="K635" s="28"/>
      <c r="L635" s="28"/>
      <c r="M635" s="89">
        <f>SUM('WATER_STEAM RATIO'!Q635)</f>
        <v>0</v>
      </c>
      <c r="N635" s="9"/>
      <c r="O635" s="88"/>
      <c r="P635" s="15"/>
    </row>
    <row r="636" spans="3:16">
      <c r="C636" s="292"/>
      <c r="D636" s="43">
        <v>0.33333333333333298</v>
      </c>
      <c r="E636" s="5">
        <f>SUM('WATER_STEAM RATIO'!E636)</f>
        <v>0</v>
      </c>
      <c r="F636" s="9">
        <f>SUM('DATA B1'!I637-'DATA B1'!I636)+('DATA B1'!J637-'DATA B1'!J636)</f>
        <v>0</v>
      </c>
      <c r="G636" s="28">
        <f>IFERROR(F636/(E636),0)</f>
        <v>0</v>
      </c>
      <c r="H636" s="28">
        <f>IFERROR((E636/18)*100,0)</f>
        <v>0</v>
      </c>
      <c r="I636" s="24">
        <f>SUM('WATER_STEAM RATIO'!K636)</f>
        <v>0</v>
      </c>
      <c r="J636" s="30">
        <f>SUM('DATA B2'!I637-'DATA B2'!I636)+('DATA B2'!J637-'DATA B2'!J636)</f>
        <v>0</v>
      </c>
      <c r="K636" s="28">
        <f>IFERROR(J636/(I636),0)</f>
        <v>0</v>
      </c>
      <c r="L636" s="28">
        <f>IFERROR((I636/18)*100,0)</f>
        <v>0</v>
      </c>
      <c r="M636" s="89">
        <f>SUM('WATER_STEAM RATIO'!Q636)</f>
        <v>0</v>
      </c>
      <c r="N636" s="9">
        <f>SUM('DATA B3'!H637-'DATA B3'!H636)</f>
        <v>0</v>
      </c>
      <c r="O636" s="88">
        <f>IFERROR(N636/(M636),0)</f>
        <v>0</v>
      </c>
      <c r="P636" s="15">
        <f>IFERROR((M636/16)*100,0)</f>
        <v>0</v>
      </c>
    </row>
    <row r="637" spans="3:16">
      <c r="C637" s="292"/>
      <c r="D637" s="43">
        <v>0.375</v>
      </c>
      <c r="E637" s="5">
        <f>SUM('WATER_STEAM RATIO'!E637)</f>
        <v>0</v>
      </c>
      <c r="F637" s="9">
        <f>SUM('DATA B1'!I638-'DATA B1'!I637)+('DATA B1'!J638-'DATA B1'!J637)</f>
        <v>0</v>
      </c>
      <c r="G637" s="28">
        <f t="shared" ref="G637:G659" si="190">IFERROR(F637/(E637),0)</f>
        <v>0</v>
      </c>
      <c r="H637" s="28">
        <f t="shared" ref="H637:H659" si="191">IFERROR((E637/18)*100,0)</f>
        <v>0</v>
      </c>
      <c r="I637" s="24">
        <f>SUM('WATER_STEAM RATIO'!K637)</f>
        <v>0</v>
      </c>
      <c r="J637" s="30">
        <f>SUM('DATA B2'!I638-'DATA B2'!I637)+('DATA B2'!J638-'DATA B2'!J637)</f>
        <v>0</v>
      </c>
      <c r="K637" s="28">
        <f t="shared" ref="K637:K655" si="192">IFERROR(J637/(I637),0)</f>
        <v>0</v>
      </c>
      <c r="L637" s="28">
        <f t="shared" ref="L637:L647" si="193">IFERROR((I637/18)*100,0)</f>
        <v>0</v>
      </c>
      <c r="M637" s="89">
        <f>SUM('WATER_STEAM RATIO'!Q637)</f>
        <v>0</v>
      </c>
      <c r="N637" s="9">
        <f>SUM('DATA B3'!H638-'DATA B3'!H637)</f>
        <v>0</v>
      </c>
      <c r="O637" s="88">
        <f t="shared" ref="O637:O654" si="194">IFERROR(N637/(M637),0)</f>
        <v>0</v>
      </c>
      <c r="P637" s="15">
        <f t="shared" ref="P637:P659" si="195">IFERROR((M637/16)*100,0)</f>
        <v>0</v>
      </c>
    </row>
    <row r="638" spans="3:16">
      <c r="C638" s="292"/>
      <c r="D638" s="43">
        <v>0.41666666666666702</v>
      </c>
      <c r="E638" s="5">
        <f>SUM('WATER_STEAM RATIO'!E638)</f>
        <v>0</v>
      </c>
      <c r="F638" s="9">
        <f>SUM('DATA B1'!I639-'DATA B1'!I638)+('DATA B1'!J639-'DATA B1'!J638)</f>
        <v>0</v>
      </c>
      <c r="G638" s="28">
        <f t="shared" si="190"/>
        <v>0</v>
      </c>
      <c r="H638" s="28">
        <f t="shared" si="191"/>
        <v>0</v>
      </c>
      <c r="I638" s="24">
        <f>SUM('WATER_STEAM RATIO'!K638)</f>
        <v>0</v>
      </c>
      <c r="J638" s="30">
        <f>SUM('DATA B2'!I639-'DATA B2'!I638)+('DATA B2'!J639-'DATA B2'!J638)</f>
        <v>0</v>
      </c>
      <c r="K638" s="28">
        <f t="shared" si="192"/>
        <v>0</v>
      </c>
      <c r="L638" s="28">
        <f t="shared" si="193"/>
        <v>0</v>
      </c>
      <c r="M638" s="89">
        <f>SUM('WATER_STEAM RATIO'!Q638)</f>
        <v>0</v>
      </c>
      <c r="N638" s="9">
        <f>SUM('DATA B3'!H639-'DATA B3'!H638)</f>
        <v>0</v>
      </c>
      <c r="O638" s="88">
        <f t="shared" si="194"/>
        <v>0</v>
      </c>
      <c r="P638" s="15">
        <f t="shared" si="195"/>
        <v>0</v>
      </c>
    </row>
    <row r="639" spans="3:16">
      <c r="C639" s="292"/>
      <c r="D639" s="43">
        <v>0.45833333333333298</v>
      </c>
      <c r="E639" s="5">
        <f>SUM('WATER_STEAM RATIO'!E639)</f>
        <v>0</v>
      </c>
      <c r="F639" s="9">
        <f>SUM('DATA B1'!I640-'DATA B1'!I639)+('DATA B1'!J640-'DATA B1'!J639)</f>
        <v>0</v>
      </c>
      <c r="G639" s="28">
        <f t="shared" si="190"/>
        <v>0</v>
      </c>
      <c r="H639" s="28">
        <f t="shared" si="191"/>
        <v>0</v>
      </c>
      <c r="I639" s="24">
        <f>SUM('WATER_STEAM RATIO'!K639)</f>
        <v>0</v>
      </c>
      <c r="J639" s="30">
        <f>SUM('DATA B2'!I640-'DATA B2'!I639)+('DATA B2'!J640-'DATA B2'!J639)</f>
        <v>0</v>
      </c>
      <c r="K639" s="28">
        <f t="shared" si="192"/>
        <v>0</v>
      </c>
      <c r="L639" s="28">
        <f t="shared" si="193"/>
        <v>0</v>
      </c>
      <c r="M639" s="89">
        <f>SUM('WATER_STEAM RATIO'!Q639)</f>
        <v>0</v>
      </c>
      <c r="N639" s="9">
        <f>SUM('DATA B3'!H640-'DATA B3'!H639)</f>
        <v>0</v>
      </c>
      <c r="O639" s="88">
        <f t="shared" si="194"/>
        <v>0</v>
      </c>
      <c r="P639" s="15">
        <f t="shared" si="195"/>
        <v>0</v>
      </c>
    </row>
    <row r="640" spans="3:16">
      <c r="C640" s="292"/>
      <c r="D640" s="43">
        <v>0.5</v>
      </c>
      <c r="E640" s="5">
        <f>SUM('WATER_STEAM RATIO'!E640)</f>
        <v>0</v>
      </c>
      <c r="F640" s="9">
        <f>SUM('DATA B1'!I641-'DATA B1'!I640)+('DATA B1'!J641-'DATA B1'!J640)</f>
        <v>0</v>
      </c>
      <c r="G640" s="28">
        <f t="shared" si="190"/>
        <v>0</v>
      </c>
      <c r="H640" s="28">
        <f t="shared" si="191"/>
        <v>0</v>
      </c>
      <c r="I640" s="24">
        <f>SUM('WATER_STEAM RATIO'!K640)</f>
        <v>0</v>
      </c>
      <c r="J640" s="30">
        <f>SUM('DATA B2'!I641-'DATA B2'!I640)+('DATA B2'!J641-'DATA B2'!J640)</f>
        <v>0</v>
      </c>
      <c r="K640" s="28">
        <f t="shared" si="192"/>
        <v>0</v>
      </c>
      <c r="L640" s="28">
        <f t="shared" si="193"/>
        <v>0</v>
      </c>
      <c r="M640" s="89">
        <f>SUM('WATER_STEAM RATIO'!Q640)</f>
        <v>0</v>
      </c>
      <c r="N640" s="9">
        <f>SUM('DATA B3'!H641-'DATA B3'!H640)</f>
        <v>0</v>
      </c>
      <c r="O640" s="88">
        <f t="shared" si="194"/>
        <v>0</v>
      </c>
      <c r="P640" s="15">
        <f t="shared" si="195"/>
        <v>0</v>
      </c>
    </row>
    <row r="641" spans="3:16">
      <c r="C641" s="292"/>
      <c r="D641" s="43">
        <v>0.54166666666666696</v>
      </c>
      <c r="E641" s="5">
        <f>SUM('WATER_STEAM RATIO'!E641)</f>
        <v>0</v>
      </c>
      <c r="F641" s="9">
        <f>SUM('DATA B1'!I642-'DATA B1'!I641)+('DATA B1'!J642-'DATA B1'!J641)</f>
        <v>0</v>
      </c>
      <c r="G641" s="28">
        <f t="shared" si="190"/>
        <v>0</v>
      </c>
      <c r="H641" s="28">
        <f t="shared" si="191"/>
        <v>0</v>
      </c>
      <c r="I641" s="24">
        <f>SUM('WATER_STEAM RATIO'!K641)</f>
        <v>0</v>
      </c>
      <c r="J641" s="30">
        <f>SUM('DATA B2'!I642-'DATA B2'!I641)+('DATA B2'!J642-'DATA B2'!J641)</f>
        <v>0</v>
      </c>
      <c r="K641" s="28">
        <f t="shared" si="192"/>
        <v>0</v>
      </c>
      <c r="L641" s="28">
        <f t="shared" si="193"/>
        <v>0</v>
      </c>
      <c r="M641" s="89">
        <f>SUM('WATER_STEAM RATIO'!Q641)</f>
        <v>0</v>
      </c>
      <c r="N641" s="9">
        <f>SUM('DATA B3'!H642-'DATA B3'!H641)</f>
        <v>0</v>
      </c>
      <c r="O641" s="88">
        <f t="shared" si="194"/>
        <v>0</v>
      </c>
      <c r="P641" s="15">
        <f t="shared" si="195"/>
        <v>0</v>
      </c>
    </row>
    <row r="642" spans="3:16">
      <c r="C642" s="292"/>
      <c r="D642" s="43">
        <v>0.58333333333333304</v>
      </c>
      <c r="E642" s="5">
        <f>SUM('WATER_STEAM RATIO'!E642)</f>
        <v>0</v>
      </c>
      <c r="F642" s="9">
        <f>SUM('DATA B1'!I643-'DATA B1'!I642)+('DATA B1'!J643-'DATA B1'!J642)</f>
        <v>0</v>
      </c>
      <c r="G642" s="28">
        <f t="shared" si="190"/>
        <v>0</v>
      </c>
      <c r="H642" s="28">
        <f t="shared" si="191"/>
        <v>0</v>
      </c>
      <c r="I642" s="24">
        <f>SUM('WATER_STEAM RATIO'!K642)</f>
        <v>0</v>
      </c>
      <c r="J642" s="30">
        <f>SUM('DATA B2'!I643-'DATA B2'!I642)+('DATA B2'!J643-'DATA B2'!J642)</f>
        <v>0</v>
      </c>
      <c r="K642" s="28">
        <f t="shared" si="192"/>
        <v>0</v>
      </c>
      <c r="L642" s="28">
        <f t="shared" si="193"/>
        <v>0</v>
      </c>
      <c r="M642" s="89">
        <f>SUM('WATER_STEAM RATIO'!Q642)</f>
        <v>0</v>
      </c>
      <c r="N642" s="9">
        <f>SUM('DATA B3'!H643-'DATA B3'!H642)</f>
        <v>0</v>
      </c>
      <c r="O642" s="88">
        <f t="shared" si="194"/>
        <v>0</v>
      </c>
      <c r="P642" s="15">
        <f t="shared" si="195"/>
        <v>0</v>
      </c>
    </row>
    <row r="643" spans="3:16">
      <c r="C643" s="292"/>
      <c r="D643" s="43">
        <v>0.625</v>
      </c>
      <c r="E643" s="5">
        <f>SUM('WATER_STEAM RATIO'!E643)</f>
        <v>0</v>
      </c>
      <c r="F643" s="9">
        <f>SUM('DATA B1'!I644-'DATA B1'!I643)+('DATA B1'!J644-'DATA B1'!J643)</f>
        <v>0</v>
      </c>
      <c r="G643" s="28">
        <f t="shared" si="190"/>
        <v>0</v>
      </c>
      <c r="H643" s="28">
        <f t="shared" si="191"/>
        <v>0</v>
      </c>
      <c r="I643" s="24">
        <f>SUM('WATER_STEAM RATIO'!K643)</f>
        <v>0</v>
      </c>
      <c r="J643" s="30">
        <f>SUM('DATA B2'!I644-'DATA B2'!I643)+('DATA B2'!J644-'DATA B2'!J643)</f>
        <v>0</v>
      </c>
      <c r="K643" s="28">
        <f t="shared" si="192"/>
        <v>0</v>
      </c>
      <c r="L643" s="28">
        <f t="shared" si="193"/>
        <v>0</v>
      </c>
      <c r="M643" s="89">
        <f>SUM('WATER_STEAM RATIO'!Q643)</f>
        <v>0</v>
      </c>
      <c r="N643" s="9">
        <f>SUM('DATA B3'!H644-'DATA B3'!H643)</f>
        <v>0</v>
      </c>
      <c r="O643" s="88">
        <f t="shared" si="194"/>
        <v>0</v>
      </c>
      <c r="P643" s="15">
        <f t="shared" si="195"/>
        <v>0</v>
      </c>
    </row>
    <row r="644" spans="3:16">
      <c r="C644" s="292"/>
      <c r="D644" s="43">
        <v>0.66666666666666596</v>
      </c>
      <c r="E644" s="5">
        <f>SUM('WATER_STEAM RATIO'!E644)</f>
        <v>0</v>
      </c>
      <c r="F644" s="9">
        <f>SUM('DATA B1'!I645-'DATA B1'!I644)+('DATA B1'!J645-'DATA B1'!J644)</f>
        <v>0</v>
      </c>
      <c r="G644" s="28">
        <f t="shared" si="190"/>
        <v>0</v>
      </c>
      <c r="H644" s="28">
        <f t="shared" si="191"/>
        <v>0</v>
      </c>
      <c r="I644" s="24">
        <f>SUM('WATER_STEAM RATIO'!K644)</f>
        <v>0</v>
      </c>
      <c r="J644" s="30">
        <f>SUM('DATA B2'!I645-'DATA B2'!I644)+('DATA B2'!J645-'DATA B2'!J644)</f>
        <v>0</v>
      </c>
      <c r="K644" s="28">
        <f t="shared" si="192"/>
        <v>0</v>
      </c>
      <c r="L644" s="28">
        <f t="shared" si="193"/>
        <v>0</v>
      </c>
      <c r="M644" s="89">
        <f>SUM('WATER_STEAM RATIO'!Q644)</f>
        <v>0</v>
      </c>
      <c r="N644" s="9">
        <f>SUM('DATA B3'!H645-'DATA B3'!H644)</f>
        <v>0</v>
      </c>
      <c r="O644" s="88">
        <f t="shared" si="194"/>
        <v>0</v>
      </c>
      <c r="P644" s="15">
        <f t="shared" si="195"/>
        <v>0</v>
      </c>
    </row>
    <row r="645" spans="3:16">
      <c r="C645" s="292"/>
      <c r="D645" s="43">
        <v>0.70833333333333304</v>
      </c>
      <c r="E645" s="5">
        <f>SUM('WATER_STEAM RATIO'!E645)</f>
        <v>0</v>
      </c>
      <c r="F645" s="9">
        <f>SUM('DATA B1'!I646-'DATA B1'!I645)+('DATA B1'!J646-'DATA B1'!J645)</f>
        <v>0</v>
      </c>
      <c r="G645" s="28">
        <f t="shared" si="190"/>
        <v>0</v>
      </c>
      <c r="H645" s="28">
        <f t="shared" si="191"/>
        <v>0</v>
      </c>
      <c r="I645" s="24">
        <f>SUM('WATER_STEAM RATIO'!K645)</f>
        <v>0</v>
      </c>
      <c r="J645" s="30">
        <f>SUM('DATA B2'!I646-'DATA B2'!I645)+('DATA B2'!J646-'DATA B2'!J645)</f>
        <v>0</v>
      </c>
      <c r="K645" s="28">
        <f t="shared" si="192"/>
        <v>0</v>
      </c>
      <c r="L645" s="28">
        <f t="shared" si="193"/>
        <v>0</v>
      </c>
      <c r="M645" s="89">
        <f>SUM('WATER_STEAM RATIO'!Q645)</f>
        <v>0</v>
      </c>
      <c r="N645" s="9">
        <f>SUM('DATA B3'!H646-'DATA B3'!H645)</f>
        <v>0</v>
      </c>
      <c r="O645" s="88">
        <f t="shared" si="194"/>
        <v>0</v>
      </c>
      <c r="P645" s="15">
        <f t="shared" si="195"/>
        <v>0</v>
      </c>
    </row>
    <row r="646" spans="3:16">
      <c r="C646" s="292"/>
      <c r="D646" s="43">
        <v>0.75</v>
      </c>
      <c r="E646" s="5">
        <f>SUM('WATER_STEAM RATIO'!E646)</f>
        <v>0</v>
      </c>
      <c r="F646" s="9">
        <f>SUM('DATA B1'!I647-'DATA B1'!I646)+('DATA B1'!J647-'DATA B1'!J646)</f>
        <v>0</v>
      </c>
      <c r="G646" s="28">
        <f t="shared" si="190"/>
        <v>0</v>
      </c>
      <c r="H646" s="28">
        <f t="shared" si="191"/>
        <v>0</v>
      </c>
      <c r="I646" s="24">
        <f>SUM('WATER_STEAM RATIO'!K646)</f>
        <v>0</v>
      </c>
      <c r="J646" s="30">
        <f>SUM('DATA B2'!I647-'DATA B2'!I646)+('DATA B2'!J647-'DATA B2'!J646)</f>
        <v>0</v>
      </c>
      <c r="K646" s="28">
        <f t="shared" si="192"/>
        <v>0</v>
      </c>
      <c r="L646" s="28">
        <f t="shared" si="193"/>
        <v>0</v>
      </c>
      <c r="M646" s="89">
        <f>SUM('WATER_STEAM RATIO'!Q646)</f>
        <v>0</v>
      </c>
      <c r="N646" s="9">
        <f>SUM('DATA B3'!H647-'DATA B3'!H646)</f>
        <v>0</v>
      </c>
      <c r="O646" s="88">
        <f t="shared" si="194"/>
        <v>0</v>
      </c>
      <c r="P646" s="15">
        <f t="shared" si="195"/>
        <v>0</v>
      </c>
    </row>
    <row r="647" spans="3:16">
      <c r="C647" s="292"/>
      <c r="D647" s="43">
        <v>0.79166666666666596</v>
      </c>
      <c r="E647" s="5">
        <f>SUM('WATER_STEAM RATIO'!E647)</f>
        <v>0</v>
      </c>
      <c r="F647" s="9">
        <f>SUM('DATA B1'!I648-'DATA B1'!I647)+('DATA B1'!J648-'DATA B1'!J647)</f>
        <v>0</v>
      </c>
      <c r="G647" s="28">
        <f t="shared" si="190"/>
        <v>0</v>
      </c>
      <c r="H647" s="28">
        <f t="shared" si="191"/>
        <v>0</v>
      </c>
      <c r="I647" s="24">
        <f>SUM('WATER_STEAM RATIO'!K647)</f>
        <v>0</v>
      </c>
      <c r="J647" s="30">
        <f>SUM('DATA B2'!I648-'DATA B2'!I647)+('DATA B2'!J648-'DATA B2'!J647)</f>
        <v>0</v>
      </c>
      <c r="K647" s="28">
        <f t="shared" si="192"/>
        <v>0</v>
      </c>
      <c r="L647" s="28">
        <f t="shared" si="193"/>
        <v>0</v>
      </c>
      <c r="M647" s="89">
        <f>SUM('WATER_STEAM RATIO'!Q647)</f>
        <v>0</v>
      </c>
      <c r="N647" s="9">
        <f>SUM('DATA B3'!H648-'DATA B3'!H647)</f>
        <v>0</v>
      </c>
      <c r="O647" s="88">
        <f t="shared" si="194"/>
        <v>0</v>
      </c>
      <c r="P647" s="15">
        <f t="shared" si="195"/>
        <v>0</v>
      </c>
    </row>
    <row r="648" spans="3:16">
      <c r="C648" s="292"/>
      <c r="D648" s="43">
        <v>0.83333333333333304</v>
      </c>
      <c r="E648" s="5">
        <f>SUM('WATER_STEAM RATIO'!E648)</f>
        <v>0</v>
      </c>
      <c r="F648" s="9">
        <f>SUM('DATA B1'!I649-'DATA B1'!I648)+('DATA B1'!J649-'DATA B1'!J648)</f>
        <v>0</v>
      </c>
      <c r="G648" s="28">
        <f t="shared" si="190"/>
        <v>0</v>
      </c>
      <c r="H648" s="28">
        <f t="shared" si="191"/>
        <v>0</v>
      </c>
      <c r="I648" s="24">
        <f>SUM('WATER_STEAM RATIO'!K648)</f>
        <v>0</v>
      </c>
      <c r="J648" s="30">
        <f>SUM('DATA B2'!I649-'DATA B2'!I648)+('DATA B2'!J649-'DATA B2'!J648)</f>
        <v>0</v>
      </c>
      <c r="K648" s="28">
        <f t="shared" si="192"/>
        <v>0</v>
      </c>
      <c r="L648" s="28">
        <f>IFERROR((I648/18)*100,0)</f>
        <v>0</v>
      </c>
      <c r="M648" s="89">
        <f>SUM('WATER_STEAM RATIO'!Q648)</f>
        <v>0</v>
      </c>
      <c r="N648" s="9">
        <f>SUM('DATA B3'!H649-'DATA B3'!H648)</f>
        <v>0</v>
      </c>
      <c r="O648" s="88">
        <f t="shared" si="194"/>
        <v>0</v>
      </c>
      <c r="P648" s="15">
        <f t="shared" si="195"/>
        <v>0</v>
      </c>
    </row>
    <row r="649" spans="3:16">
      <c r="C649" s="292"/>
      <c r="D649" s="43">
        <v>0.875</v>
      </c>
      <c r="E649" s="5">
        <f>SUM('WATER_STEAM RATIO'!E649)</f>
        <v>0</v>
      </c>
      <c r="F649" s="9">
        <f>SUM('DATA B1'!I650-'DATA B1'!I649)+('DATA B1'!J650-'DATA B1'!J649)</f>
        <v>0</v>
      </c>
      <c r="G649" s="28">
        <f t="shared" si="190"/>
        <v>0</v>
      </c>
      <c r="H649" s="28">
        <f t="shared" si="191"/>
        <v>0</v>
      </c>
      <c r="I649" s="24">
        <f>SUM('WATER_STEAM RATIO'!K649)</f>
        <v>0</v>
      </c>
      <c r="J649" s="30">
        <f>SUM('DATA B2'!I650-'DATA B2'!I649)+('DATA B2'!J650-'DATA B2'!J649)</f>
        <v>0</v>
      </c>
      <c r="K649" s="28">
        <f t="shared" si="192"/>
        <v>0</v>
      </c>
      <c r="L649" s="28">
        <f t="shared" ref="L649:L659" si="196">IFERROR((I649/18)*100,0)</f>
        <v>0</v>
      </c>
      <c r="M649" s="89">
        <f>SUM('WATER_STEAM RATIO'!Q649)</f>
        <v>0</v>
      </c>
      <c r="N649" s="9">
        <f>SUM('DATA B3'!H650-'DATA B3'!H649)</f>
        <v>0</v>
      </c>
      <c r="O649" s="88">
        <f t="shared" si="194"/>
        <v>0</v>
      </c>
      <c r="P649" s="15">
        <f t="shared" si="195"/>
        <v>0</v>
      </c>
    </row>
    <row r="650" spans="3:16">
      <c r="C650" s="292"/>
      <c r="D650" s="43">
        <v>0.91666666666666596</v>
      </c>
      <c r="E650" s="5">
        <f>SUM('WATER_STEAM RATIO'!E650)</f>
        <v>0</v>
      </c>
      <c r="F650" s="9">
        <f>SUM('DATA B1'!I651-'DATA B1'!I650)+('DATA B1'!J651-'DATA B1'!J650)</f>
        <v>0</v>
      </c>
      <c r="G650" s="28">
        <f t="shared" si="190"/>
        <v>0</v>
      </c>
      <c r="H650" s="28">
        <f t="shared" si="191"/>
        <v>0</v>
      </c>
      <c r="I650" s="24">
        <f>SUM('WATER_STEAM RATIO'!K650)</f>
        <v>0</v>
      </c>
      <c r="J650" s="30">
        <f>SUM('DATA B2'!I651-'DATA B2'!I650)+('DATA B2'!J651-'DATA B2'!J650)</f>
        <v>0</v>
      </c>
      <c r="K650" s="28">
        <f t="shared" si="192"/>
        <v>0</v>
      </c>
      <c r="L650" s="28">
        <f t="shared" si="196"/>
        <v>0</v>
      </c>
      <c r="M650" s="89">
        <f>SUM('WATER_STEAM RATIO'!Q650)</f>
        <v>0</v>
      </c>
      <c r="N650" s="9">
        <f>SUM('DATA B3'!H651-'DATA B3'!H650)</f>
        <v>0</v>
      </c>
      <c r="O650" s="88">
        <f t="shared" si="194"/>
        <v>0</v>
      </c>
      <c r="P650" s="15">
        <f>IFERROR((M650/16)*100,0)</f>
        <v>0</v>
      </c>
    </row>
    <row r="651" spans="3:16">
      <c r="C651" s="292"/>
      <c r="D651" s="43">
        <v>0.95833333333333304</v>
      </c>
      <c r="E651" s="5">
        <f>SUM('WATER_STEAM RATIO'!E651)</f>
        <v>0</v>
      </c>
      <c r="F651" s="9">
        <f>SUM('DATA B1'!I652-'DATA B1'!I651)+('DATA B1'!J652-'DATA B1'!J651)</f>
        <v>0</v>
      </c>
      <c r="G651" s="28">
        <f t="shared" si="190"/>
        <v>0</v>
      </c>
      <c r="H651" s="28">
        <f t="shared" si="191"/>
        <v>0</v>
      </c>
      <c r="I651" s="24">
        <f>SUM('WATER_STEAM RATIO'!K651)</f>
        <v>0</v>
      </c>
      <c r="J651" s="30">
        <f>SUM('DATA B2'!I652-'DATA B2'!I651)+('DATA B2'!J652-'DATA B2'!J651)</f>
        <v>0</v>
      </c>
      <c r="K651" s="28">
        <f t="shared" si="192"/>
        <v>0</v>
      </c>
      <c r="L651" s="28">
        <f t="shared" si="196"/>
        <v>0</v>
      </c>
      <c r="M651" s="89">
        <f>SUM('WATER_STEAM RATIO'!Q651)</f>
        <v>0</v>
      </c>
      <c r="N651" s="9">
        <f>SUM('DATA B3'!H652-'DATA B3'!H651)</f>
        <v>0</v>
      </c>
      <c r="O651" s="88">
        <f t="shared" si="194"/>
        <v>0</v>
      </c>
      <c r="P651" s="15">
        <f t="shared" si="195"/>
        <v>0</v>
      </c>
    </row>
    <row r="652" spans="3:16">
      <c r="C652" s="292"/>
      <c r="D652" s="43">
        <v>1</v>
      </c>
      <c r="E652" s="5">
        <f>SUM('WATER_STEAM RATIO'!E652)</f>
        <v>0</v>
      </c>
      <c r="F652" s="9">
        <f>SUM('DATA B1'!I653-'DATA B1'!I652)+('DATA B1'!J653-'DATA B1'!J652)</f>
        <v>0</v>
      </c>
      <c r="G652" s="28">
        <f t="shared" si="190"/>
        <v>0</v>
      </c>
      <c r="H652" s="28">
        <f t="shared" si="191"/>
        <v>0</v>
      </c>
      <c r="I652" s="24">
        <f>SUM('WATER_STEAM RATIO'!K652)</f>
        <v>0</v>
      </c>
      <c r="J652" s="30">
        <f>SUM('DATA B2'!I653-'DATA B2'!I652)+('DATA B2'!J653-'DATA B2'!J652)</f>
        <v>0</v>
      </c>
      <c r="K652" s="28">
        <f t="shared" si="192"/>
        <v>0</v>
      </c>
      <c r="L652" s="28">
        <f t="shared" si="196"/>
        <v>0</v>
      </c>
      <c r="M652" s="89">
        <f>SUM('WATER_STEAM RATIO'!Q652)</f>
        <v>0</v>
      </c>
      <c r="N652" s="9">
        <f>SUM('DATA B3'!H653-'DATA B3'!H652)</f>
        <v>0</v>
      </c>
      <c r="O652" s="88">
        <f t="shared" si="194"/>
        <v>0</v>
      </c>
      <c r="P652" s="15">
        <f t="shared" si="195"/>
        <v>0</v>
      </c>
    </row>
    <row r="653" spans="3:16">
      <c r="C653" s="292"/>
      <c r="D653" s="43">
        <v>1.0416666666666701</v>
      </c>
      <c r="E653" s="5">
        <f>SUM('WATER_STEAM RATIO'!E653)</f>
        <v>0</v>
      </c>
      <c r="F653" s="9">
        <f>SUM('DATA B1'!I654-'DATA B1'!I653)+('DATA B1'!J654-'DATA B1'!J653)</f>
        <v>0</v>
      </c>
      <c r="G653" s="28">
        <f t="shared" si="190"/>
        <v>0</v>
      </c>
      <c r="H653" s="28">
        <f t="shared" si="191"/>
        <v>0</v>
      </c>
      <c r="I653" s="24">
        <f>SUM('WATER_STEAM RATIO'!K653)</f>
        <v>0</v>
      </c>
      <c r="J653" s="30">
        <f>SUM('DATA B2'!I654-'DATA B2'!I653)+('DATA B2'!J654-'DATA B2'!J653)</f>
        <v>0</v>
      </c>
      <c r="K653" s="28">
        <f t="shared" si="192"/>
        <v>0</v>
      </c>
      <c r="L653" s="28">
        <f t="shared" si="196"/>
        <v>0</v>
      </c>
      <c r="M653" s="89">
        <f>SUM('WATER_STEAM RATIO'!Q653)</f>
        <v>0</v>
      </c>
      <c r="N653" s="9">
        <f>SUM('DATA B3'!H654-'DATA B3'!H653)</f>
        <v>0</v>
      </c>
      <c r="O653" s="88">
        <f t="shared" si="194"/>
        <v>0</v>
      </c>
      <c r="P653" s="15">
        <f t="shared" si="195"/>
        <v>0</v>
      </c>
    </row>
    <row r="654" spans="3:16">
      <c r="C654" s="292"/>
      <c r="D654" s="43">
        <v>1.0833333333333399</v>
      </c>
      <c r="E654" s="5">
        <f>SUM('WATER_STEAM RATIO'!E654)</f>
        <v>0</v>
      </c>
      <c r="F654" s="9">
        <f>SUM('DATA B1'!I655-'DATA B1'!I654)+('DATA B1'!J655-'DATA B1'!J654)</f>
        <v>0</v>
      </c>
      <c r="G654" s="28">
        <f t="shared" si="190"/>
        <v>0</v>
      </c>
      <c r="H654" s="28">
        <f t="shared" si="191"/>
        <v>0</v>
      </c>
      <c r="I654" s="24">
        <f>SUM('WATER_STEAM RATIO'!K654)</f>
        <v>0</v>
      </c>
      <c r="J654" s="30">
        <f>SUM('DATA B2'!I655-'DATA B2'!I654)+('DATA B2'!J655-'DATA B2'!J654)</f>
        <v>0</v>
      </c>
      <c r="K654" s="28">
        <f t="shared" si="192"/>
        <v>0</v>
      </c>
      <c r="L654" s="28">
        <f t="shared" si="196"/>
        <v>0</v>
      </c>
      <c r="M654" s="89">
        <f>SUM('WATER_STEAM RATIO'!Q654)</f>
        <v>0</v>
      </c>
      <c r="N654" s="9">
        <f>SUM('DATA B3'!H655-'DATA B3'!H654)</f>
        <v>0</v>
      </c>
      <c r="O654" s="88">
        <f t="shared" si="194"/>
        <v>0</v>
      </c>
      <c r="P654" s="15">
        <f t="shared" si="195"/>
        <v>0</v>
      </c>
    </row>
    <row r="655" spans="3:16">
      <c r="C655" s="292"/>
      <c r="D655" s="43">
        <v>1.125</v>
      </c>
      <c r="E655" s="5">
        <f>SUM('WATER_STEAM RATIO'!E655)</f>
        <v>0</v>
      </c>
      <c r="F655" s="9">
        <f>SUM('DATA B1'!I656-'DATA B1'!I655)+('DATA B1'!J656-'DATA B1'!J655)</f>
        <v>0</v>
      </c>
      <c r="G655" s="28">
        <f t="shared" si="190"/>
        <v>0</v>
      </c>
      <c r="H655" s="28">
        <f t="shared" si="191"/>
        <v>0</v>
      </c>
      <c r="I655" s="24">
        <f>SUM('WATER_STEAM RATIO'!K655)</f>
        <v>0</v>
      </c>
      <c r="J655" s="30">
        <f>SUM('DATA B2'!I656-'DATA B2'!I655)+('DATA B2'!J656-'DATA B2'!J655)</f>
        <v>0</v>
      </c>
      <c r="K655" s="28">
        <f t="shared" si="192"/>
        <v>0</v>
      </c>
      <c r="L655" s="28">
        <f t="shared" si="196"/>
        <v>0</v>
      </c>
      <c r="M655" s="89">
        <f>SUM('WATER_STEAM RATIO'!Q655)</f>
        <v>0</v>
      </c>
      <c r="N655" s="9">
        <f>SUM('DATA B3'!H656-'DATA B3'!H655)</f>
        <v>0</v>
      </c>
      <c r="O655" s="88">
        <f t="shared" ref="O655:O659" si="197">IFERROR(N655/(M655),0)</f>
        <v>0</v>
      </c>
      <c r="P655" s="15">
        <f t="shared" si="195"/>
        <v>0</v>
      </c>
    </row>
    <row r="656" spans="3:16">
      <c r="C656" s="292"/>
      <c r="D656" s="43">
        <v>1.1666666666666701</v>
      </c>
      <c r="E656" s="5">
        <f>SUM('WATER_STEAM RATIO'!E656)</f>
        <v>0</v>
      </c>
      <c r="F656" s="9">
        <f>SUM('DATA B1'!I657-'DATA B1'!I656)+('DATA B1'!J657-'DATA B1'!J656)</f>
        <v>0</v>
      </c>
      <c r="G656" s="28">
        <f t="shared" si="190"/>
        <v>0</v>
      </c>
      <c r="H656" s="28">
        <f t="shared" si="191"/>
        <v>0</v>
      </c>
      <c r="I656" s="24">
        <f>SUM('WATER_STEAM RATIO'!K656)</f>
        <v>0</v>
      </c>
      <c r="J656" s="30">
        <f>SUM('DATA B2'!I657-'DATA B2'!I656)+('DATA B2'!J657-'DATA B2'!J656)</f>
        <v>0</v>
      </c>
      <c r="K656" s="28">
        <f>IFERROR(J656/(I656),0)</f>
        <v>0</v>
      </c>
      <c r="L656" s="28">
        <f t="shared" si="196"/>
        <v>0</v>
      </c>
      <c r="M656" s="89">
        <f>SUM('WATER_STEAM RATIO'!Q656)</f>
        <v>0</v>
      </c>
      <c r="N656" s="9">
        <f>SUM('DATA B3'!H657-'DATA B3'!H656)</f>
        <v>0</v>
      </c>
      <c r="O656" s="88">
        <f t="shared" si="197"/>
        <v>0</v>
      </c>
      <c r="P656" s="15">
        <f t="shared" si="195"/>
        <v>0</v>
      </c>
    </row>
    <row r="657" spans="3:17">
      <c r="C657" s="292"/>
      <c r="D657" s="43">
        <v>1.2083333333333399</v>
      </c>
      <c r="E657" s="5">
        <f>SUM('WATER_STEAM RATIO'!E657)</f>
        <v>0</v>
      </c>
      <c r="F657" s="9">
        <f>SUM('DATA B1'!I658-'DATA B1'!I657)+('DATA B1'!J658-'DATA B1'!J657)</f>
        <v>0</v>
      </c>
      <c r="G657" s="28">
        <f t="shared" si="190"/>
        <v>0</v>
      </c>
      <c r="H657" s="28">
        <f t="shared" si="191"/>
        <v>0</v>
      </c>
      <c r="I657" s="24">
        <f>SUM('WATER_STEAM RATIO'!K657)</f>
        <v>0</v>
      </c>
      <c r="J657" s="30">
        <f>SUM('DATA B2'!I658-'DATA B2'!I657)+('DATA B2'!J658-'DATA B2'!J657)</f>
        <v>0</v>
      </c>
      <c r="K657" s="28">
        <f>IFERROR(J657/(I657),0)</f>
        <v>0</v>
      </c>
      <c r="L657" s="28">
        <f t="shared" si="196"/>
        <v>0</v>
      </c>
      <c r="M657" s="89">
        <f>SUM('WATER_STEAM RATIO'!Q657)</f>
        <v>0</v>
      </c>
      <c r="N657" s="9">
        <f>SUM('DATA B3'!H658-'DATA B3'!H657)</f>
        <v>0</v>
      </c>
      <c r="O657" s="88">
        <f t="shared" si="197"/>
        <v>0</v>
      </c>
      <c r="P657" s="15">
        <f t="shared" si="195"/>
        <v>0</v>
      </c>
    </row>
    <row r="658" spans="3:17">
      <c r="C658" s="292"/>
      <c r="D658" s="43">
        <v>1.25</v>
      </c>
      <c r="E658" s="5">
        <f>SUM('WATER_STEAM RATIO'!E658)</f>
        <v>0</v>
      </c>
      <c r="F658" s="9">
        <f>SUM('DATA B1'!I659-'DATA B1'!I658)+('DATA B1'!J659-'DATA B1'!J658)</f>
        <v>0</v>
      </c>
      <c r="G658" s="28">
        <f t="shared" si="190"/>
        <v>0</v>
      </c>
      <c r="H658" s="28">
        <f t="shared" si="191"/>
        <v>0</v>
      </c>
      <c r="I658" s="24">
        <f>SUM('WATER_STEAM RATIO'!K658)</f>
        <v>0</v>
      </c>
      <c r="J658" s="30">
        <f>SUM('DATA B2'!I659-'DATA B2'!I658)+('DATA B2'!J659-'DATA B2'!J658)</f>
        <v>0</v>
      </c>
      <c r="K658" s="28">
        <f>IFERROR(J658/(I658),0)</f>
        <v>0</v>
      </c>
      <c r="L658" s="28">
        <f t="shared" si="196"/>
        <v>0</v>
      </c>
      <c r="M658" s="89">
        <f>SUM('WATER_STEAM RATIO'!Q658)</f>
        <v>0</v>
      </c>
      <c r="N658" s="9">
        <f>SUM('DATA B3'!H659-'DATA B3'!H658)</f>
        <v>0</v>
      </c>
      <c r="O658" s="88">
        <f t="shared" si="197"/>
        <v>0</v>
      </c>
      <c r="P658" s="15">
        <f t="shared" si="195"/>
        <v>0</v>
      </c>
    </row>
    <row r="659" spans="3:17">
      <c r="C659" s="292"/>
      <c r="D659" s="43">
        <v>1.2916666666666701</v>
      </c>
      <c r="E659" s="5">
        <f>SUM('WATER_STEAM RATIO'!E659)</f>
        <v>0</v>
      </c>
      <c r="F659" s="9">
        <f>SUM('DATA B1'!I660-'DATA B1'!I659)+('DATA B1'!J660-'DATA B1'!J659)</f>
        <v>0</v>
      </c>
      <c r="G659" s="28">
        <f t="shared" si="190"/>
        <v>0</v>
      </c>
      <c r="H659" s="28">
        <f t="shared" si="191"/>
        <v>0</v>
      </c>
      <c r="I659" s="24">
        <f>SUM('WATER_STEAM RATIO'!K659)</f>
        <v>0</v>
      </c>
      <c r="J659" s="30">
        <f>SUM('DATA B2'!I660-'DATA B2'!I659)+('DATA B2'!J660-'DATA B2'!J659)</f>
        <v>0</v>
      </c>
      <c r="K659" s="28">
        <f>IFERROR(J659/(I659),0)</f>
        <v>0</v>
      </c>
      <c r="L659" s="28">
        <f t="shared" si="196"/>
        <v>0</v>
      </c>
      <c r="M659" s="89">
        <f>SUM('WATER_STEAM RATIO'!Q659)</f>
        <v>0</v>
      </c>
      <c r="N659" s="9">
        <f>SUM('DATA B3'!H660-'DATA B3'!H659)</f>
        <v>0</v>
      </c>
      <c r="O659" s="88">
        <f t="shared" si="197"/>
        <v>0</v>
      </c>
      <c r="P659" s="15">
        <f t="shared" si="195"/>
        <v>0</v>
      </c>
    </row>
    <row r="660" spans="3:17">
      <c r="C660" s="293"/>
      <c r="D660" s="258"/>
      <c r="E660" s="91">
        <f>SUMIF(E635:E659,"&gt;=0",E635:E659)</f>
        <v>0</v>
      </c>
      <c r="F660" s="91">
        <f>SUMIF(F635:F659,"&gt;=0",F635:F659)</f>
        <v>0</v>
      </c>
      <c r="G660" s="54">
        <f>IFERROR(F660/E660,0)</f>
        <v>0</v>
      </c>
      <c r="H660" s="54">
        <f>IFERROR(AVERAGE(H636:H659),0)</f>
        <v>0</v>
      </c>
      <c r="I660" s="91">
        <f>SUMIF(I635:I659,"&gt;=0",I635:I659)</f>
        <v>0</v>
      </c>
      <c r="J660" s="91">
        <f>SUMIF(J635:J659,"&gt;=0",J635:J659)</f>
        <v>0</v>
      </c>
      <c r="K660" s="54">
        <f>IFERROR(J660/(I660),0)</f>
        <v>0</v>
      </c>
      <c r="L660" s="54">
        <f>IFERROR(AVERAGE(L636:L659),0)</f>
        <v>0</v>
      </c>
      <c r="M660" s="91">
        <f>SUMIF(M635:M659,"&gt;=0",M635:M659)</f>
        <v>0</v>
      </c>
      <c r="N660" s="91">
        <f>SUMIF(N635:N659,"&gt;=0",N635:N659)</f>
        <v>0</v>
      </c>
      <c r="O660" s="239">
        <f>IFERROR(N660/(M660),0)</f>
        <v>0</v>
      </c>
      <c r="P660" s="215">
        <f>IFERROR(AVERAGE(P636:P659),0)</f>
        <v>0</v>
      </c>
    </row>
    <row r="661" spans="3:17" ht="15" customHeight="1">
      <c r="C661" s="291">
        <f>SUM('WATER_STEAM RATIO'!B661:B686)</f>
        <v>46048</v>
      </c>
      <c r="D661" s="43">
        <v>0.29166666666666669</v>
      </c>
      <c r="E661" s="5">
        <f>SUM('WATER_STEAM RATIO'!E661)</f>
        <v>0</v>
      </c>
      <c r="F661" s="9"/>
      <c r="G661" s="28"/>
      <c r="H661" s="28"/>
      <c r="I661" s="24">
        <f>SUM('WATER_STEAM RATIO'!K661)</f>
        <v>0</v>
      </c>
      <c r="J661" s="30"/>
      <c r="K661" s="28"/>
      <c r="L661" s="28"/>
      <c r="M661" s="89">
        <f>SUM('WATER_STEAM RATIO'!Q661)</f>
        <v>0</v>
      </c>
      <c r="N661" s="9"/>
      <c r="O661" s="88"/>
      <c r="P661" s="15"/>
    </row>
    <row r="662" spans="3:17">
      <c r="C662" s="292"/>
      <c r="D662" s="43">
        <v>0.33333333333333298</v>
      </c>
      <c r="E662" s="5">
        <f>SUM('WATER_STEAM RATIO'!E662)</f>
        <v>0</v>
      </c>
      <c r="F662" s="9">
        <f>SUM('DATA B1'!I663-'DATA B1'!I662)+('DATA B1'!J663-'DATA B1'!J662)</f>
        <v>0</v>
      </c>
      <c r="G662" s="28">
        <f>IFERROR(F662/(E662),0)</f>
        <v>0</v>
      </c>
      <c r="H662" s="28">
        <f>IFERROR((E662/18)*100,0)</f>
        <v>0</v>
      </c>
      <c r="I662" s="24">
        <f>SUM('WATER_STEAM RATIO'!K662)</f>
        <v>0</v>
      </c>
      <c r="J662" s="30">
        <f>SUM('DATA B2'!I663-'DATA B2'!I662)+('DATA B2'!J663-'DATA B2'!J662)</f>
        <v>0</v>
      </c>
      <c r="K662" s="28">
        <f>IFERROR(J662/(I662),0)</f>
        <v>0</v>
      </c>
      <c r="L662" s="28">
        <f>IFERROR((I662/18)*100,0)</f>
        <v>0</v>
      </c>
      <c r="M662" s="89">
        <f>SUM('WATER_STEAM RATIO'!Q662)</f>
        <v>0</v>
      </c>
      <c r="N662" s="9">
        <f>SUM('DATA B3'!H663-'DATA B3'!H662)</f>
        <v>0</v>
      </c>
      <c r="O662" s="88">
        <f>IFERROR(N662/(M662),0)</f>
        <v>0</v>
      </c>
      <c r="P662" s="15">
        <f>IFERROR((M662/16)*100,0)</f>
        <v>0</v>
      </c>
    </row>
    <row r="663" spans="3:17">
      <c r="C663" s="292"/>
      <c r="D663" s="43">
        <v>0.375</v>
      </c>
      <c r="E663" s="5">
        <f>SUM('WATER_STEAM RATIO'!E663)</f>
        <v>0</v>
      </c>
      <c r="F663" s="9">
        <f>SUM('DATA B1'!I664-'DATA B1'!I663)+('DATA B1'!J664-'DATA B1'!J663)</f>
        <v>0</v>
      </c>
      <c r="G663" s="28">
        <f t="shared" ref="G663:G685" si="198">IFERROR(F663/(E663),0)</f>
        <v>0</v>
      </c>
      <c r="H663" s="28">
        <f t="shared" ref="H663:H685" si="199">IFERROR((E663/18)*100,0)</f>
        <v>0</v>
      </c>
      <c r="I663" s="24">
        <f>SUM('WATER_STEAM RATIO'!K663)</f>
        <v>0</v>
      </c>
      <c r="J663" s="30">
        <f>SUM('DATA B2'!I664-'DATA B2'!I663)+('DATA B2'!J664-'DATA B2'!J663)</f>
        <v>0</v>
      </c>
      <c r="K663" s="28">
        <f t="shared" ref="K663:K681" si="200">IFERROR(J663/(I663),0)</f>
        <v>0</v>
      </c>
      <c r="L663" s="28">
        <f t="shared" ref="L663:L673" si="201">IFERROR((I663/18)*100,0)</f>
        <v>0</v>
      </c>
      <c r="M663" s="89">
        <f>SUM('WATER_STEAM RATIO'!Q663)</f>
        <v>0</v>
      </c>
      <c r="N663" s="9">
        <f>SUM('DATA B3'!H664-'DATA B3'!H663)</f>
        <v>0</v>
      </c>
      <c r="O663" s="88">
        <f t="shared" ref="O663:O680" si="202">IFERROR(N663/(M663),0)</f>
        <v>0</v>
      </c>
      <c r="P663" s="15">
        <f t="shared" ref="P663:P685" si="203">IFERROR((M663/16)*100,0)</f>
        <v>0</v>
      </c>
    </row>
    <row r="664" spans="3:17">
      <c r="C664" s="292"/>
      <c r="D664" s="43">
        <v>0.41666666666666702</v>
      </c>
      <c r="E664" s="5">
        <f>SUM('WATER_STEAM RATIO'!E664)</f>
        <v>0</v>
      </c>
      <c r="F664" s="9">
        <f>SUM('DATA B1'!I665-'DATA B1'!I664)+('DATA B1'!J665-'DATA B1'!J664)</f>
        <v>0</v>
      </c>
      <c r="G664" s="28">
        <f t="shared" si="198"/>
        <v>0</v>
      </c>
      <c r="H664" s="28">
        <f t="shared" si="199"/>
        <v>0</v>
      </c>
      <c r="I664" s="24">
        <f>SUM('WATER_STEAM RATIO'!K664)</f>
        <v>0</v>
      </c>
      <c r="J664" s="30">
        <f>SUM('DATA B2'!I665-'DATA B2'!I664)+('DATA B2'!J665-'DATA B2'!J664)</f>
        <v>0</v>
      </c>
      <c r="K664" s="28">
        <f t="shared" si="200"/>
        <v>0</v>
      </c>
      <c r="L664" s="28">
        <f t="shared" si="201"/>
        <v>0</v>
      </c>
      <c r="M664" s="89">
        <f>SUM('WATER_STEAM RATIO'!Q664)</f>
        <v>0</v>
      </c>
      <c r="N664" s="9">
        <f>SUM('DATA B3'!H665-'DATA B3'!H664)</f>
        <v>0</v>
      </c>
      <c r="O664" s="88">
        <f t="shared" si="202"/>
        <v>0</v>
      </c>
      <c r="P664" s="15">
        <f t="shared" si="203"/>
        <v>0</v>
      </c>
    </row>
    <row r="665" spans="3:17">
      <c r="C665" s="292"/>
      <c r="D665" s="43">
        <v>0.45833333333333298</v>
      </c>
      <c r="E665" s="5">
        <f>SUM('WATER_STEAM RATIO'!E665)</f>
        <v>0</v>
      </c>
      <c r="F665" s="9">
        <f>SUM('DATA B1'!I666-'DATA B1'!I665)+('DATA B1'!J666-'DATA B1'!J665)</f>
        <v>0</v>
      </c>
      <c r="G665" s="28">
        <f t="shared" si="198"/>
        <v>0</v>
      </c>
      <c r="H665" s="28">
        <f t="shared" si="199"/>
        <v>0</v>
      </c>
      <c r="I665" s="24">
        <f>SUM('WATER_STEAM RATIO'!K665)</f>
        <v>0</v>
      </c>
      <c r="J665" s="30">
        <f>SUM('DATA B2'!I666-'DATA B2'!I665)+('DATA B2'!J666-'DATA B2'!J665)</f>
        <v>0</v>
      </c>
      <c r="K665" s="28">
        <f t="shared" si="200"/>
        <v>0</v>
      </c>
      <c r="L665" s="28">
        <f t="shared" si="201"/>
        <v>0</v>
      </c>
      <c r="M665" s="89">
        <f>SUM('WATER_STEAM RATIO'!Q665)</f>
        <v>0</v>
      </c>
      <c r="N665" s="9">
        <f>SUM('DATA B3'!H666-'DATA B3'!H665)</f>
        <v>0</v>
      </c>
      <c r="O665" s="88">
        <f t="shared" si="202"/>
        <v>0</v>
      </c>
      <c r="P665" s="15">
        <f t="shared" si="203"/>
        <v>0</v>
      </c>
    </row>
    <row r="666" spans="3:17">
      <c r="C666" s="292"/>
      <c r="D666" s="43">
        <v>0.5</v>
      </c>
      <c r="E666" s="5">
        <f>SUM('WATER_STEAM RATIO'!E666)</f>
        <v>0</v>
      </c>
      <c r="F666" s="9">
        <f>SUM('DATA B1'!I667-'DATA B1'!I666)+('DATA B1'!J667-'DATA B1'!J666)</f>
        <v>0</v>
      </c>
      <c r="G666" s="28">
        <f t="shared" si="198"/>
        <v>0</v>
      </c>
      <c r="H666" s="28">
        <f t="shared" si="199"/>
        <v>0</v>
      </c>
      <c r="I666" s="24">
        <f>SUM('WATER_STEAM RATIO'!K666)</f>
        <v>0</v>
      </c>
      <c r="J666" s="30">
        <f>SUM('DATA B2'!I667-'DATA B2'!I666)+('DATA B2'!J667-'DATA B2'!J666)</f>
        <v>0</v>
      </c>
      <c r="K666" s="28">
        <f t="shared" si="200"/>
        <v>0</v>
      </c>
      <c r="L666" s="28">
        <f t="shared" si="201"/>
        <v>0</v>
      </c>
      <c r="M666" s="89">
        <f>SUM('WATER_STEAM RATIO'!Q666)</f>
        <v>0</v>
      </c>
      <c r="N666" s="9">
        <f>SUM('DATA B3'!H667-'DATA B3'!H666)</f>
        <v>0</v>
      </c>
      <c r="O666" s="88">
        <f t="shared" si="202"/>
        <v>0</v>
      </c>
      <c r="P666" s="15">
        <f t="shared" si="203"/>
        <v>0</v>
      </c>
    </row>
    <row r="667" spans="3:17">
      <c r="C667" s="292"/>
      <c r="D667" s="43">
        <v>0.54166666666666696</v>
      </c>
      <c r="E667" s="5">
        <f>SUM('WATER_STEAM RATIO'!E667)</f>
        <v>0</v>
      </c>
      <c r="F667" s="9">
        <f>SUM('DATA B1'!I668-'DATA B1'!I667)+('DATA B1'!J668-'DATA B1'!J667)</f>
        <v>0</v>
      </c>
      <c r="G667" s="28">
        <f t="shared" si="198"/>
        <v>0</v>
      </c>
      <c r="H667" s="28">
        <f t="shared" si="199"/>
        <v>0</v>
      </c>
      <c r="I667" s="24">
        <f>SUM('WATER_STEAM RATIO'!K667)</f>
        <v>0</v>
      </c>
      <c r="J667" s="30">
        <f>SUM('DATA B2'!I668-'DATA B2'!I667)+('DATA B2'!J668-'DATA B2'!J667)</f>
        <v>0</v>
      </c>
      <c r="K667" s="28">
        <f t="shared" si="200"/>
        <v>0</v>
      </c>
      <c r="L667" s="28">
        <f t="shared" si="201"/>
        <v>0</v>
      </c>
      <c r="M667" s="89">
        <f>SUM('WATER_STEAM RATIO'!Q667)</f>
        <v>0</v>
      </c>
      <c r="N667" s="9">
        <f>SUM('DATA B3'!H668-'DATA B3'!H667)</f>
        <v>0</v>
      </c>
      <c r="O667" s="88">
        <f t="shared" si="202"/>
        <v>0</v>
      </c>
      <c r="P667" s="15">
        <f t="shared" si="203"/>
        <v>0</v>
      </c>
      <c r="Q667" s="53"/>
    </row>
    <row r="668" spans="3:17">
      <c r="C668" s="292"/>
      <c r="D668" s="43">
        <v>0.58333333333333304</v>
      </c>
      <c r="E668" s="5">
        <f>SUM('WATER_STEAM RATIO'!E668)</f>
        <v>0</v>
      </c>
      <c r="F668" s="9">
        <f>SUM('DATA B1'!I669-'DATA B1'!I668)+('DATA B1'!J669-'DATA B1'!J668)</f>
        <v>0</v>
      </c>
      <c r="G668" s="28">
        <f t="shared" si="198"/>
        <v>0</v>
      </c>
      <c r="H668" s="28">
        <f t="shared" si="199"/>
        <v>0</v>
      </c>
      <c r="I668" s="24">
        <f>SUM('WATER_STEAM RATIO'!K668)</f>
        <v>0</v>
      </c>
      <c r="J668" s="30">
        <f>SUM('DATA B2'!I669-'DATA B2'!I668)+('DATA B2'!J669-'DATA B2'!J668)</f>
        <v>0</v>
      </c>
      <c r="K668" s="28">
        <f t="shared" si="200"/>
        <v>0</v>
      </c>
      <c r="L668" s="28">
        <f t="shared" si="201"/>
        <v>0</v>
      </c>
      <c r="M668" s="89">
        <f>SUM('WATER_STEAM RATIO'!Q668)</f>
        <v>0</v>
      </c>
      <c r="N668" s="9">
        <f>SUM('DATA B3'!H669-'DATA B3'!H668)</f>
        <v>0</v>
      </c>
      <c r="O668" s="88">
        <f t="shared" si="202"/>
        <v>0</v>
      </c>
      <c r="P668" s="15">
        <f t="shared" si="203"/>
        <v>0</v>
      </c>
    </row>
    <row r="669" spans="3:17">
      <c r="C669" s="292"/>
      <c r="D669" s="43">
        <v>0.625</v>
      </c>
      <c r="E669" s="5">
        <f>SUM('WATER_STEAM RATIO'!E669)</f>
        <v>0</v>
      </c>
      <c r="F669" s="9">
        <f>SUM('DATA B1'!I670-'DATA B1'!I669)+('DATA B1'!J670-'DATA B1'!J669)</f>
        <v>0</v>
      </c>
      <c r="G669" s="28">
        <f t="shared" si="198"/>
        <v>0</v>
      </c>
      <c r="H669" s="28">
        <f t="shared" si="199"/>
        <v>0</v>
      </c>
      <c r="I669" s="24">
        <f>SUM('WATER_STEAM RATIO'!K669)</f>
        <v>0</v>
      </c>
      <c r="J669" s="30">
        <f>SUM('DATA B2'!I670-'DATA B2'!I669)+('DATA B2'!J670-'DATA B2'!J669)</f>
        <v>0</v>
      </c>
      <c r="K669" s="28">
        <f t="shared" si="200"/>
        <v>0</v>
      </c>
      <c r="L669" s="28">
        <f t="shared" si="201"/>
        <v>0</v>
      </c>
      <c r="M669" s="89">
        <f>SUM('WATER_STEAM RATIO'!Q669)</f>
        <v>0</v>
      </c>
      <c r="N669" s="9">
        <f>SUM('DATA B3'!H670-'DATA B3'!H669)</f>
        <v>0</v>
      </c>
      <c r="O669" s="88">
        <f t="shared" si="202"/>
        <v>0</v>
      </c>
      <c r="P669" s="15">
        <f t="shared" si="203"/>
        <v>0</v>
      </c>
    </row>
    <row r="670" spans="3:17">
      <c r="C670" s="292"/>
      <c r="D670" s="43">
        <v>0.66666666666666596</v>
      </c>
      <c r="E670" s="5">
        <f>SUM('WATER_STEAM RATIO'!E670)</f>
        <v>0</v>
      </c>
      <c r="F670" s="9">
        <f>SUM('DATA B1'!I671-'DATA B1'!I670)+('DATA B1'!J671-'DATA B1'!J670)</f>
        <v>0</v>
      </c>
      <c r="G670" s="28">
        <f t="shared" si="198"/>
        <v>0</v>
      </c>
      <c r="H670" s="28">
        <f t="shared" si="199"/>
        <v>0</v>
      </c>
      <c r="I670" s="24">
        <f>SUM('WATER_STEAM RATIO'!K670)</f>
        <v>0</v>
      </c>
      <c r="J670" s="30">
        <f>SUM('DATA B2'!I671-'DATA B2'!I670)+('DATA B2'!J671-'DATA B2'!J670)</f>
        <v>0</v>
      </c>
      <c r="K670" s="28">
        <f t="shared" si="200"/>
        <v>0</v>
      </c>
      <c r="L670" s="28">
        <f t="shared" si="201"/>
        <v>0</v>
      </c>
      <c r="M670" s="89">
        <f>SUM('WATER_STEAM RATIO'!Q670)</f>
        <v>0</v>
      </c>
      <c r="N670" s="9">
        <f>SUM('DATA B3'!H671-'DATA B3'!H670)</f>
        <v>0</v>
      </c>
      <c r="O670" s="88">
        <f t="shared" si="202"/>
        <v>0</v>
      </c>
      <c r="P670" s="15">
        <f t="shared" si="203"/>
        <v>0</v>
      </c>
    </row>
    <row r="671" spans="3:17">
      <c r="C671" s="292"/>
      <c r="D671" s="43">
        <v>0.70833333333333304</v>
      </c>
      <c r="E671" s="5">
        <f>SUM('WATER_STEAM RATIO'!E671)</f>
        <v>0</v>
      </c>
      <c r="F671" s="9">
        <f>SUM('DATA B1'!I672-'DATA B1'!I671)+('DATA B1'!J672-'DATA B1'!J671)</f>
        <v>0</v>
      </c>
      <c r="G671" s="28">
        <f t="shared" si="198"/>
        <v>0</v>
      </c>
      <c r="H671" s="28">
        <f t="shared" si="199"/>
        <v>0</v>
      </c>
      <c r="I671" s="24">
        <f>SUM('WATER_STEAM RATIO'!K671)</f>
        <v>0</v>
      </c>
      <c r="J671" s="30">
        <f>SUM('DATA B2'!I672-'DATA B2'!I671)+('DATA B2'!J672-'DATA B2'!J671)</f>
        <v>0</v>
      </c>
      <c r="K671" s="28">
        <f t="shared" si="200"/>
        <v>0</v>
      </c>
      <c r="L671" s="28">
        <f t="shared" si="201"/>
        <v>0</v>
      </c>
      <c r="M671" s="89">
        <f>SUM('WATER_STEAM RATIO'!Q671)</f>
        <v>0</v>
      </c>
      <c r="N671" s="9">
        <f>SUM('DATA B3'!H672-'DATA B3'!H671)</f>
        <v>0</v>
      </c>
      <c r="O671" s="88">
        <f t="shared" si="202"/>
        <v>0</v>
      </c>
      <c r="P671" s="15">
        <f t="shared" si="203"/>
        <v>0</v>
      </c>
    </row>
    <row r="672" spans="3:17">
      <c r="C672" s="292"/>
      <c r="D672" s="43">
        <v>0.75</v>
      </c>
      <c r="E672" s="5">
        <f>SUM('WATER_STEAM RATIO'!E672)</f>
        <v>0</v>
      </c>
      <c r="F672" s="9">
        <f>SUM('DATA B1'!I673-'DATA B1'!I672)+('DATA B1'!J673-'DATA B1'!J672)</f>
        <v>0</v>
      </c>
      <c r="G672" s="28">
        <f t="shared" si="198"/>
        <v>0</v>
      </c>
      <c r="H672" s="28">
        <f t="shared" si="199"/>
        <v>0</v>
      </c>
      <c r="I672" s="24">
        <f>SUM('WATER_STEAM RATIO'!K672)</f>
        <v>0</v>
      </c>
      <c r="J672" s="30">
        <f>SUM('DATA B2'!I673-'DATA B2'!I672)+('DATA B2'!J673-'DATA B2'!J672)</f>
        <v>0</v>
      </c>
      <c r="K672" s="28">
        <f t="shared" si="200"/>
        <v>0</v>
      </c>
      <c r="L672" s="28">
        <f t="shared" si="201"/>
        <v>0</v>
      </c>
      <c r="M672" s="89">
        <f>SUM('WATER_STEAM RATIO'!Q672)</f>
        <v>0</v>
      </c>
      <c r="N672" s="9">
        <f>SUM('DATA B3'!H673-'DATA B3'!H672)</f>
        <v>0</v>
      </c>
      <c r="O672" s="88">
        <f t="shared" si="202"/>
        <v>0</v>
      </c>
      <c r="P672" s="15">
        <f t="shared" si="203"/>
        <v>0</v>
      </c>
    </row>
    <row r="673" spans="3:17">
      <c r="C673" s="292"/>
      <c r="D673" s="43">
        <v>0.79166666666666596</v>
      </c>
      <c r="E673" s="5">
        <f>SUM('WATER_STEAM RATIO'!E673)</f>
        <v>0</v>
      </c>
      <c r="F673" s="9">
        <f>SUM('DATA B1'!I674-'DATA B1'!I673)+('DATA B1'!J674-'DATA B1'!J673)</f>
        <v>0</v>
      </c>
      <c r="G673" s="28">
        <f t="shared" si="198"/>
        <v>0</v>
      </c>
      <c r="H673" s="28">
        <f t="shared" si="199"/>
        <v>0</v>
      </c>
      <c r="I673" s="24">
        <f>SUM('WATER_STEAM RATIO'!K673)</f>
        <v>0</v>
      </c>
      <c r="J673" s="30">
        <f>SUM('DATA B2'!I674-'DATA B2'!I673)+('DATA B2'!J674-'DATA B2'!J673)</f>
        <v>0</v>
      </c>
      <c r="K673" s="28">
        <f t="shared" si="200"/>
        <v>0</v>
      </c>
      <c r="L673" s="28">
        <f t="shared" si="201"/>
        <v>0</v>
      </c>
      <c r="M673" s="89">
        <f>SUM('WATER_STEAM RATIO'!Q673)</f>
        <v>0</v>
      </c>
      <c r="N673" s="9">
        <f>SUM('DATA B3'!H674-'DATA B3'!H673)</f>
        <v>0</v>
      </c>
      <c r="O673" s="88">
        <f t="shared" si="202"/>
        <v>0</v>
      </c>
      <c r="P673" s="15">
        <f t="shared" si="203"/>
        <v>0</v>
      </c>
      <c r="Q673" s="29"/>
    </row>
    <row r="674" spans="3:17">
      <c r="C674" s="292"/>
      <c r="D674" s="43">
        <v>0.83333333333333304</v>
      </c>
      <c r="E674" s="5">
        <f>SUM('WATER_STEAM RATIO'!E674)</f>
        <v>0</v>
      </c>
      <c r="F674" s="9">
        <f>SUM('DATA B1'!I675-'DATA B1'!I674)+('DATA B1'!J675-'DATA B1'!J674)</f>
        <v>0</v>
      </c>
      <c r="G674" s="28">
        <f t="shared" si="198"/>
        <v>0</v>
      </c>
      <c r="H674" s="28">
        <f t="shared" si="199"/>
        <v>0</v>
      </c>
      <c r="I674" s="24">
        <f>SUM('WATER_STEAM RATIO'!K674)</f>
        <v>0</v>
      </c>
      <c r="J674" s="30">
        <f>SUM('DATA B2'!I675-'DATA B2'!I674)+('DATA B2'!J675-'DATA B2'!J674)</f>
        <v>0</v>
      </c>
      <c r="K674" s="28">
        <f t="shared" si="200"/>
        <v>0</v>
      </c>
      <c r="L674" s="28">
        <f>IFERROR((I674/18)*100,0)</f>
        <v>0</v>
      </c>
      <c r="M674" s="89">
        <f>SUM('WATER_STEAM RATIO'!Q674)</f>
        <v>0</v>
      </c>
      <c r="N674" s="9">
        <f>SUM('DATA B3'!H675-'DATA B3'!H674)</f>
        <v>0</v>
      </c>
      <c r="O674" s="88">
        <f t="shared" si="202"/>
        <v>0</v>
      </c>
      <c r="P674" s="15">
        <f t="shared" si="203"/>
        <v>0</v>
      </c>
      <c r="Q674" s="29"/>
    </row>
    <row r="675" spans="3:17">
      <c r="C675" s="292"/>
      <c r="D675" s="43">
        <v>0.875</v>
      </c>
      <c r="E675" s="5">
        <f>SUM('WATER_STEAM RATIO'!E675)</f>
        <v>0</v>
      </c>
      <c r="F675" s="9">
        <f>SUM('DATA B1'!I676-'DATA B1'!I675)+('DATA B1'!J676-'DATA B1'!J675)</f>
        <v>0</v>
      </c>
      <c r="G675" s="28">
        <f t="shared" si="198"/>
        <v>0</v>
      </c>
      <c r="H675" s="28">
        <f t="shared" si="199"/>
        <v>0</v>
      </c>
      <c r="I675" s="24">
        <f>SUM('WATER_STEAM RATIO'!K675)</f>
        <v>0</v>
      </c>
      <c r="J675" s="30">
        <f>SUM('DATA B2'!I676-'DATA B2'!I675)+('DATA B2'!J676-'DATA B2'!J675)</f>
        <v>0</v>
      </c>
      <c r="K675" s="28">
        <f t="shared" si="200"/>
        <v>0</v>
      </c>
      <c r="L675" s="28">
        <f t="shared" ref="L675:L685" si="204">IFERROR((I675/18)*100,0)</f>
        <v>0</v>
      </c>
      <c r="M675" s="89">
        <f>SUM('WATER_STEAM RATIO'!Q675)</f>
        <v>0</v>
      </c>
      <c r="N675" s="9">
        <f>SUM('DATA B3'!H676-'DATA B3'!H675)</f>
        <v>0</v>
      </c>
      <c r="O675" s="88">
        <f t="shared" si="202"/>
        <v>0</v>
      </c>
      <c r="P675" s="15">
        <f t="shared" si="203"/>
        <v>0</v>
      </c>
      <c r="Q675" s="29"/>
    </row>
    <row r="676" spans="3:17">
      <c r="C676" s="292"/>
      <c r="D676" s="43">
        <v>0.91666666666666596</v>
      </c>
      <c r="E676" s="5">
        <f>SUM('WATER_STEAM RATIO'!E676)</f>
        <v>0</v>
      </c>
      <c r="F676" s="9">
        <f>SUM('DATA B1'!I677-'DATA B1'!I676)+('DATA B1'!J677-'DATA B1'!J676)</f>
        <v>0</v>
      </c>
      <c r="G676" s="28">
        <f t="shared" si="198"/>
        <v>0</v>
      </c>
      <c r="H676" s="28">
        <f t="shared" si="199"/>
        <v>0</v>
      </c>
      <c r="I676" s="24">
        <f>SUM('WATER_STEAM RATIO'!K676)</f>
        <v>0</v>
      </c>
      <c r="J676" s="30">
        <f>SUM('DATA B2'!I677-'DATA B2'!I676)+('DATA B2'!J677-'DATA B2'!J676)</f>
        <v>0</v>
      </c>
      <c r="K676" s="28">
        <f t="shared" si="200"/>
        <v>0</v>
      </c>
      <c r="L676" s="28">
        <f t="shared" si="204"/>
        <v>0</v>
      </c>
      <c r="M676" s="89">
        <f>SUM('WATER_STEAM RATIO'!Q676)</f>
        <v>0</v>
      </c>
      <c r="N676" s="9">
        <f>SUM('DATA B3'!H677-'DATA B3'!H676)</f>
        <v>0</v>
      </c>
      <c r="O676" s="88">
        <f t="shared" si="202"/>
        <v>0</v>
      </c>
      <c r="P676" s="15">
        <f>IFERROR((M676/16)*100,0)</f>
        <v>0</v>
      </c>
    </row>
    <row r="677" spans="3:17">
      <c r="C677" s="292"/>
      <c r="D677" s="43">
        <v>0.95833333333333304</v>
      </c>
      <c r="E677" s="5">
        <f>SUM('WATER_STEAM RATIO'!E677)</f>
        <v>0</v>
      </c>
      <c r="F677" s="9">
        <f>SUM('DATA B1'!I678-'DATA B1'!I677)+('DATA B1'!J678-'DATA B1'!J677)</f>
        <v>0</v>
      </c>
      <c r="G677" s="28">
        <f t="shared" si="198"/>
        <v>0</v>
      </c>
      <c r="H677" s="28">
        <f t="shared" si="199"/>
        <v>0</v>
      </c>
      <c r="I677" s="24">
        <f>SUM('WATER_STEAM RATIO'!K677)</f>
        <v>0</v>
      </c>
      <c r="J677" s="30">
        <f>SUM('DATA B2'!I678-'DATA B2'!I677)+('DATA B2'!J678-'DATA B2'!J677)</f>
        <v>0</v>
      </c>
      <c r="K677" s="28">
        <f t="shared" si="200"/>
        <v>0</v>
      </c>
      <c r="L677" s="28">
        <f t="shared" si="204"/>
        <v>0</v>
      </c>
      <c r="M677" s="89">
        <f>SUM('WATER_STEAM RATIO'!Q677)</f>
        <v>0</v>
      </c>
      <c r="N677" s="9">
        <f>SUM('DATA B3'!H678-'DATA B3'!H677)</f>
        <v>0</v>
      </c>
      <c r="O677" s="88">
        <f t="shared" si="202"/>
        <v>0</v>
      </c>
      <c r="P677" s="15">
        <f t="shared" si="203"/>
        <v>0</v>
      </c>
    </row>
    <row r="678" spans="3:17">
      <c r="C678" s="292"/>
      <c r="D678" s="43">
        <v>1</v>
      </c>
      <c r="E678" s="5">
        <f>SUM('WATER_STEAM RATIO'!E678)</f>
        <v>0</v>
      </c>
      <c r="F678" s="9">
        <f>SUM('DATA B1'!I679-'DATA B1'!I678)+('DATA B1'!J679-'DATA B1'!J678)</f>
        <v>0</v>
      </c>
      <c r="G678" s="28">
        <f t="shared" si="198"/>
        <v>0</v>
      </c>
      <c r="H678" s="28">
        <f t="shared" si="199"/>
        <v>0</v>
      </c>
      <c r="I678" s="24">
        <f>SUM('WATER_STEAM RATIO'!K678)</f>
        <v>0</v>
      </c>
      <c r="J678" s="30">
        <f>SUM('DATA B2'!I679-'DATA B2'!I678)+('DATA B2'!J679-'DATA B2'!J678)</f>
        <v>0</v>
      </c>
      <c r="K678" s="28">
        <f t="shared" si="200"/>
        <v>0</v>
      </c>
      <c r="L678" s="28">
        <f t="shared" si="204"/>
        <v>0</v>
      </c>
      <c r="M678" s="89">
        <f>SUM('WATER_STEAM RATIO'!Q678)</f>
        <v>0</v>
      </c>
      <c r="N678" s="9">
        <f>SUM('DATA B3'!H679-'DATA B3'!H678)</f>
        <v>0</v>
      </c>
      <c r="O678" s="88">
        <f t="shared" si="202"/>
        <v>0</v>
      </c>
      <c r="P678" s="15">
        <f t="shared" si="203"/>
        <v>0</v>
      </c>
    </row>
    <row r="679" spans="3:17">
      <c r="C679" s="292"/>
      <c r="D679" s="43">
        <v>1.0416666666666701</v>
      </c>
      <c r="E679" s="5">
        <f>SUM('WATER_STEAM RATIO'!E679)</f>
        <v>0</v>
      </c>
      <c r="F679" s="9">
        <f>SUM('DATA B1'!I680-'DATA B1'!I679)+('DATA B1'!J680-'DATA B1'!J679)</f>
        <v>0</v>
      </c>
      <c r="G679" s="28">
        <f t="shared" si="198"/>
        <v>0</v>
      </c>
      <c r="H679" s="28">
        <f t="shared" si="199"/>
        <v>0</v>
      </c>
      <c r="I679" s="24">
        <f>SUM('WATER_STEAM RATIO'!K679)</f>
        <v>0</v>
      </c>
      <c r="J679" s="30">
        <f>SUM('DATA B2'!I680-'DATA B2'!I679)+('DATA B2'!J680-'DATA B2'!J679)</f>
        <v>0</v>
      </c>
      <c r="K679" s="28">
        <f t="shared" si="200"/>
        <v>0</v>
      </c>
      <c r="L679" s="28">
        <f t="shared" si="204"/>
        <v>0</v>
      </c>
      <c r="M679" s="89">
        <f>SUM('WATER_STEAM RATIO'!Q679)</f>
        <v>0</v>
      </c>
      <c r="N679" s="9">
        <f>SUM('DATA B3'!H680-'DATA B3'!H679)</f>
        <v>0</v>
      </c>
      <c r="O679" s="88">
        <f t="shared" si="202"/>
        <v>0</v>
      </c>
      <c r="P679" s="15">
        <f t="shared" si="203"/>
        <v>0</v>
      </c>
    </row>
    <row r="680" spans="3:17">
      <c r="C680" s="292"/>
      <c r="D680" s="43">
        <v>1.0833333333333399</v>
      </c>
      <c r="E680" s="5">
        <f>SUM('WATER_STEAM RATIO'!E680)</f>
        <v>0</v>
      </c>
      <c r="F680" s="9">
        <f>SUM('DATA B1'!I681-'DATA B1'!I680)+('DATA B1'!J681-'DATA B1'!J680)</f>
        <v>0</v>
      </c>
      <c r="G680" s="28">
        <f t="shared" si="198"/>
        <v>0</v>
      </c>
      <c r="H680" s="28">
        <f t="shared" si="199"/>
        <v>0</v>
      </c>
      <c r="I680" s="24">
        <f>SUM('WATER_STEAM RATIO'!K680)</f>
        <v>0</v>
      </c>
      <c r="J680" s="30">
        <f>SUM('DATA B2'!I681-'DATA B2'!I680)+('DATA B2'!J681-'DATA B2'!J680)</f>
        <v>0</v>
      </c>
      <c r="K680" s="28">
        <f t="shared" si="200"/>
        <v>0</v>
      </c>
      <c r="L680" s="28">
        <f t="shared" si="204"/>
        <v>0</v>
      </c>
      <c r="M680" s="89">
        <f>SUM('WATER_STEAM RATIO'!Q680)</f>
        <v>0</v>
      </c>
      <c r="N680" s="9">
        <f>SUM('DATA B3'!H681-'DATA B3'!H680)</f>
        <v>0</v>
      </c>
      <c r="O680" s="88">
        <f t="shared" si="202"/>
        <v>0</v>
      </c>
      <c r="P680" s="15">
        <f t="shared" si="203"/>
        <v>0</v>
      </c>
    </row>
    <row r="681" spans="3:17">
      <c r="C681" s="292"/>
      <c r="D681" s="43">
        <v>1.125</v>
      </c>
      <c r="E681" s="5">
        <f>SUM('WATER_STEAM RATIO'!E681)</f>
        <v>0</v>
      </c>
      <c r="F681" s="9">
        <f>SUM('DATA B1'!I682-'DATA B1'!I681)+('DATA B1'!J682-'DATA B1'!J681)</f>
        <v>0</v>
      </c>
      <c r="G681" s="28">
        <f t="shared" si="198"/>
        <v>0</v>
      </c>
      <c r="H681" s="28">
        <f t="shared" si="199"/>
        <v>0</v>
      </c>
      <c r="I681" s="24">
        <f>SUM('WATER_STEAM RATIO'!K681)</f>
        <v>0</v>
      </c>
      <c r="J681" s="30">
        <f>SUM('DATA B2'!I682-'DATA B2'!I681)+('DATA B2'!J682-'DATA B2'!J681)</f>
        <v>0</v>
      </c>
      <c r="K681" s="28">
        <f t="shared" si="200"/>
        <v>0</v>
      </c>
      <c r="L681" s="28">
        <f t="shared" si="204"/>
        <v>0</v>
      </c>
      <c r="M681" s="89">
        <f>SUM('WATER_STEAM RATIO'!Q681)</f>
        <v>0</v>
      </c>
      <c r="N681" s="9">
        <f>SUM('DATA B3'!H682-'DATA B3'!H681)</f>
        <v>0</v>
      </c>
      <c r="O681" s="88">
        <f t="shared" ref="O681:O685" si="205">IFERROR(N681/(M681),0)</f>
        <v>0</v>
      </c>
      <c r="P681" s="15">
        <f t="shared" si="203"/>
        <v>0</v>
      </c>
    </row>
    <row r="682" spans="3:17">
      <c r="C682" s="292"/>
      <c r="D682" s="43">
        <v>1.1666666666666701</v>
      </c>
      <c r="E682" s="5">
        <f>SUM('WATER_STEAM RATIO'!E682)</f>
        <v>0</v>
      </c>
      <c r="F682" s="9">
        <f>SUM('DATA B1'!I683-'DATA B1'!I682)+('DATA B1'!J683-'DATA B1'!J682)</f>
        <v>0</v>
      </c>
      <c r="G682" s="28">
        <f t="shared" si="198"/>
        <v>0</v>
      </c>
      <c r="H682" s="28">
        <f t="shared" si="199"/>
        <v>0</v>
      </c>
      <c r="I682" s="24">
        <f>SUM('WATER_STEAM RATIO'!K682)</f>
        <v>0</v>
      </c>
      <c r="J682" s="30">
        <f>SUM('DATA B2'!I683-'DATA B2'!I682)+('DATA B2'!J683-'DATA B2'!J682)</f>
        <v>0</v>
      </c>
      <c r="K682" s="28">
        <f>IFERROR(J682/(I682),0)</f>
        <v>0</v>
      </c>
      <c r="L682" s="28">
        <f t="shared" si="204"/>
        <v>0</v>
      </c>
      <c r="M682" s="89">
        <f>SUM('WATER_STEAM RATIO'!Q682)</f>
        <v>0</v>
      </c>
      <c r="N682" s="9">
        <f>SUM('DATA B3'!H683-'DATA B3'!H682)</f>
        <v>0</v>
      </c>
      <c r="O682" s="88">
        <f t="shared" si="205"/>
        <v>0</v>
      </c>
      <c r="P682" s="15">
        <f t="shared" si="203"/>
        <v>0</v>
      </c>
    </row>
    <row r="683" spans="3:17">
      <c r="C683" s="292"/>
      <c r="D683" s="43">
        <v>1.2083333333333399</v>
      </c>
      <c r="E683" s="5">
        <f>SUM('WATER_STEAM RATIO'!E683)</f>
        <v>0</v>
      </c>
      <c r="F683" s="9">
        <f>SUM('DATA B1'!I684-'DATA B1'!I683)+('DATA B1'!J684-'DATA B1'!J683)</f>
        <v>0</v>
      </c>
      <c r="G683" s="28">
        <f t="shared" si="198"/>
        <v>0</v>
      </c>
      <c r="H683" s="28">
        <f t="shared" si="199"/>
        <v>0</v>
      </c>
      <c r="I683" s="24">
        <f>SUM('WATER_STEAM RATIO'!K683)</f>
        <v>0</v>
      </c>
      <c r="J683" s="30">
        <f>SUM('DATA B2'!I684-'DATA B2'!I683)+('DATA B2'!J684-'DATA B2'!J683)</f>
        <v>0</v>
      </c>
      <c r="K683" s="28">
        <f>IFERROR(J683/(I683),0)</f>
        <v>0</v>
      </c>
      <c r="L683" s="28">
        <f t="shared" si="204"/>
        <v>0</v>
      </c>
      <c r="M683" s="89">
        <f>SUM('WATER_STEAM RATIO'!Q683)</f>
        <v>0</v>
      </c>
      <c r="N683" s="9">
        <f>SUM('DATA B3'!H684-'DATA B3'!H683)</f>
        <v>0</v>
      </c>
      <c r="O683" s="88">
        <f t="shared" si="205"/>
        <v>0</v>
      </c>
      <c r="P683" s="15">
        <f t="shared" si="203"/>
        <v>0</v>
      </c>
    </row>
    <row r="684" spans="3:17">
      <c r="C684" s="292"/>
      <c r="D684" s="43">
        <v>1.25</v>
      </c>
      <c r="E684" s="5">
        <f>SUM('WATER_STEAM RATIO'!E684)</f>
        <v>0</v>
      </c>
      <c r="F684" s="9">
        <f>SUM('DATA B1'!I685-'DATA B1'!I684)+('DATA B1'!J685-'DATA B1'!J684)</f>
        <v>0</v>
      </c>
      <c r="G684" s="28">
        <f t="shared" si="198"/>
        <v>0</v>
      </c>
      <c r="H684" s="28">
        <f t="shared" si="199"/>
        <v>0</v>
      </c>
      <c r="I684" s="24">
        <f>SUM('WATER_STEAM RATIO'!K684)</f>
        <v>0</v>
      </c>
      <c r="J684" s="30">
        <f>SUM('DATA B2'!I685-'DATA B2'!I684)+('DATA B2'!J685-'DATA B2'!J684)</f>
        <v>0</v>
      </c>
      <c r="K684" s="28">
        <f>IFERROR(J684/(I684),0)</f>
        <v>0</v>
      </c>
      <c r="L684" s="28">
        <f t="shared" si="204"/>
        <v>0</v>
      </c>
      <c r="M684" s="89">
        <f>SUM('WATER_STEAM RATIO'!Q684)</f>
        <v>0</v>
      </c>
      <c r="N684" s="9">
        <f>SUM('DATA B3'!H685-'DATA B3'!H684)</f>
        <v>0</v>
      </c>
      <c r="O684" s="88">
        <f t="shared" si="205"/>
        <v>0</v>
      </c>
      <c r="P684" s="15">
        <f t="shared" si="203"/>
        <v>0</v>
      </c>
    </row>
    <row r="685" spans="3:17">
      <c r="C685" s="292"/>
      <c r="D685" s="43">
        <v>1.2916666666666701</v>
      </c>
      <c r="E685" s="5">
        <f>SUM('WATER_STEAM RATIO'!E685)</f>
        <v>0</v>
      </c>
      <c r="F685" s="9">
        <f>SUM('DATA B1'!I686-'DATA B1'!I685)+('DATA B1'!J686-'DATA B1'!J685)</f>
        <v>0</v>
      </c>
      <c r="G685" s="28">
        <f t="shared" si="198"/>
        <v>0</v>
      </c>
      <c r="H685" s="28">
        <f t="shared" si="199"/>
        <v>0</v>
      </c>
      <c r="I685" s="24">
        <f>SUM('WATER_STEAM RATIO'!K685)</f>
        <v>0</v>
      </c>
      <c r="J685" s="30">
        <f>SUM('DATA B2'!I686-'DATA B2'!I685)+('DATA B2'!J686-'DATA B2'!J685)</f>
        <v>0</v>
      </c>
      <c r="K685" s="28">
        <f>IFERROR(J685/(I685),0)</f>
        <v>0</v>
      </c>
      <c r="L685" s="28">
        <f t="shared" si="204"/>
        <v>0</v>
      </c>
      <c r="M685" s="89">
        <f>SUM('WATER_STEAM RATIO'!Q685)</f>
        <v>0</v>
      </c>
      <c r="N685" s="9">
        <f>SUM('DATA B3'!H686-'DATA B3'!H685)</f>
        <v>0</v>
      </c>
      <c r="O685" s="88">
        <f t="shared" si="205"/>
        <v>0</v>
      </c>
      <c r="P685" s="15">
        <f t="shared" si="203"/>
        <v>0</v>
      </c>
    </row>
    <row r="686" spans="3:17">
      <c r="C686" s="293"/>
      <c r="D686" s="258"/>
      <c r="E686" s="91">
        <f>SUMIF(E661:E685,"&gt;=0",E661:E685)</f>
        <v>0</v>
      </c>
      <c r="F686" s="91">
        <f>SUMIF(F661:F685,"&gt;=0",F661:F685)</f>
        <v>0</v>
      </c>
      <c r="G686" s="54">
        <f>IFERROR(F686/E686,0)</f>
        <v>0</v>
      </c>
      <c r="H686" s="54">
        <f>IFERROR(AVERAGE(H662:H685),0)</f>
        <v>0</v>
      </c>
      <c r="I686" s="91">
        <f>SUMIF(I661:I685,"&gt;=0",I661:I685)</f>
        <v>0</v>
      </c>
      <c r="J686" s="91">
        <f>SUMIF(J661:J685,"&gt;=0",J661:J685)</f>
        <v>0</v>
      </c>
      <c r="K686" s="54">
        <f>IFERROR(J686/(I686),0)</f>
        <v>0</v>
      </c>
      <c r="L686" s="54">
        <f>IFERROR(AVERAGE(L662:L685),0)</f>
        <v>0</v>
      </c>
      <c r="M686" s="91">
        <f>SUMIF(M661:M685,"&gt;=0",M661:M685)</f>
        <v>0</v>
      </c>
      <c r="N686" s="91">
        <f>SUMIF(N661:N685,"&gt;=0",N661:N685)</f>
        <v>0</v>
      </c>
      <c r="O686" s="239">
        <f>IFERROR(N686/(M686),0)</f>
        <v>0</v>
      </c>
      <c r="P686" s="215">
        <f>IFERROR(AVERAGE(P662:P685),0)</f>
        <v>0</v>
      </c>
    </row>
    <row r="687" spans="3:17" ht="15" customHeight="1">
      <c r="C687" s="291">
        <f>SUM('WATER_STEAM RATIO'!B687:B712)</f>
        <v>46049</v>
      </c>
      <c r="D687" s="43">
        <v>0.29166666666666669</v>
      </c>
      <c r="E687" s="5">
        <f>SUM('WATER_STEAM RATIO'!E687)</f>
        <v>0</v>
      </c>
      <c r="F687" s="9"/>
      <c r="G687" s="28"/>
      <c r="H687" s="28"/>
      <c r="I687" s="24">
        <f>SUM('WATER_STEAM RATIO'!K687)</f>
        <v>0</v>
      </c>
      <c r="J687" s="30"/>
      <c r="K687" s="28"/>
      <c r="L687" s="28"/>
      <c r="M687" s="89">
        <f>SUM('WATER_STEAM RATIO'!Q687)</f>
        <v>0</v>
      </c>
      <c r="N687" s="9"/>
      <c r="O687" s="88"/>
      <c r="P687" s="15"/>
    </row>
    <row r="688" spans="3:17">
      <c r="C688" s="292"/>
      <c r="D688" s="43">
        <v>0.33333333333333298</v>
      </c>
      <c r="E688" s="5">
        <f>SUM('WATER_STEAM RATIO'!E688)</f>
        <v>0</v>
      </c>
      <c r="F688" s="9">
        <f>SUM('DATA B1'!I689-'DATA B1'!I688)+('DATA B1'!J689-'DATA B1'!J688)</f>
        <v>0</v>
      </c>
      <c r="G688" s="28">
        <f>IFERROR(F688/(E688),0)</f>
        <v>0</v>
      </c>
      <c r="H688" s="28">
        <f>IFERROR((E688/18)*100,0)</f>
        <v>0</v>
      </c>
      <c r="I688" s="24">
        <f>SUM('WATER_STEAM RATIO'!K688)</f>
        <v>0</v>
      </c>
      <c r="J688" s="30">
        <f>SUM('DATA B2'!I689-'DATA B2'!I688)+('DATA B2'!J689-'DATA B2'!J688)</f>
        <v>0</v>
      </c>
      <c r="K688" s="28">
        <f>IFERROR(J688/(I688),0)</f>
        <v>0</v>
      </c>
      <c r="L688" s="28">
        <f>IFERROR((I688/18)*100,0)</f>
        <v>0</v>
      </c>
      <c r="M688" s="89">
        <f>SUM('WATER_STEAM RATIO'!Q688)</f>
        <v>0</v>
      </c>
      <c r="N688" s="9">
        <f>SUM('DATA B3'!H689-'DATA B3'!H688)</f>
        <v>0</v>
      </c>
      <c r="O688" s="88">
        <f>IFERROR(N688/(M688),0)</f>
        <v>0</v>
      </c>
      <c r="P688" s="15">
        <f>IFERROR((M688/16)*100,0)</f>
        <v>0</v>
      </c>
    </row>
    <row r="689" spans="3:16">
      <c r="C689" s="292"/>
      <c r="D689" s="43">
        <v>0.375</v>
      </c>
      <c r="E689" s="5">
        <f>SUM('WATER_STEAM RATIO'!E689)</f>
        <v>0</v>
      </c>
      <c r="F689" s="9">
        <f>SUM('DATA B1'!I690-'DATA B1'!I689)+('DATA B1'!J690-'DATA B1'!J689)</f>
        <v>0</v>
      </c>
      <c r="G689" s="28">
        <f t="shared" ref="G689:G711" si="206">IFERROR(F689/(E689),0)</f>
        <v>0</v>
      </c>
      <c r="H689" s="28">
        <f t="shared" ref="H689:H711" si="207">IFERROR((E689/18)*100,0)</f>
        <v>0</v>
      </c>
      <c r="I689" s="24">
        <f>SUM('WATER_STEAM RATIO'!K689)</f>
        <v>0</v>
      </c>
      <c r="J689" s="30">
        <f>SUM('DATA B2'!I690-'DATA B2'!I689)+('DATA B2'!J690-'DATA B2'!J689)</f>
        <v>0</v>
      </c>
      <c r="K689" s="28">
        <f t="shared" ref="K689:K707" si="208">IFERROR(J689/(I689),0)</f>
        <v>0</v>
      </c>
      <c r="L689" s="28">
        <f t="shared" ref="L689:L699" si="209">IFERROR((I689/18)*100,0)</f>
        <v>0</v>
      </c>
      <c r="M689" s="89">
        <f>SUM('WATER_STEAM RATIO'!Q689)</f>
        <v>0</v>
      </c>
      <c r="N689" s="9">
        <f>SUM('DATA B3'!H690-'DATA B3'!H689)</f>
        <v>0</v>
      </c>
      <c r="O689" s="88">
        <f t="shared" ref="O689:O706" si="210">IFERROR(N689/(M689),0)</f>
        <v>0</v>
      </c>
      <c r="P689" s="15">
        <f t="shared" ref="P689:P711" si="211">IFERROR((M689/16)*100,0)</f>
        <v>0</v>
      </c>
    </row>
    <row r="690" spans="3:16">
      <c r="C690" s="292"/>
      <c r="D690" s="43">
        <v>0.41666666666666702</v>
      </c>
      <c r="E690" s="5">
        <f>SUM('WATER_STEAM RATIO'!E690)</f>
        <v>0</v>
      </c>
      <c r="F690" s="9">
        <f>SUM('DATA B1'!I691-'DATA B1'!I690)+('DATA B1'!J691-'DATA B1'!J690)</f>
        <v>0</v>
      </c>
      <c r="G690" s="28">
        <f t="shared" si="206"/>
        <v>0</v>
      </c>
      <c r="H690" s="28">
        <f t="shared" si="207"/>
        <v>0</v>
      </c>
      <c r="I690" s="24">
        <f>SUM('WATER_STEAM RATIO'!K690)</f>
        <v>0</v>
      </c>
      <c r="J690" s="30">
        <f>SUM('DATA B2'!I691-'DATA B2'!I690)+('DATA B2'!J691-'DATA B2'!J690)</f>
        <v>0</v>
      </c>
      <c r="K690" s="28">
        <f t="shared" si="208"/>
        <v>0</v>
      </c>
      <c r="L690" s="28">
        <f t="shared" si="209"/>
        <v>0</v>
      </c>
      <c r="M690" s="89">
        <f>SUM('WATER_STEAM RATIO'!Q690)</f>
        <v>0</v>
      </c>
      <c r="N690" s="9">
        <f>SUM('DATA B3'!H691-'DATA B3'!H690)</f>
        <v>0</v>
      </c>
      <c r="O690" s="88">
        <f t="shared" si="210"/>
        <v>0</v>
      </c>
      <c r="P690" s="15">
        <f t="shared" si="211"/>
        <v>0</v>
      </c>
    </row>
    <row r="691" spans="3:16">
      <c r="C691" s="292"/>
      <c r="D691" s="43">
        <v>0.45833333333333298</v>
      </c>
      <c r="E691" s="5">
        <f>SUM('WATER_STEAM RATIO'!E691)</f>
        <v>0</v>
      </c>
      <c r="F691" s="9">
        <f>SUM('DATA B1'!I692-'DATA B1'!I691)+('DATA B1'!J692-'DATA B1'!J691)</f>
        <v>0</v>
      </c>
      <c r="G691" s="28">
        <f t="shared" si="206"/>
        <v>0</v>
      </c>
      <c r="H691" s="28">
        <f t="shared" si="207"/>
        <v>0</v>
      </c>
      <c r="I691" s="24">
        <f>SUM('WATER_STEAM RATIO'!K691)</f>
        <v>0</v>
      </c>
      <c r="J691" s="30">
        <f>SUM('DATA B2'!I692-'DATA B2'!I691)+('DATA B2'!J692-'DATA B2'!J691)</f>
        <v>0</v>
      </c>
      <c r="K691" s="28">
        <f t="shared" si="208"/>
        <v>0</v>
      </c>
      <c r="L691" s="28">
        <f t="shared" si="209"/>
        <v>0</v>
      </c>
      <c r="M691" s="89">
        <f>SUM('WATER_STEAM RATIO'!Q691)</f>
        <v>0</v>
      </c>
      <c r="N691" s="9">
        <f>SUM('DATA B3'!H692-'DATA B3'!H691)</f>
        <v>0</v>
      </c>
      <c r="O691" s="88">
        <f t="shared" si="210"/>
        <v>0</v>
      </c>
      <c r="P691" s="15">
        <f t="shared" si="211"/>
        <v>0</v>
      </c>
    </row>
    <row r="692" spans="3:16">
      <c r="C692" s="292"/>
      <c r="D692" s="43">
        <v>0.5</v>
      </c>
      <c r="E692" s="5">
        <f>SUM('WATER_STEAM RATIO'!E692)</f>
        <v>0</v>
      </c>
      <c r="F692" s="9">
        <f>SUM('DATA B1'!I693-'DATA B1'!I692)+('DATA B1'!J693-'DATA B1'!J692)</f>
        <v>0</v>
      </c>
      <c r="G692" s="28">
        <f t="shared" si="206"/>
        <v>0</v>
      </c>
      <c r="H692" s="28">
        <f t="shared" si="207"/>
        <v>0</v>
      </c>
      <c r="I692" s="24">
        <f>SUM('WATER_STEAM RATIO'!K692)</f>
        <v>0</v>
      </c>
      <c r="J692" s="30">
        <f>SUM('DATA B2'!I693-'DATA B2'!I692)+('DATA B2'!J693-'DATA B2'!J692)</f>
        <v>0</v>
      </c>
      <c r="K692" s="28">
        <f t="shared" si="208"/>
        <v>0</v>
      </c>
      <c r="L692" s="28">
        <f t="shared" si="209"/>
        <v>0</v>
      </c>
      <c r="M692" s="89">
        <f>SUM('WATER_STEAM RATIO'!Q692)</f>
        <v>0</v>
      </c>
      <c r="N692" s="9">
        <f>SUM('DATA B3'!H693-'DATA B3'!H692)</f>
        <v>0</v>
      </c>
      <c r="O692" s="88">
        <f t="shared" si="210"/>
        <v>0</v>
      </c>
      <c r="P692" s="15">
        <f t="shared" si="211"/>
        <v>0</v>
      </c>
    </row>
    <row r="693" spans="3:16">
      <c r="C693" s="292"/>
      <c r="D693" s="43">
        <v>0.54166666666666696</v>
      </c>
      <c r="E693" s="5">
        <f>SUM('WATER_STEAM RATIO'!E693)</f>
        <v>0</v>
      </c>
      <c r="F693" s="9">
        <f>SUM('DATA B1'!I694-'DATA B1'!I693)+('DATA B1'!J694-'DATA B1'!J693)</f>
        <v>0</v>
      </c>
      <c r="G693" s="28">
        <f t="shared" si="206"/>
        <v>0</v>
      </c>
      <c r="H693" s="28">
        <f t="shared" si="207"/>
        <v>0</v>
      </c>
      <c r="I693" s="24">
        <f>SUM('WATER_STEAM RATIO'!K693)</f>
        <v>0</v>
      </c>
      <c r="J693" s="30">
        <f>SUM('DATA B2'!I694-'DATA B2'!I693)+('DATA B2'!J694-'DATA B2'!J693)</f>
        <v>0</v>
      </c>
      <c r="K693" s="28">
        <f t="shared" si="208"/>
        <v>0</v>
      </c>
      <c r="L693" s="28">
        <f t="shared" si="209"/>
        <v>0</v>
      </c>
      <c r="M693" s="89">
        <f>SUM('WATER_STEAM RATIO'!Q693)</f>
        <v>0</v>
      </c>
      <c r="N693" s="9">
        <f>SUM('DATA B3'!H694-'DATA B3'!H693)</f>
        <v>0</v>
      </c>
      <c r="O693" s="88">
        <f t="shared" si="210"/>
        <v>0</v>
      </c>
      <c r="P693" s="15">
        <f t="shared" si="211"/>
        <v>0</v>
      </c>
    </row>
    <row r="694" spans="3:16">
      <c r="C694" s="292"/>
      <c r="D694" s="43">
        <v>0.58333333333333304</v>
      </c>
      <c r="E694" s="5">
        <f>SUM('WATER_STEAM RATIO'!E694)</f>
        <v>0</v>
      </c>
      <c r="F694" s="9">
        <f>SUM('DATA B1'!I695-'DATA B1'!I694)+('DATA B1'!J695-'DATA B1'!J694)</f>
        <v>0</v>
      </c>
      <c r="G694" s="28">
        <f t="shared" si="206"/>
        <v>0</v>
      </c>
      <c r="H694" s="28">
        <f t="shared" si="207"/>
        <v>0</v>
      </c>
      <c r="I694" s="24">
        <f>SUM('WATER_STEAM RATIO'!K694)</f>
        <v>0</v>
      </c>
      <c r="J694" s="30">
        <f>SUM('DATA B2'!I695-'DATA B2'!I694)+('DATA B2'!J695-'DATA B2'!J694)</f>
        <v>0</v>
      </c>
      <c r="K694" s="28">
        <f t="shared" si="208"/>
        <v>0</v>
      </c>
      <c r="L694" s="28">
        <f t="shared" si="209"/>
        <v>0</v>
      </c>
      <c r="M694" s="89">
        <f>SUM('WATER_STEAM RATIO'!Q694)</f>
        <v>0</v>
      </c>
      <c r="N694" s="9">
        <f>SUM('DATA B3'!H695-'DATA B3'!H694)</f>
        <v>0</v>
      </c>
      <c r="O694" s="88">
        <f t="shared" si="210"/>
        <v>0</v>
      </c>
      <c r="P694" s="15">
        <f t="shared" si="211"/>
        <v>0</v>
      </c>
    </row>
    <row r="695" spans="3:16">
      <c r="C695" s="292"/>
      <c r="D695" s="43">
        <v>0.625</v>
      </c>
      <c r="E695" s="5">
        <f>SUM('WATER_STEAM RATIO'!E695)</f>
        <v>0</v>
      </c>
      <c r="F695" s="9">
        <f>SUM('DATA B1'!I696-'DATA B1'!I695)+('DATA B1'!J696-'DATA B1'!J695)</f>
        <v>0</v>
      </c>
      <c r="G695" s="28">
        <f t="shared" si="206"/>
        <v>0</v>
      </c>
      <c r="H695" s="28">
        <f t="shared" si="207"/>
        <v>0</v>
      </c>
      <c r="I695" s="24">
        <f>SUM('WATER_STEAM RATIO'!K695)</f>
        <v>0</v>
      </c>
      <c r="J695" s="30">
        <f>SUM('DATA B2'!I696-'DATA B2'!I695)+('DATA B2'!J696-'DATA B2'!J695)</f>
        <v>0</v>
      </c>
      <c r="K695" s="28">
        <f t="shared" si="208"/>
        <v>0</v>
      </c>
      <c r="L695" s="28">
        <f t="shared" si="209"/>
        <v>0</v>
      </c>
      <c r="M695" s="89">
        <f>SUM('WATER_STEAM RATIO'!Q695)</f>
        <v>0</v>
      </c>
      <c r="N695" s="9">
        <f>SUM('DATA B3'!H696-'DATA B3'!H695)</f>
        <v>0</v>
      </c>
      <c r="O695" s="88">
        <f t="shared" si="210"/>
        <v>0</v>
      </c>
      <c r="P695" s="15">
        <f t="shared" si="211"/>
        <v>0</v>
      </c>
    </row>
    <row r="696" spans="3:16">
      <c r="C696" s="292"/>
      <c r="D696" s="43">
        <v>0.66666666666666596</v>
      </c>
      <c r="E696" s="5">
        <f>SUM('WATER_STEAM RATIO'!E696)</f>
        <v>0</v>
      </c>
      <c r="F696" s="9">
        <f>SUM('DATA B1'!I697-'DATA B1'!I696)+('DATA B1'!J697-'DATA B1'!J696)</f>
        <v>0</v>
      </c>
      <c r="G696" s="28">
        <f t="shared" si="206"/>
        <v>0</v>
      </c>
      <c r="H696" s="28">
        <f t="shared" si="207"/>
        <v>0</v>
      </c>
      <c r="I696" s="24">
        <f>SUM('WATER_STEAM RATIO'!K696)</f>
        <v>0</v>
      </c>
      <c r="J696" s="30">
        <f>SUM('DATA B2'!I697-'DATA B2'!I696)+('DATA B2'!J697-'DATA B2'!J696)</f>
        <v>0</v>
      </c>
      <c r="K696" s="28">
        <f t="shared" si="208"/>
        <v>0</v>
      </c>
      <c r="L696" s="28">
        <f t="shared" si="209"/>
        <v>0</v>
      </c>
      <c r="M696" s="89">
        <f>SUM('WATER_STEAM RATIO'!Q696)</f>
        <v>0</v>
      </c>
      <c r="N696" s="9">
        <f>SUM('DATA B3'!H697-'DATA B3'!H696)</f>
        <v>0</v>
      </c>
      <c r="O696" s="88">
        <f t="shared" si="210"/>
        <v>0</v>
      </c>
      <c r="P696" s="15">
        <f t="shared" si="211"/>
        <v>0</v>
      </c>
    </row>
    <row r="697" spans="3:16">
      <c r="C697" s="292"/>
      <c r="D697" s="43">
        <v>0.70833333333333304</v>
      </c>
      <c r="E697" s="5">
        <f>SUM('WATER_STEAM RATIO'!E697)</f>
        <v>0</v>
      </c>
      <c r="F697" s="9">
        <f>SUM('DATA B1'!I698-'DATA B1'!I697)+('DATA B1'!J698-'DATA B1'!J697)</f>
        <v>0</v>
      </c>
      <c r="G697" s="28">
        <f t="shared" si="206"/>
        <v>0</v>
      </c>
      <c r="H697" s="28">
        <f t="shared" si="207"/>
        <v>0</v>
      </c>
      <c r="I697" s="24">
        <f>SUM('WATER_STEAM RATIO'!K697)</f>
        <v>0</v>
      </c>
      <c r="J697" s="30">
        <f>SUM('DATA B2'!I698-'DATA B2'!I697)+('DATA B2'!J698-'DATA B2'!J697)</f>
        <v>0</v>
      </c>
      <c r="K697" s="28">
        <f t="shared" si="208"/>
        <v>0</v>
      </c>
      <c r="L697" s="28">
        <f t="shared" si="209"/>
        <v>0</v>
      </c>
      <c r="M697" s="89">
        <f>SUM('WATER_STEAM RATIO'!Q697)</f>
        <v>0</v>
      </c>
      <c r="N697" s="9">
        <f>SUM('DATA B3'!H698-'DATA B3'!H697)</f>
        <v>0</v>
      </c>
      <c r="O697" s="88">
        <f t="shared" si="210"/>
        <v>0</v>
      </c>
      <c r="P697" s="15">
        <f t="shared" si="211"/>
        <v>0</v>
      </c>
    </row>
    <row r="698" spans="3:16">
      <c r="C698" s="292"/>
      <c r="D698" s="43">
        <v>0.75</v>
      </c>
      <c r="E698" s="5">
        <f>SUM('WATER_STEAM RATIO'!E698)</f>
        <v>0</v>
      </c>
      <c r="F698" s="9">
        <f>SUM('DATA B1'!I699-'DATA B1'!I698)+('DATA B1'!J699-'DATA B1'!J698)</f>
        <v>0</v>
      </c>
      <c r="G698" s="28">
        <f t="shared" si="206"/>
        <v>0</v>
      </c>
      <c r="H698" s="28">
        <f t="shared" si="207"/>
        <v>0</v>
      </c>
      <c r="I698" s="24">
        <f>SUM('WATER_STEAM RATIO'!K698)</f>
        <v>0</v>
      </c>
      <c r="J698" s="30">
        <f>SUM('DATA B2'!I699-'DATA B2'!I698)+('DATA B2'!J699-'DATA B2'!J698)</f>
        <v>0</v>
      </c>
      <c r="K698" s="28">
        <f t="shared" si="208"/>
        <v>0</v>
      </c>
      <c r="L698" s="28">
        <f t="shared" si="209"/>
        <v>0</v>
      </c>
      <c r="M698" s="89">
        <f>SUM('WATER_STEAM RATIO'!Q698)</f>
        <v>0</v>
      </c>
      <c r="N698" s="9">
        <f>SUM('DATA B3'!H699-'DATA B3'!H698)</f>
        <v>0</v>
      </c>
      <c r="O698" s="88">
        <f t="shared" si="210"/>
        <v>0</v>
      </c>
      <c r="P698" s="15">
        <f t="shared" si="211"/>
        <v>0</v>
      </c>
    </row>
    <row r="699" spans="3:16">
      <c r="C699" s="292"/>
      <c r="D699" s="43">
        <v>0.79166666666666596</v>
      </c>
      <c r="E699" s="5">
        <f>SUM('WATER_STEAM RATIO'!E699)</f>
        <v>0</v>
      </c>
      <c r="F699" s="9">
        <f>SUM('DATA B1'!I700-'DATA B1'!I699)+('DATA B1'!J700-'DATA B1'!J699)</f>
        <v>0</v>
      </c>
      <c r="G699" s="28">
        <f t="shared" si="206"/>
        <v>0</v>
      </c>
      <c r="H699" s="28">
        <f t="shared" si="207"/>
        <v>0</v>
      </c>
      <c r="I699" s="24">
        <f>SUM('WATER_STEAM RATIO'!K699)</f>
        <v>0</v>
      </c>
      <c r="J699" s="30">
        <f>SUM('DATA B2'!I700-'DATA B2'!I699)+('DATA B2'!J700-'DATA B2'!J699)</f>
        <v>0</v>
      </c>
      <c r="K699" s="28">
        <f t="shared" si="208"/>
        <v>0</v>
      </c>
      <c r="L699" s="28">
        <f t="shared" si="209"/>
        <v>0</v>
      </c>
      <c r="M699" s="89">
        <f>SUM('WATER_STEAM RATIO'!Q699)</f>
        <v>0</v>
      </c>
      <c r="N699" s="9">
        <f>SUM('DATA B3'!H700-'DATA B3'!H699)</f>
        <v>0</v>
      </c>
      <c r="O699" s="88">
        <f t="shared" si="210"/>
        <v>0</v>
      </c>
      <c r="P699" s="15">
        <f t="shared" si="211"/>
        <v>0</v>
      </c>
    </row>
    <row r="700" spans="3:16">
      <c r="C700" s="292"/>
      <c r="D700" s="43">
        <v>0.83333333333333304</v>
      </c>
      <c r="E700" s="5">
        <f>SUM('WATER_STEAM RATIO'!E700)</f>
        <v>0</v>
      </c>
      <c r="F700" s="9">
        <f>SUM('DATA B1'!I701-'DATA B1'!I700)+('DATA B1'!J701-'DATA B1'!J700)</f>
        <v>0</v>
      </c>
      <c r="G700" s="28">
        <f t="shared" si="206"/>
        <v>0</v>
      </c>
      <c r="H700" s="28">
        <f t="shared" si="207"/>
        <v>0</v>
      </c>
      <c r="I700" s="24">
        <f>SUM('WATER_STEAM RATIO'!K700)</f>
        <v>0</v>
      </c>
      <c r="J700" s="30">
        <f>SUM('DATA B2'!I701-'DATA B2'!I700)+('DATA B2'!J701-'DATA B2'!J700)</f>
        <v>0</v>
      </c>
      <c r="K700" s="28">
        <f t="shared" si="208"/>
        <v>0</v>
      </c>
      <c r="L700" s="28">
        <f>IFERROR((I700/18)*100,0)</f>
        <v>0</v>
      </c>
      <c r="M700" s="89">
        <f>SUM('WATER_STEAM RATIO'!Q700)</f>
        <v>0</v>
      </c>
      <c r="N700" s="9">
        <f>SUM('DATA B3'!H701-'DATA B3'!H700)</f>
        <v>0</v>
      </c>
      <c r="O700" s="88">
        <f t="shared" si="210"/>
        <v>0</v>
      </c>
      <c r="P700" s="15">
        <f t="shared" si="211"/>
        <v>0</v>
      </c>
    </row>
    <row r="701" spans="3:16">
      <c r="C701" s="292"/>
      <c r="D701" s="43">
        <v>0.875</v>
      </c>
      <c r="E701" s="5">
        <f>SUM('WATER_STEAM RATIO'!E701)</f>
        <v>0</v>
      </c>
      <c r="F701" s="9">
        <f>SUM('DATA B1'!I702-'DATA B1'!I701)+('DATA B1'!J702-'DATA B1'!J701)</f>
        <v>0</v>
      </c>
      <c r="G701" s="28">
        <f t="shared" si="206"/>
        <v>0</v>
      </c>
      <c r="H701" s="28">
        <f t="shared" si="207"/>
        <v>0</v>
      </c>
      <c r="I701" s="24">
        <f>SUM('WATER_STEAM RATIO'!K701)</f>
        <v>0</v>
      </c>
      <c r="J701" s="30">
        <f>SUM('DATA B2'!I702-'DATA B2'!I701)+('DATA B2'!J702-'DATA B2'!J701)</f>
        <v>0</v>
      </c>
      <c r="K701" s="28">
        <f t="shared" si="208"/>
        <v>0</v>
      </c>
      <c r="L701" s="28">
        <f t="shared" ref="L701:L711" si="212">IFERROR((I701/18)*100,0)</f>
        <v>0</v>
      </c>
      <c r="M701" s="89">
        <f>SUM('WATER_STEAM RATIO'!Q701)</f>
        <v>0</v>
      </c>
      <c r="N701" s="9">
        <f>SUM('DATA B3'!H702-'DATA B3'!H701)</f>
        <v>0</v>
      </c>
      <c r="O701" s="88">
        <f t="shared" si="210"/>
        <v>0</v>
      </c>
      <c r="P701" s="15">
        <f t="shared" si="211"/>
        <v>0</v>
      </c>
    </row>
    <row r="702" spans="3:16">
      <c r="C702" s="292"/>
      <c r="D702" s="43">
        <v>0.91666666666666596</v>
      </c>
      <c r="E702" s="5">
        <f>SUM('WATER_STEAM RATIO'!E702)</f>
        <v>0</v>
      </c>
      <c r="F702" s="9">
        <f>SUM('DATA B1'!I703-'DATA B1'!I702)+('DATA B1'!J703-'DATA B1'!J702)</f>
        <v>0</v>
      </c>
      <c r="G702" s="28">
        <f t="shared" si="206"/>
        <v>0</v>
      </c>
      <c r="H702" s="28">
        <f t="shared" si="207"/>
        <v>0</v>
      </c>
      <c r="I702" s="24">
        <f>SUM('WATER_STEAM RATIO'!K702)</f>
        <v>0</v>
      </c>
      <c r="J702" s="30">
        <f>SUM('DATA B2'!I703-'DATA B2'!I702)+('DATA B2'!J703-'DATA B2'!J702)</f>
        <v>0</v>
      </c>
      <c r="K702" s="28">
        <f t="shared" si="208"/>
        <v>0</v>
      </c>
      <c r="L702" s="28">
        <f t="shared" si="212"/>
        <v>0</v>
      </c>
      <c r="M702" s="89">
        <f>SUM('WATER_STEAM RATIO'!Q702)</f>
        <v>0</v>
      </c>
      <c r="N702" s="9">
        <f>SUM('DATA B3'!H703-'DATA B3'!H702)</f>
        <v>0</v>
      </c>
      <c r="O702" s="88">
        <f t="shared" si="210"/>
        <v>0</v>
      </c>
      <c r="P702" s="15">
        <f>IFERROR((M702/16)*100,0)</f>
        <v>0</v>
      </c>
    </row>
    <row r="703" spans="3:16">
      <c r="C703" s="292"/>
      <c r="D703" s="43">
        <v>0.95833333333333304</v>
      </c>
      <c r="E703" s="5">
        <f>SUM('WATER_STEAM RATIO'!E703)</f>
        <v>0</v>
      </c>
      <c r="F703" s="9">
        <f>SUM('DATA B1'!I704-'DATA B1'!I703)+('DATA B1'!J704-'DATA B1'!J703)</f>
        <v>0</v>
      </c>
      <c r="G703" s="28">
        <f t="shared" si="206"/>
        <v>0</v>
      </c>
      <c r="H703" s="28">
        <f t="shared" si="207"/>
        <v>0</v>
      </c>
      <c r="I703" s="24">
        <f>SUM('WATER_STEAM RATIO'!K703)</f>
        <v>0</v>
      </c>
      <c r="J703" s="30">
        <f>SUM('DATA B2'!I704-'DATA B2'!I703)+('DATA B2'!J704-'DATA B2'!J703)</f>
        <v>0</v>
      </c>
      <c r="K703" s="28">
        <f t="shared" si="208"/>
        <v>0</v>
      </c>
      <c r="L703" s="28">
        <f t="shared" si="212"/>
        <v>0</v>
      </c>
      <c r="M703" s="89">
        <f>SUM('WATER_STEAM RATIO'!Q703)</f>
        <v>0</v>
      </c>
      <c r="N703" s="9">
        <f>SUM('DATA B3'!H704-'DATA B3'!H703)</f>
        <v>0</v>
      </c>
      <c r="O703" s="88">
        <f t="shared" si="210"/>
        <v>0</v>
      </c>
      <c r="P703" s="15">
        <f t="shared" si="211"/>
        <v>0</v>
      </c>
    </row>
    <row r="704" spans="3:16">
      <c r="C704" s="292"/>
      <c r="D704" s="43">
        <v>1</v>
      </c>
      <c r="E704" s="5">
        <f>SUM('WATER_STEAM RATIO'!E704)</f>
        <v>0</v>
      </c>
      <c r="F704" s="9">
        <f>SUM('DATA B1'!I705-'DATA B1'!I704)+('DATA B1'!J705-'DATA B1'!J704)</f>
        <v>0</v>
      </c>
      <c r="G704" s="28">
        <f t="shared" si="206"/>
        <v>0</v>
      </c>
      <c r="H704" s="28">
        <f t="shared" si="207"/>
        <v>0</v>
      </c>
      <c r="I704" s="24">
        <f>SUM('WATER_STEAM RATIO'!K704)</f>
        <v>0</v>
      </c>
      <c r="J704" s="30">
        <f>SUM('DATA B2'!I705-'DATA B2'!I704)+('DATA B2'!J705-'DATA B2'!J704)</f>
        <v>0</v>
      </c>
      <c r="K704" s="28">
        <f t="shared" si="208"/>
        <v>0</v>
      </c>
      <c r="L704" s="28">
        <f t="shared" si="212"/>
        <v>0</v>
      </c>
      <c r="M704" s="89">
        <f>SUM('WATER_STEAM RATIO'!Q704)</f>
        <v>0</v>
      </c>
      <c r="N704" s="9">
        <f>SUM('DATA B3'!H705-'DATA B3'!H704)</f>
        <v>0</v>
      </c>
      <c r="O704" s="88">
        <f t="shared" si="210"/>
        <v>0</v>
      </c>
      <c r="P704" s="15">
        <f t="shared" si="211"/>
        <v>0</v>
      </c>
    </row>
    <row r="705" spans="3:16">
      <c r="C705" s="292"/>
      <c r="D705" s="43">
        <v>1.0416666666666701</v>
      </c>
      <c r="E705" s="5">
        <f>SUM('WATER_STEAM RATIO'!E705)</f>
        <v>0</v>
      </c>
      <c r="F705" s="9">
        <f>SUM('DATA B1'!I706-'DATA B1'!I705)+('DATA B1'!J706-'DATA B1'!J705)</f>
        <v>0</v>
      </c>
      <c r="G705" s="28">
        <f t="shared" si="206"/>
        <v>0</v>
      </c>
      <c r="H705" s="28">
        <f t="shared" si="207"/>
        <v>0</v>
      </c>
      <c r="I705" s="24">
        <f>SUM('WATER_STEAM RATIO'!K705)</f>
        <v>0</v>
      </c>
      <c r="J705" s="30">
        <f>SUM('DATA B2'!I706-'DATA B2'!I705)+('DATA B2'!J706-'DATA B2'!J705)</f>
        <v>0</v>
      </c>
      <c r="K705" s="28">
        <f t="shared" si="208"/>
        <v>0</v>
      </c>
      <c r="L705" s="28">
        <f t="shared" si="212"/>
        <v>0</v>
      </c>
      <c r="M705" s="89">
        <f>SUM('WATER_STEAM RATIO'!Q705)</f>
        <v>0</v>
      </c>
      <c r="N705" s="9">
        <f>SUM('DATA B3'!H706-'DATA B3'!H705)</f>
        <v>0</v>
      </c>
      <c r="O705" s="88">
        <f t="shared" si="210"/>
        <v>0</v>
      </c>
      <c r="P705" s="15">
        <f t="shared" si="211"/>
        <v>0</v>
      </c>
    </row>
    <row r="706" spans="3:16">
      <c r="C706" s="292"/>
      <c r="D706" s="43">
        <v>1.0833333333333399</v>
      </c>
      <c r="E706" s="5">
        <f>SUM('WATER_STEAM RATIO'!E706)</f>
        <v>0</v>
      </c>
      <c r="F706" s="9">
        <f>SUM('DATA B1'!I707-'DATA B1'!I706)+('DATA B1'!J707-'DATA B1'!J706)</f>
        <v>0</v>
      </c>
      <c r="G706" s="28">
        <f t="shared" si="206"/>
        <v>0</v>
      </c>
      <c r="H706" s="28">
        <f t="shared" si="207"/>
        <v>0</v>
      </c>
      <c r="I706" s="24">
        <f>SUM('WATER_STEAM RATIO'!K706)</f>
        <v>0</v>
      </c>
      <c r="J706" s="30">
        <f>SUM('DATA B2'!I707-'DATA B2'!I706)+('DATA B2'!J707-'DATA B2'!J706)</f>
        <v>0</v>
      </c>
      <c r="K706" s="28">
        <f t="shared" si="208"/>
        <v>0</v>
      </c>
      <c r="L706" s="28">
        <f t="shared" si="212"/>
        <v>0</v>
      </c>
      <c r="M706" s="89">
        <f>SUM('WATER_STEAM RATIO'!Q706)</f>
        <v>0</v>
      </c>
      <c r="N706" s="9">
        <f>SUM('DATA B3'!H707-'DATA B3'!H706)</f>
        <v>0</v>
      </c>
      <c r="O706" s="88">
        <f t="shared" si="210"/>
        <v>0</v>
      </c>
      <c r="P706" s="15">
        <f t="shared" si="211"/>
        <v>0</v>
      </c>
    </row>
    <row r="707" spans="3:16">
      <c r="C707" s="292"/>
      <c r="D707" s="43">
        <v>1.125</v>
      </c>
      <c r="E707" s="5">
        <f>SUM('WATER_STEAM RATIO'!E707)</f>
        <v>0</v>
      </c>
      <c r="F707" s="9">
        <f>SUM('DATA B1'!I708-'DATA B1'!I707)+('DATA B1'!J708-'DATA B1'!J707)</f>
        <v>0</v>
      </c>
      <c r="G707" s="28">
        <f t="shared" si="206"/>
        <v>0</v>
      </c>
      <c r="H707" s="28">
        <f t="shared" si="207"/>
        <v>0</v>
      </c>
      <c r="I707" s="24">
        <f>SUM('WATER_STEAM RATIO'!K707)</f>
        <v>0</v>
      </c>
      <c r="J707" s="30">
        <f>SUM('DATA B2'!I708-'DATA B2'!I707)+('DATA B2'!J708-'DATA B2'!J707)</f>
        <v>0</v>
      </c>
      <c r="K707" s="28">
        <f t="shared" si="208"/>
        <v>0</v>
      </c>
      <c r="L707" s="28">
        <f t="shared" si="212"/>
        <v>0</v>
      </c>
      <c r="M707" s="89">
        <f>SUM('WATER_STEAM RATIO'!Q707)</f>
        <v>0</v>
      </c>
      <c r="N707" s="9">
        <f>SUM('DATA B3'!H708-'DATA B3'!H707)</f>
        <v>0</v>
      </c>
      <c r="O707" s="88">
        <f t="shared" ref="O707:O711" si="213">IFERROR(N707/(M707),0)</f>
        <v>0</v>
      </c>
      <c r="P707" s="15">
        <f t="shared" si="211"/>
        <v>0</v>
      </c>
    </row>
    <row r="708" spans="3:16">
      <c r="C708" s="292"/>
      <c r="D708" s="43">
        <v>1.1666666666666701</v>
      </c>
      <c r="E708" s="5">
        <f>SUM('WATER_STEAM RATIO'!E708)</f>
        <v>0</v>
      </c>
      <c r="F708" s="9">
        <f>SUM('DATA B1'!I709-'DATA B1'!I708)+('DATA B1'!J709-'DATA B1'!J708)</f>
        <v>0</v>
      </c>
      <c r="G708" s="28">
        <f t="shared" si="206"/>
        <v>0</v>
      </c>
      <c r="H708" s="28">
        <f t="shared" si="207"/>
        <v>0</v>
      </c>
      <c r="I708" s="24">
        <f>SUM('WATER_STEAM RATIO'!K708)</f>
        <v>0</v>
      </c>
      <c r="J708" s="30">
        <f>SUM('DATA B2'!I709-'DATA B2'!I708)+('DATA B2'!J709-'DATA B2'!J708)</f>
        <v>0</v>
      </c>
      <c r="K708" s="28">
        <f>IFERROR(J708/(I708),0)</f>
        <v>0</v>
      </c>
      <c r="L708" s="28">
        <f t="shared" si="212"/>
        <v>0</v>
      </c>
      <c r="M708" s="89">
        <f>SUM('WATER_STEAM RATIO'!Q708)</f>
        <v>0</v>
      </c>
      <c r="N708" s="9">
        <f>SUM('DATA B3'!H709-'DATA B3'!H708)</f>
        <v>0</v>
      </c>
      <c r="O708" s="88">
        <f t="shared" si="213"/>
        <v>0</v>
      </c>
      <c r="P708" s="15">
        <f t="shared" si="211"/>
        <v>0</v>
      </c>
    </row>
    <row r="709" spans="3:16">
      <c r="C709" s="292"/>
      <c r="D709" s="43">
        <v>1.2083333333333399</v>
      </c>
      <c r="E709" s="5">
        <f>SUM('WATER_STEAM RATIO'!E709)</f>
        <v>0</v>
      </c>
      <c r="F709" s="9">
        <f>SUM('DATA B1'!I710-'DATA B1'!I709)+('DATA B1'!J710-'DATA B1'!J709)</f>
        <v>0</v>
      </c>
      <c r="G709" s="28">
        <f t="shared" si="206"/>
        <v>0</v>
      </c>
      <c r="H709" s="28">
        <f t="shared" si="207"/>
        <v>0</v>
      </c>
      <c r="I709" s="24">
        <f>SUM('WATER_STEAM RATIO'!K709)</f>
        <v>0</v>
      </c>
      <c r="J709" s="30">
        <f>SUM('DATA B2'!I710-'DATA B2'!I709)+('DATA B2'!J710-'DATA B2'!J709)</f>
        <v>0</v>
      </c>
      <c r="K709" s="28">
        <f>IFERROR(J709/(I709),0)</f>
        <v>0</v>
      </c>
      <c r="L709" s="28">
        <f t="shared" si="212"/>
        <v>0</v>
      </c>
      <c r="M709" s="89">
        <f>SUM('WATER_STEAM RATIO'!Q709)</f>
        <v>0</v>
      </c>
      <c r="N709" s="9">
        <f>SUM('DATA B3'!H710-'DATA B3'!H709)</f>
        <v>0</v>
      </c>
      <c r="O709" s="88">
        <f t="shared" si="213"/>
        <v>0</v>
      </c>
      <c r="P709" s="15">
        <f t="shared" si="211"/>
        <v>0</v>
      </c>
    </row>
    <row r="710" spans="3:16">
      <c r="C710" s="292"/>
      <c r="D710" s="43">
        <v>1.25</v>
      </c>
      <c r="E710" s="5">
        <f>SUM('WATER_STEAM RATIO'!E710)</f>
        <v>0</v>
      </c>
      <c r="F710" s="9">
        <f>SUM('DATA B1'!I711-'DATA B1'!I710)+('DATA B1'!J711-'DATA B1'!J710)</f>
        <v>0</v>
      </c>
      <c r="G710" s="28">
        <f t="shared" si="206"/>
        <v>0</v>
      </c>
      <c r="H710" s="28">
        <f t="shared" si="207"/>
        <v>0</v>
      </c>
      <c r="I710" s="24">
        <f>SUM('WATER_STEAM RATIO'!K710)</f>
        <v>0</v>
      </c>
      <c r="J710" s="30">
        <f>SUM('DATA B2'!I711-'DATA B2'!I710)+('DATA B2'!J711-'DATA B2'!J710)</f>
        <v>0</v>
      </c>
      <c r="K710" s="28">
        <f>IFERROR(J710/(I710),0)</f>
        <v>0</v>
      </c>
      <c r="L710" s="28">
        <f t="shared" si="212"/>
        <v>0</v>
      </c>
      <c r="M710" s="89">
        <f>SUM('WATER_STEAM RATIO'!Q710)</f>
        <v>0</v>
      </c>
      <c r="N710" s="9">
        <f>SUM('DATA B3'!H711-'DATA B3'!H710)</f>
        <v>0</v>
      </c>
      <c r="O710" s="88">
        <f t="shared" si="213"/>
        <v>0</v>
      </c>
      <c r="P710" s="15">
        <f t="shared" si="211"/>
        <v>0</v>
      </c>
    </row>
    <row r="711" spans="3:16">
      <c r="C711" s="292"/>
      <c r="D711" s="43">
        <v>1.2916666666666701</v>
      </c>
      <c r="E711" s="5">
        <f>SUM('WATER_STEAM RATIO'!E711)</f>
        <v>0</v>
      </c>
      <c r="F711" s="9">
        <f>SUM('DATA B1'!I712-'DATA B1'!I711)+('DATA B1'!J712-'DATA B1'!J711)</f>
        <v>0</v>
      </c>
      <c r="G711" s="28">
        <f t="shared" si="206"/>
        <v>0</v>
      </c>
      <c r="H711" s="28">
        <f t="shared" si="207"/>
        <v>0</v>
      </c>
      <c r="I711" s="24">
        <f>SUM('WATER_STEAM RATIO'!K711)</f>
        <v>0</v>
      </c>
      <c r="J711" s="30">
        <f>SUM('DATA B2'!I712-'DATA B2'!I711)+('DATA B2'!J712-'DATA B2'!J711)</f>
        <v>0</v>
      </c>
      <c r="K711" s="28">
        <f>IFERROR(J711/(I711),0)</f>
        <v>0</v>
      </c>
      <c r="L711" s="28">
        <f t="shared" si="212"/>
        <v>0</v>
      </c>
      <c r="M711" s="89">
        <f>SUM('WATER_STEAM RATIO'!Q711)</f>
        <v>0</v>
      </c>
      <c r="N711" s="9">
        <f>SUM('DATA B3'!H712-'DATA B3'!H711)</f>
        <v>0</v>
      </c>
      <c r="O711" s="88">
        <f t="shared" si="213"/>
        <v>0</v>
      </c>
      <c r="P711" s="15">
        <f t="shared" si="211"/>
        <v>0</v>
      </c>
    </row>
    <row r="712" spans="3:16">
      <c r="C712" s="293"/>
      <c r="D712" s="258"/>
      <c r="E712" s="91">
        <f>SUMIF(E687:E711,"&gt;=0",E687:E711)</f>
        <v>0</v>
      </c>
      <c r="F712" s="91">
        <f>SUMIF(F687:F711,"&gt;=0",F687:F711)</f>
        <v>0</v>
      </c>
      <c r="G712" s="54">
        <f>IFERROR(F712/E712,0)</f>
        <v>0</v>
      </c>
      <c r="H712" s="54">
        <f>IFERROR(AVERAGE(H688:H711),0)</f>
        <v>0</v>
      </c>
      <c r="I712" s="91">
        <f>SUMIF(I687:I711,"&gt;=0",I687:I711)</f>
        <v>0</v>
      </c>
      <c r="J712" s="91">
        <f>SUMIF(J687:J711,"&gt;=0",J687:J711)</f>
        <v>0</v>
      </c>
      <c r="K712" s="54">
        <f>IFERROR(J712/(I712),0)</f>
        <v>0</v>
      </c>
      <c r="L712" s="54">
        <f>IFERROR(AVERAGE(L688:L711),0)</f>
        <v>0</v>
      </c>
      <c r="M712" s="91">
        <f>SUMIF(M687:M711,"&gt;=0",M687:M711)</f>
        <v>0</v>
      </c>
      <c r="N712" s="91">
        <f>SUMIF(N687:N711,"&gt;=0",N687:N711)</f>
        <v>0</v>
      </c>
      <c r="O712" s="239">
        <f>IFERROR(N712/(M712),0)</f>
        <v>0</v>
      </c>
      <c r="P712" s="215">
        <f>IFERROR(AVERAGE(P688:P711),0)</f>
        <v>0</v>
      </c>
    </row>
    <row r="713" spans="3:16" ht="15" customHeight="1">
      <c r="C713" s="291">
        <f>SUM('WATER_STEAM RATIO'!B713:B738)</f>
        <v>46050</v>
      </c>
      <c r="D713" s="43">
        <v>0.29166666666666669</v>
      </c>
      <c r="E713" s="5">
        <f>SUM('WATER_STEAM RATIO'!E713)</f>
        <v>0</v>
      </c>
      <c r="F713" s="9"/>
      <c r="G713" s="28"/>
      <c r="H713" s="28"/>
      <c r="I713" s="24">
        <f>SUM('WATER_STEAM RATIO'!K713)</f>
        <v>0</v>
      </c>
      <c r="J713" s="30"/>
      <c r="K713" s="28"/>
      <c r="L713" s="28"/>
      <c r="M713" s="89">
        <f>SUM('WATER_STEAM RATIO'!Q713)</f>
        <v>0</v>
      </c>
      <c r="N713" s="9"/>
      <c r="O713" s="88"/>
      <c r="P713" s="15"/>
    </row>
    <row r="714" spans="3:16">
      <c r="C714" s="292"/>
      <c r="D714" s="43">
        <v>0.33333333333333298</v>
      </c>
      <c r="E714" s="5">
        <f>SUM('WATER_STEAM RATIO'!E714)</f>
        <v>0</v>
      </c>
      <c r="F714" s="9">
        <f>SUM('DATA B1'!I715-'DATA B1'!I714)+('DATA B1'!J715-'DATA B1'!J714)</f>
        <v>0</v>
      </c>
      <c r="G714" s="28">
        <f>IFERROR(F714/(E714),0)</f>
        <v>0</v>
      </c>
      <c r="H714" s="28">
        <f>IFERROR((E714/18)*100,0)</f>
        <v>0</v>
      </c>
      <c r="I714" s="24">
        <f>SUM('WATER_STEAM RATIO'!K714)</f>
        <v>0</v>
      </c>
      <c r="J714" s="30">
        <f>SUM('DATA B2'!I715-'DATA B2'!I714)+('DATA B2'!J715-'DATA B2'!J714)</f>
        <v>0</v>
      </c>
      <c r="K714" s="28">
        <f>IFERROR(J714/(I714),0)</f>
        <v>0</v>
      </c>
      <c r="L714" s="28">
        <f>IFERROR((I714/18)*100,0)</f>
        <v>0</v>
      </c>
      <c r="M714" s="89">
        <f>SUM('WATER_STEAM RATIO'!Q714)</f>
        <v>0</v>
      </c>
      <c r="N714" s="9">
        <f>SUM('DATA B3'!H715-'DATA B3'!H714)</f>
        <v>0</v>
      </c>
      <c r="O714" s="88">
        <f>IFERROR(N714/(M714),0)</f>
        <v>0</v>
      </c>
      <c r="P714" s="15">
        <f>IFERROR((M714/16)*100,0)</f>
        <v>0</v>
      </c>
    </row>
    <row r="715" spans="3:16">
      <c r="C715" s="292"/>
      <c r="D715" s="43">
        <v>0.375</v>
      </c>
      <c r="E715" s="5">
        <f>SUM('WATER_STEAM RATIO'!E715)</f>
        <v>0</v>
      </c>
      <c r="F715" s="9">
        <f>SUM('DATA B1'!I716-'DATA B1'!I715)+('DATA B1'!J716-'DATA B1'!J715)</f>
        <v>0</v>
      </c>
      <c r="G715" s="28">
        <f t="shared" ref="G715:G737" si="214">IFERROR(F715/(E715),0)</f>
        <v>0</v>
      </c>
      <c r="H715" s="28">
        <f t="shared" ref="H715:H737" si="215">IFERROR((E715/18)*100,0)</f>
        <v>0</v>
      </c>
      <c r="I715" s="24">
        <f>SUM('WATER_STEAM RATIO'!K715)</f>
        <v>0</v>
      </c>
      <c r="J715" s="30">
        <f>SUM('DATA B2'!I716-'DATA B2'!I715)+('DATA B2'!J716-'DATA B2'!J715)</f>
        <v>0</v>
      </c>
      <c r="K715" s="28">
        <f t="shared" ref="K715:K733" si="216">IFERROR(J715/(I715),0)</f>
        <v>0</v>
      </c>
      <c r="L715" s="28">
        <f t="shared" ref="L715:L725" si="217">IFERROR((I715/18)*100,0)</f>
        <v>0</v>
      </c>
      <c r="M715" s="89">
        <f>SUM('WATER_STEAM RATIO'!Q715)</f>
        <v>0</v>
      </c>
      <c r="N715" s="9">
        <f>SUM('DATA B3'!H716-'DATA B3'!H715)</f>
        <v>0</v>
      </c>
      <c r="O715" s="88">
        <f t="shared" ref="O715:O732" si="218">IFERROR(N715/(M715),0)</f>
        <v>0</v>
      </c>
      <c r="P715" s="15">
        <f t="shared" ref="P715:P737" si="219">IFERROR((M715/16)*100,0)</f>
        <v>0</v>
      </c>
    </row>
    <row r="716" spans="3:16">
      <c r="C716" s="292"/>
      <c r="D716" s="43">
        <v>0.41666666666666702</v>
      </c>
      <c r="E716" s="5">
        <f>SUM('WATER_STEAM RATIO'!E716)</f>
        <v>0</v>
      </c>
      <c r="F716" s="9">
        <f>SUM('DATA B1'!I717-'DATA B1'!I716)+('DATA B1'!J717-'DATA B1'!J716)</f>
        <v>0</v>
      </c>
      <c r="G716" s="28">
        <f t="shared" si="214"/>
        <v>0</v>
      </c>
      <c r="H716" s="28">
        <f t="shared" si="215"/>
        <v>0</v>
      </c>
      <c r="I716" s="24">
        <f>SUM('WATER_STEAM RATIO'!K716)</f>
        <v>0</v>
      </c>
      <c r="J716" s="30">
        <f>SUM('DATA B2'!I717-'DATA B2'!I716)+('DATA B2'!J717-'DATA B2'!J716)</f>
        <v>0</v>
      </c>
      <c r="K716" s="28">
        <f t="shared" si="216"/>
        <v>0</v>
      </c>
      <c r="L716" s="28">
        <f t="shared" si="217"/>
        <v>0</v>
      </c>
      <c r="M716" s="89">
        <f>SUM('WATER_STEAM RATIO'!Q716)</f>
        <v>0</v>
      </c>
      <c r="N716" s="9">
        <f>SUM('DATA B3'!H717-'DATA B3'!H716)</f>
        <v>0</v>
      </c>
      <c r="O716" s="88">
        <f t="shared" si="218"/>
        <v>0</v>
      </c>
      <c r="P716" s="15">
        <f t="shared" si="219"/>
        <v>0</v>
      </c>
    </row>
    <row r="717" spans="3:16">
      <c r="C717" s="292"/>
      <c r="D717" s="43">
        <v>0.45833333333333298</v>
      </c>
      <c r="E717" s="5">
        <f>SUM('WATER_STEAM RATIO'!E717)</f>
        <v>0</v>
      </c>
      <c r="F717" s="9">
        <f>SUM('DATA B1'!I718-'DATA B1'!I717)+('DATA B1'!J718-'DATA B1'!J717)</f>
        <v>0</v>
      </c>
      <c r="G717" s="28">
        <f t="shared" si="214"/>
        <v>0</v>
      </c>
      <c r="H717" s="28">
        <f t="shared" si="215"/>
        <v>0</v>
      </c>
      <c r="I717" s="24">
        <f>SUM('WATER_STEAM RATIO'!K717)</f>
        <v>0</v>
      </c>
      <c r="J717" s="30">
        <f>SUM('DATA B2'!I718-'DATA B2'!I717)+('DATA B2'!J718-'DATA B2'!J717)</f>
        <v>0</v>
      </c>
      <c r="K717" s="28">
        <f t="shared" si="216"/>
        <v>0</v>
      </c>
      <c r="L717" s="28">
        <f t="shared" si="217"/>
        <v>0</v>
      </c>
      <c r="M717" s="89">
        <f>SUM('WATER_STEAM RATIO'!Q717)</f>
        <v>0</v>
      </c>
      <c r="N717" s="9">
        <f>SUM('DATA B3'!H718-'DATA B3'!H717)</f>
        <v>0</v>
      </c>
      <c r="O717" s="88">
        <f t="shared" si="218"/>
        <v>0</v>
      </c>
      <c r="P717" s="15">
        <f t="shared" si="219"/>
        <v>0</v>
      </c>
    </row>
    <row r="718" spans="3:16">
      <c r="C718" s="292"/>
      <c r="D718" s="43">
        <v>0.5</v>
      </c>
      <c r="E718" s="5">
        <f>SUM('WATER_STEAM RATIO'!E718)</f>
        <v>0</v>
      </c>
      <c r="F718" s="9">
        <f>SUM('DATA B1'!I719-'DATA B1'!I718)+('DATA B1'!J719-'DATA B1'!J718)</f>
        <v>0</v>
      </c>
      <c r="G718" s="28">
        <f t="shared" si="214"/>
        <v>0</v>
      </c>
      <c r="H718" s="28">
        <f t="shared" si="215"/>
        <v>0</v>
      </c>
      <c r="I718" s="24">
        <f>SUM('WATER_STEAM RATIO'!K718)</f>
        <v>0</v>
      </c>
      <c r="J718" s="30">
        <f>SUM('DATA B2'!I719-'DATA B2'!I718)+('DATA B2'!J719-'DATA B2'!J718)</f>
        <v>0</v>
      </c>
      <c r="K718" s="28">
        <f t="shared" si="216"/>
        <v>0</v>
      </c>
      <c r="L718" s="28">
        <f t="shared" si="217"/>
        <v>0</v>
      </c>
      <c r="M718" s="89">
        <f>SUM('WATER_STEAM RATIO'!Q718)</f>
        <v>0</v>
      </c>
      <c r="N718" s="9">
        <f>SUM('DATA B3'!H719-'DATA B3'!H718)</f>
        <v>0</v>
      </c>
      <c r="O718" s="88">
        <f t="shared" si="218"/>
        <v>0</v>
      </c>
      <c r="P718" s="15">
        <f t="shared" si="219"/>
        <v>0</v>
      </c>
    </row>
    <row r="719" spans="3:16">
      <c r="C719" s="292"/>
      <c r="D719" s="43">
        <v>0.54166666666666696</v>
      </c>
      <c r="E719" s="5">
        <f>SUM('WATER_STEAM RATIO'!E719)</f>
        <v>0</v>
      </c>
      <c r="F719" s="9">
        <f>SUM('DATA B1'!I720-'DATA B1'!I719)+('DATA B1'!J720-'DATA B1'!J719)</f>
        <v>0</v>
      </c>
      <c r="G719" s="28">
        <f t="shared" si="214"/>
        <v>0</v>
      </c>
      <c r="H719" s="28">
        <f t="shared" si="215"/>
        <v>0</v>
      </c>
      <c r="I719" s="24">
        <f>SUM('WATER_STEAM RATIO'!K719)</f>
        <v>0</v>
      </c>
      <c r="J719" s="30">
        <f>SUM('DATA B2'!I720-'DATA B2'!I719)+('DATA B2'!J720-'DATA B2'!J719)</f>
        <v>0</v>
      </c>
      <c r="K719" s="28">
        <f t="shared" si="216"/>
        <v>0</v>
      </c>
      <c r="L719" s="28">
        <f t="shared" si="217"/>
        <v>0</v>
      </c>
      <c r="M719" s="89">
        <f>SUM('WATER_STEAM RATIO'!Q719)</f>
        <v>0</v>
      </c>
      <c r="N719" s="9">
        <f>SUM('DATA B3'!H720-'DATA B3'!H719)</f>
        <v>0</v>
      </c>
      <c r="O719" s="88">
        <f t="shared" si="218"/>
        <v>0</v>
      </c>
      <c r="P719" s="15">
        <f t="shared" si="219"/>
        <v>0</v>
      </c>
    </row>
    <row r="720" spans="3:16">
      <c r="C720" s="292"/>
      <c r="D720" s="43">
        <v>0.58333333333333304</v>
      </c>
      <c r="E720" s="5">
        <f>SUM('WATER_STEAM RATIO'!E720)</f>
        <v>0</v>
      </c>
      <c r="F720" s="9">
        <f>SUM('DATA B1'!I721-'DATA B1'!I720)+('DATA B1'!J721-'DATA B1'!J720)</f>
        <v>0</v>
      </c>
      <c r="G720" s="28">
        <f t="shared" si="214"/>
        <v>0</v>
      </c>
      <c r="H720" s="28">
        <f t="shared" si="215"/>
        <v>0</v>
      </c>
      <c r="I720" s="24">
        <f>SUM('WATER_STEAM RATIO'!K720)</f>
        <v>0</v>
      </c>
      <c r="J720" s="30">
        <f>SUM('DATA B2'!I721-'DATA B2'!I720)+('DATA B2'!J721-'DATA B2'!J720)</f>
        <v>0</v>
      </c>
      <c r="K720" s="28">
        <f t="shared" si="216"/>
        <v>0</v>
      </c>
      <c r="L720" s="28">
        <f t="shared" si="217"/>
        <v>0</v>
      </c>
      <c r="M720" s="89">
        <f>SUM('WATER_STEAM RATIO'!Q720)</f>
        <v>0</v>
      </c>
      <c r="N720" s="9">
        <f>SUM('DATA B3'!H721-'DATA B3'!H720)</f>
        <v>0</v>
      </c>
      <c r="O720" s="88">
        <f t="shared" si="218"/>
        <v>0</v>
      </c>
      <c r="P720" s="15">
        <f t="shared" si="219"/>
        <v>0</v>
      </c>
    </row>
    <row r="721" spans="3:16">
      <c r="C721" s="292"/>
      <c r="D721" s="43">
        <v>0.625</v>
      </c>
      <c r="E721" s="5">
        <f>SUM('WATER_STEAM RATIO'!E721)</f>
        <v>0</v>
      </c>
      <c r="F721" s="9">
        <f>SUM('DATA B1'!I722-'DATA B1'!I721)+('DATA B1'!J722-'DATA B1'!J721)</f>
        <v>0</v>
      </c>
      <c r="G721" s="28">
        <f t="shared" si="214"/>
        <v>0</v>
      </c>
      <c r="H721" s="28">
        <f t="shared" si="215"/>
        <v>0</v>
      </c>
      <c r="I721" s="24">
        <f>SUM('WATER_STEAM RATIO'!K721)</f>
        <v>0</v>
      </c>
      <c r="J721" s="30">
        <f>SUM('DATA B2'!I722-'DATA B2'!I721)+('DATA B2'!J722-'DATA B2'!J721)</f>
        <v>0</v>
      </c>
      <c r="K721" s="28">
        <f t="shared" si="216"/>
        <v>0</v>
      </c>
      <c r="L721" s="28">
        <f t="shared" si="217"/>
        <v>0</v>
      </c>
      <c r="M721" s="89">
        <f>SUM('WATER_STEAM RATIO'!Q721)</f>
        <v>0</v>
      </c>
      <c r="N721" s="9">
        <f>SUM('DATA B3'!H722-'DATA B3'!H721)</f>
        <v>0</v>
      </c>
      <c r="O721" s="88">
        <f t="shared" si="218"/>
        <v>0</v>
      </c>
      <c r="P721" s="15">
        <f t="shared" si="219"/>
        <v>0</v>
      </c>
    </row>
    <row r="722" spans="3:16">
      <c r="C722" s="292"/>
      <c r="D722" s="43">
        <v>0.66666666666666596</v>
      </c>
      <c r="E722" s="5">
        <f>SUM('WATER_STEAM RATIO'!E722)</f>
        <v>0</v>
      </c>
      <c r="F722" s="9">
        <f>SUM('DATA B1'!I723-'DATA B1'!I722)+('DATA B1'!J723-'DATA B1'!J722)</f>
        <v>0</v>
      </c>
      <c r="G722" s="28">
        <f t="shared" si="214"/>
        <v>0</v>
      </c>
      <c r="H722" s="28">
        <f t="shared" si="215"/>
        <v>0</v>
      </c>
      <c r="I722" s="24">
        <f>SUM('WATER_STEAM RATIO'!K722)</f>
        <v>0</v>
      </c>
      <c r="J722" s="30">
        <f>SUM('DATA B2'!I723-'DATA B2'!I722)+('DATA B2'!J723-'DATA B2'!J722)</f>
        <v>0</v>
      </c>
      <c r="K722" s="28">
        <f t="shared" si="216"/>
        <v>0</v>
      </c>
      <c r="L722" s="28">
        <f t="shared" si="217"/>
        <v>0</v>
      </c>
      <c r="M722" s="89">
        <f>SUM('WATER_STEAM RATIO'!Q722)</f>
        <v>0</v>
      </c>
      <c r="N722" s="9">
        <f>SUM('DATA B3'!H723-'DATA B3'!H722)</f>
        <v>0</v>
      </c>
      <c r="O722" s="88">
        <f t="shared" si="218"/>
        <v>0</v>
      </c>
      <c r="P722" s="15">
        <f t="shared" si="219"/>
        <v>0</v>
      </c>
    </row>
    <row r="723" spans="3:16">
      <c r="C723" s="292"/>
      <c r="D723" s="43">
        <v>0.70833333333333304</v>
      </c>
      <c r="E723" s="5">
        <f>SUM('WATER_STEAM RATIO'!E723)</f>
        <v>0</v>
      </c>
      <c r="F723" s="9">
        <f>SUM('DATA B1'!I724-'DATA B1'!I723)+('DATA B1'!J724-'DATA B1'!J723)</f>
        <v>0</v>
      </c>
      <c r="G723" s="28">
        <f t="shared" si="214"/>
        <v>0</v>
      </c>
      <c r="H723" s="28">
        <f t="shared" si="215"/>
        <v>0</v>
      </c>
      <c r="I723" s="24">
        <f>SUM('WATER_STEAM RATIO'!K723)</f>
        <v>0</v>
      </c>
      <c r="J723" s="30">
        <f>SUM('DATA B2'!I724-'DATA B2'!I723)+('DATA B2'!J724-'DATA B2'!J723)</f>
        <v>0</v>
      </c>
      <c r="K723" s="28">
        <f t="shared" si="216"/>
        <v>0</v>
      </c>
      <c r="L723" s="28">
        <f t="shared" si="217"/>
        <v>0</v>
      </c>
      <c r="M723" s="89">
        <f>SUM('WATER_STEAM RATIO'!Q723)</f>
        <v>0</v>
      </c>
      <c r="N723" s="9">
        <f>SUM('DATA B3'!H724-'DATA B3'!H723)</f>
        <v>0</v>
      </c>
      <c r="O723" s="88">
        <f t="shared" si="218"/>
        <v>0</v>
      </c>
      <c r="P723" s="15">
        <f t="shared" si="219"/>
        <v>0</v>
      </c>
    </row>
    <row r="724" spans="3:16">
      <c r="C724" s="292"/>
      <c r="D724" s="43">
        <v>0.75</v>
      </c>
      <c r="E724" s="5">
        <f>SUM('WATER_STEAM RATIO'!E724)</f>
        <v>0</v>
      </c>
      <c r="F724" s="9">
        <f>SUM('DATA B1'!I725-'DATA B1'!I724)+('DATA B1'!J725-'DATA B1'!J724)</f>
        <v>0</v>
      </c>
      <c r="G724" s="28">
        <f t="shared" si="214"/>
        <v>0</v>
      </c>
      <c r="H724" s="28">
        <f t="shared" si="215"/>
        <v>0</v>
      </c>
      <c r="I724" s="24">
        <f>SUM('WATER_STEAM RATIO'!K724)</f>
        <v>0</v>
      </c>
      <c r="J724" s="30">
        <f>SUM('DATA B2'!I725-'DATA B2'!I724)+('DATA B2'!J725-'DATA B2'!J724)</f>
        <v>0</v>
      </c>
      <c r="K724" s="28">
        <f t="shared" si="216"/>
        <v>0</v>
      </c>
      <c r="L724" s="28">
        <f t="shared" si="217"/>
        <v>0</v>
      </c>
      <c r="M724" s="89">
        <f>SUM('WATER_STEAM RATIO'!Q724)</f>
        <v>0</v>
      </c>
      <c r="N724" s="9">
        <f>SUM('DATA B3'!H725-'DATA B3'!H724)</f>
        <v>0</v>
      </c>
      <c r="O724" s="88">
        <f t="shared" si="218"/>
        <v>0</v>
      </c>
      <c r="P724" s="15">
        <f t="shared" si="219"/>
        <v>0</v>
      </c>
    </row>
    <row r="725" spans="3:16">
      <c r="C725" s="292"/>
      <c r="D725" s="43">
        <v>0.79166666666666596</v>
      </c>
      <c r="E725" s="5">
        <f>SUM('WATER_STEAM RATIO'!E725)</f>
        <v>0</v>
      </c>
      <c r="F725" s="9">
        <f>SUM('DATA B1'!I726-'DATA B1'!I725)+('DATA B1'!J726-'DATA B1'!J725)</f>
        <v>0</v>
      </c>
      <c r="G725" s="28">
        <f t="shared" si="214"/>
        <v>0</v>
      </c>
      <c r="H725" s="28">
        <f t="shared" si="215"/>
        <v>0</v>
      </c>
      <c r="I725" s="24">
        <f>SUM('WATER_STEAM RATIO'!K725)</f>
        <v>0</v>
      </c>
      <c r="J725" s="30">
        <f>SUM('DATA B2'!I726-'DATA B2'!I725)+('DATA B2'!J726-'DATA B2'!J725)</f>
        <v>0</v>
      </c>
      <c r="K725" s="28">
        <f t="shared" si="216"/>
        <v>0</v>
      </c>
      <c r="L725" s="28">
        <f t="shared" si="217"/>
        <v>0</v>
      </c>
      <c r="M725" s="89">
        <f>SUM('WATER_STEAM RATIO'!Q725)</f>
        <v>0</v>
      </c>
      <c r="N725" s="9">
        <f>SUM('DATA B3'!H726-'DATA B3'!H725)</f>
        <v>0</v>
      </c>
      <c r="O725" s="88">
        <f t="shared" si="218"/>
        <v>0</v>
      </c>
      <c r="P725" s="15">
        <f t="shared" si="219"/>
        <v>0</v>
      </c>
    </row>
    <row r="726" spans="3:16">
      <c r="C726" s="292"/>
      <c r="D726" s="43">
        <v>0.83333333333333304</v>
      </c>
      <c r="E726" s="5">
        <f>SUM('WATER_STEAM RATIO'!E726)</f>
        <v>0</v>
      </c>
      <c r="F726" s="9">
        <f>SUM('DATA B1'!I727-'DATA B1'!I726)+('DATA B1'!J727-'DATA B1'!J726)</f>
        <v>0</v>
      </c>
      <c r="G726" s="28">
        <f t="shared" si="214"/>
        <v>0</v>
      </c>
      <c r="H726" s="28">
        <f t="shared" si="215"/>
        <v>0</v>
      </c>
      <c r="I726" s="24">
        <f>SUM('WATER_STEAM RATIO'!K726)</f>
        <v>0</v>
      </c>
      <c r="J726" s="30">
        <f>SUM('DATA B2'!I727-'DATA B2'!I726)+('DATA B2'!J727-'DATA B2'!J726)</f>
        <v>0</v>
      </c>
      <c r="K726" s="28">
        <f t="shared" si="216"/>
        <v>0</v>
      </c>
      <c r="L726" s="28">
        <f>IFERROR((I726/18)*100,0)</f>
        <v>0</v>
      </c>
      <c r="M726" s="89">
        <f>SUM('WATER_STEAM RATIO'!Q726)</f>
        <v>0</v>
      </c>
      <c r="N726" s="9">
        <f>SUM('DATA B3'!H727-'DATA B3'!H726)</f>
        <v>0</v>
      </c>
      <c r="O726" s="88">
        <f t="shared" si="218"/>
        <v>0</v>
      </c>
      <c r="P726" s="15">
        <f t="shared" si="219"/>
        <v>0</v>
      </c>
    </row>
    <row r="727" spans="3:16">
      <c r="C727" s="292"/>
      <c r="D727" s="43">
        <v>0.875</v>
      </c>
      <c r="E727" s="5">
        <f>SUM('WATER_STEAM RATIO'!E727)</f>
        <v>0</v>
      </c>
      <c r="F727" s="9">
        <f>SUM('DATA B1'!I728-'DATA B1'!I727)+('DATA B1'!J728-'DATA B1'!J727)</f>
        <v>0</v>
      </c>
      <c r="G727" s="28">
        <f t="shared" si="214"/>
        <v>0</v>
      </c>
      <c r="H727" s="28">
        <f t="shared" si="215"/>
        <v>0</v>
      </c>
      <c r="I727" s="24">
        <f>SUM('WATER_STEAM RATIO'!K727)</f>
        <v>0</v>
      </c>
      <c r="J727" s="30">
        <f>SUM('DATA B2'!I728-'DATA B2'!I727)+('DATA B2'!J728-'DATA B2'!J727)</f>
        <v>0</v>
      </c>
      <c r="K727" s="28">
        <f t="shared" si="216"/>
        <v>0</v>
      </c>
      <c r="L727" s="28">
        <f t="shared" ref="L727:L737" si="220">IFERROR((I727/18)*100,0)</f>
        <v>0</v>
      </c>
      <c r="M727" s="89">
        <f>SUM('WATER_STEAM RATIO'!Q727)</f>
        <v>0</v>
      </c>
      <c r="N727" s="9">
        <f>SUM('DATA B3'!H728-'DATA B3'!H727)</f>
        <v>0</v>
      </c>
      <c r="O727" s="88">
        <f t="shared" si="218"/>
        <v>0</v>
      </c>
      <c r="P727" s="15">
        <f t="shared" si="219"/>
        <v>0</v>
      </c>
    </row>
    <row r="728" spans="3:16">
      <c r="C728" s="292"/>
      <c r="D728" s="43">
        <v>0.91666666666666596</v>
      </c>
      <c r="E728" s="5">
        <f>SUM('WATER_STEAM RATIO'!E728)</f>
        <v>0</v>
      </c>
      <c r="F728" s="9">
        <f>SUM('DATA B1'!I729-'DATA B1'!I728)+('DATA B1'!J729-'DATA B1'!J728)</f>
        <v>0</v>
      </c>
      <c r="G728" s="28">
        <f t="shared" si="214"/>
        <v>0</v>
      </c>
      <c r="H728" s="28">
        <f t="shared" si="215"/>
        <v>0</v>
      </c>
      <c r="I728" s="24">
        <f>SUM('WATER_STEAM RATIO'!K728)</f>
        <v>0</v>
      </c>
      <c r="J728" s="30">
        <f>SUM('DATA B2'!I729-'DATA B2'!I728)+('DATA B2'!J729-'DATA B2'!J728)</f>
        <v>0</v>
      </c>
      <c r="K728" s="28">
        <f t="shared" si="216"/>
        <v>0</v>
      </c>
      <c r="L728" s="28">
        <f t="shared" si="220"/>
        <v>0</v>
      </c>
      <c r="M728" s="89">
        <f>SUM('WATER_STEAM RATIO'!Q728)</f>
        <v>0</v>
      </c>
      <c r="N728" s="9">
        <f>SUM('DATA B3'!H729-'DATA B3'!H728)</f>
        <v>0</v>
      </c>
      <c r="O728" s="88">
        <f t="shared" si="218"/>
        <v>0</v>
      </c>
      <c r="P728" s="15">
        <f>IFERROR((M728/16)*100,0)</f>
        <v>0</v>
      </c>
    </row>
    <row r="729" spans="3:16">
      <c r="C729" s="292"/>
      <c r="D729" s="43">
        <v>0.95833333333333304</v>
      </c>
      <c r="E729" s="5">
        <f>SUM('WATER_STEAM RATIO'!E729)</f>
        <v>0</v>
      </c>
      <c r="F729" s="9">
        <f>SUM('DATA B1'!I730-'DATA B1'!I729)+('DATA B1'!J730-'DATA B1'!J729)</f>
        <v>0</v>
      </c>
      <c r="G729" s="28">
        <f t="shared" si="214"/>
        <v>0</v>
      </c>
      <c r="H729" s="28">
        <f t="shared" si="215"/>
        <v>0</v>
      </c>
      <c r="I729" s="24">
        <f>SUM('WATER_STEAM RATIO'!K729)</f>
        <v>0</v>
      </c>
      <c r="J729" s="30">
        <f>SUM('DATA B2'!I730-'DATA B2'!I729)+('DATA B2'!J730-'DATA B2'!J729)</f>
        <v>0</v>
      </c>
      <c r="K729" s="28">
        <f t="shared" si="216"/>
        <v>0</v>
      </c>
      <c r="L729" s="28">
        <f t="shared" si="220"/>
        <v>0</v>
      </c>
      <c r="M729" s="89">
        <f>SUM('WATER_STEAM RATIO'!Q729)</f>
        <v>0</v>
      </c>
      <c r="N729" s="9">
        <f>SUM('DATA B3'!H730-'DATA B3'!H729)</f>
        <v>0</v>
      </c>
      <c r="O729" s="88">
        <f t="shared" si="218"/>
        <v>0</v>
      </c>
      <c r="P729" s="15">
        <f t="shared" si="219"/>
        <v>0</v>
      </c>
    </row>
    <row r="730" spans="3:16">
      <c r="C730" s="292"/>
      <c r="D730" s="43">
        <v>1</v>
      </c>
      <c r="E730" s="5">
        <f>SUM('WATER_STEAM RATIO'!E730)</f>
        <v>0</v>
      </c>
      <c r="F730" s="9">
        <f>SUM('DATA B1'!I731-'DATA B1'!I730)+('DATA B1'!J731-'DATA B1'!J730)</f>
        <v>0</v>
      </c>
      <c r="G730" s="28">
        <f t="shared" si="214"/>
        <v>0</v>
      </c>
      <c r="H730" s="28">
        <f t="shared" si="215"/>
        <v>0</v>
      </c>
      <c r="I730" s="24">
        <f>SUM('WATER_STEAM RATIO'!K730)</f>
        <v>0</v>
      </c>
      <c r="J730" s="30">
        <f>SUM('DATA B2'!I731-'DATA B2'!I730)+('DATA B2'!J731-'DATA B2'!J730)</f>
        <v>0</v>
      </c>
      <c r="K730" s="28">
        <f t="shared" si="216"/>
        <v>0</v>
      </c>
      <c r="L730" s="28">
        <f t="shared" si="220"/>
        <v>0</v>
      </c>
      <c r="M730" s="89">
        <f>SUM('WATER_STEAM RATIO'!Q730)</f>
        <v>0</v>
      </c>
      <c r="N730" s="9">
        <f>SUM('DATA B3'!H731-'DATA B3'!H730)</f>
        <v>0</v>
      </c>
      <c r="O730" s="88">
        <f t="shared" si="218"/>
        <v>0</v>
      </c>
      <c r="P730" s="15">
        <f t="shared" si="219"/>
        <v>0</v>
      </c>
    </row>
    <row r="731" spans="3:16">
      <c r="C731" s="292"/>
      <c r="D731" s="43">
        <v>1.0416666666666701</v>
      </c>
      <c r="E731" s="5">
        <f>SUM('WATER_STEAM RATIO'!E731)</f>
        <v>0</v>
      </c>
      <c r="F731" s="9">
        <f>SUM('DATA B1'!I732-'DATA B1'!I731)+('DATA B1'!J732-'DATA B1'!J731)</f>
        <v>0</v>
      </c>
      <c r="G731" s="28">
        <f t="shared" si="214"/>
        <v>0</v>
      </c>
      <c r="H731" s="28">
        <f t="shared" si="215"/>
        <v>0</v>
      </c>
      <c r="I731" s="24">
        <f>SUM('WATER_STEAM RATIO'!K731)</f>
        <v>0</v>
      </c>
      <c r="J731" s="30">
        <f>SUM('DATA B2'!I732-'DATA B2'!I731)+('DATA B2'!J732-'DATA B2'!J731)</f>
        <v>0</v>
      </c>
      <c r="K731" s="28">
        <f t="shared" si="216"/>
        <v>0</v>
      </c>
      <c r="L731" s="28">
        <f t="shared" si="220"/>
        <v>0</v>
      </c>
      <c r="M731" s="89">
        <f>SUM('WATER_STEAM RATIO'!Q731)</f>
        <v>0</v>
      </c>
      <c r="N731" s="9">
        <f>SUM('DATA B3'!H732-'DATA B3'!H731)</f>
        <v>0</v>
      </c>
      <c r="O731" s="88">
        <f t="shared" si="218"/>
        <v>0</v>
      </c>
      <c r="P731" s="15">
        <f t="shared" si="219"/>
        <v>0</v>
      </c>
    </row>
    <row r="732" spans="3:16">
      <c r="C732" s="292"/>
      <c r="D732" s="43">
        <v>1.0833333333333399</v>
      </c>
      <c r="E732" s="5">
        <f>SUM('WATER_STEAM RATIO'!E732)</f>
        <v>0</v>
      </c>
      <c r="F732" s="9">
        <f>SUM('DATA B1'!I733-'DATA B1'!I732)+('DATA B1'!J733-'DATA B1'!J732)</f>
        <v>0</v>
      </c>
      <c r="G732" s="28">
        <f t="shared" si="214"/>
        <v>0</v>
      </c>
      <c r="H732" s="28">
        <f t="shared" si="215"/>
        <v>0</v>
      </c>
      <c r="I732" s="24">
        <f>SUM('WATER_STEAM RATIO'!K732)</f>
        <v>0</v>
      </c>
      <c r="J732" s="30">
        <f>SUM('DATA B2'!I733-'DATA B2'!I732)+('DATA B2'!J733-'DATA B2'!J732)</f>
        <v>0</v>
      </c>
      <c r="K732" s="28">
        <f t="shared" si="216"/>
        <v>0</v>
      </c>
      <c r="L732" s="28">
        <f t="shared" si="220"/>
        <v>0</v>
      </c>
      <c r="M732" s="89">
        <f>SUM('WATER_STEAM RATIO'!Q732)</f>
        <v>0</v>
      </c>
      <c r="N732" s="9">
        <f>SUM('DATA B3'!H733-'DATA B3'!H732)</f>
        <v>0</v>
      </c>
      <c r="O732" s="88">
        <f t="shared" si="218"/>
        <v>0</v>
      </c>
      <c r="P732" s="15">
        <f t="shared" si="219"/>
        <v>0</v>
      </c>
    </row>
    <row r="733" spans="3:16">
      <c r="C733" s="292"/>
      <c r="D733" s="43">
        <v>1.125</v>
      </c>
      <c r="E733" s="5">
        <f>SUM('WATER_STEAM RATIO'!E733)</f>
        <v>0</v>
      </c>
      <c r="F733" s="9">
        <f>SUM('DATA B1'!I734-'DATA B1'!I733)+('DATA B1'!J734-'DATA B1'!J733)</f>
        <v>0</v>
      </c>
      <c r="G733" s="28">
        <f t="shared" si="214"/>
        <v>0</v>
      </c>
      <c r="H733" s="28">
        <f t="shared" si="215"/>
        <v>0</v>
      </c>
      <c r="I733" s="24">
        <f>SUM('WATER_STEAM RATIO'!K733)</f>
        <v>0</v>
      </c>
      <c r="J733" s="30">
        <f>SUM('DATA B2'!I734-'DATA B2'!I733)+('DATA B2'!J734-'DATA B2'!J733)</f>
        <v>0</v>
      </c>
      <c r="K733" s="28">
        <f t="shared" si="216"/>
        <v>0</v>
      </c>
      <c r="L733" s="28">
        <f t="shared" si="220"/>
        <v>0</v>
      </c>
      <c r="M733" s="89">
        <f>SUM('WATER_STEAM RATIO'!Q733)</f>
        <v>0</v>
      </c>
      <c r="N733" s="9">
        <f>SUM('DATA B3'!H734-'DATA B3'!H733)</f>
        <v>0</v>
      </c>
      <c r="O733" s="88">
        <f t="shared" ref="O733:O737" si="221">IFERROR(N733/(M733),0)</f>
        <v>0</v>
      </c>
      <c r="P733" s="15">
        <f t="shared" si="219"/>
        <v>0</v>
      </c>
    </row>
    <row r="734" spans="3:16">
      <c r="C734" s="292"/>
      <c r="D734" s="43">
        <v>1.1666666666666701</v>
      </c>
      <c r="E734" s="5">
        <f>SUM('WATER_STEAM RATIO'!E734)</f>
        <v>0</v>
      </c>
      <c r="F734" s="9">
        <f>SUM('DATA B1'!I735-'DATA B1'!I734)+('DATA B1'!J735-'DATA B1'!J734)</f>
        <v>0</v>
      </c>
      <c r="G734" s="28">
        <f t="shared" si="214"/>
        <v>0</v>
      </c>
      <c r="H734" s="28">
        <f t="shared" si="215"/>
        <v>0</v>
      </c>
      <c r="I734" s="24">
        <f>SUM('WATER_STEAM RATIO'!K734)</f>
        <v>0</v>
      </c>
      <c r="J734" s="30">
        <f>SUM('DATA B2'!I735-'DATA B2'!I734)+('DATA B2'!J735-'DATA B2'!J734)</f>
        <v>0</v>
      </c>
      <c r="K734" s="28">
        <f>IFERROR(J734/(I734),0)</f>
        <v>0</v>
      </c>
      <c r="L734" s="28">
        <f t="shared" si="220"/>
        <v>0</v>
      </c>
      <c r="M734" s="89">
        <f>SUM('WATER_STEAM RATIO'!Q734)</f>
        <v>0</v>
      </c>
      <c r="N734" s="9">
        <f>SUM('DATA B3'!H735-'DATA B3'!H734)</f>
        <v>0</v>
      </c>
      <c r="O734" s="88">
        <f t="shared" si="221"/>
        <v>0</v>
      </c>
      <c r="P734" s="15">
        <f t="shared" si="219"/>
        <v>0</v>
      </c>
    </row>
    <row r="735" spans="3:16">
      <c r="C735" s="292"/>
      <c r="D735" s="43">
        <v>1.2083333333333399</v>
      </c>
      <c r="E735" s="5">
        <f>SUM('WATER_STEAM RATIO'!E735)</f>
        <v>0</v>
      </c>
      <c r="F735" s="9">
        <f>SUM('DATA B1'!I736-'DATA B1'!I735)+('DATA B1'!J736-'DATA B1'!J735)</f>
        <v>0</v>
      </c>
      <c r="G735" s="28">
        <f t="shared" si="214"/>
        <v>0</v>
      </c>
      <c r="H735" s="28">
        <f t="shared" si="215"/>
        <v>0</v>
      </c>
      <c r="I735" s="24">
        <f>SUM('WATER_STEAM RATIO'!K735)</f>
        <v>0</v>
      </c>
      <c r="J735" s="30">
        <f>SUM('DATA B2'!I736-'DATA B2'!I735)+('DATA B2'!J736-'DATA B2'!J735)</f>
        <v>0</v>
      </c>
      <c r="K735" s="28">
        <f>IFERROR(J735/(I735),0)</f>
        <v>0</v>
      </c>
      <c r="L735" s="28">
        <f t="shared" si="220"/>
        <v>0</v>
      </c>
      <c r="M735" s="89">
        <f>SUM('WATER_STEAM RATIO'!Q735)</f>
        <v>0</v>
      </c>
      <c r="N735" s="9">
        <f>SUM('DATA B3'!H736-'DATA B3'!H735)</f>
        <v>0</v>
      </c>
      <c r="O735" s="88">
        <f t="shared" si="221"/>
        <v>0</v>
      </c>
      <c r="P735" s="15">
        <f t="shared" si="219"/>
        <v>0</v>
      </c>
    </row>
    <row r="736" spans="3:16">
      <c r="C736" s="292"/>
      <c r="D736" s="43">
        <v>1.25</v>
      </c>
      <c r="E736" s="5">
        <f>SUM('WATER_STEAM RATIO'!E736)</f>
        <v>0</v>
      </c>
      <c r="F736" s="9">
        <f>SUM('DATA B1'!I737-'DATA B1'!I736)+('DATA B1'!J737-'DATA B1'!J736)</f>
        <v>0</v>
      </c>
      <c r="G736" s="28">
        <f t="shared" si="214"/>
        <v>0</v>
      </c>
      <c r="H736" s="28">
        <f t="shared" si="215"/>
        <v>0</v>
      </c>
      <c r="I736" s="24">
        <f>SUM('WATER_STEAM RATIO'!K736)</f>
        <v>0</v>
      </c>
      <c r="J736" s="30">
        <f>SUM('DATA B2'!I737-'DATA B2'!I736)+('DATA B2'!J737-'DATA B2'!J736)</f>
        <v>0</v>
      </c>
      <c r="K736" s="28">
        <f>IFERROR(J736/(I736),0)</f>
        <v>0</v>
      </c>
      <c r="L736" s="28">
        <f t="shared" si="220"/>
        <v>0</v>
      </c>
      <c r="M736" s="89">
        <f>SUM('WATER_STEAM RATIO'!Q736)</f>
        <v>0</v>
      </c>
      <c r="N736" s="9">
        <f>SUM('DATA B3'!H737-'DATA B3'!H736)</f>
        <v>0</v>
      </c>
      <c r="O736" s="88">
        <f t="shared" si="221"/>
        <v>0</v>
      </c>
      <c r="P736" s="15">
        <f t="shared" si="219"/>
        <v>0</v>
      </c>
    </row>
    <row r="737" spans="3:16">
      <c r="C737" s="292"/>
      <c r="D737" s="43">
        <v>1.2916666666666701</v>
      </c>
      <c r="E737" s="5">
        <f>SUM('WATER_STEAM RATIO'!E737)</f>
        <v>0</v>
      </c>
      <c r="F737" s="9">
        <f>SUM('DATA B1'!I738-'DATA B1'!I737)+('DATA B1'!J738-'DATA B1'!J737)</f>
        <v>0</v>
      </c>
      <c r="G737" s="28">
        <f t="shared" si="214"/>
        <v>0</v>
      </c>
      <c r="H737" s="28">
        <f t="shared" si="215"/>
        <v>0</v>
      </c>
      <c r="I737" s="24">
        <f>SUM('WATER_STEAM RATIO'!K737)</f>
        <v>0</v>
      </c>
      <c r="J737" s="30">
        <f>SUM('DATA B2'!I738-'DATA B2'!I737)+('DATA B2'!J738-'DATA B2'!J737)</f>
        <v>0</v>
      </c>
      <c r="K737" s="28">
        <f>IFERROR(J737/(I737),0)</f>
        <v>0</v>
      </c>
      <c r="L737" s="28">
        <f t="shared" si="220"/>
        <v>0</v>
      </c>
      <c r="M737" s="89">
        <f>SUM('WATER_STEAM RATIO'!Q737)</f>
        <v>0</v>
      </c>
      <c r="N737" s="9">
        <f>SUM('DATA B3'!H738-'DATA B3'!H737)</f>
        <v>0</v>
      </c>
      <c r="O737" s="88">
        <f t="shared" si="221"/>
        <v>0</v>
      </c>
      <c r="P737" s="15">
        <f t="shared" si="219"/>
        <v>0</v>
      </c>
    </row>
    <row r="738" spans="3:16">
      <c r="C738" s="293"/>
      <c r="D738" s="258"/>
      <c r="E738" s="91">
        <f>SUMIF(E713:E737,"&gt;=0",E713:E737)</f>
        <v>0</v>
      </c>
      <c r="F738" s="91">
        <f>SUMIF(F713:F737,"&gt;=0",F713:F737)</f>
        <v>0</v>
      </c>
      <c r="G738" s="54">
        <f>IFERROR(F738/E738,0)</f>
        <v>0</v>
      </c>
      <c r="H738" s="54">
        <f>IFERROR(AVERAGE(H714:H737),0)</f>
        <v>0</v>
      </c>
      <c r="I738" s="91">
        <f>SUMIF(I713:I737,"&gt;=0",I713:I737)</f>
        <v>0</v>
      </c>
      <c r="J738" s="91">
        <f>SUMIF(J713:J737,"&gt;=0",J713:J737)</f>
        <v>0</v>
      </c>
      <c r="K738" s="54">
        <f>IFERROR(J738/(I738),0)</f>
        <v>0</v>
      </c>
      <c r="L738" s="54">
        <f>IFERROR(AVERAGE(L714:L737),0)</f>
        <v>0</v>
      </c>
      <c r="M738" s="91">
        <f>SUMIF(M713:M737,"&gt;=0",M713:M737)</f>
        <v>0</v>
      </c>
      <c r="N738" s="91">
        <f>SUMIF(N713:N737,"&gt;=0",N713:N737)</f>
        <v>0</v>
      </c>
      <c r="O738" s="239">
        <f>IFERROR(N738/(M738),0)</f>
        <v>0</v>
      </c>
      <c r="P738" s="215">
        <f>IFERROR(AVERAGE(P714:P737),0)</f>
        <v>0</v>
      </c>
    </row>
    <row r="739" spans="3:16" ht="15" customHeight="1">
      <c r="C739" s="291">
        <f>SUM('WATER_STEAM RATIO'!B739:B764)</f>
        <v>46051</v>
      </c>
      <c r="D739" s="43">
        <v>0.29166666666666669</v>
      </c>
      <c r="E739" s="5">
        <f>SUM('WATER_STEAM RATIO'!E739)</f>
        <v>0</v>
      </c>
      <c r="F739" s="9"/>
      <c r="G739" s="28"/>
      <c r="H739" s="28"/>
      <c r="I739" s="24">
        <f>SUM('WATER_STEAM RATIO'!K739)</f>
        <v>0</v>
      </c>
      <c r="J739" s="30"/>
      <c r="K739" s="28"/>
      <c r="L739" s="28"/>
      <c r="M739" s="89">
        <f>SUM('WATER_STEAM RATIO'!Q739)</f>
        <v>0</v>
      </c>
      <c r="N739" s="9"/>
      <c r="O739" s="88"/>
      <c r="P739" s="15"/>
    </row>
    <row r="740" spans="3:16">
      <c r="C740" s="292"/>
      <c r="D740" s="43">
        <v>0.33333333333333298</v>
      </c>
      <c r="E740" s="5">
        <f>SUM('WATER_STEAM RATIO'!E740)</f>
        <v>0</v>
      </c>
      <c r="F740" s="9">
        <f>SUM('DATA B1'!I741-'DATA B1'!I740)+('DATA B1'!J741-'DATA B1'!J740)</f>
        <v>0</v>
      </c>
      <c r="G740" s="28">
        <f>IFERROR(F740/(E740),0)</f>
        <v>0</v>
      </c>
      <c r="H740" s="28">
        <f>IFERROR((E740/18)*100,0)</f>
        <v>0</v>
      </c>
      <c r="I740" s="24">
        <f>SUM('WATER_STEAM RATIO'!K740)</f>
        <v>0</v>
      </c>
      <c r="J740" s="30">
        <f>SUM('DATA B2'!I741-'DATA B2'!I740)+('DATA B2'!J741-'DATA B2'!J740)</f>
        <v>0</v>
      </c>
      <c r="K740" s="28">
        <f>IFERROR(J740/(I740),0)</f>
        <v>0</v>
      </c>
      <c r="L740" s="28">
        <f>IFERROR((I740/18)*100,0)</f>
        <v>0</v>
      </c>
      <c r="M740" s="89">
        <f>SUM('WATER_STEAM RATIO'!Q740)</f>
        <v>0</v>
      </c>
      <c r="N740" s="9">
        <f>SUM('DATA B3'!H741-'DATA B3'!H740)</f>
        <v>0</v>
      </c>
      <c r="O740" s="88">
        <f>IFERROR(N740/(M740),0)</f>
        <v>0</v>
      </c>
      <c r="P740" s="15">
        <f>IFERROR((M740/16)*100,0)</f>
        <v>0</v>
      </c>
    </row>
    <row r="741" spans="3:16">
      <c r="C741" s="292"/>
      <c r="D741" s="43">
        <v>0.375</v>
      </c>
      <c r="E741" s="5">
        <f>SUM('WATER_STEAM RATIO'!E741)</f>
        <v>0</v>
      </c>
      <c r="F741" s="9">
        <f>SUM('DATA B1'!I742-'DATA B1'!I741)+('DATA B1'!J742-'DATA B1'!J741)</f>
        <v>0</v>
      </c>
      <c r="G741" s="28">
        <f t="shared" ref="G741:G763" si="222">IFERROR(F741/(E741),0)</f>
        <v>0</v>
      </c>
      <c r="H741" s="28">
        <f t="shared" ref="H741:H763" si="223">IFERROR((E741/18)*100,0)</f>
        <v>0</v>
      </c>
      <c r="I741" s="24">
        <f>SUM('WATER_STEAM RATIO'!K741)</f>
        <v>0</v>
      </c>
      <c r="J741" s="30">
        <f>SUM('DATA B2'!I742-'DATA B2'!I741)+('DATA B2'!J742-'DATA B2'!J741)</f>
        <v>0</v>
      </c>
      <c r="K741" s="28">
        <f t="shared" ref="K741:K759" si="224">IFERROR(J741/(I741),0)</f>
        <v>0</v>
      </c>
      <c r="L741" s="28">
        <f t="shared" ref="L741:L751" si="225">IFERROR((I741/18)*100,0)</f>
        <v>0</v>
      </c>
      <c r="M741" s="89">
        <f>SUM('WATER_STEAM RATIO'!Q741)</f>
        <v>0</v>
      </c>
      <c r="N741" s="9">
        <f>SUM('DATA B3'!H742-'DATA B3'!H741)</f>
        <v>0</v>
      </c>
      <c r="O741" s="88">
        <f t="shared" ref="O741:O758" si="226">IFERROR(N741/(M741),0)</f>
        <v>0</v>
      </c>
      <c r="P741" s="15">
        <f t="shared" ref="P741:P763" si="227">IFERROR((M741/16)*100,0)</f>
        <v>0</v>
      </c>
    </row>
    <row r="742" spans="3:16">
      <c r="C742" s="292"/>
      <c r="D742" s="43">
        <v>0.41666666666666702</v>
      </c>
      <c r="E742" s="5">
        <f>SUM('WATER_STEAM RATIO'!E742)</f>
        <v>0</v>
      </c>
      <c r="F742" s="9">
        <f>SUM('DATA B1'!I743-'DATA B1'!I742)+('DATA B1'!J743-'DATA B1'!J742)</f>
        <v>0</v>
      </c>
      <c r="G742" s="28">
        <f t="shared" si="222"/>
        <v>0</v>
      </c>
      <c r="H742" s="28">
        <f t="shared" si="223"/>
        <v>0</v>
      </c>
      <c r="I742" s="24">
        <f>SUM('WATER_STEAM RATIO'!K742)</f>
        <v>0</v>
      </c>
      <c r="J742" s="30">
        <f>SUM('DATA B2'!I743-'DATA B2'!I742)+('DATA B2'!J743-'DATA B2'!J742)</f>
        <v>0</v>
      </c>
      <c r="K742" s="28">
        <f t="shared" si="224"/>
        <v>0</v>
      </c>
      <c r="L742" s="28">
        <f t="shared" si="225"/>
        <v>0</v>
      </c>
      <c r="M742" s="89">
        <f>SUM('WATER_STEAM RATIO'!Q742)</f>
        <v>0</v>
      </c>
      <c r="N742" s="9">
        <f>SUM('DATA B3'!H743-'DATA B3'!H742)</f>
        <v>0</v>
      </c>
      <c r="O742" s="88">
        <f t="shared" si="226"/>
        <v>0</v>
      </c>
      <c r="P742" s="15">
        <f t="shared" si="227"/>
        <v>0</v>
      </c>
    </row>
    <row r="743" spans="3:16">
      <c r="C743" s="292"/>
      <c r="D743" s="43">
        <v>0.45833333333333298</v>
      </c>
      <c r="E743" s="5">
        <f>SUM('WATER_STEAM RATIO'!E743)</f>
        <v>0</v>
      </c>
      <c r="F743" s="9">
        <f>SUM('DATA B1'!I744-'DATA B1'!I743)+('DATA B1'!J744-'DATA B1'!J743)</f>
        <v>0</v>
      </c>
      <c r="G743" s="28">
        <f t="shared" si="222"/>
        <v>0</v>
      </c>
      <c r="H743" s="28">
        <f t="shared" si="223"/>
        <v>0</v>
      </c>
      <c r="I743" s="24">
        <f>SUM('WATER_STEAM RATIO'!K743)</f>
        <v>0</v>
      </c>
      <c r="J743" s="30">
        <f>SUM('DATA B2'!I744-'DATA B2'!I743)+('DATA B2'!J744-'DATA B2'!J743)</f>
        <v>0</v>
      </c>
      <c r="K743" s="28">
        <f t="shared" si="224"/>
        <v>0</v>
      </c>
      <c r="L743" s="28">
        <f t="shared" si="225"/>
        <v>0</v>
      </c>
      <c r="M743" s="89">
        <f>SUM('WATER_STEAM RATIO'!Q743)</f>
        <v>0</v>
      </c>
      <c r="N743" s="9">
        <f>SUM('DATA B3'!H744-'DATA B3'!H743)</f>
        <v>0</v>
      </c>
      <c r="O743" s="88">
        <f t="shared" si="226"/>
        <v>0</v>
      </c>
      <c r="P743" s="15">
        <f t="shared" si="227"/>
        <v>0</v>
      </c>
    </row>
    <row r="744" spans="3:16">
      <c r="C744" s="292"/>
      <c r="D744" s="43">
        <v>0.5</v>
      </c>
      <c r="E744" s="5">
        <f>SUM('WATER_STEAM RATIO'!E744)</f>
        <v>0</v>
      </c>
      <c r="F744" s="9">
        <f>SUM('DATA B1'!I745-'DATA B1'!I744)+('DATA B1'!J745-'DATA B1'!J744)</f>
        <v>0</v>
      </c>
      <c r="G744" s="28">
        <f t="shared" si="222"/>
        <v>0</v>
      </c>
      <c r="H744" s="28">
        <f t="shared" si="223"/>
        <v>0</v>
      </c>
      <c r="I744" s="24">
        <f>SUM('WATER_STEAM RATIO'!K744)</f>
        <v>0</v>
      </c>
      <c r="J744" s="30">
        <f>SUM('DATA B2'!I745-'DATA B2'!I744)+('DATA B2'!J745-'DATA B2'!J744)</f>
        <v>0</v>
      </c>
      <c r="K744" s="28">
        <f t="shared" si="224"/>
        <v>0</v>
      </c>
      <c r="L744" s="28">
        <f t="shared" si="225"/>
        <v>0</v>
      </c>
      <c r="M744" s="89">
        <f>SUM('WATER_STEAM RATIO'!Q744)</f>
        <v>0</v>
      </c>
      <c r="N744" s="9">
        <f>SUM('DATA B3'!H745-'DATA B3'!H744)</f>
        <v>0</v>
      </c>
      <c r="O744" s="88">
        <f t="shared" si="226"/>
        <v>0</v>
      </c>
      <c r="P744" s="15">
        <f t="shared" si="227"/>
        <v>0</v>
      </c>
    </row>
    <row r="745" spans="3:16">
      <c r="C745" s="292"/>
      <c r="D745" s="43">
        <v>0.54166666666666696</v>
      </c>
      <c r="E745" s="5">
        <f>SUM('WATER_STEAM RATIO'!E745)</f>
        <v>0</v>
      </c>
      <c r="F745" s="9">
        <f>SUM('DATA B1'!I746-'DATA B1'!I745)+('DATA B1'!J746-'DATA B1'!J745)</f>
        <v>0</v>
      </c>
      <c r="G745" s="28">
        <f t="shared" si="222"/>
        <v>0</v>
      </c>
      <c r="H745" s="28">
        <f t="shared" si="223"/>
        <v>0</v>
      </c>
      <c r="I745" s="24">
        <f>SUM('WATER_STEAM RATIO'!K745)</f>
        <v>0</v>
      </c>
      <c r="J745" s="30">
        <f>SUM('DATA B2'!I746-'DATA B2'!I745)+('DATA B2'!J746-'DATA B2'!J745)</f>
        <v>0</v>
      </c>
      <c r="K745" s="28">
        <f t="shared" si="224"/>
        <v>0</v>
      </c>
      <c r="L745" s="28">
        <f t="shared" si="225"/>
        <v>0</v>
      </c>
      <c r="M745" s="89">
        <f>SUM('WATER_STEAM RATIO'!Q745)</f>
        <v>0</v>
      </c>
      <c r="N745" s="9">
        <f>SUM('DATA B3'!H746-'DATA B3'!H745)</f>
        <v>0</v>
      </c>
      <c r="O745" s="88">
        <f t="shared" si="226"/>
        <v>0</v>
      </c>
      <c r="P745" s="15">
        <f t="shared" si="227"/>
        <v>0</v>
      </c>
    </row>
    <row r="746" spans="3:16">
      <c r="C746" s="292"/>
      <c r="D746" s="43">
        <v>0.58333333333333304</v>
      </c>
      <c r="E746" s="5">
        <f>SUM('WATER_STEAM RATIO'!E746)</f>
        <v>0</v>
      </c>
      <c r="F746" s="9">
        <f>SUM('DATA B1'!I747-'DATA B1'!I746)+('DATA B1'!J747-'DATA B1'!J746)</f>
        <v>0</v>
      </c>
      <c r="G746" s="28">
        <f t="shared" si="222"/>
        <v>0</v>
      </c>
      <c r="H746" s="28">
        <f t="shared" si="223"/>
        <v>0</v>
      </c>
      <c r="I746" s="24">
        <f>SUM('WATER_STEAM RATIO'!K746)</f>
        <v>0</v>
      </c>
      <c r="J746" s="30">
        <f>SUM('DATA B2'!I747-'DATA B2'!I746)+('DATA B2'!J747-'DATA B2'!J746)</f>
        <v>0</v>
      </c>
      <c r="K746" s="28">
        <f t="shared" si="224"/>
        <v>0</v>
      </c>
      <c r="L746" s="28">
        <f t="shared" si="225"/>
        <v>0</v>
      </c>
      <c r="M746" s="89">
        <f>SUM('WATER_STEAM RATIO'!Q746)</f>
        <v>0</v>
      </c>
      <c r="N746" s="9">
        <f>SUM('DATA B3'!H747-'DATA B3'!H746)</f>
        <v>0</v>
      </c>
      <c r="O746" s="88">
        <f t="shared" si="226"/>
        <v>0</v>
      </c>
      <c r="P746" s="15">
        <f t="shared" si="227"/>
        <v>0</v>
      </c>
    </row>
    <row r="747" spans="3:16">
      <c r="C747" s="292"/>
      <c r="D747" s="43">
        <v>0.625</v>
      </c>
      <c r="E747" s="5">
        <f>SUM('WATER_STEAM RATIO'!E747)</f>
        <v>0</v>
      </c>
      <c r="F747" s="9">
        <f>SUM('DATA B1'!I748-'DATA B1'!I747)+('DATA B1'!J748-'DATA B1'!J747)</f>
        <v>0</v>
      </c>
      <c r="G747" s="28">
        <f t="shared" si="222"/>
        <v>0</v>
      </c>
      <c r="H747" s="28">
        <f t="shared" si="223"/>
        <v>0</v>
      </c>
      <c r="I747" s="24">
        <f>SUM('WATER_STEAM RATIO'!K747)</f>
        <v>0</v>
      </c>
      <c r="J747" s="30">
        <f>SUM('DATA B2'!I748-'DATA B2'!I747)+('DATA B2'!J748-'DATA B2'!J747)</f>
        <v>0</v>
      </c>
      <c r="K747" s="28">
        <f t="shared" si="224"/>
        <v>0</v>
      </c>
      <c r="L747" s="28">
        <f t="shared" si="225"/>
        <v>0</v>
      </c>
      <c r="M747" s="89">
        <f>SUM('WATER_STEAM RATIO'!Q747)</f>
        <v>0</v>
      </c>
      <c r="N747" s="9">
        <f>SUM('DATA B3'!H748-'DATA B3'!H747)</f>
        <v>0</v>
      </c>
      <c r="O747" s="88">
        <f t="shared" si="226"/>
        <v>0</v>
      </c>
      <c r="P747" s="15">
        <f t="shared" si="227"/>
        <v>0</v>
      </c>
    </row>
    <row r="748" spans="3:16">
      <c r="C748" s="292"/>
      <c r="D748" s="43">
        <v>0.66666666666666596</v>
      </c>
      <c r="E748" s="5">
        <f>SUM('WATER_STEAM RATIO'!E748)</f>
        <v>0</v>
      </c>
      <c r="F748" s="9">
        <f>SUM('DATA B1'!I749-'DATA B1'!I748)+('DATA B1'!J749-'DATA B1'!J748)</f>
        <v>0</v>
      </c>
      <c r="G748" s="28">
        <f t="shared" si="222"/>
        <v>0</v>
      </c>
      <c r="H748" s="28">
        <f t="shared" si="223"/>
        <v>0</v>
      </c>
      <c r="I748" s="24">
        <f>SUM('WATER_STEAM RATIO'!K748)</f>
        <v>0</v>
      </c>
      <c r="J748" s="30">
        <f>SUM('DATA B2'!I749-'DATA B2'!I748)+('DATA B2'!J749-'DATA B2'!J748)</f>
        <v>0</v>
      </c>
      <c r="K748" s="28">
        <f t="shared" si="224"/>
        <v>0</v>
      </c>
      <c r="L748" s="28">
        <f t="shared" si="225"/>
        <v>0</v>
      </c>
      <c r="M748" s="89">
        <f>SUM('WATER_STEAM RATIO'!Q748)</f>
        <v>0</v>
      </c>
      <c r="N748" s="9">
        <f>SUM('DATA B3'!H749-'DATA B3'!H748)</f>
        <v>0</v>
      </c>
      <c r="O748" s="88">
        <f t="shared" si="226"/>
        <v>0</v>
      </c>
      <c r="P748" s="15">
        <f t="shared" si="227"/>
        <v>0</v>
      </c>
    </row>
    <row r="749" spans="3:16">
      <c r="C749" s="292"/>
      <c r="D749" s="43">
        <v>0.70833333333333304</v>
      </c>
      <c r="E749" s="5">
        <f>SUM('WATER_STEAM RATIO'!E749)</f>
        <v>0</v>
      </c>
      <c r="F749" s="9">
        <f>SUM('DATA B1'!I750-'DATA B1'!I749)+('DATA B1'!J750-'DATA B1'!J749)</f>
        <v>0</v>
      </c>
      <c r="G749" s="28">
        <f t="shared" si="222"/>
        <v>0</v>
      </c>
      <c r="H749" s="28">
        <f t="shared" si="223"/>
        <v>0</v>
      </c>
      <c r="I749" s="24">
        <f>SUM('WATER_STEAM RATIO'!K749)</f>
        <v>0</v>
      </c>
      <c r="J749" s="30">
        <f>SUM('DATA B2'!I750-'DATA B2'!I749)+('DATA B2'!J750-'DATA B2'!J749)</f>
        <v>0</v>
      </c>
      <c r="K749" s="28">
        <f t="shared" si="224"/>
        <v>0</v>
      </c>
      <c r="L749" s="28">
        <f t="shared" si="225"/>
        <v>0</v>
      </c>
      <c r="M749" s="89">
        <f>SUM('WATER_STEAM RATIO'!Q749)</f>
        <v>0</v>
      </c>
      <c r="N749" s="9">
        <f>SUM('DATA B3'!H750-'DATA B3'!H749)</f>
        <v>0</v>
      </c>
      <c r="O749" s="88">
        <f t="shared" si="226"/>
        <v>0</v>
      </c>
      <c r="P749" s="15">
        <f t="shared" si="227"/>
        <v>0</v>
      </c>
    </row>
    <row r="750" spans="3:16">
      <c r="C750" s="292"/>
      <c r="D750" s="43">
        <v>0.75</v>
      </c>
      <c r="E750" s="5">
        <f>SUM('WATER_STEAM RATIO'!E750)</f>
        <v>0</v>
      </c>
      <c r="F750" s="9">
        <f>SUM('DATA B1'!I751-'DATA B1'!I750)+('DATA B1'!J751-'DATA B1'!J750)</f>
        <v>0</v>
      </c>
      <c r="G750" s="28">
        <f t="shared" si="222"/>
        <v>0</v>
      </c>
      <c r="H750" s="28">
        <f t="shared" si="223"/>
        <v>0</v>
      </c>
      <c r="I750" s="24">
        <f>SUM('WATER_STEAM RATIO'!K750)</f>
        <v>0</v>
      </c>
      <c r="J750" s="30">
        <f>SUM('DATA B2'!I751-'DATA B2'!I750)+('DATA B2'!J751-'DATA B2'!J750)</f>
        <v>0</v>
      </c>
      <c r="K750" s="28">
        <f t="shared" si="224"/>
        <v>0</v>
      </c>
      <c r="L750" s="28">
        <f t="shared" si="225"/>
        <v>0</v>
      </c>
      <c r="M750" s="89">
        <f>SUM('WATER_STEAM RATIO'!Q750)</f>
        <v>0</v>
      </c>
      <c r="N750" s="9">
        <f>SUM('DATA B3'!H751-'DATA B3'!H750)</f>
        <v>0</v>
      </c>
      <c r="O750" s="88">
        <f t="shared" si="226"/>
        <v>0</v>
      </c>
      <c r="P750" s="15">
        <f t="shared" si="227"/>
        <v>0</v>
      </c>
    </row>
    <row r="751" spans="3:16">
      <c r="C751" s="292"/>
      <c r="D751" s="43">
        <v>0.79166666666666596</v>
      </c>
      <c r="E751" s="5">
        <f>SUM('WATER_STEAM RATIO'!E751)</f>
        <v>0</v>
      </c>
      <c r="F751" s="9">
        <f>SUM('DATA B1'!I752-'DATA B1'!I751)+('DATA B1'!J752-'DATA B1'!J751)</f>
        <v>0</v>
      </c>
      <c r="G751" s="28">
        <f t="shared" si="222"/>
        <v>0</v>
      </c>
      <c r="H751" s="28">
        <f t="shared" si="223"/>
        <v>0</v>
      </c>
      <c r="I751" s="24">
        <f>SUM('WATER_STEAM RATIO'!K751)</f>
        <v>0</v>
      </c>
      <c r="J751" s="30">
        <f>SUM('DATA B2'!I752-'DATA B2'!I751)+('DATA B2'!J752-'DATA B2'!J751)</f>
        <v>0</v>
      </c>
      <c r="K751" s="28">
        <f t="shared" si="224"/>
        <v>0</v>
      </c>
      <c r="L751" s="28">
        <f t="shared" si="225"/>
        <v>0</v>
      </c>
      <c r="M751" s="89">
        <f>SUM('WATER_STEAM RATIO'!Q751)</f>
        <v>0</v>
      </c>
      <c r="N751" s="9">
        <f>SUM('DATA B3'!H752-'DATA B3'!H751)</f>
        <v>0</v>
      </c>
      <c r="O751" s="88">
        <f t="shared" si="226"/>
        <v>0</v>
      </c>
      <c r="P751" s="15">
        <f t="shared" si="227"/>
        <v>0</v>
      </c>
    </row>
    <row r="752" spans="3:16">
      <c r="C752" s="292"/>
      <c r="D752" s="43">
        <v>0.83333333333333304</v>
      </c>
      <c r="E752" s="5">
        <f>SUM('WATER_STEAM RATIO'!E752)</f>
        <v>0</v>
      </c>
      <c r="F752" s="9">
        <f>SUM('DATA B1'!I753-'DATA B1'!I752)+('DATA B1'!J753-'DATA B1'!J752)</f>
        <v>0</v>
      </c>
      <c r="G752" s="28">
        <f t="shared" si="222"/>
        <v>0</v>
      </c>
      <c r="H752" s="28">
        <f t="shared" si="223"/>
        <v>0</v>
      </c>
      <c r="I752" s="24">
        <f>SUM('WATER_STEAM RATIO'!K752)</f>
        <v>0</v>
      </c>
      <c r="J752" s="30">
        <f>SUM('DATA B2'!I753-'DATA B2'!I752)+('DATA B2'!J753-'DATA B2'!J752)</f>
        <v>0</v>
      </c>
      <c r="K752" s="28">
        <f t="shared" si="224"/>
        <v>0</v>
      </c>
      <c r="L752" s="28">
        <f>IFERROR((I752/18)*100,0)</f>
        <v>0</v>
      </c>
      <c r="M752" s="89">
        <f>SUM('WATER_STEAM RATIO'!Q752)</f>
        <v>0</v>
      </c>
      <c r="N752" s="9">
        <f>SUM('DATA B3'!H753-'DATA B3'!H752)</f>
        <v>0</v>
      </c>
      <c r="O752" s="88">
        <f t="shared" si="226"/>
        <v>0</v>
      </c>
      <c r="P752" s="15">
        <f t="shared" si="227"/>
        <v>0</v>
      </c>
    </row>
    <row r="753" spans="3:16">
      <c r="C753" s="292"/>
      <c r="D753" s="43">
        <v>0.875</v>
      </c>
      <c r="E753" s="5">
        <f>SUM('WATER_STEAM RATIO'!E753)</f>
        <v>0</v>
      </c>
      <c r="F753" s="9">
        <f>SUM('DATA B1'!I754-'DATA B1'!I753)+('DATA B1'!J754-'DATA B1'!J753)</f>
        <v>0</v>
      </c>
      <c r="G753" s="28">
        <f t="shared" si="222"/>
        <v>0</v>
      </c>
      <c r="H753" s="28">
        <f t="shared" si="223"/>
        <v>0</v>
      </c>
      <c r="I753" s="24">
        <f>SUM('WATER_STEAM RATIO'!K753)</f>
        <v>0</v>
      </c>
      <c r="J753" s="30">
        <f>SUM('DATA B2'!I754-'DATA B2'!I753)+('DATA B2'!J754-'DATA B2'!J753)</f>
        <v>0</v>
      </c>
      <c r="K753" s="28">
        <f t="shared" si="224"/>
        <v>0</v>
      </c>
      <c r="L753" s="28">
        <f t="shared" ref="L753:L763" si="228">IFERROR((I753/18)*100,0)</f>
        <v>0</v>
      </c>
      <c r="M753" s="89">
        <f>SUM('WATER_STEAM RATIO'!Q753)</f>
        <v>0</v>
      </c>
      <c r="N753" s="9">
        <f>SUM('DATA B3'!H754-'DATA B3'!H753)</f>
        <v>0</v>
      </c>
      <c r="O753" s="88">
        <f t="shared" si="226"/>
        <v>0</v>
      </c>
      <c r="P753" s="15">
        <f t="shared" si="227"/>
        <v>0</v>
      </c>
    </row>
    <row r="754" spans="3:16">
      <c r="C754" s="292"/>
      <c r="D754" s="43">
        <v>0.91666666666666596</v>
      </c>
      <c r="E754" s="5">
        <f>SUM('WATER_STEAM RATIO'!E754)</f>
        <v>0</v>
      </c>
      <c r="F754" s="9">
        <f>SUM('DATA B1'!I755-'DATA B1'!I754)+('DATA B1'!J755-'DATA B1'!J754)</f>
        <v>0</v>
      </c>
      <c r="G754" s="28">
        <f t="shared" si="222"/>
        <v>0</v>
      </c>
      <c r="H754" s="28">
        <f t="shared" si="223"/>
        <v>0</v>
      </c>
      <c r="I754" s="24">
        <f>SUM('WATER_STEAM RATIO'!K754)</f>
        <v>0</v>
      </c>
      <c r="J754" s="30">
        <f>SUM('DATA B2'!I755-'DATA B2'!I754)+('DATA B2'!J755-'DATA B2'!J754)</f>
        <v>0</v>
      </c>
      <c r="K754" s="28">
        <f t="shared" si="224"/>
        <v>0</v>
      </c>
      <c r="L754" s="28">
        <f t="shared" si="228"/>
        <v>0</v>
      </c>
      <c r="M754" s="89">
        <f>SUM('WATER_STEAM RATIO'!Q754)</f>
        <v>0</v>
      </c>
      <c r="N754" s="9">
        <f>SUM('DATA B3'!H755-'DATA B3'!H754)</f>
        <v>0</v>
      </c>
      <c r="O754" s="88">
        <f t="shared" si="226"/>
        <v>0</v>
      </c>
      <c r="P754" s="15">
        <f>IFERROR((M754/16)*100,0)</f>
        <v>0</v>
      </c>
    </row>
    <row r="755" spans="3:16">
      <c r="C755" s="292"/>
      <c r="D755" s="43">
        <v>0.95833333333333304</v>
      </c>
      <c r="E755" s="5">
        <f>SUM('WATER_STEAM RATIO'!E755)</f>
        <v>0</v>
      </c>
      <c r="F755" s="9">
        <f>SUM('DATA B1'!I756-'DATA B1'!I755)+('DATA B1'!J756-'DATA B1'!J755)</f>
        <v>0</v>
      </c>
      <c r="G755" s="28">
        <f t="shared" si="222"/>
        <v>0</v>
      </c>
      <c r="H755" s="28">
        <f t="shared" si="223"/>
        <v>0</v>
      </c>
      <c r="I755" s="24">
        <f>SUM('WATER_STEAM RATIO'!K755)</f>
        <v>0</v>
      </c>
      <c r="J755" s="30">
        <f>SUM('DATA B2'!I756-'DATA B2'!I755)+('DATA B2'!J756-'DATA B2'!J755)</f>
        <v>0</v>
      </c>
      <c r="K755" s="28">
        <f t="shared" si="224"/>
        <v>0</v>
      </c>
      <c r="L755" s="28">
        <f t="shared" si="228"/>
        <v>0</v>
      </c>
      <c r="M755" s="89">
        <f>SUM('WATER_STEAM RATIO'!Q755)</f>
        <v>0</v>
      </c>
      <c r="N755" s="9">
        <f>SUM('DATA B3'!H756-'DATA B3'!H755)</f>
        <v>0</v>
      </c>
      <c r="O755" s="88">
        <f t="shared" si="226"/>
        <v>0</v>
      </c>
      <c r="P755" s="15">
        <f t="shared" si="227"/>
        <v>0</v>
      </c>
    </row>
    <row r="756" spans="3:16">
      <c r="C756" s="292"/>
      <c r="D756" s="43">
        <v>1</v>
      </c>
      <c r="E756" s="5">
        <f>SUM('WATER_STEAM RATIO'!E756)</f>
        <v>0</v>
      </c>
      <c r="F756" s="9">
        <f>SUM('DATA B1'!I757-'DATA B1'!I756)+('DATA B1'!J757-'DATA B1'!J756)</f>
        <v>0</v>
      </c>
      <c r="G756" s="28">
        <f t="shared" si="222"/>
        <v>0</v>
      </c>
      <c r="H756" s="28">
        <f t="shared" si="223"/>
        <v>0</v>
      </c>
      <c r="I756" s="24">
        <f>SUM('WATER_STEAM RATIO'!K756)</f>
        <v>0</v>
      </c>
      <c r="J756" s="30">
        <f>SUM('DATA B2'!I757-'DATA B2'!I756)+('DATA B2'!J757-'DATA B2'!J756)</f>
        <v>0</v>
      </c>
      <c r="K756" s="28">
        <f t="shared" si="224"/>
        <v>0</v>
      </c>
      <c r="L756" s="28">
        <f t="shared" si="228"/>
        <v>0</v>
      </c>
      <c r="M756" s="89">
        <f>SUM('WATER_STEAM RATIO'!Q756)</f>
        <v>0</v>
      </c>
      <c r="N756" s="9">
        <f>SUM('DATA B3'!H757-'DATA B3'!H756)</f>
        <v>0</v>
      </c>
      <c r="O756" s="88">
        <f t="shared" si="226"/>
        <v>0</v>
      </c>
      <c r="P756" s="15">
        <f t="shared" si="227"/>
        <v>0</v>
      </c>
    </row>
    <row r="757" spans="3:16">
      <c r="C757" s="292"/>
      <c r="D757" s="43">
        <v>1.0416666666666701</v>
      </c>
      <c r="E757" s="5">
        <f>SUM('WATER_STEAM RATIO'!E757)</f>
        <v>0</v>
      </c>
      <c r="F757" s="9">
        <f>SUM('DATA B1'!I758-'DATA B1'!I757)+('DATA B1'!J758-'DATA B1'!J757)</f>
        <v>0</v>
      </c>
      <c r="G757" s="28">
        <f t="shared" si="222"/>
        <v>0</v>
      </c>
      <c r="H757" s="28">
        <f t="shared" si="223"/>
        <v>0</v>
      </c>
      <c r="I757" s="24">
        <f>SUM('WATER_STEAM RATIO'!K757)</f>
        <v>0</v>
      </c>
      <c r="J757" s="30">
        <f>SUM('DATA B2'!I758-'DATA B2'!I757)+('DATA B2'!J758-'DATA B2'!J757)</f>
        <v>0</v>
      </c>
      <c r="K757" s="28">
        <f t="shared" si="224"/>
        <v>0</v>
      </c>
      <c r="L757" s="28">
        <f t="shared" si="228"/>
        <v>0</v>
      </c>
      <c r="M757" s="89">
        <f>SUM('WATER_STEAM RATIO'!Q757)</f>
        <v>0</v>
      </c>
      <c r="N757" s="9">
        <f>SUM('DATA B3'!H758-'DATA B3'!H757)</f>
        <v>0</v>
      </c>
      <c r="O757" s="88">
        <f t="shared" si="226"/>
        <v>0</v>
      </c>
      <c r="P757" s="15">
        <f t="shared" si="227"/>
        <v>0</v>
      </c>
    </row>
    <row r="758" spans="3:16">
      <c r="C758" s="292"/>
      <c r="D758" s="43">
        <v>1.0833333333333399</v>
      </c>
      <c r="E758" s="5">
        <f>SUM('WATER_STEAM RATIO'!E758)</f>
        <v>0</v>
      </c>
      <c r="F758" s="9">
        <f>SUM('DATA B1'!I759-'DATA B1'!I758)+('DATA B1'!J759-'DATA B1'!J758)</f>
        <v>0</v>
      </c>
      <c r="G758" s="28">
        <f t="shared" si="222"/>
        <v>0</v>
      </c>
      <c r="H758" s="28">
        <f t="shared" si="223"/>
        <v>0</v>
      </c>
      <c r="I758" s="24">
        <f>SUM('WATER_STEAM RATIO'!K758)</f>
        <v>0</v>
      </c>
      <c r="J758" s="30">
        <f>SUM('DATA B2'!I759-'DATA B2'!I758)+('DATA B2'!J759-'DATA B2'!J758)</f>
        <v>0</v>
      </c>
      <c r="K758" s="28">
        <f t="shared" si="224"/>
        <v>0</v>
      </c>
      <c r="L758" s="28">
        <f t="shared" si="228"/>
        <v>0</v>
      </c>
      <c r="M758" s="89">
        <f>SUM('WATER_STEAM RATIO'!Q758)</f>
        <v>0</v>
      </c>
      <c r="N758" s="9">
        <f>SUM('DATA B3'!H759-'DATA B3'!H758)</f>
        <v>0</v>
      </c>
      <c r="O758" s="88">
        <f t="shared" si="226"/>
        <v>0</v>
      </c>
      <c r="P758" s="15">
        <f t="shared" si="227"/>
        <v>0</v>
      </c>
    </row>
    <row r="759" spans="3:16">
      <c r="C759" s="292"/>
      <c r="D759" s="43">
        <v>1.125</v>
      </c>
      <c r="E759" s="5">
        <f>SUM('WATER_STEAM RATIO'!E759)</f>
        <v>0</v>
      </c>
      <c r="F759" s="9">
        <f>SUM('DATA B1'!I760-'DATA B1'!I759)+('DATA B1'!J760-'DATA B1'!J759)</f>
        <v>0</v>
      </c>
      <c r="G759" s="28">
        <f t="shared" si="222"/>
        <v>0</v>
      </c>
      <c r="H759" s="28">
        <f t="shared" si="223"/>
        <v>0</v>
      </c>
      <c r="I759" s="24">
        <f>SUM('WATER_STEAM RATIO'!K759)</f>
        <v>0</v>
      </c>
      <c r="J759" s="30">
        <f>SUM('DATA B2'!I760-'DATA B2'!I759)+('DATA B2'!J760-'DATA B2'!J759)</f>
        <v>0</v>
      </c>
      <c r="K759" s="28">
        <f t="shared" si="224"/>
        <v>0</v>
      </c>
      <c r="L759" s="28">
        <f t="shared" si="228"/>
        <v>0</v>
      </c>
      <c r="M759" s="89">
        <f>SUM('WATER_STEAM RATIO'!Q759)</f>
        <v>0</v>
      </c>
      <c r="N759" s="9">
        <f>SUM('DATA B3'!H760-'DATA B3'!H759)</f>
        <v>0</v>
      </c>
      <c r="O759" s="88">
        <f t="shared" ref="O759:O763" si="229">IFERROR(N759/(M759),0)</f>
        <v>0</v>
      </c>
      <c r="P759" s="15">
        <f t="shared" si="227"/>
        <v>0</v>
      </c>
    </row>
    <row r="760" spans="3:16">
      <c r="C760" s="292"/>
      <c r="D760" s="43">
        <v>1.1666666666666701</v>
      </c>
      <c r="E760" s="5">
        <f>SUM('WATER_STEAM RATIO'!E760)</f>
        <v>0</v>
      </c>
      <c r="F760" s="9">
        <f>SUM('DATA B1'!I761-'DATA B1'!I760)+('DATA B1'!J761-'DATA B1'!J760)</f>
        <v>0</v>
      </c>
      <c r="G760" s="28">
        <f t="shared" si="222"/>
        <v>0</v>
      </c>
      <c r="H760" s="28">
        <f t="shared" si="223"/>
        <v>0</v>
      </c>
      <c r="I760" s="24">
        <f>SUM('WATER_STEAM RATIO'!K760)</f>
        <v>0</v>
      </c>
      <c r="J760" s="30">
        <f>SUM('DATA B2'!I761-'DATA B2'!I760)+('DATA B2'!J761-'DATA B2'!J760)</f>
        <v>0</v>
      </c>
      <c r="K760" s="28">
        <f>IFERROR(J760/(I760),0)</f>
        <v>0</v>
      </c>
      <c r="L760" s="28">
        <f t="shared" si="228"/>
        <v>0</v>
      </c>
      <c r="M760" s="89">
        <f>SUM('WATER_STEAM RATIO'!Q760)</f>
        <v>0</v>
      </c>
      <c r="N760" s="9">
        <f>SUM('DATA B3'!H761-'DATA B3'!H760)</f>
        <v>0</v>
      </c>
      <c r="O760" s="88">
        <f t="shared" si="229"/>
        <v>0</v>
      </c>
      <c r="P760" s="15">
        <f t="shared" si="227"/>
        <v>0</v>
      </c>
    </row>
    <row r="761" spans="3:16">
      <c r="C761" s="292"/>
      <c r="D761" s="43">
        <v>1.2083333333333399</v>
      </c>
      <c r="E761" s="5">
        <f>SUM('WATER_STEAM RATIO'!E761)</f>
        <v>0</v>
      </c>
      <c r="F761" s="9">
        <f>SUM('DATA B1'!I762-'DATA B1'!I761)+('DATA B1'!J762-'DATA B1'!J761)</f>
        <v>0</v>
      </c>
      <c r="G761" s="28">
        <f t="shared" si="222"/>
        <v>0</v>
      </c>
      <c r="H761" s="28">
        <f t="shared" si="223"/>
        <v>0</v>
      </c>
      <c r="I761" s="24">
        <f>SUM('WATER_STEAM RATIO'!K761)</f>
        <v>0</v>
      </c>
      <c r="J761" s="30">
        <f>SUM('DATA B2'!I762-'DATA B2'!I761)+('DATA B2'!J762-'DATA B2'!J761)</f>
        <v>0</v>
      </c>
      <c r="K761" s="28">
        <f>IFERROR(J761/(I761),0)</f>
        <v>0</v>
      </c>
      <c r="L761" s="28">
        <f t="shared" si="228"/>
        <v>0</v>
      </c>
      <c r="M761" s="89">
        <f>SUM('WATER_STEAM RATIO'!Q761)</f>
        <v>0</v>
      </c>
      <c r="N761" s="9">
        <f>SUM('DATA B3'!H762-'DATA B3'!H761)</f>
        <v>0</v>
      </c>
      <c r="O761" s="88">
        <f t="shared" si="229"/>
        <v>0</v>
      </c>
      <c r="P761" s="15">
        <f t="shared" si="227"/>
        <v>0</v>
      </c>
    </row>
    <row r="762" spans="3:16">
      <c r="C762" s="292"/>
      <c r="D762" s="43">
        <v>1.25</v>
      </c>
      <c r="E762" s="5">
        <f>SUM('WATER_STEAM RATIO'!E762)</f>
        <v>0</v>
      </c>
      <c r="F762" s="9">
        <f>SUM('DATA B1'!I763-'DATA B1'!I762)+('DATA B1'!J763-'DATA B1'!J762)</f>
        <v>0</v>
      </c>
      <c r="G762" s="28">
        <f t="shared" si="222"/>
        <v>0</v>
      </c>
      <c r="H762" s="28">
        <f t="shared" si="223"/>
        <v>0</v>
      </c>
      <c r="I762" s="24">
        <f>SUM('WATER_STEAM RATIO'!K762)</f>
        <v>0</v>
      </c>
      <c r="J762" s="30">
        <f>SUM('DATA B2'!I763-'DATA B2'!I762)+('DATA B2'!J763-'DATA B2'!J762)</f>
        <v>0</v>
      </c>
      <c r="K762" s="28">
        <f>IFERROR(J762/(I762),0)</f>
        <v>0</v>
      </c>
      <c r="L762" s="28">
        <f t="shared" si="228"/>
        <v>0</v>
      </c>
      <c r="M762" s="89">
        <f>SUM('WATER_STEAM RATIO'!Q762)</f>
        <v>0</v>
      </c>
      <c r="N762" s="9">
        <f>SUM('DATA B3'!H763-'DATA B3'!H762)</f>
        <v>0</v>
      </c>
      <c r="O762" s="88">
        <f t="shared" si="229"/>
        <v>0</v>
      </c>
      <c r="P762" s="15">
        <f t="shared" si="227"/>
        <v>0</v>
      </c>
    </row>
    <row r="763" spans="3:16">
      <c r="C763" s="292"/>
      <c r="D763" s="43">
        <v>1.2916666666666701</v>
      </c>
      <c r="E763" s="5">
        <f>SUM('WATER_STEAM RATIO'!E763)</f>
        <v>0</v>
      </c>
      <c r="F763" s="9">
        <f>SUM('DATA B1'!I764-'DATA B1'!I763)+('DATA B1'!J764-'DATA B1'!J763)</f>
        <v>0</v>
      </c>
      <c r="G763" s="28">
        <f t="shared" si="222"/>
        <v>0</v>
      </c>
      <c r="H763" s="28">
        <f t="shared" si="223"/>
        <v>0</v>
      </c>
      <c r="I763" s="24">
        <f>SUM('WATER_STEAM RATIO'!K763)</f>
        <v>0</v>
      </c>
      <c r="J763" s="30">
        <f>SUM('DATA B2'!I764-'DATA B2'!I763)+('DATA B2'!J764-'DATA B2'!J763)</f>
        <v>0</v>
      </c>
      <c r="K763" s="28">
        <f>IFERROR(J763/(I763),0)</f>
        <v>0</v>
      </c>
      <c r="L763" s="28">
        <f t="shared" si="228"/>
        <v>0</v>
      </c>
      <c r="M763" s="89">
        <f>SUM('WATER_STEAM RATIO'!Q763)</f>
        <v>0</v>
      </c>
      <c r="N763" s="9">
        <f>SUM('DATA B3'!H764-'DATA B3'!H763)</f>
        <v>0</v>
      </c>
      <c r="O763" s="88">
        <f t="shared" si="229"/>
        <v>0</v>
      </c>
      <c r="P763" s="15">
        <f t="shared" si="227"/>
        <v>0</v>
      </c>
    </row>
    <row r="764" spans="3:16">
      <c r="C764" s="293"/>
      <c r="D764" s="258"/>
      <c r="E764" s="91">
        <f>SUMIF(E739:E763,"&gt;=0",E739:E763)</f>
        <v>0</v>
      </c>
      <c r="F764" s="91">
        <f>SUMIF(F739:F763,"&gt;=0",F739:F763)</f>
        <v>0</v>
      </c>
      <c r="G764" s="54">
        <f>IFERROR(F764/E764,0)</f>
        <v>0</v>
      </c>
      <c r="H764" s="54">
        <f>IFERROR(AVERAGE(H740:H763),0)</f>
        <v>0</v>
      </c>
      <c r="I764" s="91">
        <f>SUMIF(I739:I763,"&gt;=0",I739:I763)</f>
        <v>0</v>
      </c>
      <c r="J764" s="91">
        <f>SUMIF(J739:J763,"&gt;=0",J739:J763)</f>
        <v>0</v>
      </c>
      <c r="K764" s="54">
        <f>IFERROR(J764/(I764),0)</f>
        <v>0</v>
      </c>
      <c r="L764" s="54">
        <f>IFERROR(AVERAGE(L740:L763),0)</f>
        <v>0</v>
      </c>
      <c r="M764" s="91">
        <f>SUMIF(M739:M763,"&gt;=0",M739:M763)</f>
        <v>0</v>
      </c>
      <c r="N764" s="91">
        <f>SUMIF(N739:N763,"&gt;=0",N739:N763)</f>
        <v>0</v>
      </c>
      <c r="O764" s="239">
        <f>IFERROR(N764/(M764),0)</f>
        <v>0</v>
      </c>
      <c r="P764" s="215">
        <f>IFERROR(AVERAGE(P740:P763),0)</f>
        <v>0</v>
      </c>
    </row>
    <row r="765" spans="3:16" ht="15" customHeight="1">
      <c r="C765" s="291">
        <f>SUM('WATER_STEAM RATIO'!B765:B790)</f>
        <v>46052</v>
      </c>
      <c r="D765" s="43">
        <v>0.29166666666666669</v>
      </c>
      <c r="E765" s="5">
        <f>SUM('WATER_STEAM RATIO'!E765)</f>
        <v>0</v>
      </c>
      <c r="F765" s="9"/>
      <c r="G765" s="28"/>
      <c r="H765" s="28"/>
      <c r="I765" s="24">
        <f>SUM('WATER_STEAM RATIO'!K765)</f>
        <v>0</v>
      </c>
      <c r="J765" s="30"/>
      <c r="K765" s="28"/>
      <c r="L765" s="28"/>
      <c r="M765" s="89">
        <f>SUM('WATER_STEAM RATIO'!Q765)</f>
        <v>0</v>
      </c>
      <c r="N765" s="9"/>
      <c r="O765" s="88"/>
      <c r="P765" s="15"/>
    </row>
    <row r="766" spans="3:16">
      <c r="C766" s="292"/>
      <c r="D766" s="43">
        <v>0.33333333333333298</v>
      </c>
      <c r="E766" s="5">
        <f>SUM('WATER_STEAM RATIO'!E766)</f>
        <v>0</v>
      </c>
      <c r="F766" s="9">
        <f>SUM('DATA B1'!I767-'DATA B1'!I766)+('DATA B1'!J767-'DATA B1'!J766)</f>
        <v>0</v>
      </c>
      <c r="G766" s="28">
        <f>IFERROR(F766/(E766),0)</f>
        <v>0</v>
      </c>
      <c r="H766" s="28">
        <f>IFERROR((E766/18)*100,0)</f>
        <v>0</v>
      </c>
      <c r="I766" s="24">
        <f>SUM('WATER_STEAM RATIO'!K766)</f>
        <v>0</v>
      </c>
      <c r="J766" s="30">
        <f>SUM('DATA B2'!I767-'DATA B2'!I766)+('DATA B2'!J767-'DATA B2'!J766)</f>
        <v>0</v>
      </c>
      <c r="K766" s="28">
        <f>IFERROR(J766/(I766),0)</f>
        <v>0</v>
      </c>
      <c r="L766" s="28">
        <f>IFERROR((I766/18)*100,0)</f>
        <v>0</v>
      </c>
      <c r="M766" s="89">
        <f>SUM('WATER_STEAM RATIO'!Q766)</f>
        <v>0</v>
      </c>
      <c r="N766" s="9">
        <f>SUM('DATA B3'!H767-'DATA B3'!H766)</f>
        <v>0</v>
      </c>
      <c r="O766" s="88">
        <f>IFERROR(N766/(M766),0)</f>
        <v>0</v>
      </c>
      <c r="P766" s="15">
        <f>IFERROR((M766/16)*100,0)</f>
        <v>0</v>
      </c>
    </row>
    <row r="767" spans="3:16">
      <c r="C767" s="292"/>
      <c r="D767" s="43">
        <v>0.375</v>
      </c>
      <c r="E767" s="5">
        <f>SUM('WATER_STEAM RATIO'!E767)</f>
        <v>0</v>
      </c>
      <c r="F767" s="9">
        <f>SUM('DATA B1'!I768-'DATA B1'!I767)+('DATA B1'!J768-'DATA B1'!J767)</f>
        <v>0</v>
      </c>
      <c r="G767" s="28">
        <f t="shared" ref="G767:G789" si="230">IFERROR(F767/(E767),0)</f>
        <v>0</v>
      </c>
      <c r="H767" s="28">
        <f t="shared" ref="H767:H789" si="231">IFERROR((E767/18)*100,0)</f>
        <v>0</v>
      </c>
      <c r="I767" s="24">
        <f>SUM('WATER_STEAM RATIO'!K767)</f>
        <v>0</v>
      </c>
      <c r="J767" s="30">
        <f>SUM('DATA B2'!I768-'DATA B2'!I767)+('DATA B2'!J768-'DATA B2'!J767)</f>
        <v>0</v>
      </c>
      <c r="K767" s="28">
        <f t="shared" ref="K767:K785" si="232">IFERROR(J767/(I767),0)</f>
        <v>0</v>
      </c>
      <c r="L767" s="28">
        <f t="shared" ref="L767:L777" si="233">IFERROR((I767/18)*100,0)</f>
        <v>0</v>
      </c>
      <c r="M767" s="89">
        <f>SUM('WATER_STEAM RATIO'!Q767)</f>
        <v>0</v>
      </c>
      <c r="N767" s="9">
        <f>SUM('DATA B3'!H768-'DATA B3'!H767)</f>
        <v>0</v>
      </c>
      <c r="O767" s="88">
        <f t="shared" ref="O767:O784" si="234">IFERROR(N767/(M767),0)</f>
        <v>0</v>
      </c>
      <c r="P767" s="15">
        <f t="shared" ref="P767:P789" si="235">IFERROR((M767/16)*100,0)</f>
        <v>0</v>
      </c>
    </row>
    <row r="768" spans="3:16">
      <c r="C768" s="292"/>
      <c r="D768" s="43">
        <v>0.41666666666666702</v>
      </c>
      <c r="E768" s="5">
        <f>SUM('WATER_STEAM RATIO'!E768)</f>
        <v>0</v>
      </c>
      <c r="F768" s="9">
        <f>SUM('DATA B1'!I769-'DATA B1'!I768)+('DATA B1'!J769-'DATA B1'!J768)</f>
        <v>0</v>
      </c>
      <c r="G768" s="28">
        <f t="shared" si="230"/>
        <v>0</v>
      </c>
      <c r="H768" s="28">
        <f t="shared" si="231"/>
        <v>0</v>
      </c>
      <c r="I768" s="24">
        <f>SUM('WATER_STEAM RATIO'!K768)</f>
        <v>0</v>
      </c>
      <c r="J768" s="30">
        <f>SUM('DATA B2'!I769-'DATA B2'!I768)+('DATA B2'!J769-'DATA B2'!J768)</f>
        <v>0</v>
      </c>
      <c r="K768" s="28">
        <f t="shared" si="232"/>
        <v>0</v>
      </c>
      <c r="L768" s="28">
        <f t="shared" si="233"/>
        <v>0</v>
      </c>
      <c r="M768" s="89">
        <f>SUM('WATER_STEAM RATIO'!Q768)</f>
        <v>0</v>
      </c>
      <c r="N768" s="9">
        <f>SUM('DATA B3'!H769-'DATA B3'!H768)</f>
        <v>0</v>
      </c>
      <c r="O768" s="88">
        <f t="shared" si="234"/>
        <v>0</v>
      </c>
      <c r="P768" s="15">
        <f t="shared" si="235"/>
        <v>0</v>
      </c>
    </row>
    <row r="769" spans="3:16">
      <c r="C769" s="292"/>
      <c r="D769" s="43">
        <v>0.45833333333333298</v>
      </c>
      <c r="E769" s="5">
        <f>SUM('WATER_STEAM RATIO'!E769)</f>
        <v>0</v>
      </c>
      <c r="F769" s="9">
        <f>SUM('DATA B1'!I770-'DATA B1'!I769)+('DATA B1'!J770-'DATA B1'!J769)</f>
        <v>0</v>
      </c>
      <c r="G769" s="28">
        <f t="shared" si="230"/>
        <v>0</v>
      </c>
      <c r="H769" s="28">
        <f t="shared" si="231"/>
        <v>0</v>
      </c>
      <c r="I769" s="24">
        <f>SUM('WATER_STEAM RATIO'!K769)</f>
        <v>0</v>
      </c>
      <c r="J769" s="30">
        <f>SUM('DATA B2'!I770-'DATA B2'!I769)+('DATA B2'!J770-'DATA B2'!J769)</f>
        <v>0</v>
      </c>
      <c r="K769" s="28">
        <f t="shared" si="232"/>
        <v>0</v>
      </c>
      <c r="L769" s="28">
        <f t="shared" si="233"/>
        <v>0</v>
      </c>
      <c r="M769" s="89">
        <f>SUM('WATER_STEAM RATIO'!Q769)</f>
        <v>0</v>
      </c>
      <c r="N769" s="9">
        <f>SUM('DATA B3'!H770-'DATA B3'!H769)</f>
        <v>0</v>
      </c>
      <c r="O769" s="88">
        <f t="shared" si="234"/>
        <v>0</v>
      </c>
      <c r="P769" s="15">
        <f t="shared" si="235"/>
        <v>0</v>
      </c>
    </row>
    <row r="770" spans="3:16">
      <c r="C770" s="292"/>
      <c r="D770" s="43">
        <v>0.5</v>
      </c>
      <c r="E770" s="5">
        <f>SUM('WATER_STEAM RATIO'!E770)</f>
        <v>0</v>
      </c>
      <c r="F770" s="9">
        <f>SUM('DATA B1'!I771-'DATA B1'!I770)+('DATA B1'!J771-'DATA B1'!J770)</f>
        <v>0</v>
      </c>
      <c r="G770" s="28">
        <f t="shared" si="230"/>
        <v>0</v>
      </c>
      <c r="H770" s="28">
        <f t="shared" si="231"/>
        <v>0</v>
      </c>
      <c r="I770" s="24">
        <f>SUM('WATER_STEAM RATIO'!K770)</f>
        <v>0</v>
      </c>
      <c r="J770" s="30">
        <f>SUM('DATA B2'!I771-'DATA B2'!I770)+('DATA B2'!J771-'DATA B2'!J770)</f>
        <v>0</v>
      </c>
      <c r="K770" s="28">
        <f t="shared" si="232"/>
        <v>0</v>
      </c>
      <c r="L770" s="28">
        <f t="shared" si="233"/>
        <v>0</v>
      </c>
      <c r="M770" s="89">
        <f>SUM('WATER_STEAM RATIO'!Q770)</f>
        <v>0</v>
      </c>
      <c r="N770" s="9">
        <f>SUM('DATA B3'!H771-'DATA B3'!H770)</f>
        <v>0</v>
      </c>
      <c r="O770" s="88">
        <f t="shared" si="234"/>
        <v>0</v>
      </c>
      <c r="P770" s="15">
        <f t="shared" si="235"/>
        <v>0</v>
      </c>
    </row>
    <row r="771" spans="3:16">
      <c r="C771" s="292"/>
      <c r="D771" s="43">
        <v>0.54166666666666696</v>
      </c>
      <c r="E771" s="5">
        <f>SUM('WATER_STEAM RATIO'!E771)</f>
        <v>0</v>
      </c>
      <c r="F771" s="9">
        <f>SUM('DATA B1'!I772-'DATA B1'!I771)+('DATA B1'!J772-'DATA B1'!J771)</f>
        <v>0</v>
      </c>
      <c r="G771" s="28">
        <f t="shared" si="230"/>
        <v>0</v>
      </c>
      <c r="H771" s="28">
        <f t="shared" si="231"/>
        <v>0</v>
      </c>
      <c r="I771" s="24">
        <f>SUM('WATER_STEAM RATIO'!K771)</f>
        <v>0</v>
      </c>
      <c r="J771" s="30">
        <f>SUM('DATA B2'!I772-'DATA B2'!I771)+('DATA B2'!J772-'DATA B2'!J771)</f>
        <v>0</v>
      </c>
      <c r="K771" s="28">
        <f t="shared" si="232"/>
        <v>0</v>
      </c>
      <c r="L771" s="28">
        <f t="shared" si="233"/>
        <v>0</v>
      </c>
      <c r="M771" s="89">
        <f>SUM('WATER_STEAM RATIO'!Q771)</f>
        <v>0</v>
      </c>
      <c r="N771" s="9">
        <f>SUM('DATA B3'!H772-'DATA B3'!H771)</f>
        <v>0</v>
      </c>
      <c r="O771" s="88">
        <f t="shared" si="234"/>
        <v>0</v>
      </c>
      <c r="P771" s="15">
        <f t="shared" si="235"/>
        <v>0</v>
      </c>
    </row>
    <row r="772" spans="3:16">
      <c r="C772" s="292"/>
      <c r="D772" s="43">
        <v>0.58333333333333304</v>
      </c>
      <c r="E772" s="5">
        <f>SUM('WATER_STEAM RATIO'!E772)</f>
        <v>0</v>
      </c>
      <c r="F772" s="9">
        <f>SUM('DATA B1'!I773-'DATA B1'!I772)+('DATA B1'!J773-'DATA B1'!J772)</f>
        <v>0</v>
      </c>
      <c r="G772" s="28">
        <f t="shared" si="230"/>
        <v>0</v>
      </c>
      <c r="H772" s="28">
        <f t="shared" si="231"/>
        <v>0</v>
      </c>
      <c r="I772" s="24">
        <f>SUM('WATER_STEAM RATIO'!K772)</f>
        <v>0</v>
      </c>
      <c r="J772" s="30">
        <f>SUM('DATA B2'!I773-'DATA B2'!I772)+('DATA B2'!J773-'DATA B2'!J772)</f>
        <v>0</v>
      </c>
      <c r="K772" s="28">
        <f t="shared" si="232"/>
        <v>0</v>
      </c>
      <c r="L772" s="28">
        <f t="shared" si="233"/>
        <v>0</v>
      </c>
      <c r="M772" s="89">
        <f>SUM('WATER_STEAM RATIO'!Q772)</f>
        <v>0</v>
      </c>
      <c r="N772" s="9">
        <f>SUM('DATA B3'!H773-'DATA B3'!H772)</f>
        <v>0</v>
      </c>
      <c r="O772" s="88">
        <f t="shared" si="234"/>
        <v>0</v>
      </c>
      <c r="P772" s="15">
        <f t="shared" si="235"/>
        <v>0</v>
      </c>
    </row>
    <row r="773" spans="3:16">
      <c r="C773" s="292"/>
      <c r="D773" s="43">
        <v>0.625</v>
      </c>
      <c r="E773" s="5">
        <f>SUM('WATER_STEAM RATIO'!E773)</f>
        <v>0</v>
      </c>
      <c r="F773" s="9">
        <f>SUM('DATA B1'!I774-'DATA B1'!I773)+('DATA B1'!J774-'DATA B1'!J773)</f>
        <v>0</v>
      </c>
      <c r="G773" s="28">
        <f t="shared" si="230"/>
        <v>0</v>
      </c>
      <c r="H773" s="28">
        <f t="shared" si="231"/>
        <v>0</v>
      </c>
      <c r="I773" s="24">
        <f>SUM('WATER_STEAM RATIO'!K773)</f>
        <v>0</v>
      </c>
      <c r="J773" s="30">
        <f>SUM('DATA B2'!I774-'DATA B2'!I773)+('DATA B2'!J774-'DATA B2'!J773)</f>
        <v>0</v>
      </c>
      <c r="K773" s="28">
        <f t="shared" si="232"/>
        <v>0</v>
      </c>
      <c r="L773" s="28">
        <f t="shared" si="233"/>
        <v>0</v>
      </c>
      <c r="M773" s="89">
        <f>SUM('WATER_STEAM RATIO'!Q773)</f>
        <v>0</v>
      </c>
      <c r="N773" s="9">
        <f>SUM('DATA B3'!H774-'DATA B3'!H773)</f>
        <v>0</v>
      </c>
      <c r="O773" s="88">
        <f t="shared" si="234"/>
        <v>0</v>
      </c>
      <c r="P773" s="15">
        <f t="shared" si="235"/>
        <v>0</v>
      </c>
    </row>
    <row r="774" spans="3:16">
      <c r="C774" s="292"/>
      <c r="D774" s="43">
        <v>0.66666666666666596</v>
      </c>
      <c r="E774" s="5">
        <f>SUM('WATER_STEAM RATIO'!E774)</f>
        <v>0</v>
      </c>
      <c r="F774" s="9">
        <f>SUM('DATA B1'!I775-'DATA B1'!I774)+('DATA B1'!J775-'DATA B1'!J774)</f>
        <v>0</v>
      </c>
      <c r="G774" s="28">
        <f t="shared" si="230"/>
        <v>0</v>
      </c>
      <c r="H774" s="28">
        <f t="shared" si="231"/>
        <v>0</v>
      </c>
      <c r="I774" s="24">
        <f>SUM('WATER_STEAM RATIO'!K774)</f>
        <v>0</v>
      </c>
      <c r="J774" s="30">
        <f>SUM('DATA B2'!I775-'DATA B2'!I774)+('DATA B2'!J775-'DATA B2'!J774)</f>
        <v>0</v>
      </c>
      <c r="K774" s="28">
        <f t="shared" si="232"/>
        <v>0</v>
      </c>
      <c r="L774" s="28">
        <f t="shared" si="233"/>
        <v>0</v>
      </c>
      <c r="M774" s="89">
        <f>SUM('WATER_STEAM RATIO'!Q774)</f>
        <v>0</v>
      </c>
      <c r="N774" s="9">
        <f>SUM('DATA B3'!H775-'DATA B3'!H774)</f>
        <v>0</v>
      </c>
      <c r="O774" s="88">
        <f t="shared" si="234"/>
        <v>0</v>
      </c>
      <c r="P774" s="15">
        <f t="shared" si="235"/>
        <v>0</v>
      </c>
    </row>
    <row r="775" spans="3:16">
      <c r="C775" s="292"/>
      <c r="D775" s="43">
        <v>0.70833333333333304</v>
      </c>
      <c r="E775" s="5">
        <f>SUM('WATER_STEAM RATIO'!E775)</f>
        <v>0</v>
      </c>
      <c r="F775" s="9">
        <f>SUM('DATA B1'!I776-'DATA B1'!I775)+('DATA B1'!J776-'DATA B1'!J775)</f>
        <v>0</v>
      </c>
      <c r="G775" s="28">
        <f t="shared" si="230"/>
        <v>0</v>
      </c>
      <c r="H775" s="28">
        <f t="shared" si="231"/>
        <v>0</v>
      </c>
      <c r="I775" s="24">
        <f>SUM('WATER_STEAM RATIO'!K775)</f>
        <v>0</v>
      </c>
      <c r="J775" s="30">
        <f>SUM('DATA B2'!I776-'DATA B2'!I775)+('DATA B2'!J776-'DATA B2'!J775)</f>
        <v>0</v>
      </c>
      <c r="K775" s="28">
        <f t="shared" si="232"/>
        <v>0</v>
      </c>
      <c r="L775" s="28">
        <f t="shared" si="233"/>
        <v>0</v>
      </c>
      <c r="M775" s="89">
        <f>SUM('WATER_STEAM RATIO'!Q775)</f>
        <v>0</v>
      </c>
      <c r="N775" s="9">
        <f>SUM('DATA B3'!H776-'DATA B3'!H775)</f>
        <v>0</v>
      </c>
      <c r="O775" s="88">
        <f t="shared" si="234"/>
        <v>0</v>
      </c>
      <c r="P775" s="15">
        <f t="shared" si="235"/>
        <v>0</v>
      </c>
    </row>
    <row r="776" spans="3:16">
      <c r="C776" s="292"/>
      <c r="D776" s="43">
        <v>0.75</v>
      </c>
      <c r="E776" s="5">
        <f>SUM('WATER_STEAM RATIO'!E776)</f>
        <v>0</v>
      </c>
      <c r="F776" s="9">
        <f>SUM('DATA B1'!I777-'DATA B1'!I776)+('DATA B1'!J777-'DATA B1'!J776)</f>
        <v>0</v>
      </c>
      <c r="G776" s="28">
        <f t="shared" si="230"/>
        <v>0</v>
      </c>
      <c r="H776" s="28">
        <f t="shared" si="231"/>
        <v>0</v>
      </c>
      <c r="I776" s="24">
        <f>SUM('WATER_STEAM RATIO'!K776)</f>
        <v>0</v>
      </c>
      <c r="J776" s="30">
        <f>SUM('DATA B2'!I777-'DATA B2'!I776)+('DATA B2'!J777-'DATA B2'!J776)</f>
        <v>0</v>
      </c>
      <c r="K776" s="28">
        <f t="shared" si="232"/>
        <v>0</v>
      </c>
      <c r="L776" s="28">
        <f t="shared" si="233"/>
        <v>0</v>
      </c>
      <c r="M776" s="89">
        <f>SUM('WATER_STEAM RATIO'!Q776)</f>
        <v>0</v>
      </c>
      <c r="N776" s="9">
        <f>SUM('DATA B3'!H777-'DATA B3'!H776)</f>
        <v>0</v>
      </c>
      <c r="O776" s="88">
        <f t="shared" si="234"/>
        <v>0</v>
      </c>
      <c r="P776" s="15">
        <f t="shared" si="235"/>
        <v>0</v>
      </c>
    </row>
    <row r="777" spans="3:16">
      <c r="C777" s="292"/>
      <c r="D777" s="43">
        <v>0.79166666666666596</v>
      </c>
      <c r="E777" s="5">
        <f>SUM('WATER_STEAM RATIO'!E777)</f>
        <v>0</v>
      </c>
      <c r="F777" s="9">
        <f>SUM('DATA B1'!I778-'DATA B1'!I777)+('DATA B1'!J778-'DATA B1'!J777)</f>
        <v>0</v>
      </c>
      <c r="G777" s="28">
        <f t="shared" si="230"/>
        <v>0</v>
      </c>
      <c r="H777" s="28">
        <f t="shared" si="231"/>
        <v>0</v>
      </c>
      <c r="I777" s="24">
        <f>SUM('WATER_STEAM RATIO'!K777)</f>
        <v>0</v>
      </c>
      <c r="J777" s="30">
        <f>SUM('DATA B2'!I778-'DATA B2'!I777)+('DATA B2'!J778-'DATA B2'!J777)</f>
        <v>0</v>
      </c>
      <c r="K777" s="28">
        <f t="shared" si="232"/>
        <v>0</v>
      </c>
      <c r="L777" s="28">
        <f t="shared" si="233"/>
        <v>0</v>
      </c>
      <c r="M777" s="89">
        <f>SUM('WATER_STEAM RATIO'!Q777)</f>
        <v>0</v>
      </c>
      <c r="N777" s="9">
        <f>SUM('DATA B3'!H778-'DATA B3'!H777)</f>
        <v>0</v>
      </c>
      <c r="O777" s="88">
        <f t="shared" si="234"/>
        <v>0</v>
      </c>
      <c r="P777" s="15">
        <f t="shared" si="235"/>
        <v>0</v>
      </c>
    </row>
    <row r="778" spans="3:16">
      <c r="C778" s="292"/>
      <c r="D778" s="43">
        <v>0.83333333333333304</v>
      </c>
      <c r="E778" s="5">
        <f>SUM('WATER_STEAM RATIO'!E778)</f>
        <v>0</v>
      </c>
      <c r="F778" s="9">
        <f>SUM('DATA B1'!I779-'DATA B1'!I778)+('DATA B1'!J779-'DATA B1'!J778)</f>
        <v>0</v>
      </c>
      <c r="G778" s="28">
        <f t="shared" si="230"/>
        <v>0</v>
      </c>
      <c r="H778" s="28">
        <f t="shared" si="231"/>
        <v>0</v>
      </c>
      <c r="I778" s="24">
        <f>SUM('WATER_STEAM RATIO'!K778)</f>
        <v>0</v>
      </c>
      <c r="J778" s="30">
        <f>SUM('DATA B2'!I779-'DATA B2'!I778)+('DATA B2'!J779-'DATA B2'!J778)</f>
        <v>0</v>
      </c>
      <c r="K778" s="28">
        <f t="shared" si="232"/>
        <v>0</v>
      </c>
      <c r="L778" s="28">
        <f>IFERROR((I778/18)*100,0)</f>
        <v>0</v>
      </c>
      <c r="M778" s="89">
        <f>SUM('WATER_STEAM RATIO'!Q778)</f>
        <v>0</v>
      </c>
      <c r="N778" s="9">
        <f>SUM('DATA B3'!H779-'DATA B3'!H778)</f>
        <v>0</v>
      </c>
      <c r="O778" s="88">
        <f t="shared" si="234"/>
        <v>0</v>
      </c>
      <c r="P778" s="15">
        <f t="shared" si="235"/>
        <v>0</v>
      </c>
    </row>
    <row r="779" spans="3:16">
      <c r="C779" s="292"/>
      <c r="D779" s="43">
        <v>0.875</v>
      </c>
      <c r="E779" s="5">
        <f>SUM('WATER_STEAM RATIO'!E779)</f>
        <v>0</v>
      </c>
      <c r="F779" s="9">
        <f>SUM('DATA B1'!I780-'DATA B1'!I779)+('DATA B1'!J780-'DATA B1'!J779)</f>
        <v>0</v>
      </c>
      <c r="G779" s="28">
        <f t="shared" si="230"/>
        <v>0</v>
      </c>
      <c r="H779" s="28">
        <f t="shared" si="231"/>
        <v>0</v>
      </c>
      <c r="I779" s="24">
        <f>SUM('WATER_STEAM RATIO'!K779)</f>
        <v>0</v>
      </c>
      <c r="J779" s="30">
        <f>SUM('DATA B2'!I780-'DATA B2'!I779)+('DATA B2'!J780-'DATA B2'!J779)</f>
        <v>0</v>
      </c>
      <c r="K779" s="28">
        <f t="shared" si="232"/>
        <v>0</v>
      </c>
      <c r="L779" s="28">
        <f t="shared" ref="L779:L789" si="236">IFERROR((I779/18)*100,0)</f>
        <v>0</v>
      </c>
      <c r="M779" s="89">
        <f>SUM('WATER_STEAM RATIO'!Q779)</f>
        <v>0</v>
      </c>
      <c r="N779" s="9">
        <f>SUM('DATA B3'!H780-'DATA B3'!H779)</f>
        <v>0</v>
      </c>
      <c r="O779" s="88">
        <f t="shared" si="234"/>
        <v>0</v>
      </c>
      <c r="P779" s="15">
        <f t="shared" si="235"/>
        <v>0</v>
      </c>
    </row>
    <row r="780" spans="3:16">
      <c r="C780" s="292"/>
      <c r="D780" s="43">
        <v>0.91666666666666596</v>
      </c>
      <c r="E780" s="5">
        <f>SUM('WATER_STEAM RATIO'!E780)</f>
        <v>0</v>
      </c>
      <c r="F780" s="9">
        <f>SUM('DATA B1'!I781-'DATA B1'!I780)+('DATA B1'!J781-'DATA B1'!J780)</f>
        <v>0</v>
      </c>
      <c r="G780" s="28">
        <f t="shared" si="230"/>
        <v>0</v>
      </c>
      <c r="H780" s="28">
        <f t="shared" si="231"/>
        <v>0</v>
      </c>
      <c r="I780" s="24">
        <f>SUM('WATER_STEAM RATIO'!K780)</f>
        <v>0</v>
      </c>
      <c r="J780" s="30">
        <f>SUM('DATA B2'!I781-'DATA B2'!I780)+('DATA B2'!J781-'DATA B2'!J780)</f>
        <v>0</v>
      </c>
      <c r="K780" s="28">
        <f t="shared" si="232"/>
        <v>0</v>
      </c>
      <c r="L780" s="28">
        <f t="shared" si="236"/>
        <v>0</v>
      </c>
      <c r="M780" s="89">
        <f>SUM('WATER_STEAM RATIO'!Q780)</f>
        <v>0</v>
      </c>
      <c r="N780" s="9">
        <f>SUM('DATA B3'!H781-'DATA B3'!H780)</f>
        <v>0</v>
      </c>
      <c r="O780" s="88">
        <f t="shared" si="234"/>
        <v>0</v>
      </c>
      <c r="P780" s="15">
        <f>IFERROR((M780/16)*100,0)</f>
        <v>0</v>
      </c>
    </row>
    <row r="781" spans="3:16">
      <c r="C781" s="292"/>
      <c r="D781" s="43">
        <v>0.95833333333333304</v>
      </c>
      <c r="E781" s="5">
        <f>SUM('WATER_STEAM RATIO'!E781)</f>
        <v>0</v>
      </c>
      <c r="F781" s="9">
        <f>SUM('DATA B1'!I782-'DATA B1'!I781)+('DATA B1'!J782-'DATA B1'!J781)</f>
        <v>0</v>
      </c>
      <c r="G781" s="28">
        <f t="shared" si="230"/>
        <v>0</v>
      </c>
      <c r="H781" s="28">
        <f t="shared" si="231"/>
        <v>0</v>
      </c>
      <c r="I781" s="24">
        <f>SUM('WATER_STEAM RATIO'!K781)</f>
        <v>0</v>
      </c>
      <c r="J781" s="30">
        <f>SUM('DATA B2'!I782-'DATA B2'!I781)+('DATA B2'!J782-'DATA B2'!J781)</f>
        <v>0</v>
      </c>
      <c r="K781" s="28">
        <f t="shared" si="232"/>
        <v>0</v>
      </c>
      <c r="L781" s="28">
        <f t="shared" si="236"/>
        <v>0</v>
      </c>
      <c r="M781" s="89">
        <f>SUM('WATER_STEAM RATIO'!Q781)</f>
        <v>0</v>
      </c>
      <c r="N781" s="9">
        <f>SUM('DATA B3'!H782-'DATA B3'!H781)</f>
        <v>0</v>
      </c>
      <c r="O781" s="88">
        <f t="shared" si="234"/>
        <v>0</v>
      </c>
      <c r="P781" s="15">
        <f t="shared" si="235"/>
        <v>0</v>
      </c>
    </row>
    <row r="782" spans="3:16">
      <c r="C782" s="292"/>
      <c r="D782" s="43">
        <v>1</v>
      </c>
      <c r="E782" s="5">
        <f>SUM('WATER_STEAM RATIO'!E782)</f>
        <v>0</v>
      </c>
      <c r="F782" s="9">
        <f>SUM('DATA B1'!I783-'DATA B1'!I782)+('DATA B1'!J783-'DATA B1'!J782)</f>
        <v>0</v>
      </c>
      <c r="G782" s="28">
        <f t="shared" si="230"/>
        <v>0</v>
      </c>
      <c r="H782" s="28">
        <f t="shared" si="231"/>
        <v>0</v>
      </c>
      <c r="I782" s="24">
        <f>SUM('WATER_STEAM RATIO'!K782)</f>
        <v>0</v>
      </c>
      <c r="J782" s="30">
        <f>SUM('DATA B2'!I783-'DATA B2'!I782)+('DATA B2'!J783-'DATA B2'!J782)</f>
        <v>0</v>
      </c>
      <c r="K782" s="28">
        <f t="shared" si="232"/>
        <v>0</v>
      </c>
      <c r="L782" s="28">
        <f t="shared" si="236"/>
        <v>0</v>
      </c>
      <c r="M782" s="89">
        <f>SUM('WATER_STEAM RATIO'!Q782)</f>
        <v>0</v>
      </c>
      <c r="N782" s="9">
        <f>SUM('DATA B3'!H783-'DATA B3'!H782)</f>
        <v>0</v>
      </c>
      <c r="O782" s="88">
        <f t="shared" si="234"/>
        <v>0</v>
      </c>
      <c r="P782" s="15">
        <f t="shared" si="235"/>
        <v>0</v>
      </c>
    </row>
    <row r="783" spans="3:16">
      <c r="C783" s="292"/>
      <c r="D783" s="43">
        <v>1.0416666666666701</v>
      </c>
      <c r="E783" s="5">
        <f>SUM('WATER_STEAM RATIO'!E783)</f>
        <v>0</v>
      </c>
      <c r="F783" s="9">
        <f>SUM('DATA B1'!I784-'DATA B1'!I783)+('DATA B1'!J784-'DATA B1'!J783)</f>
        <v>0</v>
      </c>
      <c r="G783" s="28">
        <f t="shared" si="230"/>
        <v>0</v>
      </c>
      <c r="H783" s="28">
        <f t="shared" si="231"/>
        <v>0</v>
      </c>
      <c r="I783" s="24">
        <f>SUM('WATER_STEAM RATIO'!K783)</f>
        <v>0</v>
      </c>
      <c r="J783" s="30">
        <f>SUM('DATA B2'!I784-'DATA B2'!I783)+('DATA B2'!J784-'DATA B2'!J783)</f>
        <v>0</v>
      </c>
      <c r="K783" s="28">
        <f t="shared" si="232"/>
        <v>0</v>
      </c>
      <c r="L783" s="28">
        <f t="shared" si="236"/>
        <v>0</v>
      </c>
      <c r="M783" s="89">
        <f>SUM('WATER_STEAM RATIO'!Q783)</f>
        <v>0</v>
      </c>
      <c r="N783" s="9">
        <f>SUM('DATA B3'!H784-'DATA B3'!H783)</f>
        <v>0</v>
      </c>
      <c r="O783" s="88">
        <f t="shared" si="234"/>
        <v>0</v>
      </c>
      <c r="P783" s="15">
        <f t="shared" si="235"/>
        <v>0</v>
      </c>
    </row>
    <row r="784" spans="3:16">
      <c r="C784" s="292"/>
      <c r="D784" s="43">
        <v>1.0833333333333399</v>
      </c>
      <c r="E784" s="5">
        <f>SUM('WATER_STEAM RATIO'!E784)</f>
        <v>0</v>
      </c>
      <c r="F784" s="9">
        <f>SUM('DATA B1'!I785-'DATA B1'!I784)+('DATA B1'!J785-'DATA B1'!J784)</f>
        <v>0</v>
      </c>
      <c r="G784" s="28">
        <f t="shared" si="230"/>
        <v>0</v>
      </c>
      <c r="H784" s="28">
        <f t="shared" si="231"/>
        <v>0</v>
      </c>
      <c r="I784" s="24">
        <f>SUM('WATER_STEAM RATIO'!K784)</f>
        <v>0</v>
      </c>
      <c r="J784" s="30">
        <f>SUM('DATA B2'!I785-'DATA B2'!I784)+('DATA B2'!J785-'DATA B2'!J784)</f>
        <v>0</v>
      </c>
      <c r="K784" s="28">
        <f t="shared" si="232"/>
        <v>0</v>
      </c>
      <c r="L784" s="28">
        <f t="shared" si="236"/>
        <v>0</v>
      </c>
      <c r="M784" s="89">
        <f>SUM('WATER_STEAM RATIO'!Q784)</f>
        <v>0</v>
      </c>
      <c r="N784" s="9">
        <f>SUM('DATA B3'!H785-'DATA B3'!H784)</f>
        <v>0</v>
      </c>
      <c r="O784" s="88">
        <f t="shared" si="234"/>
        <v>0</v>
      </c>
      <c r="P784" s="15">
        <f t="shared" si="235"/>
        <v>0</v>
      </c>
    </row>
    <row r="785" spans="3:17">
      <c r="C785" s="292"/>
      <c r="D785" s="43">
        <v>1.125</v>
      </c>
      <c r="E785" s="5">
        <f>SUM('WATER_STEAM RATIO'!E785)</f>
        <v>0</v>
      </c>
      <c r="F785" s="9">
        <f>SUM('DATA B1'!I786-'DATA B1'!I785)+('DATA B1'!J786-'DATA B1'!J785)</f>
        <v>0</v>
      </c>
      <c r="G785" s="28">
        <f t="shared" si="230"/>
        <v>0</v>
      </c>
      <c r="H785" s="28">
        <f t="shared" si="231"/>
        <v>0</v>
      </c>
      <c r="I785" s="24">
        <f>SUM('WATER_STEAM RATIO'!K785)</f>
        <v>0</v>
      </c>
      <c r="J785" s="30">
        <f>SUM('DATA B2'!I786-'DATA B2'!I785)+('DATA B2'!J786-'DATA B2'!J785)</f>
        <v>0</v>
      </c>
      <c r="K785" s="28">
        <f t="shared" si="232"/>
        <v>0</v>
      </c>
      <c r="L785" s="28">
        <f t="shared" si="236"/>
        <v>0</v>
      </c>
      <c r="M785" s="89">
        <f>SUM('WATER_STEAM RATIO'!Q785)</f>
        <v>0</v>
      </c>
      <c r="N785" s="9">
        <f>SUM('DATA B3'!H786-'DATA B3'!H785)</f>
        <v>0</v>
      </c>
      <c r="O785" s="88">
        <f t="shared" ref="O785:O789" si="237">IFERROR(N785/(M785),0)</f>
        <v>0</v>
      </c>
      <c r="P785" s="15">
        <f t="shared" si="235"/>
        <v>0</v>
      </c>
    </row>
    <row r="786" spans="3:17">
      <c r="C786" s="292"/>
      <c r="D786" s="43">
        <v>1.1666666666666701</v>
      </c>
      <c r="E786" s="5">
        <f>SUM('WATER_STEAM RATIO'!E786)</f>
        <v>0</v>
      </c>
      <c r="F786" s="9">
        <f>SUM('DATA B1'!I787-'DATA B1'!I786)+('DATA B1'!J787-'DATA B1'!J786)</f>
        <v>0</v>
      </c>
      <c r="G786" s="28">
        <f t="shared" si="230"/>
        <v>0</v>
      </c>
      <c r="H786" s="28">
        <f t="shared" si="231"/>
        <v>0</v>
      </c>
      <c r="I786" s="24">
        <f>SUM('WATER_STEAM RATIO'!K786)</f>
        <v>0</v>
      </c>
      <c r="J786" s="30">
        <f>SUM('DATA B2'!I787-'DATA B2'!I786)+('DATA B2'!J787-'DATA B2'!J786)</f>
        <v>0</v>
      </c>
      <c r="K786" s="28">
        <f>IFERROR(J786/(I786),0)</f>
        <v>0</v>
      </c>
      <c r="L786" s="28">
        <f t="shared" si="236"/>
        <v>0</v>
      </c>
      <c r="M786" s="89">
        <f>SUM('WATER_STEAM RATIO'!Q786)</f>
        <v>0</v>
      </c>
      <c r="N786" s="9">
        <f>SUM('DATA B3'!H787-'DATA B3'!H786)</f>
        <v>0</v>
      </c>
      <c r="O786" s="88">
        <f t="shared" si="237"/>
        <v>0</v>
      </c>
      <c r="P786" s="15">
        <f t="shared" si="235"/>
        <v>0</v>
      </c>
    </row>
    <row r="787" spans="3:17">
      <c r="C787" s="292"/>
      <c r="D787" s="43">
        <v>1.2083333333333399</v>
      </c>
      <c r="E787" s="5">
        <f>SUM('WATER_STEAM RATIO'!E787)</f>
        <v>0</v>
      </c>
      <c r="F787" s="9">
        <f>SUM('DATA B1'!I788-'DATA B1'!I787)+('DATA B1'!J788-'DATA B1'!J787)</f>
        <v>0</v>
      </c>
      <c r="G787" s="28">
        <f t="shared" si="230"/>
        <v>0</v>
      </c>
      <c r="H787" s="28">
        <f t="shared" si="231"/>
        <v>0</v>
      </c>
      <c r="I787" s="24">
        <f>SUM('WATER_STEAM RATIO'!K787)</f>
        <v>0</v>
      </c>
      <c r="J787" s="30">
        <f>SUM('DATA B2'!I788-'DATA B2'!I787)+('DATA B2'!J788-'DATA B2'!J787)</f>
        <v>0</v>
      </c>
      <c r="K787" s="28">
        <f>IFERROR(J787/(I787),0)</f>
        <v>0</v>
      </c>
      <c r="L787" s="28">
        <f t="shared" si="236"/>
        <v>0</v>
      </c>
      <c r="M787" s="89">
        <f>SUM('WATER_STEAM RATIO'!Q787)</f>
        <v>0</v>
      </c>
      <c r="N787" s="9">
        <f>SUM('DATA B3'!H788-'DATA B3'!H787)</f>
        <v>0</v>
      </c>
      <c r="O787" s="88">
        <f t="shared" si="237"/>
        <v>0</v>
      </c>
      <c r="P787" s="15">
        <f t="shared" si="235"/>
        <v>0</v>
      </c>
    </row>
    <row r="788" spans="3:17">
      <c r="C788" s="292"/>
      <c r="D788" s="43">
        <v>1.25</v>
      </c>
      <c r="E788" s="5">
        <f>SUM('WATER_STEAM RATIO'!E788)</f>
        <v>0</v>
      </c>
      <c r="F788" s="9">
        <f>SUM('DATA B1'!I789-'DATA B1'!I788)+('DATA B1'!J789-'DATA B1'!J788)</f>
        <v>0</v>
      </c>
      <c r="G788" s="28">
        <f t="shared" si="230"/>
        <v>0</v>
      </c>
      <c r="H788" s="28">
        <f t="shared" si="231"/>
        <v>0</v>
      </c>
      <c r="I788" s="24">
        <f>SUM('WATER_STEAM RATIO'!K788)</f>
        <v>0</v>
      </c>
      <c r="J788" s="30">
        <f>SUM('DATA B2'!I789-'DATA B2'!I788)+('DATA B2'!J789-'DATA B2'!J788)</f>
        <v>0</v>
      </c>
      <c r="K788" s="28">
        <f>IFERROR(J788/(I788),0)</f>
        <v>0</v>
      </c>
      <c r="L788" s="28">
        <f t="shared" si="236"/>
        <v>0</v>
      </c>
      <c r="M788" s="89">
        <f>SUM('WATER_STEAM RATIO'!Q788)</f>
        <v>0</v>
      </c>
      <c r="N788" s="9">
        <f>SUM('DATA B3'!H789-'DATA B3'!H788)</f>
        <v>0</v>
      </c>
      <c r="O788" s="88">
        <f t="shared" si="237"/>
        <v>0</v>
      </c>
      <c r="P788" s="15">
        <f t="shared" si="235"/>
        <v>0</v>
      </c>
    </row>
    <row r="789" spans="3:17">
      <c r="C789" s="292"/>
      <c r="D789" s="43">
        <v>1.2916666666666701</v>
      </c>
      <c r="E789" s="5">
        <f>SUM('WATER_STEAM RATIO'!E789)</f>
        <v>0</v>
      </c>
      <c r="F789" s="9">
        <f>SUM('DATA B1'!I790-'DATA B1'!I789)+('DATA B1'!J790-'DATA B1'!J789)</f>
        <v>0</v>
      </c>
      <c r="G789" s="28">
        <f t="shared" si="230"/>
        <v>0</v>
      </c>
      <c r="H789" s="28">
        <f t="shared" si="231"/>
        <v>0</v>
      </c>
      <c r="I789" s="24">
        <f>SUM('WATER_STEAM RATIO'!K789)</f>
        <v>0</v>
      </c>
      <c r="J789" s="30">
        <f>SUM('DATA B2'!I790-'DATA B2'!I789)+('DATA B2'!J790-'DATA B2'!J789)</f>
        <v>0</v>
      </c>
      <c r="K789" s="28">
        <f>IFERROR(J789/(I789),0)</f>
        <v>0</v>
      </c>
      <c r="L789" s="28">
        <f t="shared" si="236"/>
        <v>0</v>
      </c>
      <c r="M789" s="89">
        <f>SUM('WATER_STEAM RATIO'!Q789)</f>
        <v>0</v>
      </c>
      <c r="N789" s="9">
        <f>SUM('DATA B3'!H790-'DATA B3'!H789)</f>
        <v>0</v>
      </c>
      <c r="O789" s="88">
        <f t="shared" si="237"/>
        <v>0</v>
      </c>
      <c r="P789" s="15">
        <f t="shared" si="235"/>
        <v>0</v>
      </c>
    </row>
    <row r="790" spans="3:17">
      <c r="C790" s="293"/>
      <c r="D790" s="258"/>
      <c r="E790" s="91">
        <f>SUMIF(E765:E789,"&gt;=0",E765:E789)</f>
        <v>0</v>
      </c>
      <c r="F790" s="91">
        <f>SUMIF(F765:F789,"&gt;=0",F765:F789)</f>
        <v>0</v>
      </c>
      <c r="G790" s="54">
        <f>IFERROR(F790/E790,0)</f>
        <v>0</v>
      </c>
      <c r="H790" s="54">
        <f>IFERROR(AVERAGE(H766:H789),0)</f>
        <v>0</v>
      </c>
      <c r="I790" s="91">
        <f>SUMIF(I765:I789,"&gt;=0",I765:I789)</f>
        <v>0</v>
      </c>
      <c r="J790" s="91">
        <f>SUMIF(J765:J789,"&gt;=0",J765:J789)</f>
        <v>0</v>
      </c>
      <c r="K790" s="54">
        <f>IFERROR(J790/(I790),0)</f>
        <v>0</v>
      </c>
      <c r="L790" s="54">
        <f>IFERROR(AVERAGE(L766:L789),0)</f>
        <v>0</v>
      </c>
      <c r="M790" s="91">
        <f>SUMIF(M765:M789,"&gt;=0",M765:M789)</f>
        <v>0</v>
      </c>
      <c r="N790" s="91">
        <f>SUMIF(N765:N789,"&gt;=0",N765:N789)</f>
        <v>0</v>
      </c>
      <c r="O790" s="239">
        <f>IFERROR(N790/(M790),0)</f>
        <v>0</v>
      </c>
      <c r="P790" s="215">
        <f>IFERROR(AVERAGE(P766:P789),0)</f>
        <v>0</v>
      </c>
    </row>
    <row r="791" spans="3:17" ht="15" customHeight="1">
      <c r="C791" s="291">
        <f>SUM('WATER_STEAM RATIO'!B791:B816)</f>
        <v>46053</v>
      </c>
      <c r="D791" s="43">
        <v>0.29166666666666669</v>
      </c>
      <c r="E791" s="5">
        <f>SUM('WATER_STEAM RATIO'!E791)</f>
        <v>0</v>
      </c>
      <c r="F791" s="9"/>
      <c r="G791" s="28"/>
      <c r="H791" s="28"/>
      <c r="I791" s="24">
        <f>SUM('WATER_STEAM RATIO'!K791)</f>
        <v>0</v>
      </c>
      <c r="J791" s="30"/>
      <c r="K791" s="28"/>
      <c r="L791" s="28"/>
      <c r="M791" s="89">
        <f>SUM('WATER_STEAM RATIO'!Q791)</f>
        <v>0</v>
      </c>
      <c r="N791" s="9"/>
      <c r="O791" s="88"/>
      <c r="P791" s="15"/>
    </row>
    <row r="792" spans="3:17">
      <c r="C792" s="292"/>
      <c r="D792" s="43">
        <v>0.33333333333333298</v>
      </c>
      <c r="E792" s="5">
        <f>SUM('WATER_STEAM RATIO'!E792)</f>
        <v>0</v>
      </c>
      <c r="F792" s="9">
        <f>SUM('DATA B1'!I793-'DATA B1'!I792)+('DATA B1'!J793-'DATA B1'!J792)</f>
        <v>0</v>
      </c>
      <c r="G792" s="28">
        <f>IFERROR(F792/(E792),0)</f>
        <v>0</v>
      </c>
      <c r="H792" s="28">
        <f>IFERROR((E792/18)*100,0)</f>
        <v>0</v>
      </c>
      <c r="I792" s="24">
        <f>SUM('WATER_STEAM RATIO'!K792)</f>
        <v>0</v>
      </c>
      <c r="J792" s="30">
        <f>SUM('DATA B2'!I793-'DATA B2'!I792)+('DATA B2'!J793-'DATA B2'!J792)</f>
        <v>0</v>
      </c>
      <c r="K792" s="28">
        <f>IFERROR(J792/(I792),0)</f>
        <v>0</v>
      </c>
      <c r="L792" s="28">
        <f>IFERROR((I792/18)*100,0)</f>
        <v>0</v>
      </c>
      <c r="M792" s="89">
        <f>SUM('WATER_STEAM RATIO'!Q792)</f>
        <v>0</v>
      </c>
      <c r="N792" s="9">
        <f>SUM('DATA B3'!H793-'DATA B3'!H792)</f>
        <v>0</v>
      </c>
      <c r="O792" s="88">
        <f>IFERROR(N792/(M792),0)</f>
        <v>0</v>
      </c>
      <c r="P792" s="15">
        <f>IFERROR((M792/16)*100,0)</f>
        <v>0</v>
      </c>
      <c r="Q792" s="335"/>
    </row>
    <row r="793" spans="3:17">
      <c r="C793" s="292"/>
      <c r="D793" s="43">
        <v>0.375</v>
      </c>
      <c r="E793" s="5">
        <f>SUM('WATER_STEAM RATIO'!E793)</f>
        <v>0</v>
      </c>
      <c r="F793" s="9">
        <f>SUM('DATA B1'!I794-'DATA B1'!I793)+('DATA B1'!J794-'DATA B1'!J793)</f>
        <v>0</v>
      </c>
      <c r="G793" s="28">
        <f t="shared" ref="G793:G815" si="238">IFERROR(F793/(E793),0)</f>
        <v>0</v>
      </c>
      <c r="H793" s="28">
        <f t="shared" ref="H793:H815" si="239">IFERROR((E793/18)*100,0)</f>
        <v>0</v>
      </c>
      <c r="I793" s="24">
        <f>SUM('WATER_STEAM RATIO'!K793)</f>
        <v>0</v>
      </c>
      <c r="J793" s="30">
        <f>SUM('DATA B2'!I794-'DATA B2'!I793)+('DATA B2'!J794-'DATA B2'!J793)</f>
        <v>0</v>
      </c>
      <c r="K793" s="28">
        <f t="shared" ref="K793:K811" si="240">IFERROR(J793/(I793),0)</f>
        <v>0</v>
      </c>
      <c r="L793" s="28">
        <f t="shared" ref="L793:L803" si="241">IFERROR((I793/18)*100,0)</f>
        <v>0</v>
      </c>
      <c r="M793" s="89">
        <f>SUM('WATER_STEAM RATIO'!Q793)</f>
        <v>0</v>
      </c>
      <c r="N793" s="9">
        <f>SUM('DATA B3'!H794-'DATA B3'!H793)</f>
        <v>0</v>
      </c>
      <c r="O793" s="88">
        <f t="shared" ref="O793:O810" si="242">IFERROR(N793/(M793),0)</f>
        <v>0</v>
      </c>
      <c r="P793" s="15">
        <f t="shared" ref="P793:P815" si="243">IFERROR((M793/16)*100,0)</f>
        <v>0</v>
      </c>
      <c r="Q793" s="335"/>
    </row>
    <row r="794" spans="3:17">
      <c r="C794" s="292"/>
      <c r="D794" s="43">
        <v>0.41666666666666702</v>
      </c>
      <c r="E794" s="5">
        <f>SUM('WATER_STEAM RATIO'!E794)</f>
        <v>0</v>
      </c>
      <c r="F794" s="9">
        <f>SUM('DATA B1'!I795-'DATA B1'!I794)+('DATA B1'!J795-'DATA B1'!J794)</f>
        <v>0</v>
      </c>
      <c r="G794" s="28">
        <f t="shared" si="238"/>
        <v>0</v>
      </c>
      <c r="H794" s="28">
        <f t="shared" si="239"/>
        <v>0</v>
      </c>
      <c r="I794" s="24">
        <f>SUM('WATER_STEAM RATIO'!K794)</f>
        <v>0</v>
      </c>
      <c r="J794" s="30">
        <f>SUM('DATA B2'!I795-'DATA B2'!I794)+('DATA B2'!J795-'DATA B2'!J794)</f>
        <v>0</v>
      </c>
      <c r="K794" s="28">
        <f t="shared" si="240"/>
        <v>0</v>
      </c>
      <c r="L794" s="28">
        <f t="shared" si="241"/>
        <v>0</v>
      </c>
      <c r="M794" s="89">
        <f>SUM('WATER_STEAM RATIO'!Q794)</f>
        <v>0</v>
      </c>
      <c r="N794" s="9">
        <f>SUM('DATA B3'!H795-'DATA B3'!H794)</f>
        <v>0</v>
      </c>
      <c r="O794" s="88">
        <f t="shared" si="242"/>
        <v>0</v>
      </c>
      <c r="P794" s="15">
        <f t="shared" si="243"/>
        <v>0</v>
      </c>
    </row>
    <row r="795" spans="3:17">
      <c r="C795" s="292"/>
      <c r="D795" s="43">
        <v>0.45833333333333298</v>
      </c>
      <c r="E795" s="5">
        <f>SUM('WATER_STEAM RATIO'!E795)</f>
        <v>0</v>
      </c>
      <c r="F795" s="9">
        <f>SUM('DATA B1'!I796-'DATA B1'!I795)+('DATA B1'!J796-'DATA B1'!J795)</f>
        <v>0</v>
      </c>
      <c r="G795" s="28">
        <f t="shared" si="238"/>
        <v>0</v>
      </c>
      <c r="H795" s="28">
        <f t="shared" si="239"/>
        <v>0</v>
      </c>
      <c r="I795" s="24">
        <f>SUM('WATER_STEAM RATIO'!K795)</f>
        <v>0</v>
      </c>
      <c r="J795" s="30">
        <f>SUM('DATA B2'!I796-'DATA B2'!I795)+('DATA B2'!J796-'DATA B2'!J795)</f>
        <v>0</v>
      </c>
      <c r="K795" s="28">
        <f t="shared" si="240"/>
        <v>0</v>
      </c>
      <c r="L795" s="28">
        <f t="shared" si="241"/>
        <v>0</v>
      </c>
      <c r="M795" s="89">
        <f>SUM('WATER_STEAM RATIO'!Q795)</f>
        <v>0</v>
      </c>
      <c r="N795" s="9">
        <f>SUM('DATA B3'!H796-'DATA B3'!H795)</f>
        <v>0</v>
      </c>
      <c r="O795" s="88">
        <f t="shared" si="242"/>
        <v>0</v>
      </c>
      <c r="P795" s="15">
        <f t="shared" si="243"/>
        <v>0</v>
      </c>
    </row>
    <row r="796" spans="3:17">
      <c r="C796" s="292"/>
      <c r="D796" s="43">
        <v>0.5</v>
      </c>
      <c r="E796" s="5">
        <f>SUM('WATER_STEAM RATIO'!E796)</f>
        <v>0</v>
      </c>
      <c r="F796" s="9">
        <f>SUM('DATA B1'!I797-'DATA B1'!I796)+('DATA B1'!J797-'DATA B1'!J796)</f>
        <v>0</v>
      </c>
      <c r="G796" s="28">
        <f t="shared" si="238"/>
        <v>0</v>
      </c>
      <c r="H796" s="28">
        <f t="shared" si="239"/>
        <v>0</v>
      </c>
      <c r="I796" s="24">
        <f>SUM('WATER_STEAM RATIO'!K796)</f>
        <v>0</v>
      </c>
      <c r="J796" s="30">
        <f>SUM('DATA B2'!I797-'DATA B2'!I796)+('DATA B2'!J797-'DATA B2'!J796)</f>
        <v>0</v>
      </c>
      <c r="K796" s="28">
        <f t="shared" si="240"/>
        <v>0</v>
      </c>
      <c r="L796" s="28">
        <f t="shared" si="241"/>
        <v>0</v>
      </c>
      <c r="M796" s="89">
        <f>SUM('WATER_STEAM RATIO'!Q796)</f>
        <v>0</v>
      </c>
      <c r="N796" s="9">
        <f>SUM('DATA B3'!H797-'DATA B3'!H796)</f>
        <v>0</v>
      </c>
      <c r="O796" s="88">
        <f t="shared" si="242"/>
        <v>0</v>
      </c>
      <c r="P796" s="15">
        <f t="shared" si="243"/>
        <v>0</v>
      </c>
    </row>
    <row r="797" spans="3:17">
      <c r="C797" s="292"/>
      <c r="D797" s="43">
        <v>0.54166666666666696</v>
      </c>
      <c r="E797" s="5">
        <f>SUM('WATER_STEAM RATIO'!E797)</f>
        <v>0</v>
      </c>
      <c r="F797" s="9">
        <f>SUM('DATA B1'!I798-'DATA B1'!I797)+('DATA B1'!J798-'DATA B1'!J797)</f>
        <v>0</v>
      </c>
      <c r="G797" s="28">
        <f t="shared" si="238"/>
        <v>0</v>
      </c>
      <c r="H797" s="28">
        <f t="shared" si="239"/>
        <v>0</v>
      </c>
      <c r="I797" s="24">
        <f>SUM('WATER_STEAM RATIO'!K797)</f>
        <v>0</v>
      </c>
      <c r="J797" s="30">
        <f>SUM('DATA B2'!I798-'DATA B2'!I797)+('DATA B2'!J798-'DATA B2'!J797)</f>
        <v>0</v>
      </c>
      <c r="K797" s="28">
        <f t="shared" si="240"/>
        <v>0</v>
      </c>
      <c r="L797" s="28">
        <f t="shared" si="241"/>
        <v>0</v>
      </c>
      <c r="M797" s="89">
        <f>SUM('WATER_STEAM RATIO'!Q797)</f>
        <v>0</v>
      </c>
      <c r="N797" s="9">
        <f>SUM('DATA B3'!H798-'DATA B3'!H797)</f>
        <v>0</v>
      </c>
      <c r="O797" s="88">
        <f t="shared" si="242"/>
        <v>0</v>
      </c>
      <c r="P797" s="15">
        <f t="shared" si="243"/>
        <v>0</v>
      </c>
    </row>
    <row r="798" spans="3:17">
      <c r="C798" s="292"/>
      <c r="D798" s="43">
        <v>0.58333333333333304</v>
      </c>
      <c r="E798" s="5">
        <f>SUM('WATER_STEAM RATIO'!E798)</f>
        <v>0</v>
      </c>
      <c r="F798" s="9">
        <f>SUM('DATA B1'!I799-'DATA B1'!I798)+('DATA B1'!J799-'DATA B1'!J798)</f>
        <v>0</v>
      </c>
      <c r="G798" s="28">
        <f t="shared" si="238"/>
        <v>0</v>
      </c>
      <c r="H798" s="28">
        <f t="shared" si="239"/>
        <v>0</v>
      </c>
      <c r="I798" s="24">
        <f>SUM('WATER_STEAM RATIO'!K798)</f>
        <v>0</v>
      </c>
      <c r="J798" s="30">
        <f>SUM('DATA B2'!I799-'DATA B2'!I798)+('DATA B2'!J799-'DATA B2'!J798)</f>
        <v>0</v>
      </c>
      <c r="K798" s="28">
        <f t="shared" si="240"/>
        <v>0</v>
      </c>
      <c r="L798" s="28">
        <f t="shared" si="241"/>
        <v>0</v>
      </c>
      <c r="M798" s="89">
        <f>SUM('WATER_STEAM RATIO'!Q798)</f>
        <v>0</v>
      </c>
      <c r="N798" s="9">
        <f>SUM('DATA B3'!H799-'DATA B3'!H798)</f>
        <v>0</v>
      </c>
      <c r="O798" s="88">
        <f t="shared" si="242"/>
        <v>0</v>
      </c>
      <c r="P798" s="15">
        <f t="shared" si="243"/>
        <v>0</v>
      </c>
    </row>
    <row r="799" spans="3:17">
      <c r="C799" s="292"/>
      <c r="D799" s="43">
        <v>0.625</v>
      </c>
      <c r="E799" s="5">
        <f>SUM('WATER_STEAM RATIO'!E799)</f>
        <v>0</v>
      </c>
      <c r="F799" s="9">
        <f>SUM('DATA B1'!I800-'DATA B1'!I799)+('DATA B1'!J800-'DATA B1'!J799)</f>
        <v>0</v>
      </c>
      <c r="G799" s="28">
        <f t="shared" si="238"/>
        <v>0</v>
      </c>
      <c r="H799" s="28">
        <f t="shared" si="239"/>
        <v>0</v>
      </c>
      <c r="I799" s="24">
        <f>SUM('WATER_STEAM RATIO'!K799)</f>
        <v>0</v>
      </c>
      <c r="J799" s="30">
        <f>SUM('DATA B2'!I800-'DATA B2'!I799)+('DATA B2'!J800-'DATA B2'!J799)</f>
        <v>0</v>
      </c>
      <c r="K799" s="28">
        <f t="shared" si="240"/>
        <v>0</v>
      </c>
      <c r="L799" s="28">
        <f t="shared" si="241"/>
        <v>0</v>
      </c>
      <c r="M799" s="89">
        <f>SUM('WATER_STEAM RATIO'!Q799)</f>
        <v>0</v>
      </c>
      <c r="N799" s="9">
        <f>SUM('DATA B3'!H800-'DATA B3'!H799)</f>
        <v>0</v>
      </c>
      <c r="O799" s="88">
        <f t="shared" si="242"/>
        <v>0</v>
      </c>
      <c r="P799" s="15">
        <f t="shared" si="243"/>
        <v>0</v>
      </c>
    </row>
    <row r="800" spans="3:17">
      <c r="C800" s="292"/>
      <c r="D800" s="43">
        <v>0.66666666666666596</v>
      </c>
      <c r="E800" s="5">
        <f>SUM('WATER_STEAM RATIO'!E800)</f>
        <v>0</v>
      </c>
      <c r="F800" s="9">
        <f>SUM('DATA B1'!I801-'DATA B1'!I800)+('DATA B1'!J801-'DATA B1'!J800)</f>
        <v>0</v>
      </c>
      <c r="G800" s="28">
        <f t="shared" si="238"/>
        <v>0</v>
      </c>
      <c r="H800" s="28">
        <f t="shared" si="239"/>
        <v>0</v>
      </c>
      <c r="I800" s="24">
        <f>SUM('WATER_STEAM RATIO'!K800)</f>
        <v>0</v>
      </c>
      <c r="J800" s="30">
        <f>SUM('DATA B2'!I801-'DATA B2'!I800)+('DATA B2'!J801-'DATA B2'!J800)</f>
        <v>0</v>
      </c>
      <c r="K800" s="28">
        <f t="shared" si="240"/>
        <v>0</v>
      </c>
      <c r="L800" s="28">
        <f t="shared" si="241"/>
        <v>0</v>
      </c>
      <c r="M800" s="89">
        <f>SUM('WATER_STEAM RATIO'!Q800)</f>
        <v>0</v>
      </c>
      <c r="N800" s="9">
        <f>SUM('DATA B3'!H801-'DATA B3'!H800)</f>
        <v>0</v>
      </c>
      <c r="O800" s="88">
        <f t="shared" si="242"/>
        <v>0</v>
      </c>
      <c r="P800" s="15">
        <f t="shared" si="243"/>
        <v>0</v>
      </c>
    </row>
    <row r="801" spans="3:16">
      <c r="C801" s="292"/>
      <c r="D801" s="43">
        <v>0.70833333333333304</v>
      </c>
      <c r="E801" s="5">
        <f>SUM('WATER_STEAM RATIO'!E801)</f>
        <v>0</v>
      </c>
      <c r="F801" s="9">
        <f>SUM('DATA B1'!I802-'DATA B1'!I801)+('DATA B1'!J802-'DATA B1'!J801)</f>
        <v>0</v>
      </c>
      <c r="G801" s="28">
        <f t="shared" si="238"/>
        <v>0</v>
      </c>
      <c r="H801" s="28">
        <f t="shared" si="239"/>
        <v>0</v>
      </c>
      <c r="I801" s="24">
        <f>SUM('WATER_STEAM RATIO'!K801)</f>
        <v>0</v>
      </c>
      <c r="J801" s="30">
        <f>SUM('DATA B2'!I802-'DATA B2'!I801)+('DATA B2'!J802-'DATA B2'!J801)</f>
        <v>0</v>
      </c>
      <c r="K801" s="28">
        <f t="shared" si="240"/>
        <v>0</v>
      </c>
      <c r="L801" s="28">
        <f t="shared" si="241"/>
        <v>0</v>
      </c>
      <c r="M801" s="89">
        <f>SUM('WATER_STEAM RATIO'!Q801)</f>
        <v>0</v>
      </c>
      <c r="N801" s="9">
        <f>SUM('DATA B3'!H802-'DATA B3'!H801)</f>
        <v>0</v>
      </c>
      <c r="O801" s="88">
        <f t="shared" si="242"/>
        <v>0</v>
      </c>
      <c r="P801" s="15">
        <f t="shared" si="243"/>
        <v>0</v>
      </c>
    </row>
    <row r="802" spans="3:16">
      <c r="C802" s="292"/>
      <c r="D802" s="43">
        <v>0.75</v>
      </c>
      <c r="E802" s="5">
        <f>SUM('WATER_STEAM RATIO'!E802)</f>
        <v>0</v>
      </c>
      <c r="F802" s="9">
        <f>SUM('DATA B1'!I803-'DATA B1'!I802)+('DATA B1'!J803-'DATA B1'!J802)</f>
        <v>0</v>
      </c>
      <c r="G802" s="28">
        <f t="shared" si="238"/>
        <v>0</v>
      </c>
      <c r="H802" s="28">
        <f t="shared" si="239"/>
        <v>0</v>
      </c>
      <c r="I802" s="24">
        <f>SUM('WATER_STEAM RATIO'!K802)</f>
        <v>0</v>
      </c>
      <c r="J802" s="30">
        <f>SUM('DATA B2'!I803-'DATA B2'!I802)+('DATA B2'!J803-'DATA B2'!J802)</f>
        <v>0</v>
      </c>
      <c r="K802" s="28">
        <f t="shared" si="240"/>
        <v>0</v>
      </c>
      <c r="L802" s="28">
        <f t="shared" si="241"/>
        <v>0</v>
      </c>
      <c r="M802" s="89">
        <f>SUM('WATER_STEAM RATIO'!Q802)</f>
        <v>0</v>
      </c>
      <c r="N802" s="9">
        <f>SUM('DATA B3'!H803-'DATA B3'!H802)</f>
        <v>0</v>
      </c>
      <c r="O802" s="88">
        <f t="shared" si="242"/>
        <v>0</v>
      </c>
      <c r="P802" s="15">
        <f t="shared" si="243"/>
        <v>0</v>
      </c>
    </row>
    <row r="803" spans="3:16">
      <c r="C803" s="292"/>
      <c r="D803" s="43">
        <v>0.79166666666666596</v>
      </c>
      <c r="E803" s="5">
        <f>SUM('WATER_STEAM RATIO'!E803)</f>
        <v>0</v>
      </c>
      <c r="F803" s="9">
        <f>SUM('DATA B1'!I804-'DATA B1'!I803)+('DATA B1'!J804-'DATA B1'!J803)</f>
        <v>0</v>
      </c>
      <c r="G803" s="28">
        <f t="shared" si="238"/>
        <v>0</v>
      </c>
      <c r="H803" s="28">
        <f t="shared" si="239"/>
        <v>0</v>
      </c>
      <c r="I803" s="24">
        <f>SUM('WATER_STEAM RATIO'!K803)</f>
        <v>0</v>
      </c>
      <c r="J803" s="30">
        <f>SUM('DATA B2'!I804-'DATA B2'!I803)+('DATA B2'!J804-'DATA B2'!J803)</f>
        <v>0</v>
      </c>
      <c r="K803" s="28">
        <f t="shared" si="240"/>
        <v>0</v>
      </c>
      <c r="L803" s="28">
        <f t="shared" si="241"/>
        <v>0</v>
      </c>
      <c r="M803" s="89">
        <f>SUM('WATER_STEAM RATIO'!Q803)</f>
        <v>0</v>
      </c>
      <c r="N803" s="9">
        <f>SUM('DATA B3'!H804-'DATA B3'!H803)</f>
        <v>0</v>
      </c>
      <c r="O803" s="88">
        <f t="shared" si="242"/>
        <v>0</v>
      </c>
      <c r="P803" s="15">
        <f t="shared" si="243"/>
        <v>0</v>
      </c>
    </row>
    <row r="804" spans="3:16">
      <c r="C804" s="292"/>
      <c r="D804" s="43">
        <v>0.83333333333333304</v>
      </c>
      <c r="E804" s="5">
        <f>SUM('WATER_STEAM RATIO'!E804)</f>
        <v>0</v>
      </c>
      <c r="F804" s="9">
        <f>SUM('DATA B1'!I805-'DATA B1'!I804)+('DATA B1'!J805-'DATA B1'!J804)</f>
        <v>0</v>
      </c>
      <c r="G804" s="28">
        <f t="shared" si="238"/>
        <v>0</v>
      </c>
      <c r="H804" s="28">
        <f t="shared" si="239"/>
        <v>0</v>
      </c>
      <c r="I804" s="24">
        <f>SUM('WATER_STEAM RATIO'!K804)</f>
        <v>0</v>
      </c>
      <c r="J804" s="30">
        <f>SUM('DATA B2'!I805-'DATA B2'!I804)+('DATA B2'!J805-'DATA B2'!J804)</f>
        <v>0</v>
      </c>
      <c r="K804" s="28">
        <f t="shared" si="240"/>
        <v>0</v>
      </c>
      <c r="L804" s="28">
        <f>IFERROR((I804/18)*100,0)</f>
        <v>0</v>
      </c>
      <c r="M804" s="89">
        <f>SUM('WATER_STEAM RATIO'!Q804)</f>
        <v>0</v>
      </c>
      <c r="N804" s="9">
        <f>SUM('DATA B3'!H805-'DATA B3'!H804)</f>
        <v>0</v>
      </c>
      <c r="O804" s="88">
        <f t="shared" si="242"/>
        <v>0</v>
      </c>
      <c r="P804" s="15">
        <f t="shared" si="243"/>
        <v>0</v>
      </c>
    </row>
    <row r="805" spans="3:16">
      <c r="C805" s="292"/>
      <c r="D805" s="43">
        <v>0.875</v>
      </c>
      <c r="E805" s="5">
        <f>SUM('WATER_STEAM RATIO'!E805)</f>
        <v>0</v>
      </c>
      <c r="F805" s="9">
        <f>SUM('DATA B1'!I806-'DATA B1'!I805)+('DATA B1'!J806-'DATA B1'!J805)</f>
        <v>0</v>
      </c>
      <c r="G805" s="28">
        <f t="shared" si="238"/>
        <v>0</v>
      </c>
      <c r="H805" s="28">
        <f t="shared" si="239"/>
        <v>0</v>
      </c>
      <c r="I805" s="24">
        <f>SUM('WATER_STEAM RATIO'!K805)</f>
        <v>0</v>
      </c>
      <c r="J805" s="30">
        <f>SUM('DATA B2'!I806-'DATA B2'!I805)+('DATA B2'!J806-'DATA B2'!J805)</f>
        <v>0</v>
      </c>
      <c r="K805" s="28">
        <f t="shared" si="240"/>
        <v>0</v>
      </c>
      <c r="L805" s="28">
        <f t="shared" ref="L805:L815" si="244">IFERROR((I805/18)*100,0)</f>
        <v>0</v>
      </c>
      <c r="M805" s="89">
        <f>SUM('WATER_STEAM RATIO'!Q805)</f>
        <v>0</v>
      </c>
      <c r="N805" s="9">
        <f>SUM('DATA B3'!H806-'DATA B3'!H805)</f>
        <v>0</v>
      </c>
      <c r="O805" s="88">
        <f t="shared" si="242"/>
        <v>0</v>
      </c>
      <c r="P805" s="15">
        <f t="shared" si="243"/>
        <v>0</v>
      </c>
    </row>
    <row r="806" spans="3:16">
      <c r="C806" s="292"/>
      <c r="D806" s="43">
        <v>0.91666666666666596</v>
      </c>
      <c r="E806" s="5">
        <f>SUM('WATER_STEAM RATIO'!E806)</f>
        <v>0</v>
      </c>
      <c r="F806" s="9">
        <f>SUM('DATA B1'!I807-'DATA B1'!I806)+('DATA B1'!J807-'DATA B1'!J806)</f>
        <v>0</v>
      </c>
      <c r="G806" s="28">
        <f t="shared" si="238"/>
        <v>0</v>
      </c>
      <c r="H806" s="28">
        <f t="shared" si="239"/>
        <v>0</v>
      </c>
      <c r="I806" s="24">
        <f>SUM('WATER_STEAM RATIO'!K806)</f>
        <v>0</v>
      </c>
      <c r="J806" s="30">
        <f>SUM('DATA B2'!I807-'DATA B2'!I806)+('DATA B2'!J807-'DATA B2'!J806)</f>
        <v>0</v>
      </c>
      <c r="K806" s="28">
        <f t="shared" si="240"/>
        <v>0</v>
      </c>
      <c r="L806" s="28">
        <f t="shared" si="244"/>
        <v>0</v>
      </c>
      <c r="M806" s="89">
        <f>SUM('WATER_STEAM RATIO'!Q806)</f>
        <v>0</v>
      </c>
      <c r="N806" s="9">
        <f>SUM('DATA B3'!H807-'DATA B3'!H806)</f>
        <v>0</v>
      </c>
      <c r="O806" s="88">
        <f t="shared" si="242"/>
        <v>0</v>
      </c>
      <c r="P806" s="15">
        <f>IFERROR((M806/16)*100,0)</f>
        <v>0</v>
      </c>
    </row>
    <row r="807" spans="3:16">
      <c r="C807" s="292"/>
      <c r="D807" s="43">
        <v>0.95833333333333304</v>
      </c>
      <c r="E807" s="5">
        <f>SUM('WATER_STEAM RATIO'!E807)</f>
        <v>0</v>
      </c>
      <c r="F807" s="9">
        <f>SUM('DATA B1'!I808-'DATA B1'!I807)+('DATA B1'!J808-'DATA B1'!J807)</f>
        <v>0</v>
      </c>
      <c r="G807" s="28">
        <f t="shared" si="238"/>
        <v>0</v>
      </c>
      <c r="H807" s="28">
        <f t="shared" si="239"/>
        <v>0</v>
      </c>
      <c r="I807" s="24">
        <f>SUM('WATER_STEAM RATIO'!K807)</f>
        <v>0</v>
      </c>
      <c r="J807" s="30">
        <f>SUM('DATA B2'!I808-'DATA B2'!I807)+('DATA B2'!J808-'DATA B2'!J807)</f>
        <v>0</v>
      </c>
      <c r="K807" s="28">
        <f t="shared" si="240"/>
        <v>0</v>
      </c>
      <c r="L807" s="28">
        <f t="shared" si="244"/>
        <v>0</v>
      </c>
      <c r="M807" s="89">
        <f>SUM('WATER_STEAM RATIO'!Q807)</f>
        <v>0</v>
      </c>
      <c r="N807" s="9">
        <f>SUM('DATA B3'!H808-'DATA B3'!H807)</f>
        <v>0</v>
      </c>
      <c r="O807" s="88">
        <f t="shared" si="242"/>
        <v>0</v>
      </c>
      <c r="P807" s="15">
        <f t="shared" si="243"/>
        <v>0</v>
      </c>
    </row>
    <row r="808" spans="3:16">
      <c r="C808" s="292"/>
      <c r="D808" s="43">
        <v>1</v>
      </c>
      <c r="E808" s="5">
        <f>SUM('WATER_STEAM RATIO'!E808)</f>
        <v>0</v>
      </c>
      <c r="F808" s="9">
        <f>SUM('DATA B1'!I809-'DATA B1'!I808)+('DATA B1'!J809-'DATA B1'!J808)</f>
        <v>0</v>
      </c>
      <c r="G808" s="28">
        <f t="shared" si="238"/>
        <v>0</v>
      </c>
      <c r="H808" s="28">
        <f t="shared" si="239"/>
        <v>0</v>
      </c>
      <c r="I808" s="24">
        <f>SUM('WATER_STEAM RATIO'!K808)</f>
        <v>0</v>
      </c>
      <c r="J808" s="30">
        <f>SUM('DATA B2'!I809-'DATA B2'!I808)+('DATA B2'!J809-'DATA B2'!J808)</f>
        <v>0</v>
      </c>
      <c r="K808" s="28">
        <f t="shared" si="240"/>
        <v>0</v>
      </c>
      <c r="L808" s="28">
        <f t="shared" si="244"/>
        <v>0</v>
      </c>
      <c r="M808" s="89">
        <f>SUM('WATER_STEAM RATIO'!Q808)</f>
        <v>0</v>
      </c>
      <c r="N808" s="9">
        <f>SUM('DATA B3'!H809-'DATA B3'!H808)</f>
        <v>0</v>
      </c>
      <c r="O808" s="88">
        <f t="shared" si="242"/>
        <v>0</v>
      </c>
      <c r="P808" s="15">
        <f t="shared" si="243"/>
        <v>0</v>
      </c>
    </row>
    <row r="809" spans="3:16">
      <c r="C809" s="292"/>
      <c r="D809" s="43">
        <v>1.0416666666666701</v>
      </c>
      <c r="E809" s="5">
        <f>SUM('WATER_STEAM RATIO'!E809)</f>
        <v>0</v>
      </c>
      <c r="F809" s="9">
        <f>SUM('DATA B1'!I810-'DATA B1'!I809)+('DATA B1'!J810-'DATA B1'!J809)</f>
        <v>0</v>
      </c>
      <c r="G809" s="28">
        <f t="shared" si="238"/>
        <v>0</v>
      </c>
      <c r="H809" s="28">
        <f t="shared" si="239"/>
        <v>0</v>
      </c>
      <c r="I809" s="24">
        <f>SUM('WATER_STEAM RATIO'!K809)</f>
        <v>0</v>
      </c>
      <c r="J809" s="30">
        <f>SUM('DATA B2'!I810-'DATA B2'!I809)+('DATA B2'!J810-'DATA B2'!J809)</f>
        <v>0</v>
      </c>
      <c r="K809" s="28">
        <f t="shared" si="240"/>
        <v>0</v>
      </c>
      <c r="L809" s="28">
        <f t="shared" si="244"/>
        <v>0</v>
      </c>
      <c r="M809" s="89">
        <f>SUM('WATER_STEAM RATIO'!Q809)</f>
        <v>0</v>
      </c>
      <c r="N809" s="9">
        <f>SUM('DATA B3'!H810-'DATA B3'!H809)</f>
        <v>0</v>
      </c>
      <c r="O809" s="88">
        <f t="shared" si="242"/>
        <v>0</v>
      </c>
      <c r="P809" s="15">
        <f t="shared" si="243"/>
        <v>0</v>
      </c>
    </row>
    <row r="810" spans="3:16">
      <c r="C810" s="292"/>
      <c r="D810" s="43">
        <v>1.0833333333333399</v>
      </c>
      <c r="E810" s="5">
        <f>SUM('WATER_STEAM RATIO'!E810)</f>
        <v>0</v>
      </c>
      <c r="F810" s="9">
        <f>SUM('DATA B1'!I811-'DATA B1'!I810)+('DATA B1'!J811-'DATA B1'!J810)</f>
        <v>0</v>
      </c>
      <c r="G810" s="28">
        <f t="shared" si="238"/>
        <v>0</v>
      </c>
      <c r="H810" s="28">
        <f t="shared" si="239"/>
        <v>0</v>
      </c>
      <c r="I810" s="24">
        <f>SUM('WATER_STEAM RATIO'!K810)</f>
        <v>0</v>
      </c>
      <c r="J810" s="30">
        <f>SUM('DATA B2'!I811-'DATA B2'!I810)+('DATA B2'!J811-'DATA B2'!J810)</f>
        <v>0</v>
      </c>
      <c r="K810" s="28">
        <f t="shared" si="240"/>
        <v>0</v>
      </c>
      <c r="L810" s="28">
        <f t="shared" si="244"/>
        <v>0</v>
      </c>
      <c r="M810" s="89">
        <f>SUM('WATER_STEAM RATIO'!Q810)</f>
        <v>0</v>
      </c>
      <c r="N810" s="9">
        <f>SUM('DATA B3'!H811-'DATA B3'!H810)</f>
        <v>0</v>
      </c>
      <c r="O810" s="88">
        <f t="shared" si="242"/>
        <v>0</v>
      </c>
      <c r="P810" s="15">
        <f t="shared" si="243"/>
        <v>0</v>
      </c>
    </row>
    <row r="811" spans="3:16">
      <c r="C811" s="292"/>
      <c r="D811" s="43">
        <v>1.125</v>
      </c>
      <c r="E811" s="5">
        <f>SUM('WATER_STEAM RATIO'!E811)</f>
        <v>0</v>
      </c>
      <c r="F811" s="9">
        <f>SUM('DATA B1'!I812-'DATA B1'!I811)+('DATA B1'!J812-'DATA B1'!J811)</f>
        <v>0</v>
      </c>
      <c r="G811" s="28">
        <f t="shared" si="238"/>
        <v>0</v>
      </c>
      <c r="H811" s="28">
        <f t="shared" si="239"/>
        <v>0</v>
      </c>
      <c r="I811" s="24">
        <f>SUM('WATER_STEAM RATIO'!K811)</f>
        <v>0</v>
      </c>
      <c r="J811" s="30">
        <f>SUM('DATA B2'!I812-'DATA B2'!I811)+('DATA B2'!J812-'DATA B2'!J811)</f>
        <v>0</v>
      </c>
      <c r="K811" s="28">
        <f t="shared" si="240"/>
        <v>0</v>
      </c>
      <c r="L811" s="28">
        <f t="shared" si="244"/>
        <v>0</v>
      </c>
      <c r="M811" s="89">
        <f>SUM('WATER_STEAM RATIO'!Q811)</f>
        <v>0</v>
      </c>
      <c r="N811" s="9">
        <f>SUM('DATA B3'!H812-'DATA B3'!H811)</f>
        <v>0</v>
      </c>
      <c r="O811" s="88">
        <f t="shared" ref="O811:O815" si="245">IFERROR(N811/(M811),0)</f>
        <v>0</v>
      </c>
      <c r="P811" s="15">
        <f t="shared" si="243"/>
        <v>0</v>
      </c>
    </row>
    <row r="812" spans="3:16">
      <c r="C812" s="292"/>
      <c r="D812" s="43">
        <v>1.1666666666666701</v>
      </c>
      <c r="E812" s="5">
        <f>SUM('WATER_STEAM RATIO'!E812)</f>
        <v>0</v>
      </c>
      <c r="F812" s="9">
        <f>SUM('DATA B1'!I813-'DATA B1'!I812)+('DATA B1'!J813-'DATA B1'!J812)</f>
        <v>0</v>
      </c>
      <c r="G812" s="28">
        <f t="shared" si="238"/>
        <v>0</v>
      </c>
      <c r="H812" s="28">
        <f t="shared" si="239"/>
        <v>0</v>
      </c>
      <c r="I812" s="24">
        <f>SUM('WATER_STEAM RATIO'!K812)</f>
        <v>0</v>
      </c>
      <c r="J812" s="30">
        <f>SUM('DATA B2'!I813-'DATA B2'!I812)+('DATA B2'!J813-'DATA B2'!J812)</f>
        <v>0</v>
      </c>
      <c r="K812" s="28">
        <f>IFERROR(J812/(I812),0)</f>
        <v>0</v>
      </c>
      <c r="L812" s="28">
        <f t="shared" si="244"/>
        <v>0</v>
      </c>
      <c r="M812" s="89">
        <f>SUM('WATER_STEAM RATIO'!Q812)</f>
        <v>0</v>
      </c>
      <c r="N812" s="9">
        <f>SUM('DATA B3'!H813-'DATA B3'!H812)</f>
        <v>0</v>
      </c>
      <c r="O812" s="88">
        <f t="shared" si="245"/>
        <v>0</v>
      </c>
      <c r="P812" s="15">
        <f t="shared" si="243"/>
        <v>0</v>
      </c>
    </row>
    <row r="813" spans="3:16">
      <c r="C813" s="292"/>
      <c r="D813" s="43">
        <v>1.2083333333333399</v>
      </c>
      <c r="E813" s="5">
        <f>SUM('WATER_STEAM RATIO'!E813)</f>
        <v>0</v>
      </c>
      <c r="F813" s="9">
        <f>SUM('DATA B1'!I814-'DATA B1'!I813)+('DATA B1'!J814-'DATA B1'!J813)</f>
        <v>0</v>
      </c>
      <c r="G813" s="28">
        <f t="shared" si="238"/>
        <v>0</v>
      </c>
      <c r="H813" s="28">
        <f t="shared" si="239"/>
        <v>0</v>
      </c>
      <c r="I813" s="24">
        <f>SUM('WATER_STEAM RATIO'!K813)</f>
        <v>0</v>
      </c>
      <c r="J813" s="30">
        <f>SUM('DATA B2'!I814-'DATA B2'!I813)+('DATA B2'!J814-'DATA B2'!J813)</f>
        <v>0</v>
      </c>
      <c r="K813" s="28">
        <f>IFERROR(J813/(I813),0)</f>
        <v>0</v>
      </c>
      <c r="L813" s="28">
        <f t="shared" si="244"/>
        <v>0</v>
      </c>
      <c r="M813" s="89">
        <f>SUM('WATER_STEAM RATIO'!Q813)</f>
        <v>0</v>
      </c>
      <c r="N813" s="9">
        <f>SUM('DATA B3'!H814-'DATA B3'!H813)</f>
        <v>0</v>
      </c>
      <c r="O813" s="88">
        <f t="shared" si="245"/>
        <v>0</v>
      </c>
      <c r="P813" s="15">
        <f t="shared" si="243"/>
        <v>0</v>
      </c>
    </row>
    <row r="814" spans="3:16">
      <c r="C814" s="292"/>
      <c r="D814" s="43">
        <v>1.25</v>
      </c>
      <c r="E814" s="5">
        <f>SUM('WATER_STEAM RATIO'!E814)</f>
        <v>0</v>
      </c>
      <c r="F814" s="9">
        <f>SUM('DATA B1'!I815-'DATA B1'!I814)+('DATA B1'!J815-'DATA B1'!J814)</f>
        <v>0</v>
      </c>
      <c r="G814" s="28">
        <f t="shared" si="238"/>
        <v>0</v>
      </c>
      <c r="H814" s="28">
        <f t="shared" si="239"/>
        <v>0</v>
      </c>
      <c r="I814" s="24">
        <f>SUM('WATER_STEAM RATIO'!K814)</f>
        <v>0</v>
      </c>
      <c r="J814" s="30">
        <f>SUM('DATA B2'!I815-'DATA B2'!I814)+('DATA B2'!J815-'DATA B2'!J814)</f>
        <v>0</v>
      </c>
      <c r="K814" s="28">
        <f>IFERROR(J814/(I814),0)</f>
        <v>0</v>
      </c>
      <c r="L814" s="28">
        <f t="shared" si="244"/>
        <v>0</v>
      </c>
      <c r="M814" s="89">
        <f>SUM('WATER_STEAM RATIO'!Q814)</f>
        <v>0</v>
      </c>
      <c r="N814" s="9">
        <f>SUM('DATA B3'!H815-'DATA B3'!H814)</f>
        <v>0</v>
      </c>
      <c r="O814" s="88">
        <f t="shared" si="245"/>
        <v>0</v>
      </c>
      <c r="P814" s="15">
        <f t="shared" si="243"/>
        <v>0</v>
      </c>
    </row>
    <row r="815" spans="3:16">
      <c r="C815" s="292"/>
      <c r="D815" s="43">
        <v>1.2916666666666701</v>
      </c>
      <c r="E815" s="5">
        <f>SUM('WATER_STEAM RATIO'!E815)</f>
        <v>0</v>
      </c>
      <c r="F815" s="9">
        <f>SUM('DATA B1'!I816-'DATA B1'!I815)+('DATA B1'!J816-'DATA B1'!J815)</f>
        <v>0</v>
      </c>
      <c r="G815" s="28">
        <f t="shared" si="238"/>
        <v>0</v>
      </c>
      <c r="H815" s="28">
        <f t="shared" si="239"/>
        <v>0</v>
      </c>
      <c r="I815" s="24">
        <f>SUM('WATER_STEAM RATIO'!K815)</f>
        <v>0</v>
      </c>
      <c r="J815" s="30">
        <f>SUM('DATA B2'!I816-'DATA B2'!I815)+('DATA B2'!J816-'DATA B2'!J815)</f>
        <v>0</v>
      </c>
      <c r="K815" s="28">
        <f>IFERROR(J815/(I815),0)</f>
        <v>0</v>
      </c>
      <c r="L815" s="28">
        <f t="shared" si="244"/>
        <v>0</v>
      </c>
      <c r="M815" s="89">
        <f>SUM('WATER_STEAM RATIO'!Q815)</f>
        <v>0</v>
      </c>
      <c r="N815" s="9">
        <f>SUM('DATA B3'!H816-'DATA B3'!H815)</f>
        <v>0</v>
      </c>
      <c r="O815" s="88">
        <f t="shared" si="245"/>
        <v>0</v>
      </c>
      <c r="P815" s="15">
        <f t="shared" si="243"/>
        <v>0</v>
      </c>
    </row>
    <row r="816" spans="3:16">
      <c r="C816" s="293"/>
      <c r="D816" s="258"/>
      <c r="E816" s="91">
        <f>SUMIF(E791:E815,"&gt;=0",E791:E815)</f>
        <v>0</v>
      </c>
      <c r="F816" s="91">
        <f>SUMIF(F791:F815,"&gt;=0",F791:F815)</f>
        <v>0</v>
      </c>
      <c r="G816" s="54">
        <f>IFERROR(F816/E816,0)</f>
        <v>0</v>
      </c>
      <c r="H816" s="54">
        <f>IFERROR(AVERAGE(H792:H815),0)</f>
        <v>0</v>
      </c>
      <c r="I816" s="91">
        <f>SUMIF(I791:I815,"&gt;=0",I791:I815)</f>
        <v>0</v>
      </c>
      <c r="J816" s="91">
        <f>SUMIF(J791:J815,"&gt;=0",J791:J815)</f>
        <v>0</v>
      </c>
      <c r="K816" s="54">
        <f>IFERROR(J816/(I816),0)</f>
        <v>0</v>
      </c>
      <c r="L816" s="54">
        <f>IFERROR(AVERAGE(L792:L815),0)</f>
        <v>0</v>
      </c>
      <c r="M816" s="91">
        <f>SUMIF(M791:M815,"&gt;=0",M791:M815)</f>
        <v>0</v>
      </c>
      <c r="N816" s="91">
        <f>SUMIF(N791:N815,"&gt;=0",N791:N815)</f>
        <v>0</v>
      </c>
      <c r="O816" s="239">
        <f>IFERROR(N816/(M816),0)</f>
        <v>0</v>
      </c>
      <c r="P816" s="215">
        <f>IFERROR(AVERAGE(P792:P815),0)</f>
        <v>0</v>
      </c>
    </row>
    <row r="825" spans="5:5">
      <c r="E825" s="23"/>
    </row>
  </sheetData>
  <sheetProtection algorithmName="SHA-512" hashValue="qa73JsGXG3dTjov5zfpeLqxVDwhWkLRIPPaj40PrOsPSecOkw8h6pF6YWRPsBnyMOx4qdXKJbd5UAvhAQ9fjQw==" saltValue="3BS6mjEpDBsD9MNX4bkD9Q==" spinCount="100000" sheet="1" objects="1" scenarios="1"/>
  <mergeCells count="55">
    <mergeCell ref="C8:C10"/>
    <mergeCell ref="D8:D10"/>
    <mergeCell ref="E8:E9"/>
    <mergeCell ref="C6:D7"/>
    <mergeCell ref="F3:M5"/>
    <mergeCell ref="M8:M9"/>
    <mergeCell ref="G8:G10"/>
    <mergeCell ref="O3:P3"/>
    <mergeCell ref="O4:P4"/>
    <mergeCell ref="O5:P5"/>
    <mergeCell ref="C3:E5"/>
    <mergeCell ref="Q792:Q793"/>
    <mergeCell ref="E6:H7"/>
    <mergeCell ref="I6:L7"/>
    <mergeCell ref="M6:P7"/>
    <mergeCell ref="F8:F9"/>
    <mergeCell ref="J8:J9"/>
    <mergeCell ref="N8:N9"/>
    <mergeCell ref="H8:H10"/>
    <mergeCell ref="P8:P10"/>
    <mergeCell ref="L8:L10"/>
    <mergeCell ref="O8:O10"/>
    <mergeCell ref="K8:K10"/>
    <mergeCell ref="C791:C816"/>
    <mergeCell ref="I8:I9"/>
    <mergeCell ref="C557:C582"/>
    <mergeCell ref="C583:C608"/>
    <mergeCell ref="C609:C634"/>
    <mergeCell ref="C635:C660"/>
    <mergeCell ref="C661:C686"/>
    <mergeCell ref="C687:C712"/>
    <mergeCell ref="C401:C426"/>
    <mergeCell ref="C479:C504"/>
    <mergeCell ref="C505:C530"/>
    <mergeCell ref="C531:C556"/>
    <mergeCell ref="C713:C738"/>
    <mergeCell ref="C739:C764"/>
    <mergeCell ref="C11:C36"/>
    <mergeCell ref="C37:C62"/>
    <mergeCell ref="C349:C374"/>
    <mergeCell ref="C765:C790"/>
    <mergeCell ref="C63:C88"/>
    <mergeCell ref="C427:C452"/>
    <mergeCell ref="C453:C478"/>
    <mergeCell ref="C375:C400"/>
    <mergeCell ref="C89:C114"/>
    <mergeCell ref="C115:C140"/>
    <mergeCell ref="C141:C166"/>
    <mergeCell ref="C167:C192"/>
    <mergeCell ref="C193:C218"/>
    <mergeCell ref="C219:C244"/>
    <mergeCell ref="C245:C270"/>
    <mergeCell ref="C271:C296"/>
    <mergeCell ref="C297:C322"/>
    <mergeCell ref="C323:C348"/>
  </mergeCells>
  <pageMargins left="0.70866141732283472" right="0.70866141732283472" top="0.74803149606299213" bottom="0.74803149606299213" header="0.31496062992125984" footer="0.31496062992125984"/>
  <pageSetup paperSize="9" scale="96" fitToHeight="0" orientation="landscape" r:id="rId1"/>
  <rowBreaks count="30" manualBreakCount="30">
    <brk id="36" min="1" max="15" man="1"/>
    <brk id="62" min="1" max="15" man="1"/>
    <brk id="88" min="1" max="15" man="1"/>
    <brk id="114" min="1" max="15" man="1"/>
    <brk id="140" max="16383" man="1"/>
    <brk id="166" min="1" max="15" man="1"/>
    <brk id="192" min="1" max="15" man="1"/>
    <brk id="218" min="1" max="15" man="1"/>
    <brk id="244" min="1" max="15" man="1"/>
    <brk id="270" min="1" max="15" man="1"/>
    <brk id="296" min="1" max="15" man="1"/>
    <brk id="322" min="1" max="15" man="1"/>
    <brk id="348" min="1" max="15" man="1"/>
    <brk id="374" min="1" max="15" man="1"/>
    <brk id="400" min="1" max="15" man="1"/>
    <brk id="426" min="1" max="15" man="1"/>
    <brk id="452" min="1" max="15" man="1"/>
    <brk id="478" min="1" max="15" man="1"/>
    <brk id="504" min="1" max="15" man="1"/>
    <brk id="530" min="1" max="15" man="1"/>
    <brk id="556" min="1" max="15" man="1"/>
    <brk id="582" min="1" max="15" man="1"/>
    <brk id="608" min="1" max="15" man="1"/>
    <brk id="634" min="1" max="15" man="1"/>
    <brk id="660" min="1" max="15" man="1"/>
    <brk id="686" min="1" max="15" man="1"/>
    <brk id="712" min="1" max="15" man="1"/>
    <brk id="738" min="1" max="15" man="1"/>
    <brk id="764" min="1" max="15" man="1"/>
    <brk id="790" min="1" max="15" man="1"/>
  </rowBreaks>
  <colBreaks count="1" manualBreakCount="1">
    <brk id="1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290B-A73E-47D9-94B0-A9264DF7FC2D}">
  <sheetPr>
    <tabColor rgb="FFFFFF00"/>
    <pageSetUpPr fitToPage="1"/>
  </sheetPr>
  <dimension ref="B2:U825"/>
  <sheetViews>
    <sheetView view="pageBreakPreview" zoomScale="150" zoomScaleNormal="85" zoomScaleSheetLayoutView="150" workbookViewId="0">
      <pane xSplit="3" ySplit="9" topLeftCell="D232" activePane="bottomRight" state="frozen"/>
      <selection pane="bottomRight" activeCell="A509" sqref="A509"/>
      <selection pane="bottomLeft" activeCell="D107" sqref="D107"/>
      <selection pane="topRight" activeCell="D107" sqref="D107"/>
    </sheetView>
  </sheetViews>
  <sheetFormatPr defaultRowHeight="15"/>
  <cols>
    <col min="1" max="1" width="2.140625" customWidth="1"/>
    <col min="2" max="2" width="13.42578125" customWidth="1"/>
    <col min="3" max="3" width="6.7109375" customWidth="1"/>
    <col min="4" max="4" width="8.85546875" customWidth="1"/>
    <col min="5" max="5" width="6.7109375" customWidth="1"/>
    <col min="6" max="6" width="8.85546875" customWidth="1"/>
    <col min="7" max="7" width="6.7109375" customWidth="1"/>
    <col min="8" max="8" width="11.140625" customWidth="1"/>
    <col min="9" max="9" width="12.42578125" customWidth="1"/>
    <col min="10" max="10" width="8.85546875" customWidth="1"/>
    <col min="11" max="11" width="6.7109375" customWidth="1"/>
    <col min="12" max="12" width="8.85546875" customWidth="1"/>
    <col min="13" max="13" width="6.7109375" customWidth="1"/>
    <col min="14" max="14" width="11.140625" customWidth="1"/>
    <col min="15" max="15" width="12.42578125" style="22" customWidth="1"/>
    <col min="16" max="16" width="8.85546875" customWidth="1"/>
    <col min="17" max="17" width="6.7109375" customWidth="1"/>
    <col min="19" max="19" width="6.7109375" customWidth="1"/>
    <col min="20" max="20" width="11.140625" customWidth="1"/>
    <col min="21" max="21" width="12.42578125" customWidth="1"/>
  </cols>
  <sheetData>
    <row r="2" spans="2:21">
      <c r="B2" s="333"/>
      <c r="C2" s="333"/>
      <c r="D2" s="333"/>
      <c r="E2" s="333"/>
      <c r="F2" s="280" t="s">
        <v>60</v>
      </c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92" t="s">
        <v>7</v>
      </c>
      <c r="T2" s="92"/>
      <c r="U2" s="238">
        <f>SUM('DATA B1'!S6)</f>
        <v>46023</v>
      </c>
    </row>
    <row r="3" spans="2:21">
      <c r="B3" s="333"/>
      <c r="C3" s="333"/>
      <c r="D3" s="333"/>
      <c r="E3" s="333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364" t="s">
        <v>3</v>
      </c>
      <c r="T3" s="364"/>
      <c r="U3" s="266" t="s">
        <v>47</v>
      </c>
    </row>
    <row r="4" spans="2:21">
      <c r="B4" s="333"/>
      <c r="C4" s="333"/>
      <c r="D4" s="333"/>
      <c r="E4" s="333"/>
      <c r="F4" s="280"/>
      <c r="G4" s="280"/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364" t="s">
        <v>5</v>
      </c>
      <c r="T4" s="364"/>
      <c r="U4" s="266" t="s">
        <v>47</v>
      </c>
    </row>
    <row r="5" spans="2:21">
      <c r="B5" s="315" t="s">
        <v>48</v>
      </c>
      <c r="C5" s="362"/>
      <c r="D5" s="357" t="s">
        <v>1</v>
      </c>
      <c r="E5" s="315"/>
      <c r="F5" s="315"/>
      <c r="G5" s="315"/>
      <c r="H5" s="315"/>
      <c r="I5" s="360"/>
      <c r="J5" s="357" t="s">
        <v>35</v>
      </c>
      <c r="K5" s="315"/>
      <c r="L5" s="315"/>
      <c r="M5" s="315"/>
      <c r="N5" s="315"/>
      <c r="O5" s="360"/>
      <c r="P5" s="357" t="s">
        <v>40</v>
      </c>
      <c r="Q5" s="315"/>
      <c r="R5" s="315"/>
      <c r="S5" s="315"/>
      <c r="T5" s="315"/>
      <c r="U5" s="315"/>
    </row>
    <row r="6" spans="2:21" ht="15.75" thickBot="1">
      <c r="B6" s="359"/>
      <c r="C6" s="363"/>
      <c r="D6" s="358"/>
      <c r="E6" s="359"/>
      <c r="F6" s="359"/>
      <c r="G6" s="359"/>
      <c r="H6" s="359"/>
      <c r="I6" s="361"/>
      <c r="J6" s="358"/>
      <c r="K6" s="359"/>
      <c r="L6" s="359"/>
      <c r="M6" s="359"/>
      <c r="N6" s="359"/>
      <c r="O6" s="361"/>
      <c r="P6" s="358"/>
      <c r="Q6" s="359"/>
      <c r="R6" s="359"/>
      <c r="S6" s="359"/>
      <c r="T6" s="359"/>
      <c r="U6" s="359"/>
    </row>
    <row r="7" spans="2:21" ht="15" customHeight="1">
      <c r="B7" s="342" t="s">
        <v>8</v>
      </c>
      <c r="C7" s="347" t="s">
        <v>9</v>
      </c>
      <c r="D7" s="354" t="s">
        <v>52</v>
      </c>
      <c r="E7" s="355"/>
      <c r="F7" s="350" t="s">
        <v>25</v>
      </c>
      <c r="G7" s="351"/>
      <c r="H7" s="349" t="s">
        <v>61</v>
      </c>
      <c r="I7" s="232" t="s">
        <v>62</v>
      </c>
      <c r="J7" s="354" t="s">
        <v>52</v>
      </c>
      <c r="K7" s="355"/>
      <c r="L7" s="350" t="s">
        <v>25</v>
      </c>
      <c r="M7" s="351"/>
      <c r="N7" s="349" t="s">
        <v>63</v>
      </c>
      <c r="O7" s="221" t="s">
        <v>62</v>
      </c>
      <c r="P7" s="354" t="s">
        <v>52</v>
      </c>
      <c r="Q7" s="355"/>
      <c r="R7" s="350" t="s">
        <v>25</v>
      </c>
      <c r="S7" s="351"/>
      <c r="T7" s="349" t="s">
        <v>63</v>
      </c>
      <c r="U7" s="221" t="s">
        <v>62</v>
      </c>
    </row>
    <row r="8" spans="2:21" ht="15" customHeight="1">
      <c r="B8" s="343"/>
      <c r="C8" s="348"/>
      <c r="D8" s="356"/>
      <c r="E8" s="297"/>
      <c r="F8" s="352"/>
      <c r="G8" s="353"/>
      <c r="H8" s="339"/>
      <c r="I8" s="46" t="s">
        <v>64</v>
      </c>
      <c r="J8" s="356"/>
      <c r="K8" s="297"/>
      <c r="L8" s="352"/>
      <c r="M8" s="353"/>
      <c r="N8" s="339"/>
      <c r="O8" s="48" t="s">
        <v>64</v>
      </c>
      <c r="P8" s="356"/>
      <c r="Q8" s="297"/>
      <c r="R8" s="352"/>
      <c r="S8" s="353"/>
      <c r="T8" s="339"/>
      <c r="U8" s="48" t="s">
        <v>64</v>
      </c>
    </row>
    <row r="9" spans="2:21">
      <c r="B9" s="343"/>
      <c r="C9" s="348"/>
      <c r="D9" s="83" t="s">
        <v>65</v>
      </c>
      <c r="E9" s="5" t="s">
        <v>57</v>
      </c>
      <c r="F9" s="80" t="s">
        <v>65</v>
      </c>
      <c r="G9" s="80" t="s">
        <v>66</v>
      </c>
      <c r="H9" s="339"/>
      <c r="I9" s="47" t="s">
        <v>67</v>
      </c>
      <c r="J9" s="83" t="s">
        <v>65</v>
      </c>
      <c r="K9" s="84" t="s">
        <v>57</v>
      </c>
      <c r="L9" s="80" t="s">
        <v>65</v>
      </c>
      <c r="M9" s="80" t="s">
        <v>66</v>
      </c>
      <c r="N9" s="339"/>
      <c r="O9" s="49" t="s">
        <v>67</v>
      </c>
      <c r="P9" s="85" t="s">
        <v>65</v>
      </c>
      <c r="Q9" s="86" t="s">
        <v>57</v>
      </c>
      <c r="R9" s="87" t="s">
        <v>65</v>
      </c>
      <c r="S9" s="87" t="s">
        <v>66</v>
      </c>
      <c r="T9" s="339"/>
      <c r="U9" s="49" t="s">
        <v>67</v>
      </c>
    </row>
    <row r="10" spans="2:21">
      <c r="B10" s="233"/>
      <c r="C10" s="95">
        <v>0.25</v>
      </c>
      <c r="D10" s="208">
        <v>135999</v>
      </c>
      <c r="E10" s="79"/>
      <c r="F10" s="209">
        <v>444915</v>
      </c>
      <c r="G10" s="79"/>
      <c r="H10" s="99"/>
      <c r="I10" s="100"/>
      <c r="J10" s="208">
        <v>325470</v>
      </c>
      <c r="K10" s="81"/>
      <c r="L10" s="209">
        <v>399692</v>
      </c>
      <c r="M10" s="79"/>
      <c r="N10" s="101"/>
      <c r="O10" s="102"/>
      <c r="P10" s="210">
        <v>168011</v>
      </c>
      <c r="Q10" s="90"/>
      <c r="R10" s="211">
        <v>118115</v>
      </c>
      <c r="S10" s="90"/>
      <c r="T10" s="90"/>
      <c r="U10" s="234"/>
    </row>
    <row r="11" spans="2:21" ht="15" customHeight="1">
      <c r="B11" s="344">
        <f>SUM('DATA B1'!B12:B37)</f>
        <v>46023</v>
      </c>
      <c r="C11" s="96">
        <v>0.29166666666666669</v>
      </c>
      <c r="D11" s="83">
        <f>'DATA B1'!D12</f>
        <v>222134</v>
      </c>
      <c r="E11" s="5">
        <f>SUM(E9)</f>
        <v>0</v>
      </c>
      <c r="F11" s="80">
        <f>'DATA B1'!E12</f>
        <v>524526</v>
      </c>
      <c r="G11" s="80">
        <f>SUM(G9)</f>
        <v>0</v>
      </c>
      <c r="H11" s="28">
        <f xml:space="preserve"> IFERROR(G11/E11,0)</f>
        <v>0</v>
      </c>
      <c r="I11" s="45"/>
      <c r="J11" s="50">
        <f>'DATA B2'!D12</f>
        <v>511196</v>
      </c>
      <c r="K11" s="82">
        <f>SUM(K9)</f>
        <v>0</v>
      </c>
      <c r="L11" s="80">
        <f>'DATA B2'!E12</f>
        <v>566596</v>
      </c>
      <c r="M11" s="80">
        <f>SUM(M9)</f>
        <v>0</v>
      </c>
      <c r="N11" s="28">
        <f>IFERROR(M11/K11,0)</f>
        <v>0</v>
      </c>
      <c r="O11" s="103"/>
      <c r="P11" s="94">
        <f>'DATA B3'!C12</f>
        <v>220418</v>
      </c>
      <c r="Q11" s="91">
        <f>SUM(Q9)</f>
        <v>0</v>
      </c>
      <c r="R11" s="80">
        <f>'DATA B3'!D12</f>
        <v>165135</v>
      </c>
      <c r="S11" s="80">
        <f>SUM(S9)</f>
        <v>0</v>
      </c>
      <c r="T11" s="15">
        <f>IFERROR(S11/Q11,0)</f>
        <v>0</v>
      </c>
      <c r="U11" s="51"/>
    </row>
    <row r="12" spans="2:21">
      <c r="B12" s="345"/>
      <c r="C12" s="96">
        <v>0.33333333333333298</v>
      </c>
      <c r="D12" s="83">
        <f>'DATA B1'!D13</f>
        <v>222134</v>
      </c>
      <c r="E12" s="212">
        <f t="shared" ref="E12:E18" si="0">SUM(D12-D11)</f>
        <v>0</v>
      </c>
      <c r="F12" s="80">
        <f>'DATA B1'!E13</f>
        <v>524526</v>
      </c>
      <c r="G12" s="214">
        <f>SUM(F12-F11)</f>
        <v>0</v>
      </c>
      <c r="H12" s="28">
        <f t="shared" ref="H12:H77" si="1" xml:space="preserve"> IFERROR(G12/E12,0)</f>
        <v>0</v>
      </c>
      <c r="I12" s="45">
        <f>IFERROR((('DATA B1'!G13-'DATA B1'!G12)/('WATER_STEAM RATIO'!D12-'WATER_STEAM RATIO'!D11))*1000,0)</f>
        <v>0</v>
      </c>
      <c r="J12" s="50">
        <f>'DATA B2'!D13</f>
        <v>511214</v>
      </c>
      <c r="K12" s="213">
        <f t="shared" ref="K12:K35" si="2">SUM(J12-J11)</f>
        <v>18</v>
      </c>
      <c r="L12" s="80">
        <f>'DATA B2'!E13</f>
        <v>566619</v>
      </c>
      <c r="M12" s="214">
        <f t="shared" ref="M12:M35" si="3">SUM(L12-L11)</f>
        <v>23</v>
      </c>
      <c r="N12" s="28">
        <f t="shared" ref="N12:N35" si="4">IFERROR(M12/K12,0)</f>
        <v>1.2777777777777777</v>
      </c>
      <c r="O12" s="51">
        <f>IFERROR((('DATA B2'!F13-'DATA B2'!F12)/(K12))*1000,0)</f>
        <v>0</v>
      </c>
      <c r="P12" s="94">
        <f>'DATA B3'!C13</f>
        <v>220429</v>
      </c>
      <c r="Q12" s="216">
        <f t="shared" ref="Q12:Q35" si="5">SUM(P12-P11)</f>
        <v>11</v>
      </c>
      <c r="R12" s="80">
        <f>'DATA B3'!D13</f>
        <v>165142</v>
      </c>
      <c r="S12" s="214">
        <f t="shared" ref="S12:S35" si="6">SUM(R12-R11)</f>
        <v>7</v>
      </c>
      <c r="T12" s="15">
        <f t="shared" ref="T12:T75" si="7">IFERROR(S12/Q12,0)</f>
        <v>0.63636363636363635</v>
      </c>
      <c r="U12" s="51">
        <f>IFERROR((('DATA B3'!E13-'DATA B3'!E12)+('DATA B3'!F13-'DATA B3'!F12))/(Q12),0)</f>
        <v>4.5072727272727287</v>
      </c>
    </row>
    <row r="13" spans="2:21">
      <c r="B13" s="345"/>
      <c r="C13" s="97">
        <v>0.375</v>
      </c>
      <c r="D13" s="84">
        <f>'DATA B1'!D14</f>
        <v>222134</v>
      </c>
      <c r="E13" s="212">
        <f t="shared" si="0"/>
        <v>0</v>
      </c>
      <c r="F13" s="80">
        <f>'DATA B1'!E14</f>
        <v>524526</v>
      </c>
      <c r="G13" s="214">
        <f t="shared" ref="G13:G35" si="8">SUM(F13-F12)</f>
        <v>0</v>
      </c>
      <c r="H13" s="28">
        <f t="shared" si="1"/>
        <v>0</v>
      </c>
      <c r="I13" s="45">
        <f>IFERROR((('DATA B1'!G14-'DATA B1'!G13)/('WATER_STEAM RATIO'!D13-'WATER_STEAM RATIO'!D12))*1000,0)</f>
        <v>0</v>
      </c>
      <c r="J13" s="50">
        <f>'DATA B2'!D14</f>
        <v>511225</v>
      </c>
      <c r="K13" s="213">
        <f t="shared" si="2"/>
        <v>11</v>
      </c>
      <c r="L13" s="80">
        <f>'DATA B2'!E14</f>
        <v>566632</v>
      </c>
      <c r="M13" s="214">
        <f t="shared" si="3"/>
        <v>13</v>
      </c>
      <c r="N13" s="28">
        <f t="shared" si="4"/>
        <v>1.1818181818181819</v>
      </c>
      <c r="O13" s="51">
        <f>IFERROR((('DATA B2'!F14-'DATA B2'!F13)/(K13))*1000,0)</f>
        <v>9.0909090909080895E-3</v>
      </c>
      <c r="P13" s="94">
        <f>'DATA B3'!C14</f>
        <v>220436</v>
      </c>
      <c r="Q13" s="216">
        <f t="shared" si="5"/>
        <v>7</v>
      </c>
      <c r="R13" s="80">
        <f>'DATA B3'!D14</f>
        <v>165148</v>
      </c>
      <c r="S13" s="214">
        <f t="shared" si="6"/>
        <v>6</v>
      </c>
      <c r="T13" s="15">
        <f t="shared" si="7"/>
        <v>0.8571428571428571</v>
      </c>
      <c r="U13" s="51">
        <f>IFERROR((('DATA B3'!E14-'DATA B3'!E13)+('DATA B3'!F14-'DATA B3'!F13))/(Q13),0)</f>
        <v>4.47</v>
      </c>
    </row>
    <row r="14" spans="2:21">
      <c r="B14" s="345"/>
      <c r="C14" s="97">
        <v>0.41666666666666702</v>
      </c>
      <c r="D14" s="84">
        <f>'DATA B1'!D15</f>
        <v>222134</v>
      </c>
      <c r="E14" s="212">
        <f t="shared" si="0"/>
        <v>0</v>
      </c>
      <c r="F14" s="80">
        <f>'DATA B1'!E15</f>
        <v>524526</v>
      </c>
      <c r="G14" s="214">
        <f t="shared" si="8"/>
        <v>0</v>
      </c>
      <c r="H14" s="28">
        <f t="shared" si="1"/>
        <v>0</v>
      </c>
      <c r="I14" s="45">
        <f>IFERROR((('DATA B1'!G15-'DATA B1'!G14)/('WATER_STEAM RATIO'!D14-'WATER_STEAM RATIO'!D13))*1000,0)</f>
        <v>0</v>
      </c>
      <c r="J14" s="50">
        <f>'DATA B2'!D15</f>
        <v>511236</v>
      </c>
      <c r="K14" s="213">
        <f t="shared" si="2"/>
        <v>11</v>
      </c>
      <c r="L14" s="80">
        <f>'DATA B2'!E15</f>
        <v>566645</v>
      </c>
      <c r="M14" s="214">
        <f t="shared" si="3"/>
        <v>13</v>
      </c>
      <c r="N14" s="28">
        <f t="shared" si="4"/>
        <v>1.1818181818181819</v>
      </c>
      <c r="O14" s="51">
        <f>IFERROR((('DATA B2'!F15-'DATA B2'!F14)/(K14))*1000,0)</f>
        <v>0</v>
      </c>
      <c r="P14" s="94">
        <f>'DATA B3'!C15</f>
        <v>220443</v>
      </c>
      <c r="Q14" s="216">
        <f t="shared" si="5"/>
        <v>7</v>
      </c>
      <c r="R14" s="80">
        <f>'DATA B3'!D15</f>
        <v>165155</v>
      </c>
      <c r="S14" s="214">
        <f t="shared" si="6"/>
        <v>7</v>
      </c>
      <c r="T14" s="15">
        <f t="shared" si="7"/>
        <v>1</v>
      </c>
      <c r="U14" s="51">
        <f>IFERROR((('DATA B3'!E15-'DATA B3'!E14)+('DATA B3'!F15-'DATA B3'!F14))/(Q14),0)</f>
        <v>4.47</v>
      </c>
    </row>
    <row r="15" spans="2:21">
      <c r="B15" s="345"/>
      <c r="C15" s="97">
        <v>0.45833333333333298</v>
      </c>
      <c r="D15" s="84">
        <f>'DATA B1'!D16</f>
        <v>222134</v>
      </c>
      <c r="E15" s="212">
        <f t="shared" si="0"/>
        <v>0</v>
      </c>
      <c r="F15" s="80">
        <f>'DATA B1'!E16</f>
        <v>524526</v>
      </c>
      <c r="G15" s="214">
        <f t="shared" si="8"/>
        <v>0</v>
      </c>
      <c r="H15" s="28">
        <f t="shared" si="1"/>
        <v>0</v>
      </c>
      <c r="I15" s="45">
        <f>IFERROR((('DATA B1'!G16-'DATA B1'!G15)/('WATER_STEAM RATIO'!D15-'WATER_STEAM RATIO'!D14))*1000,0)</f>
        <v>0</v>
      </c>
      <c r="J15" s="50">
        <f>'DATA B2'!D16</f>
        <v>511247</v>
      </c>
      <c r="K15" s="213">
        <f t="shared" si="2"/>
        <v>11</v>
      </c>
      <c r="L15" s="80">
        <f>'DATA B2'!E16</f>
        <v>566659</v>
      </c>
      <c r="M15" s="214">
        <f t="shared" si="3"/>
        <v>14</v>
      </c>
      <c r="N15" s="28">
        <f t="shared" si="4"/>
        <v>1.2727272727272727</v>
      </c>
      <c r="O15" s="51">
        <f>IFERROR((('DATA B2'!F16-'DATA B2'!F15)/(K15))*1000,0)</f>
        <v>9.0909090909282765E-3</v>
      </c>
      <c r="P15" s="94">
        <f>'DATA B3'!C16</f>
        <v>220450</v>
      </c>
      <c r="Q15" s="216">
        <f t="shared" si="5"/>
        <v>7</v>
      </c>
      <c r="R15" s="80">
        <f>'DATA B3'!D16</f>
        <v>165162</v>
      </c>
      <c r="S15" s="214">
        <f t="shared" si="6"/>
        <v>7</v>
      </c>
      <c r="T15" s="15">
        <f t="shared" si="7"/>
        <v>1</v>
      </c>
      <c r="U15" s="51">
        <f>IFERROR((('DATA B3'!E16-'DATA B3'!E15)+('DATA B3'!F16-'DATA B3'!F15))/(Q15),0)</f>
        <v>4.4700000000000006</v>
      </c>
    </row>
    <row r="16" spans="2:21">
      <c r="B16" s="345"/>
      <c r="C16" s="97">
        <v>0.5</v>
      </c>
      <c r="D16" s="84">
        <f>'DATA B1'!D17</f>
        <v>222134</v>
      </c>
      <c r="E16" s="212">
        <f t="shared" si="0"/>
        <v>0</v>
      </c>
      <c r="F16" s="80">
        <f>'DATA B1'!E17</f>
        <v>524526</v>
      </c>
      <c r="G16" s="214">
        <f t="shared" si="8"/>
        <v>0</v>
      </c>
      <c r="H16" s="28">
        <f t="shared" si="1"/>
        <v>0</v>
      </c>
      <c r="I16" s="45">
        <f>IFERROR((('DATA B1'!G17-'DATA B1'!G16)/('WATER_STEAM RATIO'!D16-'WATER_STEAM RATIO'!D15))*1000,0)</f>
        <v>0</v>
      </c>
      <c r="J16" s="50">
        <f>'DATA B2'!D17</f>
        <v>511261</v>
      </c>
      <c r="K16" s="213">
        <f t="shared" si="2"/>
        <v>14</v>
      </c>
      <c r="L16" s="80">
        <f>'DATA B2'!E17</f>
        <v>566673</v>
      </c>
      <c r="M16" s="214">
        <f t="shared" si="3"/>
        <v>14</v>
      </c>
      <c r="N16" s="28">
        <f t="shared" si="4"/>
        <v>1</v>
      </c>
      <c r="O16" s="51">
        <f>IFERROR((('DATA B2'!F17-'DATA B2'!F16)/(K16))*1000,0)</f>
        <v>0</v>
      </c>
      <c r="P16" s="94">
        <f>'DATA B3'!C17</f>
        <v>220459</v>
      </c>
      <c r="Q16" s="216">
        <f t="shared" si="5"/>
        <v>9</v>
      </c>
      <c r="R16" s="80">
        <f>'DATA B3'!D17</f>
        <v>165169</v>
      </c>
      <c r="S16" s="214">
        <f t="shared" si="6"/>
        <v>7</v>
      </c>
      <c r="T16" s="15">
        <f t="shared" si="7"/>
        <v>0.77777777777777779</v>
      </c>
      <c r="U16" s="51">
        <f>IFERROR((('DATA B3'!E17-'DATA B3'!E16)+('DATA B3'!F17-'DATA B3'!F16))/(Q16),0)</f>
        <v>3.4766666666666657</v>
      </c>
    </row>
    <row r="17" spans="2:21">
      <c r="B17" s="345"/>
      <c r="C17" s="97">
        <v>0.54166666666666696</v>
      </c>
      <c r="D17" s="84">
        <f>'DATA B1'!D18</f>
        <v>222134</v>
      </c>
      <c r="E17" s="212">
        <f t="shared" si="0"/>
        <v>0</v>
      </c>
      <c r="F17" s="80">
        <f>'DATA B1'!E18</f>
        <v>524526</v>
      </c>
      <c r="G17" s="214">
        <f t="shared" si="8"/>
        <v>0</v>
      </c>
      <c r="H17" s="28">
        <f t="shared" si="1"/>
        <v>0</v>
      </c>
      <c r="I17" s="45">
        <f>IFERROR((('DATA B1'!G18-'DATA B1'!G17)/('WATER_STEAM RATIO'!D17-'WATER_STEAM RATIO'!D16))*1000,0)</f>
        <v>0</v>
      </c>
      <c r="J17" s="50">
        <f>'DATA B2'!D18</f>
        <v>511275</v>
      </c>
      <c r="K17" s="213">
        <f t="shared" si="2"/>
        <v>14</v>
      </c>
      <c r="L17" s="80">
        <f>'DATA B2'!E18</f>
        <v>566687</v>
      </c>
      <c r="M17" s="214">
        <f t="shared" si="3"/>
        <v>14</v>
      </c>
      <c r="N17" s="28">
        <f t="shared" si="4"/>
        <v>1</v>
      </c>
      <c r="O17" s="51">
        <f>IFERROR((('DATA B2'!F18-'DATA B2'!F17)/(K17))*1000,0)</f>
        <v>0</v>
      </c>
      <c r="P17" s="94">
        <f>'DATA B3'!C18</f>
        <v>220468</v>
      </c>
      <c r="Q17" s="216">
        <f t="shared" si="5"/>
        <v>9</v>
      </c>
      <c r="R17" s="80">
        <f>'DATA B3'!D18</f>
        <v>165176</v>
      </c>
      <c r="S17" s="214">
        <f t="shared" si="6"/>
        <v>7</v>
      </c>
      <c r="T17" s="15">
        <f t="shared" si="7"/>
        <v>0.77777777777777779</v>
      </c>
      <c r="U17" s="51">
        <f>IFERROR((('DATA B3'!E18-'DATA B3'!E17)+('DATA B3'!F18-'DATA B3'!F17))/(Q17),0)</f>
        <v>3.4766666666666657</v>
      </c>
    </row>
    <row r="18" spans="2:21">
      <c r="B18" s="345"/>
      <c r="C18" s="97">
        <v>0.58333333333333304</v>
      </c>
      <c r="D18" s="84">
        <f>'DATA B1'!D19</f>
        <v>222134</v>
      </c>
      <c r="E18" s="212">
        <f t="shared" si="0"/>
        <v>0</v>
      </c>
      <c r="F18" s="80">
        <f>'DATA B1'!E19</f>
        <v>524526</v>
      </c>
      <c r="G18" s="214">
        <f t="shared" si="8"/>
        <v>0</v>
      </c>
      <c r="H18" s="28">
        <f t="shared" si="1"/>
        <v>0</v>
      </c>
      <c r="I18" s="45">
        <f>IFERROR((('DATA B1'!G19-'DATA B1'!G18)/('WATER_STEAM RATIO'!D18-'WATER_STEAM RATIO'!D17))*1000,0)</f>
        <v>0</v>
      </c>
      <c r="J18" s="50">
        <f>'DATA B2'!D19</f>
        <v>511288</v>
      </c>
      <c r="K18" s="213">
        <f>SUM(J18-J17)</f>
        <v>13</v>
      </c>
      <c r="L18" s="80">
        <f>'DATA B2'!E19</f>
        <v>566701</v>
      </c>
      <c r="M18" s="214">
        <f t="shared" si="3"/>
        <v>14</v>
      </c>
      <c r="N18" s="28">
        <f t="shared" si="4"/>
        <v>1.0769230769230769</v>
      </c>
      <c r="O18" s="51">
        <f>IFERROR((('DATA B2'!F19-'DATA B2'!F18)/(K18))*1000,0)</f>
        <v>0</v>
      </c>
      <c r="P18" s="94">
        <f>'DATA B3'!C19</f>
        <v>220477</v>
      </c>
      <c r="Q18" s="216">
        <f t="shared" si="5"/>
        <v>9</v>
      </c>
      <c r="R18" s="80">
        <f>'DATA B3'!D19</f>
        <v>165183</v>
      </c>
      <c r="S18" s="214">
        <f t="shared" si="6"/>
        <v>7</v>
      </c>
      <c r="T18" s="15">
        <f t="shared" si="7"/>
        <v>0.77777777777777779</v>
      </c>
      <c r="U18" s="51">
        <f>IFERROR((('DATA B3'!E19-'DATA B3'!E18)+('DATA B3'!F19-'DATA B3'!F18))/(Q18),0)</f>
        <v>3.4766666666666688</v>
      </c>
    </row>
    <row r="19" spans="2:21">
      <c r="B19" s="345"/>
      <c r="C19" s="97">
        <v>0.625</v>
      </c>
      <c r="D19" s="84">
        <f>'DATA B1'!D20</f>
        <v>222134</v>
      </c>
      <c r="E19" s="212">
        <f t="shared" ref="E19:E21" si="9">SUM(D19-D18)</f>
        <v>0</v>
      </c>
      <c r="F19" s="80">
        <f>'DATA B1'!E20</f>
        <v>524526</v>
      </c>
      <c r="G19" s="214">
        <f t="shared" si="8"/>
        <v>0</v>
      </c>
      <c r="H19" s="28">
        <f t="shared" si="1"/>
        <v>0</v>
      </c>
      <c r="I19" s="45">
        <f>IFERROR((('DATA B1'!G20-'DATA B1'!G19)/('WATER_STEAM RATIO'!D19-'WATER_STEAM RATIO'!D18))*1000,0)</f>
        <v>0</v>
      </c>
      <c r="J19" s="50">
        <f>'DATA B2'!D20</f>
        <v>511302</v>
      </c>
      <c r="K19" s="213">
        <f t="shared" si="2"/>
        <v>14</v>
      </c>
      <c r="L19" s="80">
        <f>'DATA B2'!E20</f>
        <v>566718</v>
      </c>
      <c r="M19" s="214">
        <f t="shared" si="3"/>
        <v>17</v>
      </c>
      <c r="N19" s="28">
        <f t="shared" si="4"/>
        <v>1.2142857142857142</v>
      </c>
      <c r="O19" s="51">
        <f>IFERROR((('DATA B2'!F20-'DATA B2'!F19)/(K19))*1000,0)</f>
        <v>1.4285714285712712E-2</v>
      </c>
      <c r="P19" s="94">
        <f>'DATA B3'!C20</f>
        <v>220486</v>
      </c>
      <c r="Q19" s="216">
        <f t="shared" si="5"/>
        <v>9</v>
      </c>
      <c r="R19" s="80">
        <f>'DATA B3'!D20</f>
        <v>165192</v>
      </c>
      <c r="S19" s="214">
        <f t="shared" si="6"/>
        <v>9</v>
      </c>
      <c r="T19" s="15">
        <f t="shared" si="7"/>
        <v>1</v>
      </c>
      <c r="U19" s="51">
        <f>IFERROR((('DATA B3'!E20-'DATA B3'!E19)+('DATA B3'!F20-'DATA B3'!F19))/(Q19),0)</f>
        <v>6.5522222222222188</v>
      </c>
    </row>
    <row r="20" spans="2:21">
      <c r="B20" s="345"/>
      <c r="C20" s="97">
        <v>0.66666666666666596</v>
      </c>
      <c r="D20" s="84">
        <f>'DATA B1'!D21</f>
        <v>222134</v>
      </c>
      <c r="E20" s="212">
        <f t="shared" si="9"/>
        <v>0</v>
      </c>
      <c r="F20" s="80">
        <f>'DATA B1'!E21</f>
        <v>524526</v>
      </c>
      <c r="G20" s="214">
        <f t="shared" si="8"/>
        <v>0</v>
      </c>
      <c r="H20" s="28">
        <f t="shared" si="1"/>
        <v>0</v>
      </c>
      <c r="I20" s="45">
        <f>IFERROR((('DATA B1'!G21-'DATA B1'!G20)/('WATER_STEAM RATIO'!D20-'WATER_STEAM RATIO'!D19))*1000,0)</f>
        <v>0</v>
      </c>
      <c r="J20" s="52">
        <f>'DATA B2'!D21</f>
        <v>511312</v>
      </c>
      <c r="K20" s="213">
        <f t="shared" si="2"/>
        <v>10</v>
      </c>
      <c r="L20" s="80">
        <f>'DATA B2'!E21</f>
        <v>566732</v>
      </c>
      <c r="M20" s="214">
        <f t="shared" si="3"/>
        <v>14</v>
      </c>
      <c r="N20" s="28">
        <f t="shared" si="4"/>
        <v>1.4</v>
      </c>
      <c r="O20" s="51">
        <f>IFERROR((('DATA B2'!F21-'DATA B2'!F20)/(K20))*1000,0)</f>
        <v>0</v>
      </c>
      <c r="P20" s="94">
        <f>'DATA B3'!C21</f>
        <v>220494</v>
      </c>
      <c r="Q20" s="216">
        <f t="shared" si="5"/>
        <v>8</v>
      </c>
      <c r="R20" s="80">
        <f>'DATA B3'!D21</f>
        <v>165199</v>
      </c>
      <c r="S20" s="214">
        <f t="shared" si="6"/>
        <v>7</v>
      </c>
      <c r="T20" s="15">
        <f t="shared" si="7"/>
        <v>0.875</v>
      </c>
      <c r="U20" s="51">
        <f>IFERROR((('DATA B3'!E21-'DATA B3'!E20)+('DATA B3'!F21-'DATA B3'!F20))/(Q20),0)</f>
        <v>7.3712500000000034</v>
      </c>
    </row>
    <row r="21" spans="2:21">
      <c r="B21" s="345"/>
      <c r="C21" s="97">
        <v>0.70833333333333304</v>
      </c>
      <c r="D21" s="84">
        <f>'DATA B1'!D22</f>
        <v>222134</v>
      </c>
      <c r="E21" s="212">
        <f t="shared" si="9"/>
        <v>0</v>
      </c>
      <c r="F21" s="80">
        <f>'DATA B1'!E22</f>
        <v>524526</v>
      </c>
      <c r="G21" s="214">
        <f t="shared" si="8"/>
        <v>0</v>
      </c>
      <c r="H21" s="28">
        <f t="shared" si="1"/>
        <v>0</v>
      </c>
      <c r="I21" s="45">
        <f>IFERROR((('DATA B1'!G22-'DATA B1'!G21)/('WATER_STEAM RATIO'!D21-'WATER_STEAM RATIO'!D20))*1000,0)</f>
        <v>0</v>
      </c>
      <c r="J21" s="50">
        <f>'DATA B2'!D22</f>
        <v>511322</v>
      </c>
      <c r="K21" s="213">
        <f t="shared" si="2"/>
        <v>10</v>
      </c>
      <c r="L21" s="80">
        <f>'DATA B2'!E22</f>
        <v>566746</v>
      </c>
      <c r="M21" s="214">
        <f t="shared" si="3"/>
        <v>14</v>
      </c>
      <c r="N21" s="28">
        <f t="shared" si="4"/>
        <v>1.4</v>
      </c>
      <c r="O21" s="51">
        <f>IFERROR((('DATA B2'!F22-'DATA B2'!F21)/(K21))*1000,0)</f>
        <v>9.9999999999988987E-3</v>
      </c>
      <c r="P21" s="94">
        <f>'DATA B3'!C22</f>
        <v>220502</v>
      </c>
      <c r="Q21" s="216">
        <f t="shared" si="5"/>
        <v>8</v>
      </c>
      <c r="R21" s="80">
        <f>'DATA B3'!D22</f>
        <v>165206</v>
      </c>
      <c r="S21" s="214">
        <f t="shared" si="6"/>
        <v>7</v>
      </c>
      <c r="T21" s="15">
        <f t="shared" si="7"/>
        <v>0.875</v>
      </c>
      <c r="U21" s="51">
        <f>IFERROR((('DATA B3'!E22-'DATA B3'!E21)+('DATA B3'!F22-'DATA B3'!F21))/(Q21),0)</f>
        <v>7.3712499999999963</v>
      </c>
    </row>
    <row r="22" spans="2:21">
      <c r="B22" s="345"/>
      <c r="C22" s="97">
        <v>0.75</v>
      </c>
      <c r="D22" s="84">
        <f>'DATA B1'!D23</f>
        <v>222134</v>
      </c>
      <c r="E22" s="212">
        <f t="shared" ref="E22:E30" si="10">SUM(D22-D21)</f>
        <v>0</v>
      </c>
      <c r="F22" s="80">
        <f>'DATA B1'!E23</f>
        <v>524526</v>
      </c>
      <c r="G22" s="214">
        <f t="shared" si="8"/>
        <v>0</v>
      </c>
      <c r="H22" s="28">
        <f t="shared" si="1"/>
        <v>0</v>
      </c>
      <c r="I22" s="45">
        <f>IFERROR((('DATA B1'!G23-'DATA B1'!G22)/('WATER_STEAM RATIO'!D22-'WATER_STEAM RATIO'!D21))*1000,0)</f>
        <v>0</v>
      </c>
      <c r="J22" s="50">
        <f>'DATA B2'!D23</f>
        <v>511332</v>
      </c>
      <c r="K22" s="213">
        <f t="shared" si="2"/>
        <v>10</v>
      </c>
      <c r="L22" s="80">
        <f>'DATA B2'!E23</f>
        <v>566760</v>
      </c>
      <c r="M22" s="214">
        <f t="shared" si="3"/>
        <v>14</v>
      </c>
      <c r="N22" s="28">
        <f t="shared" si="4"/>
        <v>1.4</v>
      </c>
      <c r="O22" s="51">
        <f>IFERROR((('DATA B2'!F23-'DATA B2'!F22)/(K22))*1000,0)</f>
        <v>0</v>
      </c>
      <c r="P22" s="94">
        <f>'DATA B3'!C23</f>
        <v>220510</v>
      </c>
      <c r="Q22" s="216">
        <f t="shared" si="5"/>
        <v>8</v>
      </c>
      <c r="R22" s="80">
        <f>'DATA B3'!D23</f>
        <v>165213</v>
      </c>
      <c r="S22" s="214">
        <f t="shared" si="6"/>
        <v>7</v>
      </c>
      <c r="T22" s="15">
        <f t="shared" si="7"/>
        <v>0.875</v>
      </c>
      <c r="U22" s="51">
        <f>IFERROR((('DATA B3'!E23-'DATA B3'!E22)+('DATA B3'!F23-'DATA B3'!F22))/(Q22),0)</f>
        <v>2.9337500000000034</v>
      </c>
    </row>
    <row r="23" spans="2:21">
      <c r="B23" s="345"/>
      <c r="C23" s="97">
        <v>0.79166666666666596</v>
      </c>
      <c r="D23" s="84">
        <f>'DATA B1'!D24</f>
        <v>222134</v>
      </c>
      <c r="E23" s="212">
        <f t="shared" si="10"/>
        <v>0</v>
      </c>
      <c r="F23" s="80">
        <f>'DATA B1'!E24</f>
        <v>524526</v>
      </c>
      <c r="G23" s="214">
        <f t="shared" si="8"/>
        <v>0</v>
      </c>
      <c r="H23" s="28">
        <f t="shared" si="1"/>
        <v>0</v>
      </c>
      <c r="I23" s="45">
        <f>IFERROR((('DATA B1'!G24-'DATA B1'!G23)/('WATER_STEAM RATIO'!D23-'WATER_STEAM RATIO'!D22))*1000,0)</f>
        <v>0</v>
      </c>
      <c r="J23" s="50">
        <f>'DATA B2'!D24</f>
        <v>511343</v>
      </c>
      <c r="K23" s="213">
        <f t="shared" si="2"/>
        <v>11</v>
      </c>
      <c r="L23" s="80">
        <f>'DATA B2'!E24</f>
        <v>566776</v>
      </c>
      <c r="M23" s="214">
        <f t="shared" si="3"/>
        <v>16</v>
      </c>
      <c r="N23" s="28">
        <f t="shared" si="4"/>
        <v>1.4545454545454546</v>
      </c>
      <c r="O23" s="51">
        <f>IFERROR((('DATA B2'!F24-'DATA B2'!F23)/(K23))*1000,0)</f>
        <v>9.0909090909080895E-3</v>
      </c>
      <c r="P23" s="94">
        <f>'DATA B3'!C24</f>
        <v>220519</v>
      </c>
      <c r="Q23" s="216">
        <f t="shared" si="5"/>
        <v>9</v>
      </c>
      <c r="R23" s="80">
        <f>'DATA B3'!D24</f>
        <v>165220</v>
      </c>
      <c r="S23" s="214">
        <f t="shared" si="6"/>
        <v>7</v>
      </c>
      <c r="T23" s="15">
        <f t="shared" si="7"/>
        <v>0.77777777777777779</v>
      </c>
      <c r="U23" s="51">
        <f>IFERROR((('DATA B3'!E24-'DATA B3'!E23)+('DATA B3'!F24-'DATA B3'!F23))/(Q23),0)</f>
        <v>0.14111111111110908</v>
      </c>
    </row>
    <row r="24" spans="2:21">
      <c r="B24" s="345"/>
      <c r="C24" s="97">
        <v>0.83333333333333304</v>
      </c>
      <c r="D24" s="84">
        <f>'DATA B1'!D25</f>
        <v>222134</v>
      </c>
      <c r="E24" s="212">
        <f t="shared" si="10"/>
        <v>0</v>
      </c>
      <c r="F24" s="80">
        <f>'DATA B1'!E25</f>
        <v>524526</v>
      </c>
      <c r="G24" s="214">
        <f t="shared" si="8"/>
        <v>0</v>
      </c>
      <c r="H24" s="28">
        <f xml:space="preserve"> IFERROR(G24/E24,0)</f>
        <v>0</v>
      </c>
      <c r="I24" s="45">
        <f>IFERROR((('DATA B1'!G25-'DATA B1'!G24)/('WATER_STEAM RATIO'!D24-'WATER_STEAM RATIO'!D23))*1000,0)</f>
        <v>0</v>
      </c>
      <c r="J24" s="50">
        <f>'DATA B2'!D25</f>
        <v>511355</v>
      </c>
      <c r="K24" s="213">
        <f t="shared" si="2"/>
        <v>12</v>
      </c>
      <c r="L24" s="80">
        <f>'DATA B2'!E25</f>
        <v>566795</v>
      </c>
      <c r="M24" s="214">
        <f t="shared" si="3"/>
        <v>19</v>
      </c>
      <c r="N24" s="28">
        <f t="shared" si="4"/>
        <v>1.5833333333333333</v>
      </c>
      <c r="O24" s="51">
        <f>IFERROR((('DATA B2'!F25-'DATA B2'!F24)/(K24))*1000,0)</f>
        <v>0</v>
      </c>
      <c r="P24" s="94">
        <f>'DATA B3'!C25</f>
        <v>220528</v>
      </c>
      <c r="Q24" s="216">
        <f t="shared" si="5"/>
        <v>9</v>
      </c>
      <c r="R24" s="80">
        <f>'DATA B3'!D25</f>
        <v>165227</v>
      </c>
      <c r="S24" s="214">
        <f t="shared" si="6"/>
        <v>7</v>
      </c>
      <c r="T24" s="15">
        <f t="shared" si="7"/>
        <v>0.77777777777777779</v>
      </c>
      <c r="U24" s="51">
        <f>IFERROR((('DATA B3'!E25-'DATA B3'!E24)+('DATA B3'!F25-'DATA B3'!F24))/(Q24),0)</f>
        <v>4.7099999999999982</v>
      </c>
    </row>
    <row r="25" spans="2:21">
      <c r="B25" s="345"/>
      <c r="C25" s="97">
        <v>0.875</v>
      </c>
      <c r="D25" s="84">
        <f>'DATA B1'!D26</f>
        <v>222134</v>
      </c>
      <c r="E25" s="212">
        <f t="shared" si="10"/>
        <v>0</v>
      </c>
      <c r="F25" s="80">
        <f>'DATA B1'!E26</f>
        <v>524526</v>
      </c>
      <c r="G25" s="214">
        <f t="shared" si="8"/>
        <v>0</v>
      </c>
      <c r="H25" s="28">
        <f t="shared" si="1"/>
        <v>0</v>
      </c>
      <c r="I25" s="45">
        <f>IFERROR((('DATA B1'!G26-'DATA B1'!G25)/('WATER_STEAM RATIO'!D25-'WATER_STEAM RATIO'!D24))*1000,0)</f>
        <v>0</v>
      </c>
      <c r="J25" s="50">
        <f>'DATA B2'!D26</f>
        <v>511364</v>
      </c>
      <c r="K25" s="213">
        <f>SUM(J25-J24)</f>
        <v>9</v>
      </c>
      <c r="L25" s="80">
        <f>'DATA B2'!E26</f>
        <v>566809</v>
      </c>
      <c r="M25" s="214">
        <f t="shared" si="3"/>
        <v>14</v>
      </c>
      <c r="N25" s="28">
        <f>IFERROR(M25/K25,0)</f>
        <v>1.5555555555555556</v>
      </c>
      <c r="O25" s="51">
        <f>IFERROR((('DATA B2'!F26-'DATA B2'!F25)/(K25))*1000,0)</f>
        <v>1.1111111111109887E-2</v>
      </c>
      <c r="P25" s="94">
        <f>'DATA B3'!C26</f>
        <v>220534</v>
      </c>
      <c r="Q25" s="216">
        <f>SUM(P25-P24)</f>
        <v>6</v>
      </c>
      <c r="R25" s="80">
        <f>'DATA B3'!D26</f>
        <v>165232</v>
      </c>
      <c r="S25" s="214">
        <f t="shared" si="6"/>
        <v>5</v>
      </c>
      <c r="T25" s="15">
        <f t="shared" si="7"/>
        <v>0.83333333333333337</v>
      </c>
      <c r="U25" s="51">
        <f>IFERROR((('DATA B3'!E26-'DATA B3'!E25)+('DATA B3'!F26-'DATA B3'!F25))/(Q25),0)</f>
        <v>4.6083333333333387</v>
      </c>
    </row>
    <row r="26" spans="2:21">
      <c r="B26" s="345"/>
      <c r="C26" s="97">
        <v>0.91666666666666596</v>
      </c>
      <c r="D26" s="84">
        <f>'DATA B1'!D27</f>
        <v>222134</v>
      </c>
      <c r="E26" s="212">
        <f t="shared" si="10"/>
        <v>0</v>
      </c>
      <c r="F26" s="80">
        <f>'DATA B1'!E27</f>
        <v>524526</v>
      </c>
      <c r="G26" s="214">
        <f t="shared" si="8"/>
        <v>0</v>
      </c>
      <c r="H26" s="28">
        <f t="shared" si="1"/>
        <v>0</v>
      </c>
      <c r="I26" s="45">
        <f>IFERROR((('DATA B1'!G27-'DATA B1'!G26)/('WATER_STEAM RATIO'!D26-'WATER_STEAM RATIO'!D25))*1000,0)</f>
        <v>0</v>
      </c>
      <c r="J26" s="50">
        <f>'DATA B2'!D27</f>
        <v>511373</v>
      </c>
      <c r="K26" s="213">
        <f t="shared" si="2"/>
        <v>9</v>
      </c>
      <c r="L26" s="80">
        <f>'DATA B2'!E27</f>
        <v>566824</v>
      </c>
      <c r="M26" s="214">
        <f t="shared" si="3"/>
        <v>15</v>
      </c>
      <c r="N26" s="28">
        <f t="shared" si="4"/>
        <v>1.6666666666666667</v>
      </c>
      <c r="O26" s="51">
        <f>IFERROR((('DATA B2'!F27-'DATA B2'!F26)/(K26))*1000,0)</f>
        <v>0</v>
      </c>
      <c r="P26" s="94">
        <f>'DATA B3'!C27</f>
        <v>220540</v>
      </c>
      <c r="Q26" s="216">
        <f t="shared" si="5"/>
        <v>6</v>
      </c>
      <c r="R26" s="80">
        <f>'DATA B3'!D27</f>
        <v>165238</v>
      </c>
      <c r="S26" s="214">
        <f t="shared" si="6"/>
        <v>6</v>
      </c>
      <c r="T26" s="15">
        <f t="shared" si="7"/>
        <v>1</v>
      </c>
      <c r="U26" s="51">
        <f>IFERROR((('DATA B3'!E27-'DATA B3'!E26)+('DATA B3'!F27-'DATA B3'!F26))/(Q26),0)</f>
        <v>4.7199999999999989</v>
      </c>
    </row>
    <row r="27" spans="2:21">
      <c r="B27" s="345"/>
      <c r="C27" s="97">
        <v>0.95833333333333304</v>
      </c>
      <c r="D27" s="84">
        <f>'DATA B1'!D28</f>
        <v>222134</v>
      </c>
      <c r="E27" s="212">
        <f t="shared" si="10"/>
        <v>0</v>
      </c>
      <c r="F27" s="80">
        <f>'DATA B1'!E28</f>
        <v>524526</v>
      </c>
      <c r="G27" s="214">
        <f t="shared" si="8"/>
        <v>0</v>
      </c>
      <c r="H27" s="28">
        <f t="shared" si="1"/>
        <v>0</v>
      </c>
      <c r="I27" s="45">
        <f>IFERROR((('DATA B1'!G28-'DATA B1'!G27)/('WATER_STEAM RATIO'!D27-'WATER_STEAM RATIO'!D26))*1000,0)</f>
        <v>0</v>
      </c>
      <c r="J27" s="50">
        <f>'DATA B2'!D28</f>
        <v>511383</v>
      </c>
      <c r="K27" s="213">
        <f t="shared" si="2"/>
        <v>10</v>
      </c>
      <c r="L27" s="80">
        <f>'DATA B2'!E28</f>
        <v>566839</v>
      </c>
      <c r="M27" s="214">
        <f t="shared" si="3"/>
        <v>15</v>
      </c>
      <c r="N27" s="28">
        <f t="shared" si="4"/>
        <v>1.5</v>
      </c>
      <c r="O27" s="51">
        <f>IFERROR((('DATA B2'!F28-'DATA B2'!F27)/(K27))*1000,0)</f>
        <v>0</v>
      </c>
      <c r="P27" s="94">
        <f>'DATA B3'!C28</f>
        <v>220546</v>
      </c>
      <c r="Q27" s="216">
        <f t="shared" si="5"/>
        <v>6</v>
      </c>
      <c r="R27" s="80">
        <f>'DATA B3'!D28</f>
        <v>165243</v>
      </c>
      <c r="S27" s="214">
        <f t="shared" si="6"/>
        <v>5</v>
      </c>
      <c r="T27" s="15">
        <f t="shared" si="7"/>
        <v>0.83333333333333337</v>
      </c>
      <c r="U27" s="51">
        <f>IFERROR((('DATA B3'!E28-'DATA B3'!E27)+('DATA B3'!F28-'DATA B3'!F27))/(Q27),0)</f>
        <v>5.2883333333333269</v>
      </c>
    </row>
    <row r="28" spans="2:21">
      <c r="B28" s="345"/>
      <c r="C28" s="97">
        <v>1</v>
      </c>
      <c r="D28" s="84">
        <f>'DATA B1'!D29</f>
        <v>222134</v>
      </c>
      <c r="E28" s="212">
        <f t="shared" si="10"/>
        <v>0</v>
      </c>
      <c r="F28" s="80">
        <f>'DATA B1'!E29</f>
        <v>524526</v>
      </c>
      <c r="G28" s="214">
        <f t="shared" si="8"/>
        <v>0</v>
      </c>
      <c r="H28" s="28">
        <f t="shared" si="1"/>
        <v>0</v>
      </c>
      <c r="I28" s="45">
        <f>IFERROR((('DATA B1'!G29-'DATA B1'!G28)/('WATER_STEAM RATIO'!D28-'WATER_STEAM RATIO'!D27))*1000,0)</f>
        <v>0</v>
      </c>
      <c r="J28" s="50">
        <f>'DATA B2'!D29</f>
        <v>511393</v>
      </c>
      <c r="K28" s="213">
        <f t="shared" si="2"/>
        <v>10</v>
      </c>
      <c r="L28" s="80">
        <f>'DATA B2'!E29</f>
        <v>566855</v>
      </c>
      <c r="M28" s="214">
        <f t="shared" si="3"/>
        <v>16</v>
      </c>
      <c r="N28" s="28">
        <f t="shared" si="4"/>
        <v>1.6</v>
      </c>
      <c r="O28" s="51">
        <f>IFERROR((('DATA B2'!F29-'DATA B2'!F28)/(K28))*1000,0)</f>
        <v>0</v>
      </c>
      <c r="P28" s="94">
        <f>'DATA B3'!C29</f>
        <v>220552</v>
      </c>
      <c r="Q28" s="216">
        <f t="shared" si="5"/>
        <v>6</v>
      </c>
      <c r="R28" s="80">
        <f>'DATA B3'!D29</f>
        <v>165249</v>
      </c>
      <c r="S28" s="214">
        <f t="shared" si="6"/>
        <v>6</v>
      </c>
      <c r="T28" s="15">
        <f t="shared" si="7"/>
        <v>1</v>
      </c>
      <c r="U28" s="51">
        <f>IFERROR((('DATA B3'!E29-'DATA B3'!E28)+('DATA B3'!F29-'DATA B3'!F28))/(Q28),0)</f>
        <v>5.2883333333333367</v>
      </c>
    </row>
    <row r="29" spans="2:21">
      <c r="B29" s="345"/>
      <c r="C29" s="97">
        <v>1.0416666666666701</v>
      </c>
      <c r="D29" s="84">
        <f>'DATA B1'!D30</f>
        <v>222134</v>
      </c>
      <c r="E29" s="212">
        <f t="shared" si="10"/>
        <v>0</v>
      </c>
      <c r="F29" s="80">
        <f>'DATA B1'!E30</f>
        <v>524526</v>
      </c>
      <c r="G29" s="214">
        <f t="shared" si="8"/>
        <v>0</v>
      </c>
      <c r="H29" s="28">
        <f t="shared" si="1"/>
        <v>0</v>
      </c>
      <c r="I29" s="45">
        <f>IFERROR((('DATA B1'!G30-'DATA B1'!G29)/('WATER_STEAM RATIO'!D29-'WATER_STEAM RATIO'!D28))*1000,0)</f>
        <v>0</v>
      </c>
      <c r="J29" s="50">
        <f>'DATA B2'!D30</f>
        <v>511403</v>
      </c>
      <c r="K29" s="213">
        <f t="shared" si="2"/>
        <v>10</v>
      </c>
      <c r="L29" s="80">
        <f>'DATA B2'!E30</f>
        <v>566871</v>
      </c>
      <c r="M29" s="214">
        <f t="shared" si="3"/>
        <v>16</v>
      </c>
      <c r="N29" s="28">
        <f t="shared" si="4"/>
        <v>1.6</v>
      </c>
      <c r="O29" s="51">
        <f>IFERROR((('DATA B2'!F30-'DATA B2'!F29)/(K29))*1000,0)</f>
        <v>0</v>
      </c>
      <c r="P29" s="94">
        <f>'DATA B3'!C30</f>
        <v>220558</v>
      </c>
      <c r="Q29" s="216">
        <f t="shared" si="5"/>
        <v>6</v>
      </c>
      <c r="R29" s="80">
        <f>'DATA B3'!D30</f>
        <v>165255</v>
      </c>
      <c r="S29" s="214">
        <f t="shared" si="6"/>
        <v>6</v>
      </c>
      <c r="T29" s="15">
        <f t="shared" si="7"/>
        <v>1</v>
      </c>
      <c r="U29" s="51">
        <f>IFERROR((('DATA B3'!E30-'DATA B3'!E29)+('DATA B3'!F30-'DATA B3'!F29))/(Q29),0)</f>
        <v>5.2883333333333367</v>
      </c>
    </row>
    <row r="30" spans="2:21">
      <c r="B30" s="345"/>
      <c r="C30" s="97">
        <v>1.0833333333333399</v>
      </c>
      <c r="D30" s="84">
        <f>'DATA B1'!D31</f>
        <v>222134</v>
      </c>
      <c r="E30" s="212">
        <f t="shared" si="10"/>
        <v>0</v>
      </c>
      <c r="F30" s="80">
        <f>'DATA B1'!E31</f>
        <v>524526</v>
      </c>
      <c r="G30" s="214">
        <f t="shared" si="8"/>
        <v>0</v>
      </c>
      <c r="H30" s="28">
        <f t="shared" si="1"/>
        <v>0</v>
      </c>
      <c r="I30" s="45">
        <f>IFERROR((('DATA B1'!G31-'DATA B1'!G30)/('WATER_STEAM RATIO'!D30-'WATER_STEAM RATIO'!D29))*1000,0)</f>
        <v>0</v>
      </c>
      <c r="J30" s="50">
        <f>'DATA B2'!D31</f>
        <v>511414</v>
      </c>
      <c r="K30" s="213">
        <f t="shared" si="2"/>
        <v>11</v>
      </c>
      <c r="L30" s="80">
        <f>'DATA B2'!E31</f>
        <v>566887</v>
      </c>
      <c r="M30" s="214">
        <f t="shared" si="3"/>
        <v>16</v>
      </c>
      <c r="N30" s="28">
        <f t="shared" si="4"/>
        <v>1.4545454545454546</v>
      </c>
      <c r="O30" s="51">
        <f>IFERROR((('DATA B2'!F31-'DATA B2'!F30)/(K30))*1000,0)</f>
        <v>0</v>
      </c>
      <c r="P30" s="94">
        <f>'DATA B3'!C31</f>
        <v>220565</v>
      </c>
      <c r="Q30" s="216">
        <f t="shared" si="5"/>
        <v>7</v>
      </c>
      <c r="R30" s="80">
        <f>'DATA B3'!D31</f>
        <v>165262</v>
      </c>
      <c r="S30" s="214">
        <f t="shared" si="6"/>
        <v>7</v>
      </c>
      <c r="T30" s="15">
        <f t="shared" si="7"/>
        <v>1</v>
      </c>
      <c r="U30" s="51">
        <f>IFERROR((('DATA B3'!E31-'DATA B3'!E30)+('DATA B3'!F31-'DATA B3'!F30))/(Q30),0)</f>
        <v>4.5328571428571376</v>
      </c>
    </row>
    <row r="31" spans="2:21">
      <c r="B31" s="345"/>
      <c r="C31" s="97">
        <v>1.125</v>
      </c>
      <c r="D31" s="84">
        <f>'DATA B1'!D32</f>
        <v>222134</v>
      </c>
      <c r="E31" s="212">
        <f t="shared" ref="E31:E35" si="11">SUM(D31-D30)</f>
        <v>0</v>
      </c>
      <c r="F31" s="80">
        <f>'DATA B1'!E32</f>
        <v>524526</v>
      </c>
      <c r="G31" s="214">
        <f t="shared" si="8"/>
        <v>0</v>
      </c>
      <c r="H31" s="28">
        <f t="shared" si="1"/>
        <v>0</v>
      </c>
      <c r="I31" s="45">
        <f>IFERROR((('DATA B1'!G32-'DATA B1'!G31)/('WATER_STEAM RATIO'!D31-'WATER_STEAM RATIO'!D30))*1000,0)</f>
        <v>0</v>
      </c>
      <c r="J31" s="50">
        <f>'DATA B2'!D32</f>
        <v>511426</v>
      </c>
      <c r="K31" s="213">
        <f t="shared" si="2"/>
        <v>12</v>
      </c>
      <c r="L31" s="80">
        <f>'DATA B2'!E32</f>
        <v>566904</v>
      </c>
      <c r="M31" s="214">
        <f t="shared" si="3"/>
        <v>17</v>
      </c>
      <c r="N31" s="28">
        <f t="shared" si="4"/>
        <v>1.4166666666666667</v>
      </c>
      <c r="O31" s="51">
        <f>IFERROR((('DATA B2'!F32-'DATA B2'!F31)/(K31))*1000,0)</f>
        <v>0</v>
      </c>
      <c r="P31" s="94">
        <f>'DATA B3'!C32</f>
        <v>220573</v>
      </c>
      <c r="Q31" s="216">
        <f t="shared" si="5"/>
        <v>8</v>
      </c>
      <c r="R31" s="80">
        <f>'DATA B3'!D32</f>
        <v>165270</v>
      </c>
      <c r="S31" s="214">
        <f t="shared" si="6"/>
        <v>8</v>
      </c>
      <c r="T31" s="15">
        <f t="shared" si="7"/>
        <v>1</v>
      </c>
      <c r="U31" s="51">
        <f>IFERROR((('DATA B3'!E32-'DATA B3'!E31)+('DATA B3'!F32-'DATA B3'!F31))/(Q31),0)</f>
        <v>6.8300000000000054</v>
      </c>
    </row>
    <row r="32" spans="2:21">
      <c r="B32" s="345"/>
      <c r="C32" s="97">
        <v>1.1666666666666701</v>
      </c>
      <c r="D32" s="84">
        <f>'DATA B1'!D33</f>
        <v>222134</v>
      </c>
      <c r="E32" s="212">
        <f t="shared" si="11"/>
        <v>0</v>
      </c>
      <c r="F32" s="80">
        <f>'DATA B1'!E33</f>
        <v>524526</v>
      </c>
      <c r="G32" s="214">
        <f t="shared" si="8"/>
        <v>0</v>
      </c>
      <c r="H32" s="28">
        <f t="shared" si="1"/>
        <v>0</v>
      </c>
      <c r="I32" s="45">
        <f>IFERROR((('DATA B1'!G33-'DATA B1'!G32)/('WATER_STEAM RATIO'!D32-'WATER_STEAM RATIO'!D31))*1000,0)</f>
        <v>0</v>
      </c>
      <c r="J32" s="50">
        <f>'DATA B2'!D33</f>
        <v>511435</v>
      </c>
      <c r="K32" s="213">
        <f>SUM(J32-J31)</f>
        <v>9</v>
      </c>
      <c r="L32" s="80">
        <f>'DATA B2'!E33</f>
        <v>566917</v>
      </c>
      <c r="M32" s="214">
        <f t="shared" si="3"/>
        <v>13</v>
      </c>
      <c r="N32" s="28">
        <f t="shared" si="4"/>
        <v>1.4444444444444444</v>
      </c>
      <c r="O32" s="51">
        <f>IFERROR((('DATA B2'!F33-'DATA B2'!F32)/(K32))*1000,0)</f>
        <v>0</v>
      </c>
      <c r="P32" s="94">
        <f>'DATA B3'!C33</f>
        <v>220580</v>
      </c>
      <c r="Q32" s="216">
        <f t="shared" si="5"/>
        <v>7</v>
      </c>
      <c r="R32" s="80">
        <f>'DATA B3'!D33</f>
        <v>165275</v>
      </c>
      <c r="S32" s="214">
        <f t="shared" si="6"/>
        <v>5</v>
      </c>
      <c r="T32" s="15">
        <f t="shared" si="7"/>
        <v>0.7142857142857143</v>
      </c>
      <c r="U32" s="51">
        <f>IFERROR((('DATA B3'!E33-'DATA B3'!E32)+('DATA B3'!F33-'DATA B3'!F32))/(Q32),0)</f>
        <v>4.411428571428571</v>
      </c>
    </row>
    <row r="33" spans="2:21">
      <c r="B33" s="345"/>
      <c r="C33" s="97">
        <v>1.2083333333333399</v>
      </c>
      <c r="D33" s="84">
        <f>'DATA B1'!D34</f>
        <v>222134</v>
      </c>
      <c r="E33" s="212">
        <f t="shared" si="11"/>
        <v>0</v>
      </c>
      <c r="F33" s="80">
        <f>'DATA B1'!E34</f>
        <v>524526</v>
      </c>
      <c r="G33" s="214">
        <f t="shared" si="8"/>
        <v>0</v>
      </c>
      <c r="H33" s="28">
        <f t="shared" si="1"/>
        <v>0</v>
      </c>
      <c r="I33" s="45">
        <f>IFERROR((('DATA B1'!G34-'DATA B1'!G33)/('WATER_STEAM RATIO'!D33-'WATER_STEAM RATIO'!D32))*1000,0)</f>
        <v>0</v>
      </c>
      <c r="J33" s="50">
        <f>'DATA B2'!D34</f>
        <v>511444</v>
      </c>
      <c r="K33" s="213">
        <f t="shared" si="2"/>
        <v>9</v>
      </c>
      <c r="L33" s="80">
        <f>'DATA B2'!E34</f>
        <v>566931</v>
      </c>
      <c r="M33" s="214">
        <f t="shared" si="3"/>
        <v>14</v>
      </c>
      <c r="N33" s="28">
        <f t="shared" si="4"/>
        <v>1.5555555555555556</v>
      </c>
      <c r="O33" s="51">
        <f>IFERROR((('DATA B2'!F34-'DATA B2'!F33)/(K33))*1000,0)</f>
        <v>0</v>
      </c>
      <c r="P33" s="94">
        <f>'DATA B3'!C34</f>
        <v>220588</v>
      </c>
      <c r="Q33" s="216">
        <f t="shared" si="5"/>
        <v>8</v>
      </c>
      <c r="R33" s="80">
        <f>'DATA B3'!D34</f>
        <v>165281</v>
      </c>
      <c r="S33" s="214">
        <f t="shared" si="6"/>
        <v>6</v>
      </c>
      <c r="T33" s="15">
        <f t="shared" si="7"/>
        <v>0.75</v>
      </c>
      <c r="U33" s="51">
        <f>IFERROR((('DATA B3'!E34-'DATA B3'!E33)+('DATA B3'!F34-'DATA B3'!F33))/(Q33),0)</f>
        <v>3.9250000000000043</v>
      </c>
    </row>
    <row r="34" spans="2:21">
      <c r="B34" s="345"/>
      <c r="C34" s="97">
        <v>1.25</v>
      </c>
      <c r="D34" s="84">
        <f>'DATA B1'!D35</f>
        <v>222134</v>
      </c>
      <c r="E34" s="212">
        <f t="shared" si="11"/>
        <v>0</v>
      </c>
      <c r="F34" s="80">
        <f>'DATA B1'!E35</f>
        <v>524526</v>
      </c>
      <c r="G34" s="214">
        <f t="shared" si="8"/>
        <v>0</v>
      </c>
      <c r="H34" s="28">
        <f t="shared" si="1"/>
        <v>0</v>
      </c>
      <c r="I34" s="45">
        <f>IFERROR((('DATA B1'!G35-'DATA B1'!G34)/('WATER_STEAM RATIO'!D34-'WATER_STEAM RATIO'!D33))*1000,0)</f>
        <v>0</v>
      </c>
      <c r="J34" s="50">
        <f>'DATA B2'!D35</f>
        <v>511454</v>
      </c>
      <c r="K34" s="213">
        <f t="shared" si="2"/>
        <v>10</v>
      </c>
      <c r="L34" s="80">
        <f>'DATA B2'!E35</f>
        <v>566945</v>
      </c>
      <c r="M34" s="214">
        <f t="shared" si="3"/>
        <v>14</v>
      </c>
      <c r="N34" s="28">
        <f t="shared" si="4"/>
        <v>1.4</v>
      </c>
      <c r="O34" s="51">
        <f>IFERROR((('DATA B2'!F35-'DATA B2'!F34)/(K34))*1000,0)</f>
        <v>0</v>
      </c>
      <c r="P34" s="94">
        <f>'DATA B3'!C35</f>
        <v>220596</v>
      </c>
      <c r="Q34" s="216">
        <f t="shared" si="5"/>
        <v>8</v>
      </c>
      <c r="R34" s="80">
        <f>'DATA B3'!D35</f>
        <v>165287</v>
      </c>
      <c r="S34" s="214">
        <f t="shared" si="6"/>
        <v>6</v>
      </c>
      <c r="T34" s="15">
        <f t="shared" si="7"/>
        <v>0.75</v>
      </c>
      <c r="U34" s="51">
        <f>IFERROR((('DATA B3'!E35-'DATA B3'!E34)+('DATA B3'!F35-'DATA B3'!F34))/(Q34),0)</f>
        <v>3.9274999999999949</v>
      </c>
    </row>
    <row r="35" spans="2:21">
      <c r="B35" s="345"/>
      <c r="C35" s="97">
        <v>1.2916666666666701</v>
      </c>
      <c r="D35" s="84">
        <f>'DATA B1'!D36</f>
        <v>222134</v>
      </c>
      <c r="E35" s="212">
        <f t="shared" si="11"/>
        <v>0</v>
      </c>
      <c r="F35" s="80">
        <f>'DATA B1'!E36</f>
        <v>524526</v>
      </c>
      <c r="G35" s="214">
        <f t="shared" si="8"/>
        <v>0</v>
      </c>
      <c r="H35" s="28">
        <f t="shared" si="1"/>
        <v>0</v>
      </c>
      <c r="I35" s="45">
        <f>IFERROR((('DATA B1'!G36-'DATA B1'!G35)/('WATER_STEAM RATIO'!D35-'WATER_STEAM RATIO'!D34))*1000,0)</f>
        <v>0</v>
      </c>
      <c r="J35" s="50">
        <f>'DATA B2'!D36</f>
        <v>511464</v>
      </c>
      <c r="K35" s="213">
        <f t="shared" si="2"/>
        <v>10</v>
      </c>
      <c r="L35" s="80">
        <f>'DATA B2'!E36</f>
        <v>566959</v>
      </c>
      <c r="M35" s="214">
        <f t="shared" si="3"/>
        <v>14</v>
      </c>
      <c r="N35" s="28">
        <f t="shared" si="4"/>
        <v>1.4</v>
      </c>
      <c r="O35" s="51">
        <f>IFERROR((('DATA B2'!F36-'DATA B2'!F35)/(K35))*1000,0)</f>
        <v>0</v>
      </c>
      <c r="P35" s="94">
        <f>'DATA B3'!C36</f>
        <v>220604</v>
      </c>
      <c r="Q35" s="216">
        <f t="shared" si="5"/>
        <v>8</v>
      </c>
      <c r="R35" s="80">
        <f>'DATA B3'!D36</f>
        <v>165293</v>
      </c>
      <c r="S35" s="214">
        <f t="shared" si="6"/>
        <v>6</v>
      </c>
      <c r="T35" s="15">
        <f t="shared" si="7"/>
        <v>0.75</v>
      </c>
      <c r="U35" s="51">
        <f>IFERROR((('DATA B3'!E36-'DATA B3'!E35)+('DATA B3'!F36-'DATA B3'!F35))/(Q35),0)</f>
        <v>3.8924999999999983</v>
      </c>
    </row>
    <row r="36" spans="2:21" ht="15.75" thickBot="1">
      <c r="B36" s="346"/>
      <c r="C36" s="235"/>
      <c r="D36" s="224" cm="1">
        <f t="array" ref="D36">IFERROR(LOOKUP(2,1/(D11:D35&gt;0),D11:D35-D11),0)</f>
        <v>0</v>
      </c>
      <c r="E36" s="223">
        <f>SUMIF(E12:E35,"&gt;=0",E12:E35)</f>
        <v>0</v>
      </c>
      <c r="F36" s="224" cm="1">
        <f t="array" ref="F36">IFERROR(LOOKUP(2,1/(F11:F35&gt;0),F11:F35-F11),0)</f>
        <v>0</v>
      </c>
      <c r="G36" s="223">
        <f>SUMIF(G12:G35,"&gt;=0",G12:G35)</f>
        <v>0</v>
      </c>
      <c r="H36" s="225">
        <f t="shared" si="1"/>
        <v>0</v>
      </c>
      <c r="I36" s="236">
        <f>IFERROR((('DATA B1'!H37)/(E36))*1000,0)</f>
        <v>0</v>
      </c>
      <c r="J36" s="222" cm="1">
        <f t="array" ref="J36">IFERROR(LOOKUP(2,1/(J11:J35&gt;0),J11:J35-J11),0)</f>
        <v>268</v>
      </c>
      <c r="K36" s="223">
        <f>SUMIF(K12:K35,"&gt;=0",K12:K35)</f>
        <v>268</v>
      </c>
      <c r="L36" s="224" cm="1">
        <f t="array" ref="L36">IFERROR(LOOKUP(2,1/(L11:L35&gt;0),L11:L35-L11),0)</f>
        <v>363</v>
      </c>
      <c r="M36" s="223">
        <f>SUMIF(M12:M35,"&gt;=0",M12:M35)</f>
        <v>363</v>
      </c>
      <c r="N36" s="225">
        <f>IFERROR(M36/K36,0)</f>
        <v>1.3544776119402986</v>
      </c>
      <c r="O36" s="226">
        <f>IFERROR((('DATA B2'!H37)/(K36))*1000,0)</f>
        <v>4.1044776119406748E-3</v>
      </c>
      <c r="P36" s="224" cm="1">
        <f t="array" ref="P36">IFERROR(LOOKUP(2,1/(P11:P35&gt;0),P11:P35-P11),0)</f>
        <v>186</v>
      </c>
      <c r="Q36" s="223">
        <f>SUMIF(Q12:Q35,"&gt;=0",Q12:Q35)</f>
        <v>186</v>
      </c>
      <c r="R36" s="224" cm="1">
        <f t="array" ref="R36">IFERROR(LOOKUP(2,1/(R11:R35&gt;0),R11:R35-R11),0)</f>
        <v>158</v>
      </c>
      <c r="S36" s="223">
        <f>SUMIF(S12:S35,"&gt;=0",S12:S35)</f>
        <v>158</v>
      </c>
      <c r="T36" s="237">
        <f t="shared" si="7"/>
        <v>0.84946236559139787</v>
      </c>
      <c r="U36" s="226">
        <f>IFERROR(('DATA B3'!E37+'DATA B3'!F37)/Q36*1000,0)</f>
        <v>4536.1827956989246</v>
      </c>
    </row>
    <row r="37" spans="2:21" ht="15" customHeight="1">
      <c r="B37" s="292">
        <f>SUM('DATA B1'!B38:B63)</f>
        <v>46024</v>
      </c>
      <c r="C37" s="227">
        <v>0.29166666666666669</v>
      </c>
      <c r="D37" s="228">
        <f>'DATA B1'!D38</f>
        <v>222134</v>
      </c>
      <c r="E37" s="5">
        <f>SUM(E35)</f>
        <v>0</v>
      </c>
      <c r="F37" s="218">
        <f>'DATA B1'!E38</f>
        <v>524526</v>
      </c>
      <c r="G37" s="80">
        <f>SUM(G35)</f>
        <v>0</v>
      </c>
      <c r="H37" s="219">
        <f xml:space="preserve"> IFERROR(G37/E37,0)</f>
        <v>0</v>
      </c>
      <c r="I37" s="229"/>
      <c r="J37" s="217">
        <f>'DATA B2'!D38</f>
        <v>511464</v>
      </c>
      <c r="K37" s="82">
        <f>SUM(K35)</f>
        <v>10</v>
      </c>
      <c r="L37" s="218">
        <f>'DATA B2'!E38</f>
        <v>566959</v>
      </c>
      <c r="M37" s="80">
        <f>SUM(M35)</f>
        <v>14</v>
      </c>
      <c r="N37" s="219">
        <f>IFERROR(M37/K37,0)</f>
        <v>1.4</v>
      </c>
      <c r="O37" s="220"/>
      <c r="P37" s="230">
        <f>'DATA B3'!C38</f>
        <v>220604</v>
      </c>
      <c r="Q37" s="91">
        <f>SUM(Q35)</f>
        <v>8</v>
      </c>
      <c r="R37" s="218">
        <f>'DATA B3'!D38</f>
        <v>165293</v>
      </c>
      <c r="S37" s="80">
        <f>SUM(S35)</f>
        <v>6</v>
      </c>
      <c r="T37" s="231">
        <f>IFERROR(S37/Q37,0)</f>
        <v>0.75</v>
      </c>
      <c r="U37" s="231"/>
    </row>
    <row r="38" spans="2:21">
      <c r="B38" s="292"/>
      <c r="C38" s="97">
        <v>0.33333333333333298</v>
      </c>
      <c r="D38" s="83">
        <f>'DATA B1'!D39</f>
        <v>222134</v>
      </c>
      <c r="E38" s="212">
        <f t="shared" ref="E38:E44" si="12">SUM(D38-D37)</f>
        <v>0</v>
      </c>
      <c r="F38" s="80">
        <f>'DATA B1'!E39</f>
        <v>524526</v>
      </c>
      <c r="G38" s="214">
        <f>SUM(F38-F37)</f>
        <v>0</v>
      </c>
      <c r="H38" s="28">
        <f t="shared" ref="H38:H49" si="13" xml:space="preserve"> IFERROR(G38/E38,0)</f>
        <v>0</v>
      </c>
      <c r="I38" s="45">
        <f>IFERROR((('DATA B1'!G39-'DATA B1'!G38)/('WATER_STEAM RATIO'!D38-'WATER_STEAM RATIO'!D37))*1000,0)</f>
        <v>0</v>
      </c>
      <c r="J38" s="50">
        <f>'DATA B2'!D39</f>
        <v>511484</v>
      </c>
      <c r="K38" s="213">
        <f t="shared" ref="K38:K43" si="14">SUM(J38-J37)</f>
        <v>20</v>
      </c>
      <c r="L38" s="80">
        <f>'DATA B2'!E39</f>
        <v>566982</v>
      </c>
      <c r="M38" s="214">
        <f t="shared" ref="M38:M61" si="15">SUM(L38-L37)</f>
        <v>23</v>
      </c>
      <c r="N38" s="28">
        <f t="shared" ref="N38:N50" si="16">IFERROR(M38/K38,0)</f>
        <v>1.1499999999999999</v>
      </c>
      <c r="O38" s="51">
        <f>IFERROR((('DATA B2'!F39-'DATA B2'!F38)/(K38))*1000,0)</f>
        <v>4.9999999999994493E-3</v>
      </c>
      <c r="P38" s="94">
        <f>'DATA B3'!C39</f>
        <v>220612</v>
      </c>
      <c r="Q38" s="216">
        <f t="shared" ref="Q38:Q50" si="17">SUM(P38-P37)</f>
        <v>8</v>
      </c>
      <c r="R38" s="80">
        <f>'DATA B3'!D39</f>
        <v>165301</v>
      </c>
      <c r="S38" s="214">
        <f t="shared" ref="S38:S61" si="18">SUM(R38-R37)</f>
        <v>8</v>
      </c>
      <c r="T38" s="15">
        <f t="shared" ref="T38:T62" si="19">IFERROR(S38/Q38,0)</f>
        <v>1</v>
      </c>
      <c r="U38" s="15">
        <f>IFERROR((('DATA B3'!E39-'DATA B3'!E38)+('DATA B3'!F39-'DATA B3'!F38))/(Q38),0)</f>
        <v>6.0487499999999983</v>
      </c>
    </row>
    <row r="39" spans="2:21">
      <c r="B39" s="292"/>
      <c r="C39" s="97">
        <v>0.375</v>
      </c>
      <c r="D39" s="84">
        <f>'DATA B1'!D40</f>
        <v>222134</v>
      </c>
      <c r="E39" s="212">
        <f t="shared" si="12"/>
        <v>0</v>
      </c>
      <c r="F39" s="80">
        <f>'DATA B1'!E40</f>
        <v>524526</v>
      </c>
      <c r="G39" s="214">
        <f t="shared" ref="G39:G61" si="20">SUM(F39-F38)</f>
        <v>0</v>
      </c>
      <c r="H39" s="28">
        <f t="shared" si="13"/>
        <v>0</v>
      </c>
      <c r="I39" s="45">
        <f>IFERROR((('DATA B1'!G40-'DATA B1'!G39)/('WATER_STEAM RATIO'!D39-'WATER_STEAM RATIO'!D38))*1000,0)</f>
        <v>0</v>
      </c>
      <c r="J39" s="50">
        <f>'DATA B2'!D40</f>
        <v>511490</v>
      </c>
      <c r="K39" s="213">
        <f t="shared" si="14"/>
        <v>6</v>
      </c>
      <c r="L39" s="80">
        <f>'DATA B2'!E40</f>
        <v>566993</v>
      </c>
      <c r="M39" s="214">
        <f t="shared" si="15"/>
        <v>11</v>
      </c>
      <c r="N39" s="28">
        <f t="shared" si="16"/>
        <v>1.8333333333333333</v>
      </c>
      <c r="O39" s="51">
        <f>IFERROR((('DATA B2'!F40-'DATA B2'!F39)/(K39))*1000,0)</f>
        <v>0</v>
      </c>
      <c r="P39" s="94">
        <f>'DATA B3'!C40</f>
        <v>220617</v>
      </c>
      <c r="Q39" s="216">
        <f t="shared" si="17"/>
        <v>5</v>
      </c>
      <c r="R39" s="80">
        <f>'DATA B3'!D40</f>
        <v>165305</v>
      </c>
      <c r="S39" s="214">
        <f t="shared" si="18"/>
        <v>4</v>
      </c>
      <c r="T39" s="15">
        <f t="shared" si="19"/>
        <v>0.8</v>
      </c>
      <c r="U39" s="15">
        <f>IFERROR((('DATA B3'!E40-'DATA B3'!E39)+('DATA B3'!F40-'DATA B3'!F39))/(Q39),0)</f>
        <v>2.5820000000000163</v>
      </c>
    </row>
    <row r="40" spans="2:21">
      <c r="B40" s="292"/>
      <c r="C40" s="97">
        <v>0.41666666666666702</v>
      </c>
      <c r="D40" s="84">
        <f>'DATA B1'!D41</f>
        <v>222134</v>
      </c>
      <c r="E40" s="212">
        <f t="shared" si="12"/>
        <v>0</v>
      </c>
      <c r="F40" s="80">
        <f>'DATA B1'!E41</f>
        <v>524526</v>
      </c>
      <c r="G40" s="214">
        <f t="shared" si="20"/>
        <v>0</v>
      </c>
      <c r="H40" s="28">
        <f t="shared" si="13"/>
        <v>0</v>
      </c>
      <c r="I40" s="45">
        <f>IFERROR((('DATA B1'!G41-'DATA B1'!G40)/('WATER_STEAM RATIO'!D40-'WATER_STEAM RATIO'!D39))*1000,0)</f>
        <v>0</v>
      </c>
      <c r="J40" s="50">
        <f>'DATA B2'!D41</f>
        <v>511496</v>
      </c>
      <c r="K40" s="213">
        <f t="shared" si="14"/>
        <v>6</v>
      </c>
      <c r="L40" s="80">
        <f>'DATA B2'!E41</f>
        <v>567004</v>
      </c>
      <c r="M40" s="214">
        <f t="shared" si="15"/>
        <v>11</v>
      </c>
      <c r="N40" s="28">
        <f t="shared" si="16"/>
        <v>1.8333333333333333</v>
      </c>
      <c r="O40" s="51">
        <f>IFERROR((('DATA B2'!F41-'DATA B2'!F40)/(K40))*1000,0)</f>
        <v>1.6666666666664831E-2</v>
      </c>
      <c r="P40" s="94">
        <f>'DATA B3'!C41</f>
        <v>220622</v>
      </c>
      <c r="Q40" s="216">
        <f t="shared" si="17"/>
        <v>5</v>
      </c>
      <c r="R40" s="80">
        <f>'DATA B3'!D41</f>
        <v>165309</v>
      </c>
      <c r="S40" s="214">
        <f t="shared" si="18"/>
        <v>4</v>
      </c>
      <c r="T40" s="15">
        <f t="shared" si="19"/>
        <v>0.8</v>
      </c>
      <c r="U40" s="15">
        <f>IFERROR((('DATA B3'!E41-'DATA B3'!E40)+('DATA B3'!F41-'DATA B3'!F40))/(Q40),0)</f>
        <v>2.5819999999999936</v>
      </c>
    </row>
    <row r="41" spans="2:21">
      <c r="B41" s="292"/>
      <c r="C41" s="97">
        <v>0.45833333333333298</v>
      </c>
      <c r="D41" s="84">
        <f>'DATA B1'!D42</f>
        <v>222134</v>
      </c>
      <c r="E41" s="212">
        <f t="shared" si="12"/>
        <v>0</v>
      </c>
      <c r="F41" s="80">
        <f>'DATA B1'!E42</f>
        <v>524526</v>
      </c>
      <c r="G41" s="214">
        <f t="shared" si="20"/>
        <v>0</v>
      </c>
      <c r="H41" s="28">
        <f t="shared" si="13"/>
        <v>0</v>
      </c>
      <c r="I41" s="45">
        <f>IFERROR((('DATA B1'!G42-'DATA B1'!G41)/('WATER_STEAM RATIO'!D41-'WATER_STEAM RATIO'!D40))*1000,0)</f>
        <v>0</v>
      </c>
      <c r="J41" s="50">
        <f>'DATA B2'!D42</f>
        <v>511508</v>
      </c>
      <c r="K41" s="213">
        <f t="shared" si="14"/>
        <v>12</v>
      </c>
      <c r="L41" s="80">
        <f>'DATA B2'!E42</f>
        <v>567028</v>
      </c>
      <c r="M41" s="214">
        <f t="shared" si="15"/>
        <v>24</v>
      </c>
      <c r="N41" s="28">
        <f t="shared" si="16"/>
        <v>2</v>
      </c>
      <c r="O41" s="51">
        <f>IFERROR((('DATA B2'!F42-'DATA B2'!F41)/(K41))*1000,0)</f>
        <v>0</v>
      </c>
      <c r="P41" s="94">
        <f>'DATA B3'!C42</f>
        <v>220634</v>
      </c>
      <c r="Q41" s="216">
        <f t="shared" si="17"/>
        <v>12</v>
      </c>
      <c r="R41" s="80">
        <f>'DATA B3'!D42</f>
        <v>165319</v>
      </c>
      <c r="S41" s="214">
        <f t="shared" si="18"/>
        <v>10</v>
      </c>
      <c r="T41" s="15">
        <f t="shared" si="19"/>
        <v>0.83333333333333337</v>
      </c>
      <c r="U41" s="15">
        <f>IFERROR((('DATA B3'!E42-'DATA B3'!E41)+('DATA B3'!F42-'DATA B3'!F41))/(Q41),0)</f>
        <v>5.6566666666666663</v>
      </c>
    </row>
    <row r="42" spans="2:21">
      <c r="B42" s="292"/>
      <c r="C42" s="97">
        <v>0.5</v>
      </c>
      <c r="D42" s="84">
        <f>'DATA B1'!D43</f>
        <v>222134</v>
      </c>
      <c r="E42" s="212">
        <f t="shared" si="12"/>
        <v>0</v>
      </c>
      <c r="F42" s="80">
        <f>'DATA B1'!E43</f>
        <v>524526</v>
      </c>
      <c r="G42" s="214">
        <f t="shared" si="20"/>
        <v>0</v>
      </c>
      <c r="H42" s="28">
        <f t="shared" si="13"/>
        <v>0</v>
      </c>
      <c r="I42" s="45">
        <f>IFERROR((('DATA B1'!G43-'DATA B1'!G42)/('WATER_STEAM RATIO'!D42-'WATER_STEAM RATIO'!D41))*1000,0)</f>
        <v>0</v>
      </c>
      <c r="J42" s="50">
        <f>'DATA B2'!D43</f>
        <v>511518</v>
      </c>
      <c r="K42" s="213">
        <f t="shared" si="14"/>
        <v>10</v>
      </c>
      <c r="L42" s="80">
        <f>'DATA B2'!E43</f>
        <v>567044</v>
      </c>
      <c r="M42" s="214">
        <f t="shared" si="15"/>
        <v>16</v>
      </c>
      <c r="N42" s="28">
        <f t="shared" si="16"/>
        <v>1.6</v>
      </c>
      <c r="O42" s="51">
        <f>IFERROR((('DATA B2'!F43-'DATA B2'!F42)/(K42))*1000,0)</f>
        <v>9.9999999999988987E-3</v>
      </c>
      <c r="P42" s="94">
        <f>'DATA B3'!C43</f>
        <v>220642</v>
      </c>
      <c r="Q42" s="216">
        <f t="shared" si="17"/>
        <v>8</v>
      </c>
      <c r="R42" s="80">
        <f>'DATA B3'!D43</f>
        <v>165325</v>
      </c>
      <c r="S42" s="214">
        <f t="shared" si="18"/>
        <v>6</v>
      </c>
      <c r="T42" s="15">
        <f t="shared" si="19"/>
        <v>0.75</v>
      </c>
      <c r="U42" s="15">
        <f>IFERROR((('DATA B3'!E43-'DATA B3'!E42)+('DATA B3'!F43-'DATA B3'!F42))/(Q42),0)</f>
        <v>4.3612499999999983</v>
      </c>
    </row>
    <row r="43" spans="2:21">
      <c r="B43" s="292"/>
      <c r="C43" s="97">
        <v>0.54166666666666696</v>
      </c>
      <c r="D43" s="84">
        <f>'DATA B1'!D44</f>
        <v>222134</v>
      </c>
      <c r="E43" s="212">
        <f t="shared" si="12"/>
        <v>0</v>
      </c>
      <c r="F43" s="80">
        <f>'DATA B1'!E44</f>
        <v>524526</v>
      </c>
      <c r="G43" s="214">
        <f t="shared" si="20"/>
        <v>0</v>
      </c>
      <c r="H43" s="28">
        <f t="shared" si="13"/>
        <v>0</v>
      </c>
      <c r="I43" s="45">
        <f>IFERROR((('DATA B1'!G44-'DATA B1'!G43)/('WATER_STEAM RATIO'!D43-'WATER_STEAM RATIO'!D42))*1000,0)</f>
        <v>0</v>
      </c>
      <c r="J43" s="50">
        <f>'DATA B2'!D44</f>
        <v>511528</v>
      </c>
      <c r="K43" s="213">
        <f t="shared" si="14"/>
        <v>10</v>
      </c>
      <c r="L43" s="80">
        <f>'DATA B2'!E44</f>
        <v>567060</v>
      </c>
      <c r="M43" s="214">
        <f t="shared" si="15"/>
        <v>16</v>
      </c>
      <c r="N43" s="28">
        <f t="shared" si="16"/>
        <v>1.6</v>
      </c>
      <c r="O43" s="51">
        <f>IFERROR((('DATA B2'!F44-'DATA B2'!F43)/(K43))*1000,0)</f>
        <v>0</v>
      </c>
      <c r="P43" s="94">
        <f>'DATA B3'!C44</f>
        <v>220650</v>
      </c>
      <c r="Q43" s="216">
        <f t="shared" si="17"/>
        <v>8</v>
      </c>
      <c r="R43" s="80">
        <f>'DATA B3'!D44</f>
        <v>165331</v>
      </c>
      <c r="S43" s="214">
        <f t="shared" si="18"/>
        <v>6</v>
      </c>
      <c r="T43" s="15">
        <f t="shared" si="19"/>
        <v>0.75</v>
      </c>
      <c r="U43" s="15">
        <f>IFERROR((('DATA B3'!E44-'DATA B3'!E43)+('DATA B3'!F44-'DATA B3'!F43))/(Q43),0)</f>
        <v>4.3612499999999983</v>
      </c>
    </row>
    <row r="44" spans="2:21">
      <c r="B44" s="292"/>
      <c r="C44" s="97">
        <v>0.58333333333333304</v>
      </c>
      <c r="D44" s="84">
        <f>'DATA B1'!D45</f>
        <v>222134</v>
      </c>
      <c r="E44" s="212">
        <f t="shared" si="12"/>
        <v>0</v>
      </c>
      <c r="F44" s="80">
        <f>'DATA B1'!E45</f>
        <v>524526</v>
      </c>
      <c r="G44" s="214">
        <f t="shared" si="20"/>
        <v>0</v>
      </c>
      <c r="H44" s="28">
        <f t="shared" si="13"/>
        <v>0</v>
      </c>
      <c r="I44" s="45">
        <f>IFERROR((('DATA B1'!G45-'DATA B1'!G44)/('WATER_STEAM RATIO'!D44-'WATER_STEAM RATIO'!D43))*1000,0)</f>
        <v>0</v>
      </c>
      <c r="J44" s="50">
        <f>'DATA B2'!D45</f>
        <v>511538</v>
      </c>
      <c r="K44" s="213">
        <f>SUM(J44-J43)</f>
        <v>10</v>
      </c>
      <c r="L44" s="80">
        <f>'DATA B2'!E45</f>
        <v>567076</v>
      </c>
      <c r="M44" s="214">
        <f t="shared" si="15"/>
        <v>16</v>
      </c>
      <c r="N44" s="28">
        <f t="shared" si="16"/>
        <v>1.6</v>
      </c>
      <c r="O44" s="51">
        <f>IFERROR((('DATA B2'!F45-'DATA B2'!F44)/(K44))*1000,0)</f>
        <v>9.9999999999988987E-3</v>
      </c>
      <c r="P44" s="94">
        <f>'DATA B3'!C45</f>
        <v>220659</v>
      </c>
      <c r="Q44" s="216">
        <f t="shared" si="17"/>
        <v>9</v>
      </c>
      <c r="R44" s="80">
        <f>'DATA B3'!D45</f>
        <v>165338</v>
      </c>
      <c r="S44" s="214">
        <f t="shared" si="18"/>
        <v>7</v>
      </c>
      <c r="T44" s="15">
        <f t="shared" si="19"/>
        <v>0.77777777777777779</v>
      </c>
      <c r="U44" s="15">
        <f>IFERROR((('DATA B3'!E45-'DATA B3'!E44)+('DATA B3'!F45-'DATA B3'!F44))/(Q44),0)</f>
        <v>3.8766666666666652</v>
      </c>
    </row>
    <row r="45" spans="2:21">
      <c r="B45" s="292"/>
      <c r="C45" s="97">
        <v>0.625</v>
      </c>
      <c r="D45" s="84">
        <f>'DATA B1'!D46</f>
        <v>222134</v>
      </c>
      <c r="E45" s="212">
        <f t="shared" ref="E45:E55" si="21">SUM(D45-D44)</f>
        <v>0</v>
      </c>
      <c r="F45" s="80">
        <f>'DATA B1'!E46</f>
        <v>524526</v>
      </c>
      <c r="G45" s="214">
        <f t="shared" si="20"/>
        <v>0</v>
      </c>
      <c r="H45" s="28">
        <f t="shared" si="13"/>
        <v>0</v>
      </c>
      <c r="I45" s="45">
        <f>IFERROR((('DATA B1'!G46-'DATA B1'!G45)/('WATER_STEAM RATIO'!D45-'WATER_STEAM RATIO'!D44))*1000,0)</f>
        <v>0</v>
      </c>
      <c r="J45" s="50">
        <f>'DATA B2'!D46</f>
        <v>511549</v>
      </c>
      <c r="K45" s="213">
        <f t="shared" ref="K45:K50" si="22">SUM(J45-J44)</f>
        <v>11</v>
      </c>
      <c r="L45" s="80">
        <f>'DATA B2'!E46</f>
        <v>567092</v>
      </c>
      <c r="M45" s="214">
        <f t="shared" si="15"/>
        <v>16</v>
      </c>
      <c r="N45" s="28">
        <f t="shared" si="16"/>
        <v>1.4545454545454546</v>
      </c>
      <c r="O45" s="51">
        <f>IFERROR((('DATA B2'!F46-'DATA B2'!F45)/(K45))*1000,0)</f>
        <v>0</v>
      </c>
      <c r="P45" s="94">
        <f>'DATA B3'!C46</f>
        <v>220668</v>
      </c>
      <c r="Q45" s="216">
        <f t="shared" si="17"/>
        <v>9</v>
      </c>
      <c r="R45" s="80">
        <f>'DATA B3'!D46</f>
        <v>165345</v>
      </c>
      <c r="S45" s="214">
        <f t="shared" si="18"/>
        <v>7</v>
      </c>
      <c r="T45" s="15">
        <f t="shared" si="19"/>
        <v>0.77777777777777779</v>
      </c>
      <c r="U45" s="15">
        <f>IFERROR((('DATA B3'!E46-'DATA B3'!E45)+('DATA B3'!F46-'DATA B3'!F45))/(Q45),0)</f>
        <v>4.0822222222222235</v>
      </c>
    </row>
    <row r="46" spans="2:21">
      <c r="B46" s="292"/>
      <c r="C46" s="97">
        <v>0.66666666666666596</v>
      </c>
      <c r="D46" s="84">
        <f>'DATA B1'!D47</f>
        <v>222134</v>
      </c>
      <c r="E46" s="212">
        <f t="shared" si="21"/>
        <v>0</v>
      </c>
      <c r="F46" s="80">
        <f>'DATA B1'!E47</f>
        <v>524526</v>
      </c>
      <c r="G46" s="214">
        <f t="shared" si="20"/>
        <v>0</v>
      </c>
      <c r="H46" s="28">
        <f t="shared" si="13"/>
        <v>0</v>
      </c>
      <c r="I46" s="45">
        <f>IFERROR((('DATA B1'!G47-'DATA B1'!G46)/('WATER_STEAM RATIO'!D46-'WATER_STEAM RATIO'!D45))*1000,0)</f>
        <v>0</v>
      </c>
      <c r="J46" s="52">
        <f>'DATA B2'!D47</f>
        <v>511559</v>
      </c>
      <c r="K46" s="213">
        <f t="shared" si="22"/>
        <v>10</v>
      </c>
      <c r="L46" s="80">
        <f>'DATA B2'!E47</f>
        <v>567108</v>
      </c>
      <c r="M46" s="214">
        <f t="shared" si="15"/>
        <v>16</v>
      </c>
      <c r="N46" s="28">
        <f t="shared" si="16"/>
        <v>1.6</v>
      </c>
      <c r="O46" s="51">
        <f>IFERROR((('DATA B2'!F47-'DATA B2'!F46)/(K46))*1000,0)</f>
        <v>0</v>
      </c>
      <c r="P46" s="94">
        <f>'DATA B3'!C47</f>
        <v>220674</v>
      </c>
      <c r="Q46" s="216">
        <f t="shared" si="17"/>
        <v>6</v>
      </c>
      <c r="R46" s="80">
        <f>'DATA B3'!D47</f>
        <v>165348</v>
      </c>
      <c r="S46" s="214">
        <f t="shared" si="18"/>
        <v>3</v>
      </c>
      <c r="T46" s="15">
        <f t="shared" si="19"/>
        <v>0.5</v>
      </c>
      <c r="U46" s="15">
        <f>IFERROR((('DATA B3'!E47-'DATA B3'!E46)+('DATA B3'!F47-'DATA B3'!F46))/(Q46),0)</f>
        <v>5.4133333333333367</v>
      </c>
    </row>
    <row r="47" spans="2:21">
      <c r="B47" s="292"/>
      <c r="C47" s="97">
        <v>0.70833333333333304</v>
      </c>
      <c r="D47" s="84">
        <f>'DATA B1'!D48</f>
        <v>222134</v>
      </c>
      <c r="E47" s="212">
        <f t="shared" si="21"/>
        <v>0</v>
      </c>
      <c r="F47" s="80">
        <f>'DATA B1'!E48</f>
        <v>524526</v>
      </c>
      <c r="G47" s="214">
        <f t="shared" si="20"/>
        <v>0</v>
      </c>
      <c r="H47" s="28">
        <f t="shared" si="13"/>
        <v>0</v>
      </c>
      <c r="I47" s="45">
        <f>IFERROR((('DATA B1'!G48-'DATA B1'!G47)/('WATER_STEAM RATIO'!D47-'WATER_STEAM RATIO'!D46))*1000,0)</f>
        <v>0</v>
      </c>
      <c r="J47" s="50">
        <f>'DATA B2'!D48</f>
        <v>511569</v>
      </c>
      <c r="K47" s="213">
        <f t="shared" si="22"/>
        <v>10</v>
      </c>
      <c r="L47" s="80">
        <f>'DATA B2'!E48</f>
        <v>567124</v>
      </c>
      <c r="M47" s="214">
        <f t="shared" si="15"/>
        <v>16</v>
      </c>
      <c r="N47" s="28">
        <f t="shared" si="16"/>
        <v>1.6</v>
      </c>
      <c r="O47" s="51">
        <f>IFERROR((('DATA B2'!F48-'DATA B2'!F47)/(K47))*1000,0)</f>
        <v>9.9999999999988987E-3</v>
      </c>
      <c r="P47" s="94">
        <f>'DATA B3'!C48</f>
        <v>220680</v>
      </c>
      <c r="Q47" s="216">
        <f t="shared" si="17"/>
        <v>6</v>
      </c>
      <c r="R47" s="80">
        <f>'DATA B3'!D48</f>
        <v>165351</v>
      </c>
      <c r="S47" s="214">
        <f t="shared" si="18"/>
        <v>3</v>
      </c>
      <c r="T47" s="15">
        <f t="shared" si="19"/>
        <v>0.5</v>
      </c>
      <c r="U47" s="15">
        <f>IFERROR((('DATA B3'!E48-'DATA B3'!E47)+('DATA B3'!F48-'DATA B3'!F47))/(Q47),0)</f>
        <v>5.4133333333333367</v>
      </c>
    </row>
    <row r="48" spans="2:21">
      <c r="B48" s="292"/>
      <c r="C48" s="97">
        <v>0.75</v>
      </c>
      <c r="D48" s="84">
        <f>'DATA B1'!D49</f>
        <v>222134</v>
      </c>
      <c r="E48" s="212">
        <f t="shared" si="21"/>
        <v>0</v>
      </c>
      <c r="F48" s="80">
        <f>'DATA B1'!E49</f>
        <v>524526</v>
      </c>
      <c r="G48" s="214">
        <f t="shared" si="20"/>
        <v>0</v>
      </c>
      <c r="H48" s="28">
        <f t="shared" si="13"/>
        <v>0</v>
      </c>
      <c r="I48" s="45">
        <f>IFERROR((('DATA B1'!G49-'DATA B1'!G48)/('WATER_STEAM RATIO'!D48-'WATER_STEAM RATIO'!D47))*1000,0)</f>
        <v>0</v>
      </c>
      <c r="J48" s="50">
        <f>'DATA B2'!D49</f>
        <v>511579</v>
      </c>
      <c r="K48" s="213">
        <f t="shared" si="22"/>
        <v>10</v>
      </c>
      <c r="L48" s="80">
        <f>'DATA B2'!E49</f>
        <v>567140</v>
      </c>
      <c r="M48" s="214">
        <f t="shared" si="15"/>
        <v>16</v>
      </c>
      <c r="N48" s="28">
        <f t="shared" si="16"/>
        <v>1.6</v>
      </c>
      <c r="O48" s="51">
        <f>IFERROR((('DATA B2'!F49-'DATA B2'!F48)/(K48))*1000,0)</f>
        <v>0</v>
      </c>
      <c r="P48" s="94">
        <f>'DATA B3'!C49</f>
        <v>220687</v>
      </c>
      <c r="Q48" s="216">
        <f t="shared" si="17"/>
        <v>7</v>
      </c>
      <c r="R48" s="80">
        <f>'DATA B3'!D49</f>
        <v>165355</v>
      </c>
      <c r="S48" s="214">
        <f t="shared" si="18"/>
        <v>4</v>
      </c>
      <c r="T48" s="15">
        <f t="shared" si="19"/>
        <v>0.5714285714285714</v>
      </c>
      <c r="U48" s="15">
        <f>IFERROR((('DATA B3'!E49-'DATA B3'!E48)+('DATA B3'!F49-'DATA B3'!F48))/(Q48),0)</f>
        <v>4.6400000000000023</v>
      </c>
    </row>
    <row r="49" spans="2:21">
      <c r="B49" s="292"/>
      <c r="C49" s="97">
        <v>0.79166666666666596</v>
      </c>
      <c r="D49" s="84">
        <f>'DATA B1'!D50</f>
        <v>222134</v>
      </c>
      <c r="E49" s="212">
        <f t="shared" si="21"/>
        <v>0</v>
      </c>
      <c r="F49" s="80">
        <f>'DATA B1'!E50</f>
        <v>524526</v>
      </c>
      <c r="G49" s="214">
        <f t="shared" si="20"/>
        <v>0</v>
      </c>
      <c r="H49" s="28">
        <f t="shared" si="13"/>
        <v>0</v>
      </c>
      <c r="I49" s="45">
        <f>IFERROR((('DATA B1'!G50-'DATA B1'!G49)/('WATER_STEAM RATIO'!D49-'WATER_STEAM RATIO'!D48))*1000,0)</f>
        <v>0</v>
      </c>
      <c r="J49" s="50">
        <f>'DATA B2'!D50</f>
        <v>511590</v>
      </c>
      <c r="K49" s="213">
        <f t="shared" si="22"/>
        <v>11</v>
      </c>
      <c r="L49" s="80">
        <f>'DATA B2'!E50</f>
        <v>567158</v>
      </c>
      <c r="M49" s="214">
        <f t="shared" si="15"/>
        <v>18</v>
      </c>
      <c r="N49" s="28">
        <f t="shared" si="16"/>
        <v>1.6363636363636365</v>
      </c>
      <c r="O49" s="51">
        <f>IFERROR((('DATA B2'!F50-'DATA B2'!F49)/(K49))*1000,0)</f>
        <v>0</v>
      </c>
      <c r="P49" s="94">
        <f>'DATA B3'!C50</f>
        <v>220694</v>
      </c>
      <c r="Q49" s="216">
        <f t="shared" si="17"/>
        <v>7</v>
      </c>
      <c r="R49" s="80">
        <f>'DATA B3'!D50</f>
        <v>165359</v>
      </c>
      <c r="S49" s="214">
        <f t="shared" si="18"/>
        <v>4</v>
      </c>
      <c r="T49" s="15">
        <f t="shared" si="19"/>
        <v>0.5714285714285714</v>
      </c>
      <c r="U49" s="15">
        <f>IFERROR((('DATA B3'!E50-'DATA B3'!E49)+('DATA B3'!F50-'DATA B3'!F49))/(Q49),0)</f>
        <v>4.7685714285714278</v>
      </c>
    </row>
    <row r="50" spans="2:21">
      <c r="B50" s="292"/>
      <c r="C50" s="97">
        <v>0.83333333333333304</v>
      </c>
      <c r="D50" s="84">
        <f>'DATA B1'!D51</f>
        <v>222134</v>
      </c>
      <c r="E50" s="212">
        <f t="shared" si="21"/>
        <v>0</v>
      </c>
      <c r="F50" s="80">
        <f>'DATA B1'!E51</f>
        <v>524526</v>
      </c>
      <c r="G50" s="214">
        <f t="shared" si="20"/>
        <v>0</v>
      </c>
      <c r="H50" s="28">
        <f xml:space="preserve"> IFERROR(G50/E50,0)</f>
        <v>0</v>
      </c>
      <c r="I50" s="45">
        <f>IFERROR((('DATA B1'!G51-'DATA B1'!G50)/('WATER_STEAM RATIO'!D50-'WATER_STEAM RATIO'!D49))*1000,0)</f>
        <v>0</v>
      </c>
      <c r="J50" s="50">
        <f>'DATA B2'!D51</f>
        <v>511603</v>
      </c>
      <c r="K50" s="213">
        <f t="shared" si="22"/>
        <v>13</v>
      </c>
      <c r="L50" s="80">
        <f>'DATA B2'!E51</f>
        <v>567178</v>
      </c>
      <c r="M50" s="214">
        <f t="shared" si="15"/>
        <v>20</v>
      </c>
      <c r="N50" s="28">
        <f t="shared" si="16"/>
        <v>1.5384615384615385</v>
      </c>
      <c r="O50" s="51">
        <f>IFERROR((('DATA B2'!F51-'DATA B2'!F50)/(K50))*1000,0)</f>
        <v>7.6923076923068445E-3</v>
      </c>
      <c r="P50" s="94">
        <f>'DATA B3'!C51</f>
        <v>220705</v>
      </c>
      <c r="Q50" s="216">
        <f t="shared" si="17"/>
        <v>11</v>
      </c>
      <c r="R50" s="80">
        <f>'DATA B3'!D51</f>
        <v>165378</v>
      </c>
      <c r="S50" s="214">
        <f t="shared" si="18"/>
        <v>19</v>
      </c>
      <c r="T50" s="15">
        <f t="shared" si="19"/>
        <v>1.7272727272727273</v>
      </c>
      <c r="U50" s="15">
        <f>IFERROR((('DATA B3'!E51-'DATA B3'!E50)+('DATA B3'!F51-'DATA B3'!F50))/(Q50),0)</f>
        <v>4.25</v>
      </c>
    </row>
    <row r="51" spans="2:21">
      <c r="B51" s="292"/>
      <c r="C51" s="97">
        <v>0.875</v>
      </c>
      <c r="D51" s="84">
        <f>'DATA B1'!D52</f>
        <v>222134</v>
      </c>
      <c r="E51" s="212">
        <f t="shared" si="21"/>
        <v>0</v>
      </c>
      <c r="F51" s="80">
        <f>'DATA B1'!E52</f>
        <v>524526</v>
      </c>
      <c r="G51" s="214">
        <f t="shared" si="20"/>
        <v>0</v>
      </c>
      <c r="H51" s="28">
        <f t="shared" ref="H51:H62" si="23" xml:space="preserve"> IFERROR(G51/E51,0)</f>
        <v>0</v>
      </c>
      <c r="I51" s="45">
        <f>IFERROR((('DATA B1'!G52-'DATA B1'!G51)/('WATER_STEAM RATIO'!D51-'WATER_STEAM RATIO'!D50))*1000,0)</f>
        <v>0</v>
      </c>
      <c r="J51" s="50">
        <f>'DATA B2'!D52</f>
        <v>511612</v>
      </c>
      <c r="K51" s="213">
        <f>SUM(J51-J50)</f>
        <v>9</v>
      </c>
      <c r="L51" s="80">
        <f>'DATA B2'!E52</f>
        <v>567195</v>
      </c>
      <c r="M51" s="214">
        <f t="shared" si="15"/>
        <v>17</v>
      </c>
      <c r="N51" s="28">
        <f>IFERROR(M51/K51,0)</f>
        <v>1.8888888888888888</v>
      </c>
      <c r="O51" s="51">
        <f>IFERROR((('DATA B2'!F52-'DATA B2'!F51)/(K51))*1000,0)</f>
        <v>0</v>
      </c>
      <c r="P51" s="94">
        <f>'DATA B3'!C52</f>
        <v>220711</v>
      </c>
      <c r="Q51" s="216">
        <f>SUM(P51-P50)</f>
        <v>6</v>
      </c>
      <c r="R51" s="80">
        <f>'DATA B3'!D52</f>
        <v>165383</v>
      </c>
      <c r="S51" s="214">
        <f t="shared" si="18"/>
        <v>5</v>
      </c>
      <c r="T51" s="15">
        <f t="shared" si="19"/>
        <v>0.83333333333333337</v>
      </c>
      <c r="U51" s="15">
        <f>IFERROR((('DATA B3'!E52-'DATA B3'!E51)+('DATA B3'!F52-'DATA B3'!F51))/(Q51),0)</f>
        <v>4.9216666666666624</v>
      </c>
    </row>
    <row r="52" spans="2:21">
      <c r="B52" s="292"/>
      <c r="C52" s="97">
        <v>0.91666666666666596</v>
      </c>
      <c r="D52" s="84">
        <f>'DATA B1'!D53</f>
        <v>222134</v>
      </c>
      <c r="E52" s="212">
        <f t="shared" si="21"/>
        <v>0</v>
      </c>
      <c r="F52" s="80">
        <f>'DATA B1'!E53</f>
        <v>524526</v>
      </c>
      <c r="G52" s="214">
        <f t="shared" si="20"/>
        <v>0</v>
      </c>
      <c r="H52" s="28">
        <f t="shared" si="23"/>
        <v>0</v>
      </c>
      <c r="I52" s="45">
        <f>IFERROR((('DATA B1'!G53-'DATA B1'!G52)/('WATER_STEAM RATIO'!D52-'WATER_STEAM RATIO'!D51))*1000,0)</f>
        <v>0</v>
      </c>
      <c r="J52" s="50">
        <f>'DATA B2'!D53</f>
        <v>511621</v>
      </c>
      <c r="K52" s="213">
        <f t="shared" ref="K52:K57" si="24">SUM(J52-J51)</f>
        <v>9</v>
      </c>
      <c r="L52" s="80">
        <f>'DATA B2'!E53</f>
        <v>567213</v>
      </c>
      <c r="M52" s="214">
        <f t="shared" si="15"/>
        <v>18</v>
      </c>
      <c r="N52" s="28">
        <f t="shared" ref="N52:N61" si="25">IFERROR(M52/K52,0)</f>
        <v>2</v>
      </c>
      <c r="O52" s="51">
        <f>IFERROR((('DATA B2'!F53-'DATA B2'!F52)/(K52))*1000,0)</f>
        <v>0</v>
      </c>
      <c r="P52" s="94">
        <f>'DATA B3'!C53</f>
        <v>220718</v>
      </c>
      <c r="Q52" s="216">
        <f t="shared" ref="Q52:Q61" si="26">SUM(P52-P51)</f>
        <v>7</v>
      </c>
      <c r="R52" s="80">
        <f>'DATA B3'!D53</f>
        <v>165389</v>
      </c>
      <c r="S52" s="214">
        <f t="shared" si="18"/>
        <v>6</v>
      </c>
      <c r="T52" s="15">
        <f t="shared" si="19"/>
        <v>0.8571428571428571</v>
      </c>
      <c r="U52" s="15">
        <f>IFERROR((('DATA B3'!E53-'DATA B3'!E52)+('DATA B3'!F53-'DATA B3'!F52))/(Q52),0)</f>
        <v>4.2228571428571353</v>
      </c>
    </row>
    <row r="53" spans="2:21">
      <c r="B53" s="292"/>
      <c r="C53" s="97">
        <v>0.95833333333333304</v>
      </c>
      <c r="D53" s="84">
        <f>'DATA B1'!D54</f>
        <v>222134</v>
      </c>
      <c r="E53" s="212">
        <f t="shared" si="21"/>
        <v>0</v>
      </c>
      <c r="F53" s="80">
        <f>'DATA B1'!E54</f>
        <v>524526</v>
      </c>
      <c r="G53" s="214">
        <f t="shared" si="20"/>
        <v>0</v>
      </c>
      <c r="H53" s="28">
        <f t="shared" si="23"/>
        <v>0</v>
      </c>
      <c r="I53" s="45">
        <f>IFERROR((('DATA B1'!G54-'DATA B1'!G53)/('WATER_STEAM RATIO'!D53-'WATER_STEAM RATIO'!D52))*1000,0)</f>
        <v>0</v>
      </c>
      <c r="J53" s="50">
        <f>'DATA B2'!D54</f>
        <v>511631</v>
      </c>
      <c r="K53" s="213">
        <f t="shared" si="24"/>
        <v>10</v>
      </c>
      <c r="L53" s="80">
        <f>'DATA B2'!E54</f>
        <v>567231</v>
      </c>
      <c r="M53" s="214">
        <f t="shared" si="15"/>
        <v>18</v>
      </c>
      <c r="N53" s="28">
        <f t="shared" si="25"/>
        <v>1.8</v>
      </c>
      <c r="O53" s="51">
        <f>IFERROR((('DATA B2'!F54-'DATA B2'!F53)/(K53))*1000,0)</f>
        <v>0</v>
      </c>
      <c r="P53" s="94">
        <f>'DATA B3'!C54</f>
        <v>220725</v>
      </c>
      <c r="Q53" s="216">
        <f t="shared" si="26"/>
        <v>7</v>
      </c>
      <c r="R53" s="80">
        <f>'DATA B3'!D54</f>
        <v>165395</v>
      </c>
      <c r="S53" s="214">
        <f t="shared" si="18"/>
        <v>6</v>
      </c>
      <c r="T53" s="15">
        <f t="shared" si="19"/>
        <v>0.8571428571428571</v>
      </c>
      <c r="U53" s="15">
        <f>IFERROR((('DATA B3'!E54-'DATA B3'!E53)+('DATA B3'!F54-'DATA B3'!F53))/(Q53),0)</f>
        <v>5.0399999999999965</v>
      </c>
    </row>
    <row r="54" spans="2:21">
      <c r="B54" s="292"/>
      <c r="C54" s="97">
        <v>1</v>
      </c>
      <c r="D54" s="84">
        <f>'DATA B1'!D55</f>
        <v>222134</v>
      </c>
      <c r="E54" s="212">
        <f t="shared" si="21"/>
        <v>0</v>
      </c>
      <c r="F54" s="80">
        <f>'DATA B1'!E55</f>
        <v>524526</v>
      </c>
      <c r="G54" s="214">
        <f t="shared" si="20"/>
        <v>0</v>
      </c>
      <c r="H54" s="28">
        <f t="shared" si="23"/>
        <v>0</v>
      </c>
      <c r="I54" s="45">
        <f>IFERROR((('DATA B1'!G55-'DATA B1'!G54)/('WATER_STEAM RATIO'!D54-'WATER_STEAM RATIO'!D53))*1000,0)</f>
        <v>0</v>
      </c>
      <c r="J54" s="50">
        <f>'DATA B2'!D55</f>
        <v>511642</v>
      </c>
      <c r="K54" s="213">
        <f t="shared" si="24"/>
        <v>11</v>
      </c>
      <c r="L54" s="80">
        <f>'DATA B2'!E55</f>
        <v>567248</v>
      </c>
      <c r="M54" s="214">
        <f t="shared" si="15"/>
        <v>17</v>
      </c>
      <c r="N54" s="28">
        <f t="shared" si="25"/>
        <v>1.5454545454545454</v>
      </c>
      <c r="O54" s="51">
        <f>IFERROR((('DATA B2'!F55-'DATA B2'!F54)/(K54))*1000,0)</f>
        <v>0</v>
      </c>
      <c r="P54" s="94">
        <f>'DATA B3'!C55</f>
        <v>220732</v>
      </c>
      <c r="Q54" s="216">
        <f t="shared" si="26"/>
        <v>7</v>
      </c>
      <c r="R54" s="80">
        <f>'DATA B3'!D55</f>
        <v>165401</v>
      </c>
      <c r="S54" s="214">
        <f t="shared" si="18"/>
        <v>6</v>
      </c>
      <c r="T54" s="15">
        <f t="shared" si="19"/>
        <v>0.8571428571428571</v>
      </c>
      <c r="U54" s="15">
        <f>IFERROR((('DATA B3'!E55-'DATA B3'!E54)+('DATA B3'!F55-'DATA B3'!F54))/(Q54),0)</f>
        <v>5.0399999999999965</v>
      </c>
    </row>
    <row r="55" spans="2:21">
      <c r="B55" s="292"/>
      <c r="C55" s="97">
        <v>1.0416666666666701</v>
      </c>
      <c r="D55" s="84">
        <f>'DATA B1'!D56</f>
        <v>222134</v>
      </c>
      <c r="E55" s="212">
        <f t="shared" si="21"/>
        <v>0</v>
      </c>
      <c r="F55" s="80">
        <f>'DATA B1'!E56</f>
        <v>524526</v>
      </c>
      <c r="G55" s="214">
        <f t="shared" si="20"/>
        <v>0</v>
      </c>
      <c r="H55" s="28">
        <f t="shared" si="23"/>
        <v>0</v>
      </c>
      <c r="I55" s="45">
        <f>IFERROR((('DATA B1'!G56-'DATA B1'!G55)/('WATER_STEAM RATIO'!D55-'WATER_STEAM RATIO'!D54))*1000,0)</f>
        <v>0</v>
      </c>
      <c r="J55" s="50">
        <f>'DATA B2'!D56</f>
        <v>511653</v>
      </c>
      <c r="K55" s="213">
        <f t="shared" si="24"/>
        <v>11</v>
      </c>
      <c r="L55" s="80">
        <f>'DATA B2'!E56</f>
        <v>567265</v>
      </c>
      <c r="M55" s="214">
        <f t="shared" si="15"/>
        <v>17</v>
      </c>
      <c r="N55" s="28">
        <f t="shared" si="25"/>
        <v>1.5454545454545454</v>
      </c>
      <c r="O55" s="51">
        <f>IFERROR((('DATA B2'!F56-'DATA B2'!F55)/(K55))*1000,0)</f>
        <v>0</v>
      </c>
      <c r="P55" s="94">
        <f>'DATA B3'!C56</f>
        <v>220739</v>
      </c>
      <c r="Q55" s="216">
        <f t="shared" si="26"/>
        <v>7</v>
      </c>
      <c r="R55" s="80">
        <f>'DATA B3'!D56</f>
        <v>165407</v>
      </c>
      <c r="S55" s="214">
        <f t="shared" si="18"/>
        <v>6</v>
      </c>
      <c r="T55" s="15">
        <f t="shared" si="19"/>
        <v>0.8571428571428571</v>
      </c>
      <c r="U55" s="15">
        <f>IFERROR((('DATA B3'!E56-'DATA B3'!E55)+('DATA B3'!F56-'DATA B3'!F55))/(Q55),0)</f>
        <v>5.0400000000000125</v>
      </c>
    </row>
    <row r="56" spans="2:21">
      <c r="B56" s="292"/>
      <c r="C56" s="97">
        <v>1.0833333333333399</v>
      </c>
      <c r="D56" s="84">
        <f>'DATA B1'!D57</f>
        <v>222134</v>
      </c>
      <c r="E56" s="212">
        <f>SUM(D56-D55)</f>
        <v>0</v>
      </c>
      <c r="F56" s="80">
        <f>'DATA B1'!E57</f>
        <v>524526</v>
      </c>
      <c r="G56" s="214">
        <f t="shared" si="20"/>
        <v>0</v>
      </c>
      <c r="H56" s="28">
        <f t="shared" si="23"/>
        <v>0</v>
      </c>
      <c r="I56" s="45">
        <f>IFERROR((('DATA B1'!G57-'DATA B1'!G56)/('WATER_STEAM RATIO'!D56-'WATER_STEAM RATIO'!D55))*1000,0)</f>
        <v>0</v>
      </c>
      <c r="J56" s="50">
        <f>'DATA B2'!D57</f>
        <v>511664</v>
      </c>
      <c r="K56" s="213">
        <f t="shared" si="24"/>
        <v>11</v>
      </c>
      <c r="L56" s="80">
        <f>'DATA B2'!E57</f>
        <v>567283</v>
      </c>
      <c r="M56" s="214">
        <f t="shared" si="15"/>
        <v>18</v>
      </c>
      <c r="N56" s="28">
        <f t="shared" si="25"/>
        <v>1.6363636363636365</v>
      </c>
      <c r="O56" s="51">
        <f>IFERROR((('DATA B2'!F57-'DATA B2'!F56)/(K56))*1000,0)</f>
        <v>0</v>
      </c>
      <c r="P56" s="94">
        <f>'DATA B3'!C57</f>
        <v>220747</v>
      </c>
      <c r="Q56" s="216">
        <f t="shared" si="26"/>
        <v>8</v>
      </c>
      <c r="R56" s="80">
        <f>'DATA B3'!D57</f>
        <v>165413</v>
      </c>
      <c r="S56" s="214">
        <f t="shared" si="18"/>
        <v>6</v>
      </c>
      <c r="T56" s="15">
        <f t="shared" si="19"/>
        <v>0.75</v>
      </c>
      <c r="U56" s="15">
        <f>IFERROR((('DATA B3'!E57-'DATA B3'!E56)+('DATA B3'!F57-'DATA B3'!F56))/(Q56),0)</f>
        <v>4.4099999999999966</v>
      </c>
    </row>
    <row r="57" spans="2:21">
      <c r="B57" s="292"/>
      <c r="C57" s="97">
        <v>1.125</v>
      </c>
      <c r="D57" s="84">
        <f>'DATA B1'!D58</f>
        <v>222134</v>
      </c>
      <c r="E57" s="212">
        <f t="shared" ref="E57:E61" si="27">SUM(D57-D56)</f>
        <v>0</v>
      </c>
      <c r="F57" s="80">
        <f>'DATA B1'!E58</f>
        <v>524526</v>
      </c>
      <c r="G57" s="214">
        <f t="shared" si="20"/>
        <v>0</v>
      </c>
      <c r="H57" s="28">
        <f t="shared" si="23"/>
        <v>0</v>
      </c>
      <c r="I57" s="45">
        <f>IFERROR((('DATA B1'!G58-'DATA B1'!G57)/('WATER_STEAM RATIO'!D57-'WATER_STEAM RATIO'!D56))*1000,0)</f>
        <v>0</v>
      </c>
      <c r="J57" s="50">
        <f>'DATA B2'!D58</f>
        <v>511675</v>
      </c>
      <c r="K57" s="213">
        <f t="shared" si="24"/>
        <v>11</v>
      </c>
      <c r="L57" s="80">
        <f>'DATA B2'!E58</f>
        <v>567302</v>
      </c>
      <c r="M57" s="214">
        <f t="shared" si="15"/>
        <v>19</v>
      </c>
      <c r="N57" s="28">
        <f t="shared" si="25"/>
        <v>1.7272727272727273</v>
      </c>
      <c r="O57" s="51">
        <f>IFERROR((('DATA B2'!F58-'DATA B2'!F57)/(K57))*1000,0)</f>
        <v>0</v>
      </c>
      <c r="P57" s="94">
        <f>'DATA B3'!C58</f>
        <v>220755</v>
      </c>
      <c r="Q57" s="216">
        <f t="shared" si="26"/>
        <v>8</v>
      </c>
      <c r="R57" s="80">
        <f>'DATA B3'!D58</f>
        <v>165421</v>
      </c>
      <c r="S57" s="214">
        <f t="shared" si="18"/>
        <v>8</v>
      </c>
      <c r="T57" s="15">
        <f t="shared" si="19"/>
        <v>1</v>
      </c>
      <c r="U57" s="15">
        <f>IFERROR((('DATA B3'!E58-'DATA B3'!E57)+('DATA B3'!F58-'DATA B3'!F57))/(Q57),0)</f>
        <v>4.4350000000000023</v>
      </c>
    </row>
    <row r="58" spans="2:21">
      <c r="B58" s="292"/>
      <c r="C58" s="97">
        <v>1.1666666666666701</v>
      </c>
      <c r="D58" s="84">
        <f>'DATA B1'!D59</f>
        <v>222134</v>
      </c>
      <c r="E58" s="212">
        <f t="shared" si="27"/>
        <v>0</v>
      </c>
      <c r="F58" s="80">
        <f>'DATA B1'!E59</f>
        <v>524526</v>
      </c>
      <c r="G58" s="214">
        <f t="shared" si="20"/>
        <v>0</v>
      </c>
      <c r="H58" s="28">
        <f t="shared" si="23"/>
        <v>0</v>
      </c>
      <c r="I58" s="45">
        <f>IFERROR((('DATA B1'!G59-'DATA B1'!G58)/('WATER_STEAM RATIO'!D58-'WATER_STEAM RATIO'!D57))*1000,0)</f>
        <v>0</v>
      </c>
      <c r="J58" s="50">
        <f>'DATA B2'!D59</f>
        <v>511685</v>
      </c>
      <c r="K58" s="213">
        <f>SUM(J58-J57)</f>
        <v>10</v>
      </c>
      <c r="L58" s="80">
        <f>'DATA B2'!E59</f>
        <v>567317</v>
      </c>
      <c r="M58" s="214">
        <f t="shared" si="15"/>
        <v>15</v>
      </c>
      <c r="N58" s="28">
        <f t="shared" si="25"/>
        <v>1.5</v>
      </c>
      <c r="O58" s="51">
        <f>IFERROR((('DATA B2'!F59-'DATA B2'!F58)/(K58))*1000,0)</f>
        <v>0</v>
      </c>
      <c r="P58" s="94">
        <f>'DATA B3'!C59</f>
        <v>220761</v>
      </c>
      <c r="Q58" s="216">
        <f t="shared" si="26"/>
        <v>6</v>
      </c>
      <c r="R58" s="80">
        <f>'DATA B3'!D59</f>
        <v>165427</v>
      </c>
      <c r="S58" s="214">
        <f t="shared" si="18"/>
        <v>6</v>
      </c>
      <c r="T58" s="15">
        <f t="shared" si="19"/>
        <v>1</v>
      </c>
      <c r="U58" s="15">
        <f>IFERROR((('DATA B3'!E59-'DATA B3'!E58)+('DATA B3'!F59-'DATA B3'!F58))/(Q58),0)</f>
        <v>5.4683333333333239</v>
      </c>
    </row>
    <row r="59" spans="2:21">
      <c r="B59" s="292"/>
      <c r="C59" s="97">
        <v>1.2083333333333399</v>
      </c>
      <c r="D59" s="84">
        <f>'DATA B1'!D60</f>
        <v>222134</v>
      </c>
      <c r="E59" s="212">
        <f t="shared" si="27"/>
        <v>0</v>
      </c>
      <c r="F59" s="80">
        <f>'DATA B1'!E60</f>
        <v>524526</v>
      </c>
      <c r="G59" s="214">
        <f t="shared" si="20"/>
        <v>0</v>
      </c>
      <c r="H59" s="28">
        <f t="shared" si="23"/>
        <v>0</v>
      </c>
      <c r="I59" s="45">
        <f>IFERROR((('DATA B1'!G60-'DATA B1'!G59)/('WATER_STEAM RATIO'!D59-'WATER_STEAM RATIO'!D58))*1000,0)</f>
        <v>0</v>
      </c>
      <c r="J59" s="50">
        <f>'DATA B2'!D60</f>
        <v>511695</v>
      </c>
      <c r="K59" s="213">
        <f t="shared" ref="K59:K61" si="28">SUM(J59-J58)</f>
        <v>10</v>
      </c>
      <c r="L59" s="80">
        <f>'DATA B2'!E60</f>
        <v>567332</v>
      </c>
      <c r="M59" s="214">
        <f t="shared" si="15"/>
        <v>15</v>
      </c>
      <c r="N59" s="28">
        <f t="shared" si="25"/>
        <v>1.5</v>
      </c>
      <c r="O59" s="51">
        <f>IFERROR((('DATA B2'!F60-'DATA B2'!F59)/(K59))*1000,0)</f>
        <v>0</v>
      </c>
      <c r="P59" s="94">
        <f>'DATA B3'!C60</f>
        <v>220768</v>
      </c>
      <c r="Q59" s="216">
        <f t="shared" si="26"/>
        <v>7</v>
      </c>
      <c r="R59" s="80">
        <f>'DATA B3'!D60</f>
        <v>165433</v>
      </c>
      <c r="S59" s="214">
        <f t="shared" si="18"/>
        <v>6</v>
      </c>
      <c r="T59" s="15">
        <f t="shared" si="19"/>
        <v>0.8571428571428571</v>
      </c>
      <c r="U59" s="15">
        <f>IFERROR((('DATA B3'!E60-'DATA B3'!E59)+('DATA B3'!F60-'DATA B3'!F59))/(Q59),0)</f>
        <v>4.6999999999999966</v>
      </c>
    </row>
    <row r="60" spans="2:21">
      <c r="B60" s="292"/>
      <c r="C60" s="97">
        <v>1.25</v>
      </c>
      <c r="D60" s="84">
        <f>'DATA B1'!D61</f>
        <v>222134</v>
      </c>
      <c r="E60" s="212">
        <f t="shared" si="27"/>
        <v>0</v>
      </c>
      <c r="F60" s="80">
        <f>'DATA B1'!E61</f>
        <v>524526</v>
      </c>
      <c r="G60" s="214">
        <f t="shared" si="20"/>
        <v>0</v>
      </c>
      <c r="H60" s="28">
        <f t="shared" si="23"/>
        <v>0</v>
      </c>
      <c r="I60" s="45">
        <f>IFERROR((('DATA B1'!G61-'DATA B1'!G60)/('WATER_STEAM RATIO'!D60-'WATER_STEAM RATIO'!D59))*1000,0)</f>
        <v>0</v>
      </c>
      <c r="J60" s="50">
        <f>'DATA B2'!D61</f>
        <v>511705</v>
      </c>
      <c r="K60" s="213">
        <f t="shared" si="28"/>
        <v>10</v>
      </c>
      <c r="L60" s="80">
        <f>'DATA B2'!E61</f>
        <v>567347</v>
      </c>
      <c r="M60" s="214">
        <f t="shared" si="15"/>
        <v>15</v>
      </c>
      <c r="N60" s="28">
        <f t="shared" si="25"/>
        <v>1.5</v>
      </c>
      <c r="O60" s="51">
        <f>IFERROR((('DATA B2'!F61-'DATA B2'!F60)/(K60))*1000,0)</f>
        <v>0</v>
      </c>
      <c r="P60" s="94">
        <f>'DATA B3'!C61</f>
        <v>220775</v>
      </c>
      <c r="Q60" s="216">
        <f t="shared" si="26"/>
        <v>7</v>
      </c>
      <c r="R60" s="80">
        <f>'DATA B3'!D61</f>
        <v>165439</v>
      </c>
      <c r="S60" s="214">
        <f t="shared" si="18"/>
        <v>6</v>
      </c>
      <c r="T60" s="15">
        <f t="shared" si="19"/>
        <v>0.8571428571428571</v>
      </c>
      <c r="U60" s="15">
        <f>IFERROR((('DATA B3'!E61-'DATA B3'!E60)+('DATA B3'!F61-'DATA B3'!F60))/(Q60),0)</f>
        <v>4.7257142857142913</v>
      </c>
    </row>
    <row r="61" spans="2:21">
      <c r="B61" s="292"/>
      <c r="C61" s="97">
        <v>1.2916666666666701</v>
      </c>
      <c r="D61" s="84">
        <f>'DATA B1'!D62</f>
        <v>222134</v>
      </c>
      <c r="E61" s="212">
        <f t="shared" si="27"/>
        <v>0</v>
      </c>
      <c r="F61" s="80">
        <f>'DATA B1'!E62</f>
        <v>524526</v>
      </c>
      <c r="G61" s="214">
        <f t="shared" si="20"/>
        <v>0</v>
      </c>
      <c r="H61" s="28">
        <f t="shared" si="23"/>
        <v>0</v>
      </c>
      <c r="I61" s="45">
        <f>IFERROR((('DATA B1'!G62-'DATA B1'!G61)/('WATER_STEAM RATIO'!D61-'WATER_STEAM RATIO'!D60))*1000,0)</f>
        <v>0</v>
      </c>
      <c r="J61" s="50">
        <f>'DATA B2'!D62</f>
        <v>511716</v>
      </c>
      <c r="K61" s="213">
        <f t="shared" si="28"/>
        <v>11</v>
      </c>
      <c r="L61" s="80">
        <f>'DATA B2'!E62</f>
        <v>567363</v>
      </c>
      <c r="M61" s="214">
        <f t="shared" si="15"/>
        <v>16</v>
      </c>
      <c r="N61" s="28">
        <f t="shared" si="25"/>
        <v>1.4545454545454546</v>
      </c>
      <c r="O61" s="51">
        <f>IFERROR((('DATA B2'!F62-'DATA B2'!F61)/(K61))*1000,0)</f>
        <v>0</v>
      </c>
      <c r="P61" s="94">
        <f>'DATA B3'!C62</f>
        <v>220782</v>
      </c>
      <c r="Q61" s="216">
        <f t="shared" si="26"/>
        <v>7</v>
      </c>
      <c r="R61" s="80">
        <f>'DATA B3'!D62</f>
        <v>165445</v>
      </c>
      <c r="S61" s="214">
        <f t="shared" si="18"/>
        <v>6</v>
      </c>
      <c r="T61" s="15">
        <f t="shared" si="19"/>
        <v>0.8571428571428571</v>
      </c>
      <c r="U61" s="15">
        <f>IFERROR((('DATA B3'!E62-'DATA B3'!E61)+('DATA B3'!F62-'DATA B3'!F61))/(Q61),0)</f>
        <v>4.6885714285714357</v>
      </c>
    </row>
    <row r="62" spans="2:21" ht="15.75" thickBot="1">
      <c r="B62" s="293"/>
      <c r="C62" s="235"/>
      <c r="D62" s="224" cm="1">
        <f t="array" ref="D62">IFERROR(LOOKUP(2,1/(D37:D61&gt;0),D37:D61-D37),0)</f>
        <v>0</v>
      </c>
      <c r="E62" s="223">
        <f>SUMIF(E38:E61,"&gt;=0",E38:E61)</f>
        <v>0</v>
      </c>
      <c r="F62" s="224" cm="1">
        <f t="array" ref="F62">IFERROR(LOOKUP(2,1/(F37:F61&gt;0),F37:F61-F37),0)</f>
        <v>0</v>
      </c>
      <c r="G62" s="223">
        <f>SUMIF(G38:G61,"&gt;=0",G38:G61)</f>
        <v>0</v>
      </c>
      <c r="H62" s="225">
        <f t="shared" si="23"/>
        <v>0</v>
      </c>
      <c r="I62" s="236">
        <f>IFERROR((('DATA B1'!H63)/(E62))*1000,0)</f>
        <v>0</v>
      </c>
      <c r="J62" s="222" cm="1">
        <f t="array" ref="J62">IFERROR(LOOKUP(2,1/(J37:J61&gt;0),J37:J61-J37),0)</f>
        <v>252</v>
      </c>
      <c r="K62" s="223">
        <f>SUMIF(K38:K61,"&gt;=0",K38:K61)</f>
        <v>252</v>
      </c>
      <c r="L62" s="224" cm="1">
        <f t="array" ref="L62">IFERROR(LOOKUP(2,1/(L37:L61&gt;0),L37:L61-L37),0)</f>
        <v>404</v>
      </c>
      <c r="M62" s="223">
        <f>SUMIF(M38:M61,"&gt;=0",M38:M61)</f>
        <v>404</v>
      </c>
      <c r="N62" s="225">
        <f>IFERROR(M62/K62,0)</f>
        <v>1.6031746031746033</v>
      </c>
      <c r="O62" s="226">
        <f>IFERROR((('DATA B2'!H63)/(K62))*1000,0)</f>
        <v>4.3650793650788847E-3</v>
      </c>
      <c r="P62" s="224" cm="1">
        <f t="array" ref="P62">IFERROR(LOOKUP(2,1/(P37:P61&gt;0),P37:P61-P37),0)</f>
        <v>178</v>
      </c>
      <c r="Q62" s="223">
        <f>SUMIF(Q38:Q61,"&gt;=0",Q38:Q61)</f>
        <v>178</v>
      </c>
      <c r="R62" s="224" cm="1">
        <f t="array" ref="R62">IFERROR(LOOKUP(2,1/(R37:R61&gt;0),R37:R61-R37),0)</f>
        <v>152</v>
      </c>
      <c r="S62" s="223">
        <f>SUMIF(S38:S61,"&gt;=0",S38:S61)</f>
        <v>152</v>
      </c>
      <c r="T62" s="237">
        <f t="shared" si="19"/>
        <v>0.8539325842696629</v>
      </c>
      <c r="U62" s="226">
        <f>IFERROR(('DATA B3'!E63+'DATA B3'!F63)/Q62*1000,0)</f>
        <v>4653.7640449438204</v>
      </c>
    </row>
    <row r="63" spans="2:21" ht="15" customHeight="1">
      <c r="B63" s="291">
        <f>SUM('DATA B1'!B64:B89)</f>
        <v>46025</v>
      </c>
      <c r="C63" s="97">
        <v>0.29166666666666669</v>
      </c>
      <c r="D63" s="84">
        <f>'DATA B1'!D64</f>
        <v>222134</v>
      </c>
      <c r="E63" s="5">
        <f>SUM(E61)</f>
        <v>0</v>
      </c>
      <c r="F63" s="80">
        <f>'DATA B1'!E64</f>
        <v>524526</v>
      </c>
      <c r="G63" s="80">
        <f>SUM(G61)</f>
        <v>0</v>
      </c>
      <c r="H63" s="28">
        <f xml:space="preserve"> IFERROR(G63/E63,0)</f>
        <v>0</v>
      </c>
      <c r="I63" s="45"/>
      <c r="J63" s="50">
        <f>'DATA B2'!D64</f>
        <v>511716</v>
      </c>
      <c r="K63" s="82">
        <f>SUM(K61)</f>
        <v>11</v>
      </c>
      <c r="L63" s="80">
        <f>'DATA B2'!E64</f>
        <v>567363</v>
      </c>
      <c r="M63" s="80">
        <f>SUM(M61)</f>
        <v>16</v>
      </c>
      <c r="N63" s="28">
        <f>IFERROR(M63/K63,0)</f>
        <v>1.4545454545454546</v>
      </c>
      <c r="O63" s="103"/>
      <c r="P63" s="94">
        <f>'DATA B3'!C64</f>
        <v>220782</v>
      </c>
      <c r="Q63" s="91">
        <f>SUM(Q61)</f>
        <v>7</v>
      </c>
      <c r="R63" s="80">
        <f>'DATA B3'!D64</f>
        <v>165445</v>
      </c>
      <c r="S63" s="80">
        <f>SUM(S61)</f>
        <v>6</v>
      </c>
      <c r="T63" s="15">
        <f>IFERROR(S63/Q63,0)</f>
        <v>0.8571428571428571</v>
      </c>
      <c r="U63" s="15"/>
    </row>
    <row r="64" spans="2:21">
      <c r="B64" s="292"/>
      <c r="C64" s="97">
        <v>0.33333333333333298</v>
      </c>
      <c r="D64" s="84">
        <f>'DATA B1'!D65</f>
        <v>222134</v>
      </c>
      <c r="E64" s="5">
        <f t="shared" ref="E64:E70" si="29">SUM(D64-D63)</f>
        <v>0</v>
      </c>
      <c r="F64" s="80">
        <f>'DATA B1'!E65</f>
        <v>524526</v>
      </c>
      <c r="G64" s="80">
        <f>SUM(F64-F63)</f>
        <v>0</v>
      </c>
      <c r="H64" s="28">
        <f t="shared" si="1"/>
        <v>0</v>
      </c>
      <c r="I64" s="45">
        <f>IFERROR((('DATA B1'!G65-'DATA B1'!G64)/('WATER_STEAM RATIO'!D64-'WATER_STEAM RATIO'!D63))*1000,0)</f>
        <v>0</v>
      </c>
      <c r="J64" s="50">
        <f>'DATA B2'!D65</f>
        <v>511734</v>
      </c>
      <c r="K64" s="82">
        <f>SUM(J64-J63)</f>
        <v>18</v>
      </c>
      <c r="L64" s="80">
        <f>'DATA B2'!E65</f>
        <v>567386</v>
      </c>
      <c r="M64" s="80">
        <f>SUM(L64-L63)</f>
        <v>23</v>
      </c>
      <c r="N64" s="28">
        <f t="shared" ref="N64:N87" si="30">IFERROR(M64/K64,0)</f>
        <v>1.2777777777777777</v>
      </c>
      <c r="O64" s="51">
        <f>IFERROR((('DATA B2'!F65-'DATA B2'!F64)/(K64))*1000,0)</f>
        <v>5.5555555555549434E-3</v>
      </c>
      <c r="P64" s="94">
        <f>'DATA B3'!C65</f>
        <v>220792</v>
      </c>
      <c r="Q64" s="91">
        <f>SUM(P64-P63)</f>
        <v>10</v>
      </c>
      <c r="R64" s="80">
        <f>'DATA B3'!D65</f>
        <v>165452</v>
      </c>
      <c r="S64" s="80">
        <f>SUM(R64-R63)</f>
        <v>7</v>
      </c>
      <c r="T64" s="15">
        <f t="shared" si="7"/>
        <v>0.7</v>
      </c>
      <c r="U64" s="15">
        <f>IFERROR((('DATA B3'!E65-'DATA B3'!E64)+('DATA B3'!F65-'DATA B3'!F64))/('WATER_STEAM RATIO'!P64-'WATER_STEAM RATIO'!P63),0)</f>
        <v>4.5769999999999982</v>
      </c>
    </row>
    <row r="65" spans="2:21">
      <c r="B65" s="292"/>
      <c r="C65" s="97">
        <v>0.375</v>
      </c>
      <c r="D65" s="84">
        <f>'DATA B1'!D66</f>
        <v>222134</v>
      </c>
      <c r="E65" s="5">
        <f t="shared" si="29"/>
        <v>0</v>
      </c>
      <c r="F65" s="80">
        <f>'DATA B1'!E66</f>
        <v>524526</v>
      </c>
      <c r="G65" s="80">
        <f t="shared" ref="G65:G87" si="31">SUM(F65-F64)</f>
        <v>0</v>
      </c>
      <c r="H65" s="28">
        <f t="shared" si="1"/>
        <v>0</v>
      </c>
      <c r="I65" s="45">
        <f>IFERROR((('DATA B1'!G66-'DATA B1'!G65)/('WATER_STEAM RATIO'!D65-'WATER_STEAM RATIO'!D64))*1000,0)</f>
        <v>0</v>
      </c>
      <c r="J65" s="50">
        <f>'DATA B2'!D66</f>
        <v>511749</v>
      </c>
      <c r="K65" s="82">
        <f t="shared" ref="K65:K86" si="32">SUM(J65-J64)</f>
        <v>15</v>
      </c>
      <c r="L65" s="80">
        <f>'DATA B2'!E66</f>
        <v>567402</v>
      </c>
      <c r="M65" s="80">
        <f t="shared" ref="M65:M87" si="33">SUM(L65-L64)</f>
        <v>16</v>
      </c>
      <c r="N65" s="28">
        <f t="shared" si="30"/>
        <v>1.0666666666666667</v>
      </c>
      <c r="O65" s="51">
        <f>IFERROR((('DATA B2'!F66-'DATA B2'!F65)/(K65))*1000,0)</f>
        <v>0</v>
      </c>
      <c r="P65" s="94">
        <f>'DATA B3'!C66</f>
        <v>220798</v>
      </c>
      <c r="Q65" s="91">
        <f t="shared" ref="Q65:Q87" si="34">SUM(P65-P64)</f>
        <v>6</v>
      </c>
      <c r="R65" s="80">
        <f>'DATA B3'!D66</f>
        <v>165457</v>
      </c>
      <c r="S65" s="80">
        <f t="shared" ref="S65:S87" si="35">SUM(R65-R64)</f>
        <v>5</v>
      </c>
      <c r="T65" s="15">
        <f t="shared" si="7"/>
        <v>0.83333333333333337</v>
      </c>
      <c r="U65" s="15">
        <f>IFERROR((('DATA B3'!E66-'DATA B3'!E65)+('DATA B3'!F66-'DATA B3'!F65))/('WATER_STEAM RATIO'!P65-'WATER_STEAM RATIO'!P64),0)</f>
        <v>1.9916666666666742</v>
      </c>
    </row>
    <row r="66" spans="2:21">
      <c r="B66" s="292"/>
      <c r="C66" s="97">
        <v>0.41666666666666702</v>
      </c>
      <c r="D66" s="84">
        <f>'DATA B1'!D67</f>
        <v>222134</v>
      </c>
      <c r="E66" s="5">
        <f t="shared" si="29"/>
        <v>0</v>
      </c>
      <c r="F66" s="80">
        <f>'DATA B1'!E67</f>
        <v>524526</v>
      </c>
      <c r="G66" s="80">
        <f t="shared" si="31"/>
        <v>0</v>
      </c>
      <c r="H66" s="28">
        <f t="shared" si="1"/>
        <v>0</v>
      </c>
      <c r="I66" s="45">
        <f>IFERROR((('DATA B1'!G67-'DATA B1'!G66)/('WATER_STEAM RATIO'!D66-'WATER_STEAM RATIO'!D65))*1000,0)</f>
        <v>0</v>
      </c>
      <c r="J66" s="50">
        <f>'DATA B2'!D67</f>
        <v>511763</v>
      </c>
      <c r="K66" s="82">
        <f t="shared" si="32"/>
        <v>14</v>
      </c>
      <c r="L66" s="80">
        <f>'DATA B2'!E67</f>
        <v>567418</v>
      </c>
      <c r="M66" s="80">
        <f t="shared" si="33"/>
        <v>16</v>
      </c>
      <c r="N66" s="28">
        <f t="shared" si="30"/>
        <v>1.1428571428571428</v>
      </c>
      <c r="O66" s="51">
        <f>IFERROR((('DATA B2'!F67-'DATA B2'!F66)/(K66))*1000,0)</f>
        <v>7.1428571428563559E-3</v>
      </c>
      <c r="P66" s="94">
        <f>'DATA B3'!C67</f>
        <v>220804</v>
      </c>
      <c r="Q66" s="91">
        <f t="shared" si="34"/>
        <v>6</v>
      </c>
      <c r="R66" s="80">
        <f>'DATA B3'!D67</f>
        <v>165462</v>
      </c>
      <c r="S66" s="80">
        <f t="shared" si="35"/>
        <v>5</v>
      </c>
      <c r="T66" s="15">
        <f t="shared" si="7"/>
        <v>0.83333333333333337</v>
      </c>
      <c r="U66" s="15">
        <f>IFERROR((('DATA B3'!E67-'DATA B3'!E66)+('DATA B3'!F67-'DATA B3'!F66))/('WATER_STEAM RATIO'!P66-'WATER_STEAM RATIO'!P65),0)</f>
        <v>1.9916666666666554</v>
      </c>
    </row>
    <row r="67" spans="2:21">
      <c r="B67" s="292"/>
      <c r="C67" s="97">
        <v>0.45833333333333298</v>
      </c>
      <c r="D67" s="84">
        <f>'DATA B1'!D68</f>
        <v>222134</v>
      </c>
      <c r="E67" s="5">
        <f t="shared" si="29"/>
        <v>0</v>
      </c>
      <c r="F67" s="80">
        <f>'DATA B1'!E68</f>
        <v>524526</v>
      </c>
      <c r="G67" s="80">
        <f t="shared" si="31"/>
        <v>0</v>
      </c>
      <c r="H67" s="28">
        <f t="shared" si="1"/>
        <v>0</v>
      </c>
      <c r="I67" s="45">
        <f>IFERROR((('DATA B1'!G68-'DATA B1'!G67)/('WATER_STEAM RATIO'!D67-'WATER_STEAM RATIO'!D66))*1000,0)</f>
        <v>0</v>
      </c>
      <c r="J67" s="50">
        <f>'DATA B2'!D68</f>
        <v>511777</v>
      </c>
      <c r="K67" s="82">
        <f t="shared" si="32"/>
        <v>14</v>
      </c>
      <c r="L67" s="80">
        <f>'DATA B2'!E68</f>
        <v>567434</v>
      </c>
      <c r="M67" s="80">
        <f t="shared" si="33"/>
        <v>16</v>
      </c>
      <c r="N67" s="28">
        <f t="shared" si="30"/>
        <v>1.1428571428571428</v>
      </c>
      <c r="O67" s="51">
        <f>IFERROR((('DATA B2'!F68-'DATA B2'!F67)/(K67))*1000,0)</f>
        <v>0</v>
      </c>
      <c r="P67" s="94">
        <f>'DATA B3'!C68</f>
        <v>220811</v>
      </c>
      <c r="Q67" s="91">
        <f t="shared" si="34"/>
        <v>7</v>
      </c>
      <c r="R67" s="80">
        <f>'DATA B3'!D68</f>
        <v>165468</v>
      </c>
      <c r="S67" s="80">
        <f t="shared" si="35"/>
        <v>6</v>
      </c>
      <c r="T67" s="15">
        <f t="shared" si="7"/>
        <v>0.8571428571428571</v>
      </c>
      <c r="U67" s="15">
        <f>IFERROR((('DATA B3'!E68-'DATA B3'!E67)+('DATA B3'!F68-'DATA B3'!F67))/('WATER_STEAM RATIO'!P67-'WATER_STEAM RATIO'!P66),0)</f>
        <v>9.2328571428571582</v>
      </c>
    </row>
    <row r="68" spans="2:21">
      <c r="B68" s="292"/>
      <c r="C68" s="97">
        <v>0.5</v>
      </c>
      <c r="D68" s="84">
        <f>'DATA B1'!D69</f>
        <v>222134</v>
      </c>
      <c r="E68" s="5">
        <f t="shared" si="29"/>
        <v>0</v>
      </c>
      <c r="F68" s="80">
        <f>'DATA B1'!E69</f>
        <v>524526</v>
      </c>
      <c r="G68" s="80">
        <f t="shared" si="31"/>
        <v>0</v>
      </c>
      <c r="H68" s="28">
        <f t="shared" si="1"/>
        <v>0</v>
      </c>
      <c r="I68" s="45">
        <f>IFERROR((('DATA B1'!G69-'DATA B1'!G68)/('WATER_STEAM RATIO'!D68-'WATER_STEAM RATIO'!D67))*1000,0)</f>
        <v>0</v>
      </c>
      <c r="J68" s="50">
        <f>'DATA B2'!D69</f>
        <v>511785</v>
      </c>
      <c r="K68" s="82">
        <f t="shared" si="32"/>
        <v>8</v>
      </c>
      <c r="L68" s="80">
        <f>'DATA B2'!E69</f>
        <v>567453</v>
      </c>
      <c r="M68" s="80">
        <f t="shared" si="33"/>
        <v>19</v>
      </c>
      <c r="N68" s="28">
        <f t="shared" si="30"/>
        <v>2.375</v>
      </c>
      <c r="O68" s="51">
        <f>IFERROR((('DATA B2'!F69-'DATA B2'!F68)/(K68))*1000,0)</f>
        <v>1.2499999999998623E-2</v>
      </c>
      <c r="P68" s="94">
        <f>'DATA B3'!C69</f>
        <v>220818</v>
      </c>
      <c r="Q68" s="91">
        <f t="shared" si="34"/>
        <v>7</v>
      </c>
      <c r="R68" s="80">
        <f>'DATA B3'!D69</f>
        <v>165474</v>
      </c>
      <c r="S68" s="80">
        <f t="shared" si="35"/>
        <v>6</v>
      </c>
      <c r="T68" s="15">
        <f t="shared" si="7"/>
        <v>0.8571428571428571</v>
      </c>
      <c r="U68" s="15">
        <f>IFERROR((('DATA B3'!E69-'DATA B3'!E68)+('DATA B3'!F69-'DATA B3'!F68))/('WATER_STEAM RATIO'!P68-'WATER_STEAM RATIO'!P67),0)</f>
        <v>5.0485714285714165</v>
      </c>
    </row>
    <row r="69" spans="2:21">
      <c r="B69" s="292"/>
      <c r="C69" s="97">
        <v>0.54166666666666696</v>
      </c>
      <c r="D69" s="84">
        <f>'DATA B1'!D70</f>
        <v>222134</v>
      </c>
      <c r="E69" s="5">
        <f t="shared" si="29"/>
        <v>0</v>
      </c>
      <c r="F69" s="80">
        <f>'DATA B1'!E70</f>
        <v>524526</v>
      </c>
      <c r="G69" s="80">
        <f t="shared" si="31"/>
        <v>0</v>
      </c>
      <c r="H69" s="28">
        <f t="shared" si="1"/>
        <v>0</v>
      </c>
      <c r="I69" s="45">
        <f>IFERROR((('DATA B1'!G70-'DATA B1'!G69)/('WATER_STEAM RATIO'!D69-'WATER_STEAM RATIO'!D68))*1000,0)</f>
        <v>0</v>
      </c>
      <c r="J69" s="50">
        <f>'DATA B2'!D70</f>
        <v>511794</v>
      </c>
      <c r="K69" s="82">
        <f t="shared" si="32"/>
        <v>9</v>
      </c>
      <c r="L69" s="80">
        <f>'DATA B2'!E70</f>
        <v>567472</v>
      </c>
      <c r="M69" s="80">
        <f t="shared" si="33"/>
        <v>19</v>
      </c>
      <c r="N69" s="28">
        <f t="shared" si="30"/>
        <v>2.1111111111111112</v>
      </c>
      <c r="O69" s="51">
        <f>IFERROR((('DATA B2'!F70-'DATA B2'!F69)/(K69))*1000,0)</f>
        <v>0</v>
      </c>
      <c r="P69" s="94">
        <f>'DATA B3'!C70</f>
        <v>220828</v>
      </c>
      <c r="Q69" s="91">
        <f t="shared" si="34"/>
        <v>10</v>
      </c>
      <c r="R69" s="80">
        <f>'DATA B3'!D70</f>
        <v>165481</v>
      </c>
      <c r="S69" s="80">
        <f t="shared" si="35"/>
        <v>7</v>
      </c>
      <c r="T69" s="15">
        <f t="shared" si="7"/>
        <v>0.7</v>
      </c>
      <c r="U69" s="15">
        <f>IFERROR((('DATA B3'!E70-'DATA B3'!E69)+('DATA B3'!F70-'DATA B3'!F69))/('WATER_STEAM RATIO'!P69-'WATER_STEAM RATIO'!P68),0)</f>
        <v>3.5339999999999918</v>
      </c>
    </row>
    <row r="70" spans="2:21">
      <c r="B70" s="292"/>
      <c r="C70" s="97">
        <v>0.58333333333333304</v>
      </c>
      <c r="D70" s="84">
        <f>'DATA B1'!D71</f>
        <v>222134</v>
      </c>
      <c r="E70" s="5">
        <f t="shared" si="29"/>
        <v>0</v>
      </c>
      <c r="F70" s="80">
        <f>'DATA B1'!E71</f>
        <v>524526</v>
      </c>
      <c r="G70" s="80">
        <f t="shared" si="31"/>
        <v>0</v>
      </c>
      <c r="H70" s="28">
        <f t="shared" si="1"/>
        <v>0</v>
      </c>
      <c r="I70" s="45">
        <f>IFERROR((('DATA B1'!G71-'DATA B1'!G70)/('WATER_STEAM RATIO'!D70-'WATER_STEAM RATIO'!D69))*1000,0)</f>
        <v>0</v>
      </c>
      <c r="J70" s="50">
        <f>'DATA B2'!D71</f>
        <v>511803</v>
      </c>
      <c r="K70" s="82">
        <f t="shared" si="32"/>
        <v>9</v>
      </c>
      <c r="L70" s="80">
        <f>'DATA B2'!E71</f>
        <v>567491</v>
      </c>
      <c r="M70" s="80">
        <f t="shared" si="33"/>
        <v>19</v>
      </c>
      <c r="N70" s="28">
        <f t="shared" si="30"/>
        <v>2.1111111111111112</v>
      </c>
      <c r="O70" s="51">
        <f>IFERROR((('DATA B2'!F71-'DATA B2'!F70)/(K70))*1000,0)</f>
        <v>1.1111111111109887E-2</v>
      </c>
      <c r="P70" s="94">
        <f>'DATA B3'!C71</f>
        <v>220834</v>
      </c>
      <c r="Q70" s="91">
        <f t="shared" si="34"/>
        <v>6</v>
      </c>
      <c r="R70" s="80">
        <f>'DATA B3'!D71</f>
        <v>165488</v>
      </c>
      <c r="S70" s="80">
        <f t="shared" si="35"/>
        <v>7</v>
      </c>
      <c r="T70" s="15">
        <f t="shared" si="7"/>
        <v>1.1666666666666667</v>
      </c>
      <c r="U70" s="15">
        <f>IFERROR((('DATA B3'!E71-'DATA B3'!E70)+('DATA B3'!F71-'DATA B3'!F70))/('WATER_STEAM RATIO'!P70-'WATER_STEAM RATIO'!P69),0)</f>
        <v>5.8900000000000245</v>
      </c>
    </row>
    <row r="71" spans="2:21">
      <c r="B71" s="292"/>
      <c r="C71" s="97">
        <v>0.625</v>
      </c>
      <c r="D71" s="84">
        <f>'DATA B1'!D72</f>
        <v>222134</v>
      </c>
      <c r="E71" s="5">
        <f t="shared" ref="E71:E87" si="36">SUM(D71-D70)</f>
        <v>0</v>
      </c>
      <c r="F71" s="80">
        <f>'DATA B1'!E72</f>
        <v>524526</v>
      </c>
      <c r="G71" s="80">
        <f t="shared" si="31"/>
        <v>0</v>
      </c>
      <c r="H71" s="28">
        <f t="shared" si="1"/>
        <v>0</v>
      </c>
      <c r="I71" s="45">
        <f>IFERROR((('DATA B1'!G72-'DATA B1'!G71)/('WATER_STEAM RATIO'!D71-'WATER_STEAM RATIO'!D70))*1000,0)</f>
        <v>0</v>
      </c>
      <c r="J71" s="50">
        <f>'DATA B2'!D72</f>
        <v>511812</v>
      </c>
      <c r="K71" s="82">
        <f t="shared" si="32"/>
        <v>9</v>
      </c>
      <c r="L71" s="80">
        <f>'DATA B2'!E72</f>
        <v>567510</v>
      </c>
      <c r="M71" s="80">
        <f t="shared" si="33"/>
        <v>19</v>
      </c>
      <c r="N71" s="28">
        <f t="shared" si="30"/>
        <v>2.1111111111111112</v>
      </c>
      <c r="O71" s="51">
        <f>IFERROR((('DATA B2'!F72-'DATA B2'!F71)/(K71))*1000,0)</f>
        <v>0</v>
      </c>
      <c r="P71" s="94">
        <f>'DATA B3'!C72</f>
        <v>220842</v>
      </c>
      <c r="Q71" s="91">
        <f t="shared" si="34"/>
        <v>8</v>
      </c>
      <c r="R71" s="80">
        <f>'DATA B3'!D72</f>
        <v>165495</v>
      </c>
      <c r="S71" s="80">
        <f t="shared" si="35"/>
        <v>7</v>
      </c>
      <c r="T71" s="15">
        <f t="shared" si="7"/>
        <v>0.875</v>
      </c>
      <c r="U71" s="15">
        <f>IFERROR((('DATA B3'!E72-'DATA B3'!E71)+('DATA B3'!F72-'DATA B3'!F71))/('WATER_STEAM RATIO'!P71-'WATER_STEAM RATIO'!P70),0)</f>
        <v>4.8174999999999955</v>
      </c>
    </row>
    <row r="72" spans="2:21">
      <c r="B72" s="292"/>
      <c r="C72" s="97">
        <v>0.66666666666666596</v>
      </c>
      <c r="D72" s="84">
        <f>'DATA B1'!D73</f>
        <v>222134</v>
      </c>
      <c r="E72" s="5">
        <f t="shared" si="36"/>
        <v>0</v>
      </c>
      <c r="F72" s="80">
        <f>'DATA B1'!E73</f>
        <v>524526</v>
      </c>
      <c r="G72" s="80">
        <f t="shared" si="31"/>
        <v>0</v>
      </c>
      <c r="H72" s="28">
        <f t="shared" si="1"/>
        <v>0</v>
      </c>
      <c r="I72" s="45">
        <f>IFERROR((('DATA B1'!G73-'DATA B1'!G72)/('WATER_STEAM RATIO'!D72-'WATER_STEAM RATIO'!D71))*1000,0)</f>
        <v>0</v>
      </c>
      <c r="J72" s="50">
        <f>'DATA B2'!D73</f>
        <v>511819</v>
      </c>
      <c r="K72" s="82">
        <f>SUM(J72-J71)</f>
        <v>7</v>
      </c>
      <c r="L72" s="80">
        <f>'DATA B2'!E73</f>
        <v>567527</v>
      </c>
      <c r="M72" s="80">
        <f t="shared" si="33"/>
        <v>17</v>
      </c>
      <c r="N72" s="28">
        <f t="shared" si="30"/>
        <v>2.4285714285714284</v>
      </c>
      <c r="O72" s="51">
        <f>IFERROR((('DATA B2'!F73-'DATA B2'!F72)/(K72))*1000,0)</f>
        <v>1.4285714285712712E-2</v>
      </c>
      <c r="P72" s="94">
        <f>'DATA B3'!C73</f>
        <v>220849</v>
      </c>
      <c r="Q72" s="91">
        <f t="shared" si="34"/>
        <v>7</v>
      </c>
      <c r="R72" s="80">
        <f>'DATA B3'!D73</f>
        <v>165501</v>
      </c>
      <c r="S72" s="80">
        <f t="shared" si="35"/>
        <v>6</v>
      </c>
      <c r="T72" s="15">
        <f t="shared" si="7"/>
        <v>0.8571428571428571</v>
      </c>
      <c r="U72" s="15">
        <f>IFERROR((('DATA B3'!E73-'DATA B3'!E72)+('DATA B3'!F73-'DATA B3'!F72))/('WATER_STEAM RATIO'!P72-'WATER_STEAM RATIO'!P71),0)</f>
        <v>4.5399999999999965</v>
      </c>
    </row>
    <row r="73" spans="2:21">
      <c r="B73" s="292"/>
      <c r="C73" s="97">
        <v>0.70833333333333304</v>
      </c>
      <c r="D73" s="84">
        <f>'DATA B1'!D74</f>
        <v>222134</v>
      </c>
      <c r="E73" s="5">
        <f t="shared" si="36"/>
        <v>0</v>
      </c>
      <c r="F73" s="80">
        <f>'DATA B1'!E74</f>
        <v>524526</v>
      </c>
      <c r="G73" s="80">
        <f t="shared" si="31"/>
        <v>0</v>
      </c>
      <c r="H73" s="28">
        <f t="shared" si="1"/>
        <v>0</v>
      </c>
      <c r="I73" s="45">
        <f>IFERROR((('DATA B1'!G74-'DATA B1'!G73)/('WATER_STEAM RATIO'!D73-'WATER_STEAM RATIO'!D72))*1000,0)</f>
        <v>0</v>
      </c>
      <c r="J73" s="50">
        <f>'DATA B2'!D74</f>
        <v>511826</v>
      </c>
      <c r="K73" s="82">
        <f t="shared" si="32"/>
        <v>7</v>
      </c>
      <c r="L73" s="80">
        <f>'DATA B2'!E74</f>
        <v>567544</v>
      </c>
      <c r="M73" s="80">
        <f t="shared" si="33"/>
        <v>17</v>
      </c>
      <c r="N73" s="28">
        <f t="shared" si="30"/>
        <v>2.4285714285714284</v>
      </c>
      <c r="O73" s="51">
        <f>IFERROR((('DATA B2'!F74-'DATA B2'!F73)/(K73))*1000,0)</f>
        <v>0</v>
      </c>
      <c r="P73" s="94">
        <f>'DATA B3'!C74</f>
        <v>220856</v>
      </c>
      <c r="Q73" s="91">
        <f t="shared" si="34"/>
        <v>7</v>
      </c>
      <c r="R73" s="80">
        <f>'DATA B3'!D74</f>
        <v>165507</v>
      </c>
      <c r="S73" s="80">
        <f t="shared" si="35"/>
        <v>6</v>
      </c>
      <c r="T73" s="15">
        <f t="shared" si="7"/>
        <v>0.8571428571428571</v>
      </c>
      <c r="U73" s="15">
        <f>IFERROR((('DATA B3'!E74-'DATA B3'!E73)+('DATA B3'!F74-'DATA B3'!F73))/('WATER_STEAM RATIO'!P73-'WATER_STEAM RATIO'!P72),0)</f>
        <v>4.5399999999999965</v>
      </c>
    </row>
    <row r="74" spans="2:21">
      <c r="B74" s="292"/>
      <c r="C74" s="97">
        <v>0.75</v>
      </c>
      <c r="D74" s="84">
        <f>'DATA B1'!D75</f>
        <v>222134</v>
      </c>
      <c r="E74" s="5">
        <f t="shared" si="36"/>
        <v>0</v>
      </c>
      <c r="F74" s="80">
        <f>'DATA B1'!E75</f>
        <v>524526</v>
      </c>
      <c r="G74" s="80">
        <f t="shared" si="31"/>
        <v>0</v>
      </c>
      <c r="H74" s="28">
        <f t="shared" si="1"/>
        <v>0</v>
      </c>
      <c r="I74" s="45">
        <f>IFERROR((('DATA B1'!G75-'DATA B1'!G74)/('WATER_STEAM RATIO'!D74-'WATER_STEAM RATIO'!D73))*1000,0)</f>
        <v>0</v>
      </c>
      <c r="J74" s="50">
        <f>'DATA B2'!D75</f>
        <v>511833</v>
      </c>
      <c r="K74" s="82">
        <f t="shared" si="32"/>
        <v>7</v>
      </c>
      <c r="L74" s="80">
        <f>'DATA B2'!E75</f>
        <v>567561</v>
      </c>
      <c r="M74" s="80">
        <f t="shared" si="33"/>
        <v>17</v>
      </c>
      <c r="N74" s="28">
        <f t="shared" si="30"/>
        <v>2.4285714285714284</v>
      </c>
      <c r="O74" s="51">
        <f>IFERROR((('DATA B2'!F75-'DATA B2'!F74)/(K74))*1000,0)</f>
        <v>1.4285714285712712E-2</v>
      </c>
      <c r="P74" s="94">
        <f>'DATA B3'!C75</f>
        <v>220863</v>
      </c>
      <c r="Q74" s="91">
        <f t="shared" si="34"/>
        <v>7</v>
      </c>
      <c r="R74" s="80">
        <f>'DATA B3'!D75</f>
        <v>165513</v>
      </c>
      <c r="S74" s="80">
        <f t="shared" si="35"/>
        <v>6</v>
      </c>
      <c r="T74" s="15">
        <f t="shared" si="7"/>
        <v>0.8571428571428571</v>
      </c>
      <c r="U74" s="15">
        <f>IFERROR((('DATA B3'!E75-'DATA B3'!E74)+('DATA B3'!F75-'DATA B3'!F74))/('WATER_STEAM RATIO'!P74-'WATER_STEAM RATIO'!P73),0)</f>
        <v>4.5399999999999965</v>
      </c>
    </row>
    <row r="75" spans="2:21">
      <c r="B75" s="292"/>
      <c r="C75" s="97">
        <v>0.79166666666666596</v>
      </c>
      <c r="D75" s="84">
        <f>'DATA B1'!D76</f>
        <v>222134</v>
      </c>
      <c r="E75" s="5">
        <f t="shared" si="36"/>
        <v>0</v>
      </c>
      <c r="F75" s="80">
        <f>'DATA B1'!E76</f>
        <v>524526</v>
      </c>
      <c r="G75" s="80">
        <f t="shared" si="31"/>
        <v>0</v>
      </c>
      <c r="H75" s="28">
        <f t="shared" si="1"/>
        <v>0</v>
      </c>
      <c r="I75" s="45">
        <f>IFERROR((('DATA B1'!G76-'DATA B1'!G75)/('WATER_STEAM RATIO'!D75-'WATER_STEAM RATIO'!D74))*1000,0)</f>
        <v>0</v>
      </c>
      <c r="J75" s="50">
        <f>'DATA B2'!D76</f>
        <v>511841</v>
      </c>
      <c r="K75" s="82">
        <f t="shared" si="32"/>
        <v>8</v>
      </c>
      <c r="L75" s="80">
        <f>'DATA B2'!E76</f>
        <v>567580</v>
      </c>
      <c r="M75" s="80">
        <f t="shared" si="33"/>
        <v>19</v>
      </c>
      <c r="N75" s="28">
        <f t="shared" si="30"/>
        <v>2.375</v>
      </c>
      <c r="O75" s="51">
        <f>IFERROR((('DATA B2'!F76-'DATA B2'!F75)/(K75))*1000,0)</f>
        <v>0</v>
      </c>
      <c r="P75" s="94">
        <f>'DATA B3'!C76</f>
        <v>220870</v>
      </c>
      <c r="Q75" s="91">
        <f t="shared" si="34"/>
        <v>7</v>
      </c>
      <c r="R75" s="80">
        <f>'DATA B3'!D76</f>
        <v>165519</v>
      </c>
      <c r="S75" s="80">
        <f t="shared" si="35"/>
        <v>6</v>
      </c>
      <c r="T75" s="15">
        <f t="shared" si="7"/>
        <v>0.8571428571428571</v>
      </c>
      <c r="U75" s="15">
        <f>IFERROR((('DATA B3'!E76-'DATA B3'!E75)+('DATA B3'!F76-'DATA B3'!F75))/('WATER_STEAM RATIO'!P75-'WATER_STEAM RATIO'!P74),0)</f>
        <v>5.0799999999999921</v>
      </c>
    </row>
    <row r="76" spans="2:21">
      <c r="B76" s="292"/>
      <c r="C76" s="97">
        <v>0.83333333333333304</v>
      </c>
      <c r="D76" s="84">
        <f>'DATA B1'!D77</f>
        <v>222134</v>
      </c>
      <c r="E76" s="5">
        <f t="shared" si="36"/>
        <v>0</v>
      </c>
      <c r="F76" s="80">
        <f>'DATA B1'!E77</f>
        <v>524526</v>
      </c>
      <c r="G76" s="80">
        <f t="shared" si="31"/>
        <v>0</v>
      </c>
      <c r="H76" s="28">
        <f xml:space="preserve"> IFERROR(G76/E76,0)</f>
        <v>0</v>
      </c>
      <c r="I76" s="45">
        <f>IFERROR((('DATA B1'!G77-'DATA B1'!G76)/('WATER_STEAM RATIO'!D76-'WATER_STEAM RATIO'!D75))*1000,0)</f>
        <v>0</v>
      </c>
      <c r="J76" s="50">
        <f>'DATA B2'!D77</f>
        <v>511856</v>
      </c>
      <c r="K76" s="82">
        <f t="shared" si="32"/>
        <v>15</v>
      </c>
      <c r="L76" s="80">
        <f>'DATA B2'!E77</f>
        <v>567606</v>
      </c>
      <c r="M76" s="80">
        <f t="shared" si="33"/>
        <v>26</v>
      </c>
      <c r="N76" s="28">
        <f t="shared" si="30"/>
        <v>1.7333333333333334</v>
      </c>
      <c r="O76" s="51">
        <f>IFERROR((('DATA B2'!F77-'DATA B2'!F76)/(K76))*1000,0)</f>
        <v>6.6666666666659324E-3</v>
      </c>
      <c r="P76" s="94">
        <f>'DATA B3'!C77</f>
        <v>220881</v>
      </c>
      <c r="Q76" s="91">
        <f t="shared" si="34"/>
        <v>11</v>
      </c>
      <c r="R76" s="80">
        <f>'DATA B3'!D77</f>
        <v>165528</v>
      </c>
      <c r="S76" s="80">
        <f t="shared" si="35"/>
        <v>9</v>
      </c>
      <c r="T76" s="15">
        <f t="shared" ref="T76:T88" si="37">IFERROR(S76/Q76,0)</f>
        <v>0.81818181818181823</v>
      </c>
      <c r="U76" s="15">
        <f>IFERROR((('DATA B3'!E77-'DATA B3'!E76)+('DATA B3'!F77-'DATA B3'!F76))/('WATER_STEAM RATIO'!P76-'WATER_STEAM RATIO'!P75),0)</f>
        <v>4.4454545454545533</v>
      </c>
    </row>
    <row r="77" spans="2:21">
      <c r="B77" s="292"/>
      <c r="C77" s="97">
        <v>0.875</v>
      </c>
      <c r="D77" s="84">
        <f>'DATA B1'!D78</f>
        <v>222134</v>
      </c>
      <c r="E77" s="5">
        <f t="shared" si="36"/>
        <v>0</v>
      </c>
      <c r="F77" s="80">
        <f>'DATA B1'!E78</f>
        <v>524526</v>
      </c>
      <c r="G77" s="80">
        <f t="shared" si="31"/>
        <v>0</v>
      </c>
      <c r="H77" s="28">
        <f t="shared" si="1"/>
        <v>0</v>
      </c>
      <c r="I77" s="45">
        <f>IFERROR((('DATA B1'!G78-'DATA B1'!G77)/('WATER_STEAM RATIO'!D77-'WATER_STEAM RATIO'!D76))*1000,0)</f>
        <v>0</v>
      </c>
      <c r="J77" s="50">
        <f>'DATA B2'!D78</f>
        <v>511865</v>
      </c>
      <c r="K77" s="82">
        <f t="shared" si="32"/>
        <v>9</v>
      </c>
      <c r="L77" s="80">
        <f>'DATA B2'!E78</f>
        <v>567622</v>
      </c>
      <c r="M77" s="80">
        <f t="shared" si="33"/>
        <v>16</v>
      </c>
      <c r="N77" s="28">
        <f>IFERROR(M77/K77,0)</f>
        <v>1.7777777777777777</v>
      </c>
      <c r="O77" s="51">
        <f>IFERROR((('DATA B2'!F78-'DATA B2'!F77)/(K77))*1000,0)</f>
        <v>0</v>
      </c>
      <c r="P77" s="94">
        <f>'DATA B3'!C78</f>
        <v>220887</v>
      </c>
      <c r="Q77" s="91">
        <f t="shared" si="34"/>
        <v>6</v>
      </c>
      <c r="R77" s="80">
        <f>'DATA B3'!D78</f>
        <v>165533</v>
      </c>
      <c r="S77" s="80">
        <f t="shared" si="35"/>
        <v>5</v>
      </c>
      <c r="T77" s="15">
        <f t="shared" si="37"/>
        <v>0.83333333333333337</v>
      </c>
      <c r="U77" s="15">
        <f>IFERROR((('DATA B3'!E78-'DATA B3'!E77)+('DATA B3'!F78-'DATA B3'!F77))/('WATER_STEAM RATIO'!P77-'WATER_STEAM RATIO'!P76),0)</f>
        <v>11.270000000000019</v>
      </c>
    </row>
    <row r="78" spans="2:21">
      <c r="B78" s="292"/>
      <c r="C78" s="97">
        <v>0.91666666666666596</v>
      </c>
      <c r="D78" s="84">
        <f>'DATA B1'!D79</f>
        <v>222134</v>
      </c>
      <c r="E78" s="5">
        <f t="shared" si="36"/>
        <v>0</v>
      </c>
      <c r="F78" s="80">
        <f>'DATA B1'!E79</f>
        <v>524526</v>
      </c>
      <c r="G78" s="80">
        <f t="shared" si="31"/>
        <v>0</v>
      </c>
      <c r="H78" s="28">
        <f t="shared" ref="H78:H141" si="38" xml:space="preserve"> IFERROR(G78/E78,0)</f>
        <v>0</v>
      </c>
      <c r="I78" s="45">
        <f>IFERROR((('DATA B1'!G79-'DATA B1'!G78)/('WATER_STEAM RATIO'!D78-'WATER_STEAM RATIO'!D77))*1000,0)</f>
        <v>0</v>
      </c>
      <c r="J78" s="50">
        <f>'DATA B2'!D79</f>
        <v>511874</v>
      </c>
      <c r="K78" s="82">
        <f t="shared" si="32"/>
        <v>9</v>
      </c>
      <c r="L78" s="80">
        <f>'DATA B2'!E79</f>
        <v>567638</v>
      </c>
      <c r="M78" s="80">
        <f t="shared" si="33"/>
        <v>16</v>
      </c>
      <c r="N78" s="28">
        <f t="shared" si="30"/>
        <v>1.7777777777777777</v>
      </c>
      <c r="O78" s="51">
        <f>IFERROR((('DATA B2'!F79-'DATA B2'!F78)/(K78))*1000,0)</f>
        <v>0</v>
      </c>
      <c r="P78" s="94">
        <f>'DATA B3'!C79</f>
        <v>220893</v>
      </c>
      <c r="Q78" s="91">
        <f t="shared" si="34"/>
        <v>6</v>
      </c>
      <c r="R78" s="80">
        <f>'DATA B3'!D79</f>
        <v>165538</v>
      </c>
      <c r="S78" s="80">
        <f t="shared" si="35"/>
        <v>5</v>
      </c>
      <c r="T78" s="15">
        <f t="shared" si="37"/>
        <v>0.83333333333333337</v>
      </c>
      <c r="U78" s="15">
        <f>IFERROR((('DATA B3'!E79-'DATA B3'!E78)+('DATA B3'!F79-'DATA B3'!F78))/('WATER_STEAM RATIO'!P78-'WATER_STEAM RATIO'!P77),0)</f>
        <v>1.9899999999999902</v>
      </c>
    </row>
    <row r="79" spans="2:21">
      <c r="B79" s="292"/>
      <c r="C79" s="97">
        <v>0.95833333333333304</v>
      </c>
      <c r="D79" s="84">
        <f>'DATA B1'!D80</f>
        <v>222134</v>
      </c>
      <c r="E79" s="5">
        <f t="shared" si="36"/>
        <v>0</v>
      </c>
      <c r="F79" s="80">
        <f>'DATA B1'!E80</f>
        <v>524526</v>
      </c>
      <c r="G79" s="80">
        <f t="shared" si="31"/>
        <v>0</v>
      </c>
      <c r="H79" s="28">
        <f t="shared" si="38"/>
        <v>0</v>
      </c>
      <c r="I79" s="45">
        <f>IFERROR((('DATA B1'!G80-'DATA B1'!G79)/('WATER_STEAM RATIO'!D79-'WATER_STEAM RATIO'!D78))*1000,0)</f>
        <v>0</v>
      </c>
      <c r="J79" s="50">
        <f>'DATA B2'!D80</f>
        <v>511884</v>
      </c>
      <c r="K79" s="82">
        <f>SUM(J79-J78)</f>
        <v>10</v>
      </c>
      <c r="L79" s="80">
        <f>'DATA B2'!E80</f>
        <v>567654</v>
      </c>
      <c r="M79" s="80">
        <f t="shared" si="33"/>
        <v>16</v>
      </c>
      <c r="N79" s="28">
        <f t="shared" si="30"/>
        <v>1.6</v>
      </c>
      <c r="O79" s="51">
        <f>IFERROR((('DATA B2'!F80-'DATA B2'!F79)/(K79))*1000,0)</f>
        <v>0</v>
      </c>
      <c r="P79" s="94">
        <f>'DATA B3'!C80</f>
        <v>220900</v>
      </c>
      <c r="Q79" s="91">
        <f t="shared" si="34"/>
        <v>7</v>
      </c>
      <c r="R79" s="80">
        <f>'DATA B3'!D80</f>
        <v>165544</v>
      </c>
      <c r="S79" s="80">
        <f t="shared" si="35"/>
        <v>6</v>
      </c>
      <c r="T79" s="15">
        <f t="shared" si="37"/>
        <v>0.8571428571428571</v>
      </c>
      <c r="U79" s="15">
        <f>IFERROR((('DATA B3'!E80-'DATA B3'!E79)+('DATA B3'!F80-'DATA B3'!F79))/('WATER_STEAM RATIO'!P79-'WATER_STEAM RATIO'!P78),0)</f>
        <v>1.7071428571428637</v>
      </c>
    </row>
    <row r="80" spans="2:21">
      <c r="B80" s="292"/>
      <c r="C80" s="97">
        <v>1</v>
      </c>
      <c r="D80" s="84">
        <f>'DATA B1'!D81</f>
        <v>222134</v>
      </c>
      <c r="E80" s="5">
        <f t="shared" si="36"/>
        <v>0</v>
      </c>
      <c r="F80" s="80">
        <f>'DATA B1'!E81</f>
        <v>524526</v>
      </c>
      <c r="G80" s="80">
        <f t="shared" si="31"/>
        <v>0</v>
      </c>
      <c r="H80" s="28">
        <f t="shared" si="38"/>
        <v>0</v>
      </c>
      <c r="I80" s="45">
        <f>IFERROR((('DATA B1'!G81-'DATA B1'!G80)/('WATER_STEAM RATIO'!D80-'WATER_STEAM RATIO'!D79))*1000,0)</f>
        <v>0</v>
      </c>
      <c r="J80" s="50">
        <f>'DATA B2'!D81</f>
        <v>511894</v>
      </c>
      <c r="K80" s="82">
        <f t="shared" si="32"/>
        <v>10</v>
      </c>
      <c r="L80" s="80">
        <f>'DATA B2'!E81</f>
        <v>567671</v>
      </c>
      <c r="M80" s="80">
        <f t="shared" si="33"/>
        <v>17</v>
      </c>
      <c r="N80" s="28">
        <f t="shared" si="30"/>
        <v>1.7</v>
      </c>
      <c r="O80" s="51">
        <f>IFERROR((('DATA B2'!F81-'DATA B2'!F80)/(K80))*1000,0)</f>
        <v>0</v>
      </c>
      <c r="P80" s="94">
        <f>'DATA B3'!C81</f>
        <v>220907</v>
      </c>
      <c r="Q80" s="91">
        <f t="shared" si="34"/>
        <v>7</v>
      </c>
      <c r="R80" s="80">
        <f>'DATA B3'!D81</f>
        <v>165550</v>
      </c>
      <c r="S80" s="80">
        <f t="shared" si="35"/>
        <v>6</v>
      </c>
      <c r="T80" s="15">
        <f t="shared" si="37"/>
        <v>0.8571428571428571</v>
      </c>
      <c r="U80" s="15">
        <f>IFERROR((('DATA B3'!E81-'DATA B3'!E80)+('DATA B3'!F81-'DATA B3'!F80))/('WATER_STEAM RATIO'!P80-'WATER_STEAM RATIO'!P79),0)</f>
        <v>1.5785714285714221</v>
      </c>
    </row>
    <row r="81" spans="2:21">
      <c r="B81" s="292"/>
      <c r="C81" s="97">
        <v>1.0416666666666701</v>
      </c>
      <c r="D81" s="84">
        <f>'DATA B1'!D82</f>
        <v>222134</v>
      </c>
      <c r="E81" s="5">
        <f t="shared" si="36"/>
        <v>0</v>
      </c>
      <c r="F81" s="80">
        <f>'DATA B1'!E82</f>
        <v>524526</v>
      </c>
      <c r="G81" s="80">
        <f t="shared" si="31"/>
        <v>0</v>
      </c>
      <c r="H81" s="28">
        <f t="shared" si="38"/>
        <v>0</v>
      </c>
      <c r="I81" s="45">
        <f>IFERROR((('DATA B1'!G82-'DATA B1'!G81)/('WATER_STEAM RATIO'!D81-'WATER_STEAM RATIO'!D80))*1000,0)</f>
        <v>0</v>
      </c>
      <c r="J81" s="50">
        <f>'DATA B2'!D82</f>
        <v>511904</v>
      </c>
      <c r="K81" s="82">
        <f t="shared" si="32"/>
        <v>10</v>
      </c>
      <c r="L81" s="80">
        <f>'DATA B2'!E82</f>
        <v>567688</v>
      </c>
      <c r="M81" s="80">
        <f t="shared" si="33"/>
        <v>17</v>
      </c>
      <c r="N81" s="28">
        <f t="shared" si="30"/>
        <v>1.7</v>
      </c>
      <c r="O81" s="51">
        <f>IFERROR((('DATA B2'!F82-'DATA B2'!F81)/(K81))*1000,0)</f>
        <v>0</v>
      </c>
      <c r="P81" s="94">
        <f>'DATA B3'!C82</f>
        <v>220914</v>
      </c>
      <c r="Q81" s="91">
        <f t="shared" si="34"/>
        <v>7</v>
      </c>
      <c r="R81" s="80">
        <f>'DATA B3'!D82</f>
        <v>165556</v>
      </c>
      <c r="S81" s="80">
        <f t="shared" si="35"/>
        <v>6</v>
      </c>
      <c r="T81" s="15">
        <f t="shared" si="37"/>
        <v>0.8571428571428571</v>
      </c>
      <c r="U81" s="15">
        <f>IFERROR((('DATA B3'!E82-'DATA B3'!E81)+('DATA B3'!F82-'DATA B3'!F81))/('WATER_STEAM RATIO'!P81-'WATER_STEAM RATIO'!P80),0)</f>
        <v>1.5785714285714383</v>
      </c>
    </row>
    <row r="82" spans="2:21">
      <c r="B82" s="292"/>
      <c r="C82" s="97">
        <v>1.0833333333333399</v>
      </c>
      <c r="D82" s="84">
        <f>'DATA B1'!D83</f>
        <v>222134</v>
      </c>
      <c r="E82" s="5">
        <f>SUM(D82-D81)</f>
        <v>0</v>
      </c>
      <c r="F82" s="80">
        <f>'DATA B1'!E83</f>
        <v>524526</v>
      </c>
      <c r="G82" s="80">
        <f t="shared" si="31"/>
        <v>0</v>
      </c>
      <c r="H82" s="28">
        <f t="shared" si="38"/>
        <v>0</v>
      </c>
      <c r="I82" s="45">
        <f>IFERROR((('DATA B1'!G83-'DATA B1'!G82)/('WATER_STEAM RATIO'!D82-'WATER_STEAM RATIO'!D81))*1000,0)</f>
        <v>0</v>
      </c>
      <c r="J82" s="50">
        <f>'DATA B2'!D83</f>
        <v>511914</v>
      </c>
      <c r="K82" s="82">
        <f t="shared" si="32"/>
        <v>10</v>
      </c>
      <c r="L82" s="80">
        <f>'DATA B2'!E83</f>
        <v>567706</v>
      </c>
      <c r="M82" s="80">
        <f t="shared" si="33"/>
        <v>18</v>
      </c>
      <c r="N82" s="28">
        <f t="shared" si="30"/>
        <v>1.8</v>
      </c>
      <c r="O82" s="51">
        <f>IFERROR((('DATA B2'!F83-'DATA B2'!F82)/(K82))*1000,0)</f>
        <v>0</v>
      </c>
      <c r="P82" s="94">
        <f>'DATA B3'!C83</f>
        <v>220921</v>
      </c>
      <c r="Q82" s="91">
        <f>SUM(P82-P81)</f>
        <v>7</v>
      </c>
      <c r="R82" s="80">
        <f>'DATA B3'!D83</f>
        <v>165562</v>
      </c>
      <c r="S82" s="80">
        <f t="shared" si="35"/>
        <v>6</v>
      </c>
      <c r="T82" s="15">
        <f t="shared" si="37"/>
        <v>0.8571428571428571</v>
      </c>
      <c r="U82" s="15">
        <f>IFERROR((('DATA B3'!E83-'DATA B3'!E82)+('DATA B3'!F83-'DATA B3'!F82))/('WATER_STEAM RATIO'!P82-'WATER_STEAM RATIO'!P81),0)</f>
        <v>1.5785714285714221</v>
      </c>
    </row>
    <row r="83" spans="2:21">
      <c r="B83" s="292"/>
      <c r="C83" s="97">
        <v>1.125</v>
      </c>
      <c r="D83" s="84">
        <f>'DATA B1'!D84</f>
        <v>222134</v>
      </c>
      <c r="E83" s="5">
        <f t="shared" si="36"/>
        <v>0</v>
      </c>
      <c r="F83" s="80">
        <f>'DATA B1'!E84</f>
        <v>524526</v>
      </c>
      <c r="G83" s="80">
        <f t="shared" si="31"/>
        <v>0</v>
      </c>
      <c r="H83" s="28">
        <f t="shared" si="38"/>
        <v>0</v>
      </c>
      <c r="I83" s="45">
        <f>IFERROR((('DATA B1'!G84-'DATA B1'!G83)/('WATER_STEAM RATIO'!D83-'WATER_STEAM RATIO'!D82))*1000,0)</f>
        <v>0</v>
      </c>
      <c r="J83" s="50">
        <f>'DATA B2'!D84</f>
        <v>511924</v>
      </c>
      <c r="K83" s="82">
        <f t="shared" si="32"/>
        <v>10</v>
      </c>
      <c r="L83" s="80">
        <f>'DATA B2'!E84</f>
        <v>567724</v>
      </c>
      <c r="M83" s="80">
        <f t="shared" si="33"/>
        <v>18</v>
      </c>
      <c r="N83" s="28">
        <f t="shared" si="30"/>
        <v>1.8</v>
      </c>
      <c r="O83" s="51">
        <f>IFERROR((('DATA B2'!F84-'DATA B2'!F83)/(K83))*1000,0)</f>
        <v>0</v>
      </c>
      <c r="P83" s="94">
        <f>'DATA B3'!C84</f>
        <v>220929</v>
      </c>
      <c r="Q83" s="91">
        <f t="shared" si="34"/>
        <v>8</v>
      </c>
      <c r="R83" s="80">
        <f>'DATA B3'!D84</f>
        <v>165569</v>
      </c>
      <c r="S83" s="80">
        <f t="shared" si="35"/>
        <v>7</v>
      </c>
      <c r="T83" s="15">
        <f t="shared" si="37"/>
        <v>0.875</v>
      </c>
      <c r="U83" s="15">
        <f>IFERROR((('DATA B3'!E84-'DATA B3'!E83)+('DATA B3'!F84-'DATA B3'!F83))/('WATER_STEAM RATIO'!P83-'WATER_STEAM RATIO'!P82),0)</f>
        <v>1.3812499999999943</v>
      </c>
    </row>
    <row r="84" spans="2:21">
      <c r="B84" s="292"/>
      <c r="C84" s="97">
        <v>1.1666666666666701</v>
      </c>
      <c r="D84" s="84">
        <f>'DATA B1'!D85</f>
        <v>222134</v>
      </c>
      <c r="E84" s="5">
        <f t="shared" si="36"/>
        <v>0</v>
      </c>
      <c r="F84" s="80">
        <f>'DATA B1'!E85</f>
        <v>524526</v>
      </c>
      <c r="G84" s="80">
        <f t="shared" si="31"/>
        <v>0</v>
      </c>
      <c r="H84" s="28">
        <f t="shared" si="38"/>
        <v>0</v>
      </c>
      <c r="I84" s="45">
        <f>IFERROR((('DATA B1'!G85-'DATA B1'!G84)/('WATER_STEAM RATIO'!D84-'WATER_STEAM RATIO'!D83))*1000,0)</f>
        <v>0</v>
      </c>
      <c r="J84" s="50">
        <f>'DATA B2'!D85</f>
        <v>511934</v>
      </c>
      <c r="K84" s="82">
        <f t="shared" si="32"/>
        <v>10</v>
      </c>
      <c r="L84" s="80">
        <f>'DATA B2'!E85</f>
        <v>567737</v>
      </c>
      <c r="M84" s="80">
        <f t="shared" si="33"/>
        <v>13</v>
      </c>
      <c r="N84" s="28">
        <f t="shared" si="30"/>
        <v>1.3</v>
      </c>
      <c r="O84" s="51">
        <f>IFERROR((('DATA B2'!F85-'DATA B2'!F84)/(K84))*1000,0)</f>
        <v>0</v>
      </c>
      <c r="P84" s="94">
        <f>'DATA B3'!C85</f>
        <v>220935</v>
      </c>
      <c r="Q84" s="91">
        <f t="shared" si="34"/>
        <v>6</v>
      </c>
      <c r="R84" s="80">
        <f>'DATA B3'!D85</f>
        <v>165574</v>
      </c>
      <c r="S84" s="80">
        <f t="shared" si="35"/>
        <v>5</v>
      </c>
      <c r="T84" s="15">
        <f t="shared" si="37"/>
        <v>0.83333333333333337</v>
      </c>
      <c r="U84" s="15">
        <f>IFERROR((('DATA B3'!E85-'DATA B3'!E84)+('DATA B3'!F85-'DATA B3'!F84))/('WATER_STEAM RATIO'!P84-'WATER_STEAM RATIO'!P83),0)</f>
        <v>9.3283333333333385</v>
      </c>
    </row>
    <row r="85" spans="2:21">
      <c r="B85" s="292"/>
      <c r="C85" s="97">
        <v>1.2083333333333399</v>
      </c>
      <c r="D85" s="84">
        <f>'DATA B1'!D86</f>
        <v>222134</v>
      </c>
      <c r="E85" s="5">
        <f t="shared" si="36"/>
        <v>0</v>
      </c>
      <c r="F85" s="80">
        <f>'DATA B1'!E86</f>
        <v>524526</v>
      </c>
      <c r="G85" s="80">
        <f t="shared" si="31"/>
        <v>0</v>
      </c>
      <c r="H85" s="28">
        <f t="shared" si="38"/>
        <v>0</v>
      </c>
      <c r="I85" s="45">
        <f>IFERROR((('DATA B1'!G86-'DATA B1'!G85)/('WATER_STEAM RATIO'!D85-'WATER_STEAM RATIO'!D84))*1000,0)</f>
        <v>0</v>
      </c>
      <c r="J85" s="50">
        <f>'DATA B2'!D86</f>
        <v>511944</v>
      </c>
      <c r="K85" s="82">
        <f t="shared" si="32"/>
        <v>10</v>
      </c>
      <c r="L85" s="80">
        <f>'DATA B2'!E86</f>
        <v>567750</v>
      </c>
      <c r="M85" s="80">
        <f t="shared" si="33"/>
        <v>13</v>
      </c>
      <c r="N85" s="28">
        <f t="shared" si="30"/>
        <v>1.3</v>
      </c>
      <c r="O85" s="51">
        <f>IFERROR((('DATA B2'!F86-'DATA B2'!F85)/(K85))*1000,0)</f>
        <v>0</v>
      </c>
      <c r="P85" s="94">
        <f>'DATA B3'!C86</f>
        <v>220941</v>
      </c>
      <c r="Q85" s="91">
        <f t="shared" si="34"/>
        <v>6</v>
      </c>
      <c r="R85" s="80">
        <f>'DATA B3'!D86</f>
        <v>165580</v>
      </c>
      <c r="S85" s="80">
        <f t="shared" si="35"/>
        <v>6</v>
      </c>
      <c r="T85" s="15">
        <f t="shared" si="37"/>
        <v>1</v>
      </c>
      <c r="U85" s="15">
        <f>IFERROR((('DATA B3'!E86-'DATA B3'!E85)+('DATA B3'!F86-'DATA B3'!F85))/('WATER_STEAM RATIO'!P85-'WATER_STEAM RATIO'!P84),0)</f>
        <v>9.3283333333333385</v>
      </c>
    </row>
    <row r="86" spans="2:21">
      <c r="B86" s="292"/>
      <c r="C86" s="97">
        <v>1.25</v>
      </c>
      <c r="D86" s="84">
        <f>'DATA B1'!D87</f>
        <v>222134</v>
      </c>
      <c r="E86" s="5">
        <f t="shared" si="36"/>
        <v>0</v>
      </c>
      <c r="F86" s="80">
        <f>'DATA B1'!E87</f>
        <v>524526</v>
      </c>
      <c r="G86" s="80">
        <f t="shared" si="31"/>
        <v>0</v>
      </c>
      <c r="H86" s="28">
        <f t="shared" si="38"/>
        <v>0</v>
      </c>
      <c r="I86" s="45">
        <f>IFERROR((('DATA B1'!G87-'DATA B1'!G86)/('WATER_STEAM RATIO'!D86-'WATER_STEAM RATIO'!D85))*1000,0)</f>
        <v>0</v>
      </c>
      <c r="J86" s="50">
        <f>'DATA B2'!D87</f>
        <v>511954</v>
      </c>
      <c r="K86" s="82">
        <f t="shared" si="32"/>
        <v>10</v>
      </c>
      <c r="L86" s="80">
        <f>'DATA B2'!E87</f>
        <v>567763</v>
      </c>
      <c r="M86" s="80">
        <f t="shared" si="33"/>
        <v>13</v>
      </c>
      <c r="N86" s="28">
        <f t="shared" si="30"/>
        <v>1.3</v>
      </c>
      <c r="O86" s="51">
        <f>IFERROR((('DATA B2'!F87-'DATA B2'!F86)/(K86))*1000,0)</f>
        <v>0</v>
      </c>
      <c r="P86" s="94">
        <f>'DATA B3'!C87</f>
        <v>220947</v>
      </c>
      <c r="Q86" s="91">
        <f t="shared" si="34"/>
        <v>6</v>
      </c>
      <c r="R86" s="80">
        <f>'DATA B3'!D87</f>
        <v>165586</v>
      </c>
      <c r="S86" s="80">
        <f t="shared" si="35"/>
        <v>6</v>
      </c>
      <c r="T86" s="15">
        <f t="shared" si="37"/>
        <v>1</v>
      </c>
      <c r="U86" s="15">
        <f>IFERROR((('DATA B3'!E87-'DATA B3'!E86)+('DATA B3'!F87-'DATA B3'!F86))/('WATER_STEAM RATIO'!P86-'WATER_STEAM RATIO'!P85),0)</f>
        <v>9.3283333333333385</v>
      </c>
    </row>
    <row r="87" spans="2:21">
      <c r="B87" s="292"/>
      <c r="C87" s="97">
        <v>1.2916666666666701</v>
      </c>
      <c r="D87" s="84">
        <f>'DATA B1'!D88</f>
        <v>222134</v>
      </c>
      <c r="E87" s="5">
        <f t="shared" si="36"/>
        <v>0</v>
      </c>
      <c r="F87" s="80">
        <f>'DATA B1'!E88</f>
        <v>524526</v>
      </c>
      <c r="G87" s="80">
        <f t="shared" si="31"/>
        <v>0</v>
      </c>
      <c r="H87" s="28">
        <f t="shared" si="38"/>
        <v>0</v>
      </c>
      <c r="I87" s="45">
        <f>IFERROR((('DATA B1'!G88-'DATA B1'!G87)/('WATER_STEAM RATIO'!D87-'WATER_STEAM RATIO'!D86))*1000,0)</f>
        <v>0</v>
      </c>
      <c r="J87" s="50">
        <f>'DATA B2'!D88</f>
        <v>511965</v>
      </c>
      <c r="K87" s="82">
        <f>SUM(J87-J86)</f>
        <v>11</v>
      </c>
      <c r="L87" s="80">
        <f>'DATA B2'!E88</f>
        <v>567777</v>
      </c>
      <c r="M87" s="80">
        <f t="shared" si="33"/>
        <v>14</v>
      </c>
      <c r="N87" s="28">
        <f t="shared" si="30"/>
        <v>1.2727272727272727</v>
      </c>
      <c r="O87" s="51">
        <f>IFERROR((('DATA B2'!F88-'DATA B2'!F87)/(K87))*1000,0)</f>
        <v>0</v>
      </c>
      <c r="P87" s="94">
        <f>'DATA B3'!C88</f>
        <v>220954</v>
      </c>
      <c r="Q87" s="91">
        <f t="shared" si="34"/>
        <v>7</v>
      </c>
      <c r="R87" s="80">
        <f>'DATA B3'!D88</f>
        <v>165592</v>
      </c>
      <c r="S87" s="80">
        <f t="shared" si="35"/>
        <v>6</v>
      </c>
      <c r="T87" s="15">
        <f t="shared" si="37"/>
        <v>0.8571428571428571</v>
      </c>
      <c r="U87" s="15">
        <f>IFERROR((('DATA B3'!E88-'DATA B3'!E87)+('DATA B3'!F88-'DATA B3'!F87))/('WATER_STEAM RATIO'!P87-'WATER_STEAM RATIO'!P86),0)</f>
        <v>7.99714285714286</v>
      </c>
    </row>
    <row r="88" spans="2:21" ht="15.75" thickBot="1">
      <c r="B88" s="293"/>
      <c r="C88" s="235"/>
      <c r="D88" s="224" cm="1">
        <f t="array" ref="D88">IFERROR(LOOKUP(2,1/(D63:D87&gt;0),D63:D87-D63),0)</f>
        <v>0</v>
      </c>
      <c r="E88" s="223">
        <f>SUMIF(E64:E87,"&gt;=0",E64:E87)</f>
        <v>0</v>
      </c>
      <c r="F88" s="224" cm="1">
        <f t="array" ref="F88">IFERROR(LOOKUP(2,1/(F63:F87&gt;0),F63:F87-F63),0)</f>
        <v>0</v>
      </c>
      <c r="G88" s="223">
        <f>SUMIF(G64:G87,"&gt;=0",G64:G87)</f>
        <v>0</v>
      </c>
      <c r="H88" s="225">
        <f t="shared" si="38"/>
        <v>0</v>
      </c>
      <c r="I88" s="236">
        <f>IFERROR((('DATA B1'!H89)/(E88))*1000,0)</f>
        <v>0</v>
      </c>
      <c r="J88" s="222" cm="1">
        <f t="array" ref="J88">IFERROR(LOOKUP(2,1/(J63:J87&gt;0),J63:J87-J63),0)</f>
        <v>249</v>
      </c>
      <c r="K88" s="223">
        <f>SUMIF(K64:K87,"&gt;=0",K64:K87)</f>
        <v>249</v>
      </c>
      <c r="L88" s="224" cm="1">
        <f t="array" ref="L88">IFERROR(LOOKUP(2,1/(L63:L87&gt;0),L63:L87-L63),0)</f>
        <v>414</v>
      </c>
      <c r="M88" s="223">
        <f>SUMIF(M64:M87,"&gt;=0",M64:M87)</f>
        <v>414</v>
      </c>
      <c r="N88" s="225">
        <f>IFERROR(M88/K88,0)</f>
        <v>1.6626506024096386</v>
      </c>
      <c r="O88" s="226">
        <f>IFERROR((('DATA B2'!H89)/(K88))*1000,0)</f>
        <v>4.8192771084340962E-3</v>
      </c>
      <c r="P88" s="224" cm="1">
        <f t="array" ref="P88">IFERROR(LOOKUP(2,1/(P63:P87&gt;0),P63:P87-P63),0)</f>
        <v>172</v>
      </c>
      <c r="Q88" s="223">
        <f>SUMIF(Q64:Q87,"&gt;=0",Q64:Q87)</f>
        <v>172</v>
      </c>
      <c r="R88" s="224" cm="1">
        <f t="array" ref="R88">IFERROR(LOOKUP(2,1/(R63:R87&gt;0),R63:R87-R63),0)</f>
        <v>147</v>
      </c>
      <c r="S88" s="223">
        <f>SUMIF(S64:S87,"&gt;=0",S64:S87)</f>
        <v>147</v>
      </c>
      <c r="T88" s="237">
        <f t="shared" si="37"/>
        <v>0.85465116279069764</v>
      </c>
      <c r="U88" s="226">
        <f>IFERROR(('DATA B3'!E89+'DATA B3'!F89)/Q88*1000,0)</f>
        <v>4757.3255813953492</v>
      </c>
    </row>
    <row r="89" spans="2:21">
      <c r="B89" s="291">
        <f>SUM('DATA B1'!B90:B115)</f>
        <v>46026</v>
      </c>
      <c r="C89" s="97">
        <v>0.29166666666666669</v>
      </c>
      <c r="D89" s="84">
        <f>'DATA B1'!D90</f>
        <v>222134</v>
      </c>
      <c r="E89" s="5">
        <f>SUM(E87)</f>
        <v>0</v>
      </c>
      <c r="F89" s="80">
        <f>'DATA B1'!E90</f>
        <v>524526</v>
      </c>
      <c r="G89" s="80">
        <f>SUM(G87)</f>
        <v>0</v>
      </c>
      <c r="H89" s="28">
        <f xml:space="preserve"> IFERROR(G89/E89,0)</f>
        <v>0</v>
      </c>
      <c r="I89" s="45"/>
      <c r="J89" s="50">
        <f>'DATA B2'!D90</f>
        <v>511965</v>
      </c>
      <c r="K89" s="82">
        <f>SUM(K87)</f>
        <v>11</v>
      </c>
      <c r="L89" s="80">
        <f>'DATA B2'!E90</f>
        <v>567777</v>
      </c>
      <c r="M89" s="80">
        <f>SUM(M87)</f>
        <v>14</v>
      </c>
      <c r="N89" s="28">
        <f>IFERROR(M89/K89,0)</f>
        <v>1.2727272727272727</v>
      </c>
      <c r="O89" s="103"/>
      <c r="P89" s="94">
        <f>'DATA B3'!C90</f>
        <v>220954</v>
      </c>
      <c r="Q89" s="91">
        <f>SUM(Q87)</f>
        <v>7</v>
      </c>
      <c r="R89" s="80">
        <f>'DATA B3'!D90</f>
        <v>165592</v>
      </c>
      <c r="S89" s="80">
        <f>SUM(S87)</f>
        <v>6</v>
      </c>
      <c r="T89" s="15">
        <f>IFERROR(S89/Q89,0)</f>
        <v>0.8571428571428571</v>
      </c>
      <c r="U89" s="15"/>
    </row>
    <row r="90" spans="2:21">
      <c r="B90" s="292"/>
      <c r="C90" s="97">
        <v>0.33333333333333298</v>
      </c>
      <c r="D90" s="84">
        <f>'DATA B1'!D91</f>
        <v>222134</v>
      </c>
      <c r="E90" s="5">
        <f t="shared" ref="E90:E96" si="39">SUM(D90-D89)</f>
        <v>0</v>
      </c>
      <c r="F90" s="80">
        <f>'DATA B1'!E91</f>
        <v>524526</v>
      </c>
      <c r="G90" s="80">
        <f>SUM(F90-F89)</f>
        <v>0</v>
      </c>
      <c r="H90" s="28">
        <f t="shared" si="38"/>
        <v>0</v>
      </c>
      <c r="I90" s="45">
        <f>IFERROR((('DATA B1'!G91-'DATA B1'!G90)/('WATER_STEAM RATIO'!D90-'WATER_STEAM RATIO'!D89))*1000,0)</f>
        <v>0</v>
      </c>
      <c r="J90" s="50">
        <f>'DATA B2'!D91</f>
        <v>511978</v>
      </c>
      <c r="K90" s="82">
        <f>SUM(J90-J89)</f>
        <v>13</v>
      </c>
      <c r="L90" s="80">
        <f>'DATA B2'!E91</f>
        <v>567798</v>
      </c>
      <c r="M90" s="80">
        <f>SUM(L90-L89)</f>
        <v>21</v>
      </c>
      <c r="N90" s="28">
        <f t="shared" ref="N90:N113" si="40">IFERROR(M90/K90,0)</f>
        <v>1.6153846153846154</v>
      </c>
      <c r="O90" s="51">
        <f>IFERROR((('DATA B2'!F91-'DATA B2'!F90)/(K90))*1000,0)</f>
        <v>7.6923076923068445E-3</v>
      </c>
      <c r="P90" s="94">
        <f>'DATA B3'!C91</f>
        <v>220963</v>
      </c>
      <c r="Q90" s="91">
        <f>SUM(P90-P89)</f>
        <v>9</v>
      </c>
      <c r="R90" s="80">
        <f>'DATA B3'!D91</f>
        <v>165599</v>
      </c>
      <c r="S90" s="80">
        <f>SUM(R90-R89)</f>
        <v>7</v>
      </c>
      <c r="T90" s="15">
        <f t="shared" ref="T90:T114" si="41">IFERROR(S90/Q90,0)</f>
        <v>0.77777777777777779</v>
      </c>
      <c r="U90" s="15">
        <f>IFERROR((('DATA B3'!E91-'DATA B3'!E90)+('DATA B3'!F91-'DATA B3'!F90))/('WATER_STEAM RATIO'!P90-'WATER_STEAM RATIO'!P89),0)</f>
        <v>4.598888888888875</v>
      </c>
    </row>
    <row r="91" spans="2:21">
      <c r="B91" s="292"/>
      <c r="C91" s="97">
        <v>0.375</v>
      </c>
      <c r="D91" s="84">
        <f>'DATA B1'!D92</f>
        <v>222134</v>
      </c>
      <c r="E91" s="5">
        <f t="shared" si="39"/>
        <v>0</v>
      </c>
      <c r="F91" s="80">
        <f>'DATA B1'!E92</f>
        <v>524526</v>
      </c>
      <c r="G91" s="80">
        <f t="shared" ref="G91:G113" si="42">SUM(F91-F90)</f>
        <v>0</v>
      </c>
      <c r="H91" s="28">
        <f t="shared" si="38"/>
        <v>0</v>
      </c>
      <c r="I91" s="45">
        <f>IFERROR((('DATA B1'!G92-'DATA B1'!G91)/('WATER_STEAM RATIO'!D91-'WATER_STEAM RATIO'!D90))*1000,0)</f>
        <v>0</v>
      </c>
      <c r="J91" s="50">
        <f>'DATA B2'!D92</f>
        <v>511988</v>
      </c>
      <c r="K91" s="82">
        <f t="shared" ref="K91:K112" si="43">SUM(J91-J90)</f>
        <v>10</v>
      </c>
      <c r="L91" s="80">
        <f>'DATA B2'!E92</f>
        <v>567812</v>
      </c>
      <c r="M91" s="80">
        <f t="shared" ref="M91:M113" si="44">SUM(L91-L90)</f>
        <v>14</v>
      </c>
      <c r="N91" s="28">
        <f t="shared" si="40"/>
        <v>1.4</v>
      </c>
      <c r="O91" s="51">
        <f>IFERROR((('DATA B2'!F92-'DATA B2'!F91)/(K91))*1000,0)</f>
        <v>0</v>
      </c>
      <c r="P91" s="94">
        <f>'DATA B3'!C92</f>
        <v>220969</v>
      </c>
      <c r="Q91" s="91">
        <f t="shared" ref="Q91:Q113" si="45">SUM(P91-P90)</f>
        <v>6</v>
      </c>
      <c r="R91" s="80">
        <f>'DATA B3'!D92</f>
        <v>165604</v>
      </c>
      <c r="S91" s="80">
        <f t="shared" ref="S91:S113" si="46">SUM(R91-R90)</f>
        <v>5</v>
      </c>
      <c r="T91" s="15">
        <f t="shared" si="41"/>
        <v>0.83333333333333337</v>
      </c>
      <c r="U91" s="15">
        <f>IFERROR((('DATA B3'!E92-'DATA B3'!E91)+('DATA B3'!F92-'DATA B3'!F91))/('WATER_STEAM RATIO'!P91-'WATER_STEAM RATIO'!P90),0)</f>
        <v>4.9866666666666788</v>
      </c>
    </row>
    <row r="92" spans="2:21">
      <c r="B92" s="292"/>
      <c r="C92" s="97">
        <v>0.41666666666666702</v>
      </c>
      <c r="D92" s="84">
        <f>'DATA B1'!D93</f>
        <v>222134</v>
      </c>
      <c r="E92" s="5">
        <f t="shared" si="39"/>
        <v>0</v>
      </c>
      <c r="F92" s="80">
        <f>'DATA B1'!E93</f>
        <v>524526</v>
      </c>
      <c r="G92" s="80">
        <f t="shared" si="42"/>
        <v>0</v>
      </c>
      <c r="H92" s="28">
        <f t="shared" si="38"/>
        <v>0</v>
      </c>
      <c r="I92" s="45">
        <f>IFERROR((('DATA B1'!G93-'DATA B1'!G92)/('WATER_STEAM RATIO'!D92-'WATER_STEAM RATIO'!D91))*1000,0)</f>
        <v>0</v>
      </c>
      <c r="J92" s="50">
        <f>'DATA B2'!D93</f>
        <v>511998</v>
      </c>
      <c r="K92" s="82">
        <f t="shared" si="43"/>
        <v>10</v>
      </c>
      <c r="L92" s="80">
        <f>'DATA B2'!E93</f>
        <v>567826</v>
      </c>
      <c r="M92" s="80">
        <f t="shared" si="44"/>
        <v>14</v>
      </c>
      <c r="N92" s="28">
        <f t="shared" si="40"/>
        <v>1.4</v>
      </c>
      <c r="O92" s="51">
        <f>IFERROR((('DATA B2'!F93-'DATA B2'!F92)/(K92))*1000,0)</f>
        <v>9.9999999999988987E-3</v>
      </c>
      <c r="P92" s="94">
        <f>'DATA B3'!C93</f>
        <v>220975</v>
      </c>
      <c r="Q92" s="91">
        <f t="shared" si="45"/>
        <v>6</v>
      </c>
      <c r="R92" s="80">
        <f>'DATA B3'!D93</f>
        <v>165609</v>
      </c>
      <c r="S92" s="80">
        <f t="shared" si="46"/>
        <v>5</v>
      </c>
      <c r="T92" s="15">
        <f t="shared" si="41"/>
        <v>0.83333333333333337</v>
      </c>
      <c r="U92" s="15">
        <f>IFERROR((('DATA B3'!E93-'DATA B3'!E92)+('DATA B3'!F93-'DATA B3'!F92))/('WATER_STEAM RATIO'!P92-'WATER_STEAM RATIO'!P91),0)</f>
        <v>4.9866666666666788</v>
      </c>
    </row>
    <row r="93" spans="2:21">
      <c r="B93" s="292"/>
      <c r="C93" s="97">
        <v>0.45833333333333298</v>
      </c>
      <c r="D93" s="84">
        <f>'DATA B1'!D94</f>
        <v>222134</v>
      </c>
      <c r="E93" s="5">
        <f t="shared" si="39"/>
        <v>0</v>
      </c>
      <c r="F93" s="80">
        <f>'DATA B1'!E94</f>
        <v>524526</v>
      </c>
      <c r="G93" s="80">
        <f t="shared" si="42"/>
        <v>0</v>
      </c>
      <c r="H93" s="28">
        <f t="shared" si="38"/>
        <v>0</v>
      </c>
      <c r="I93" s="45">
        <f>IFERROR((('DATA B1'!G94-'DATA B1'!G93)/('WATER_STEAM RATIO'!D93-'WATER_STEAM RATIO'!D92))*1000,0)</f>
        <v>0</v>
      </c>
      <c r="J93" s="50">
        <f>'DATA B2'!D94</f>
        <v>512008</v>
      </c>
      <c r="K93" s="82">
        <f t="shared" si="43"/>
        <v>10</v>
      </c>
      <c r="L93" s="80">
        <f>'DATA B2'!E94</f>
        <v>567840</v>
      </c>
      <c r="M93" s="80">
        <f t="shared" si="44"/>
        <v>14</v>
      </c>
      <c r="N93" s="28">
        <f t="shared" si="40"/>
        <v>1.4</v>
      </c>
      <c r="O93" s="51">
        <f>IFERROR((('DATA B2'!F94-'DATA B2'!F93)/(K93))*1000,0)</f>
        <v>0</v>
      </c>
      <c r="P93" s="94">
        <f>'DATA B3'!C94</f>
        <v>220981</v>
      </c>
      <c r="Q93" s="91">
        <f t="shared" si="45"/>
        <v>6</v>
      </c>
      <c r="R93" s="80">
        <f>'DATA B3'!D94</f>
        <v>165614</v>
      </c>
      <c r="S93" s="80">
        <f t="shared" si="46"/>
        <v>5</v>
      </c>
      <c r="T93" s="15">
        <f t="shared" si="41"/>
        <v>0.83333333333333337</v>
      </c>
      <c r="U93" s="15">
        <f>IFERROR((('DATA B3'!E94-'DATA B3'!E93)+('DATA B3'!F94-'DATA B3'!F93))/('WATER_STEAM RATIO'!P93-'WATER_STEAM RATIO'!P92),0)</f>
        <v>4.9849999999999755</v>
      </c>
    </row>
    <row r="94" spans="2:21">
      <c r="B94" s="292"/>
      <c r="C94" s="97">
        <v>0.5</v>
      </c>
      <c r="D94" s="84">
        <f>'DATA B1'!D95</f>
        <v>222134</v>
      </c>
      <c r="E94" s="5">
        <f t="shared" si="39"/>
        <v>0</v>
      </c>
      <c r="F94" s="80">
        <f>'DATA B1'!E95</f>
        <v>524526</v>
      </c>
      <c r="G94" s="80">
        <f t="shared" si="42"/>
        <v>0</v>
      </c>
      <c r="H94" s="28">
        <f t="shared" si="38"/>
        <v>0</v>
      </c>
      <c r="I94" s="45">
        <f>IFERROR((('DATA B1'!G95-'DATA B1'!G94)/('WATER_STEAM RATIO'!D94-'WATER_STEAM RATIO'!D93))*1000,0)</f>
        <v>0</v>
      </c>
      <c r="J94" s="50">
        <f>'DATA B2'!D95</f>
        <v>512020</v>
      </c>
      <c r="K94" s="82">
        <f t="shared" si="43"/>
        <v>12</v>
      </c>
      <c r="L94" s="80">
        <f>'DATA B2'!E95</f>
        <v>567857</v>
      </c>
      <c r="M94" s="80">
        <f t="shared" si="44"/>
        <v>17</v>
      </c>
      <c r="N94" s="28">
        <f t="shared" si="40"/>
        <v>1.4166666666666667</v>
      </c>
      <c r="O94" s="51">
        <f>IFERROR((('DATA B2'!F95-'DATA B2'!F94)/(K94))*1000,0)</f>
        <v>8.3333333333509198E-3</v>
      </c>
      <c r="P94" s="94">
        <f>'DATA B3'!C95</f>
        <v>220987</v>
      </c>
      <c r="Q94" s="91">
        <f t="shared" si="45"/>
        <v>6</v>
      </c>
      <c r="R94" s="80">
        <f>'DATA B3'!D95</f>
        <v>165619</v>
      </c>
      <c r="S94" s="80">
        <f t="shared" si="46"/>
        <v>5</v>
      </c>
      <c r="T94" s="15">
        <f t="shared" si="41"/>
        <v>0.83333333333333337</v>
      </c>
      <c r="U94" s="15">
        <f>IFERROR((('DATA B3'!E95-'DATA B3'!E94)+('DATA B3'!F95-'DATA B3'!F94))/('WATER_STEAM RATIO'!P94-'WATER_STEAM RATIO'!P93),0)</f>
        <v>4.9850000000000136</v>
      </c>
    </row>
    <row r="95" spans="2:21">
      <c r="B95" s="292"/>
      <c r="C95" s="97">
        <v>0.54166666666666696</v>
      </c>
      <c r="D95" s="84">
        <f>'DATA B1'!D96</f>
        <v>222134</v>
      </c>
      <c r="E95" s="5">
        <f t="shared" si="39"/>
        <v>0</v>
      </c>
      <c r="F95" s="80">
        <f>'DATA B1'!E96</f>
        <v>524526</v>
      </c>
      <c r="G95" s="80">
        <f t="shared" si="42"/>
        <v>0</v>
      </c>
      <c r="H95" s="28">
        <f t="shared" si="38"/>
        <v>0</v>
      </c>
      <c r="I95" s="45">
        <f>IFERROR((('DATA B1'!G96-'DATA B1'!G95)/('WATER_STEAM RATIO'!D95-'WATER_STEAM RATIO'!D94))*1000,0)</f>
        <v>0</v>
      </c>
      <c r="J95" s="50">
        <f>'DATA B2'!D96</f>
        <v>512033</v>
      </c>
      <c r="K95" s="82">
        <f t="shared" si="43"/>
        <v>13</v>
      </c>
      <c r="L95" s="80">
        <f>'DATA B2'!E96</f>
        <v>567874</v>
      </c>
      <c r="M95" s="80">
        <f t="shared" si="44"/>
        <v>17</v>
      </c>
      <c r="N95" s="28">
        <f t="shared" si="40"/>
        <v>1.3076923076923077</v>
      </c>
      <c r="O95" s="51">
        <f>IFERROR((('DATA B2'!F96-'DATA B2'!F95)/(K95))*1000,0)</f>
        <v>0</v>
      </c>
      <c r="P95" s="94">
        <f>'DATA B3'!C96</f>
        <v>220994</v>
      </c>
      <c r="Q95" s="91">
        <f t="shared" si="45"/>
        <v>7</v>
      </c>
      <c r="R95" s="80">
        <f>'DATA B3'!D96</f>
        <v>165624</v>
      </c>
      <c r="S95" s="80">
        <f t="shared" si="46"/>
        <v>5</v>
      </c>
      <c r="T95" s="15">
        <f t="shared" si="41"/>
        <v>0.7142857142857143</v>
      </c>
      <c r="U95" s="15">
        <f>IFERROR((('DATA B3'!E96-'DATA B3'!E95)+('DATA B3'!F96-'DATA B3'!F95))/('WATER_STEAM RATIO'!P95-'WATER_STEAM RATIO'!P94),0)</f>
        <v>4.2728571428571547</v>
      </c>
    </row>
    <row r="96" spans="2:21">
      <c r="B96" s="292"/>
      <c r="C96" s="97">
        <v>0.58333333333333304</v>
      </c>
      <c r="D96" s="84">
        <f>'DATA B1'!D97</f>
        <v>222134</v>
      </c>
      <c r="E96" s="5">
        <f t="shared" si="39"/>
        <v>0</v>
      </c>
      <c r="F96" s="80">
        <f>'DATA B1'!E97</f>
        <v>524526</v>
      </c>
      <c r="G96" s="80">
        <f t="shared" si="42"/>
        <v>0</v>
      </c>
      <c r="H96" s="28">
        <f t="shared" si="38"/>
        <v>0</v>
      </c>
      <c r="I96" s="45">
        <f>IFERROR((('DATA B1'!G97-'DATA B1'!G96)/('WATER_STEAM RATIO'!D96-'WATER_STEAM RATIO'!D95))*1000,0)</f>
        <v>0</v>
      </c>
      <c r="J96" s="50">
        <f>'DATA B2'!D97</f>
        <v>512046</v>
      </c>
      <c r="K96" s="82">
        <f t="shared" si="43"/>
        <v>13</v>
      </c>
      <c r="L96" s="80">
        <f>'DATA B2'!E97</f>
        <v>567891</v>
      </c>
      <c r="M96" s="80">
        <f t="shared" si="44"/>
        <v>17</v>
      </c>
      <c r="N96" s="28">
        <f t="shared" si="40"/>
        <v>1.3076923076923077</v>
      </c>
      <c r="O96" s="51">
        <f>IFERROR((('DATA B2'!F97-'DATA B2'!F96)/(K96))*1000,0)</f>
        <v>7.6923076923068445E-3</v>
      </c>
      <c r="P96" s="94">
        <f>'DATA B3'!C97</f>
        <v>221000</v>
      </c>
      <c r="Q96" s="91">
        <f t="shared" si="45"/>
        <v>6</v>
      </c>
      <c r="R96" s="80">
        <f>'DATA B3'!D97</f>
        <v>165629</v>
      </c>
      <c r="S96" s="80">
        <f t="shared" si="46"/>
        <v>5</v>
      </c>
      <c r="T96" s="15">
        <f t="shared" si="41"/>
        <v>0.83333333333333337</v>
      </c>
      <c r="U96" s="15">
        <f>IFERROR((('DATA B3'!E97-'DATA B3'!E96)+('DATA B3'!F97-'DATA B3'!F96))/('WATER_STEAM RATIO'!P96-'WATER_STEAM RATIO'!P95),0)</f>
        <v>4.9849999999999755</v>
      </c>
    </row>
    <row r="97" spans="2:21">
      <c r="B97" s="292"/>
      <c r="C97" s="97">
        <v>0.625</v>
      </c>
      <c r="D97" s="84">
        <f>'DATA B1'!D98</f>
        <v>222134</v>
      </c>
      <c r="E97" s="5">
        <f t="shared" ref="E97:E113" si="47">SUM(D97-D96)</f>
        <v>0</v>
      </c>
      <c r="F97" s="80">
        <f>'DATA B1'!E98</f>
        <v>524526</v>
      </c>
      <c r="G97" s="80">
        <f t="shared" si="42"/>
        <v>0</v>
      </c>
      <c r="H97" s="28">
        <f t="shared" si="38"/>
        <v>0</v>
      </c>
      <c r="I97" s="45">
        <f>IFERROR((('DATA B1'!G98-'DATA B1'!G97)/('WATER_STEAM RATIO'!D97-'WATER_STEAM RATIO'!D96))*1000,0)</f>
        <v>0</v>
      </c>
      <c r="J97" s="50">
        <f>'DATA B2'!D98</f>
        <v>512058</v>
      </c>
      <c r="K97" s="82">
        <f t="shared" si="43"/>
        <v>12</v>
      </c>
      <c r="L97" s="80">
        <f>'DATA B2'!E98</f>
        <v>567911</v>
      </c>
      <c r="M97" s="80">
        <f t="shared" si="44"/>
        <v>20</v>
      </c>
      <c r="N97" s="28">
        <f t="shared" si="40"/>
        <v>1.6666666666666667</v>
      </c>
      <c r="O97" s="51">
        <f>IFERROR((('DATA B2'!F98-'DATA B2'!F97)/(K97))*1000,0)</f>
        <v>0</v>
      </c>
      <c r="P97" s="94">
        <f>'DATA B3'!C98</f>
        <v>221007</v>
      </c>
      <c r="Q97" s="91">
        <f t="shared" si="45"/>
        <v>7</v>
      </c>
      <c r="R97" s="80">
        <f>'DATA B3'!D98</f>
        <v>165636</v>
      </c>
      <c r="S97" s="80">
        <f t="shared" si="46"/>
        <v>7</v>
      </c>
      <c r="T97" s="15">
        <f t="shared" si="41"/>
        <v>1</v>
      </c>
      <c r="U97" s="15">
        <f>IFERROR((('DATA B3'!E98-'DATA B3'!E97)+('DATA B3'!F98-'DATA B3'!F97))/('WATER_STEAM RATIO'!P97-'WATER_STEAM RATIO'!P96),0)</f>
        <v>5.6799999999999988</v>
      </c>
    </row>
    <row r="98" spans="2:21">
      <c r="B98" s="292"/>
      <c r="C98" s="97">
        <v>0.66666666666666596</v>
      </c>
      <c r="D98" s="84">
        <f>'DATA B1'!D99</f>
        <v>222134</v>
      </c>
      <c r="E98" s="5">
        <f t="shared" si="47"/>
        <v>0</v>
      </c>
      <c r="F98" s="80">
        <f>'DATA B1'!E99</f>
        <v>524526</v>
      </c>
      <c r="G98" s="80">
        <f t="shared" si="42"/>
        <v>0</v>
      </c>
      <c r="H98" s="28">
        <f t="shared" si="38"/>
        <v>0</v>
      </c>
      <c r="I98" s="45">
        <f>IFERROR((('DATA B1'!G99-'DATA B1'!G98)/('WATER_STEAM RATIO'!D98-'WATER_STEAM RATIO'!D97))*1000,0)</f>
        <v>0</v>
      </c>
      <c r="J98" s="50">
        <f>'DATA B2'!D99</f>
        <v>512067</v>
      </c>
      <c r="K98" s="82">
        <f>SUM(J98-J97)</f>
        <v>9</v>
      </c>
      <c r="L98" s="80">
        <f>'DATA B2'!E99</f>
        <v>567926</v>
      </c>
      <c r="M98" s="80">
        <f t="shared" si="44"/>
        <v>15</v>
      </c>
      <c r="N98" s="28">
        <f t="shared" si="40"/>
        <v>1.6666666666666667</v>
      </c>
      <c r="O98" s="51">
        <f>IFERROR((('DATA B2'!F99-'DATA B2'!F98)/(K98))*1000,0)</f>
        <v>1.1111111111109887E-2</v>
      </c>
      <c r="P98" s="94">
        <f>'DATA B3'!C99</f>
        <v>221013</v>
      </c>
      <c r="Q98" s="91">
        <f t="shared" si="45"/>
        <v>6</v>
      </c>
      <c r="R98" s="80">
        <f>'DATA B3'!D99</f>
        <v>165642</v>
      </c>
      <c r="S98" s="80">
        <f t="shared" si="46"/>
        <v>6</v>
      </c>
      <c r="T98" s="15">
        <f t="shared" si="41"/>
        <v>1</v>
      </c>
      <c r="U98" s="15">
        <f>IFERROR((('DATA B3'!E99-'DATA B3'!E98)+('DATA B3'!F99-'DATA B3'!F98))/('WATER_STEAM RATIO'!P98-'WATER_STEAM RATIO'!P97),0)</f>
        <v>6.6266666666666652</v>
      </c>
    </row>
    <row r="99" spans="2:21">
      <c r="B99" s="292"/>
      <c r="C99" s="97">
        <v>0.70833333333333304</v>
      </c>
      <c r="D99" s="84">
        <f>'DATA B1'!D100</f>
        <v>222134</v>
      </c>
      <c r="E99" s="5">
        <f t="shared" si="47"/>
        <v>0</v>
      </c>
      <c r="F99" s="80">
        <f>'DATA B1'!E100</f>
        <v>524526</v>
      </c>
      <c r="G99" s="80">
        <f t="shared" si="42"/>
        <v>0</v>
      </c>
      <c r="H99" s="28">
        <f t="shared" si="38"/>
        <v>0</v>
      </c>
      <c r="I99" s="45">
        <f>IFERROR((('DATA B1'!G100-'DATA B1'!G99)/('WATER_STEAM RATIO'!D99-'WATER_STEAM RATIO'!D98))*1000,0)</f>
        <v>0</v>
      </c>
      <c r="J99" s="50">
        <f>'DATA B2'!D100</f>
        <v>512075</v>
      </c>
      <c r="K99" s="82">
        <f t="shared" si="43"/>
        <v>8</v>
      </c>
      <c r="L99" s="80">
        <f>'DATA B2'!E100</f>
        <v>567941</v>
      </c>
      <c r="M99" s="80">
        <f t="shared" si="44"/>
        <v>15</v>
      </c>
      <c r="N99" s="28">
        <f t="shared" si="40"/>
        <v>1.875</v>
      </c>
      <c r="O99" s="51">
        <f>IFERROR((('DATA B2'!F100-'DATA B2'!F99)/(K99))*1000,0)</f>
        <v>0</v>
      </c>
      <c r="P99" s="94">
        <f>'DATA B3'!C100</f>
        <v>221018</v>
      </c>
      <c r="Q99" s="91">
        <f t="shared" si="45"/>
        <v>5</v>
      </c>
      <c r="R99" s="80">
        <f>'DATA B3'!D100</f>
        <v>165647</v>
      </c>
      <c r="S99" s="80">
        <f t="shared" si="46"/>
        <v>5</v>
      </c>
      <c r="T99" s="15">
        <f t="shared" si="41"/>
        <v>1</v>
      </c>
      <c r="U99" s="15">
        <f>IFERROR((('DATA B3'!E100-'DATA B3'!E99)+('DATA B3'!F100-'DATA B3'!F99))/('WATER_STEAM RATIO'!P99-'WATER_STEAM RATIO'!P98),0)</f>
        <v>7.9519999999999982</v>
      </c>
    </row>
    <row r="100" spans="2:21">
      <c r="B100" s="292"/>
      <c r="C100" s="97">
        <v>0.75</v>
      </c>
      <c r="D100" s="84">
        <f>'DATA B1'!D101</f>
        <v>222134</v>
      </c>
      <c r="E100" s="5">
        <f t="shared" si="47"/>
        <v>0</v>
      </c>
      <c r="F100" s="80">
        <f>'DATA B1'!E101</f>
        <v>524526</v>
      </c>
      <c r="G100" s="80">
        <f t="shared" si="42"/>
        <v>0</v>
      </c>
      <c r="H100" s="28">
        <f t="shared" si="38"/>
        <v>0</v>
      </c>
      <c r="I100" s="45">
        <f>IFERROR((('DATA B1'!G101-'DATA B1'!G100)/('WATER_STEAM RATIO'!D100-'WATER_STEAM RATIO'!D99))*1000,0)</f>
        <v>0</v>
      </c>
      <c r="J100" s="50">
        <f>'DATA B2'!D101</f>
        <v>512082</v>
      </c>
      <c r="K100" s="82">
        <f t="shared" si="43"/>
        <v>7</v>
      </c>
      <c r="L100" s="80">
        <f>'DATA B2'!E101</f>
        <v>567956</v>
      </c>
      <c r="M100" s="80">
        <f t="shared" si="44"/>
        <v>15</v>
      </c>
      <c r="N100" s="28">
        <f t="shared" si="40"/>
        <v>2.1428571428571428</v>
      </c>
      <c r="O100" s="51">
        <f>IFERROR((('DATA B2'!F101-'DATA B2'!F100)/(K100))*1000,0)</f>
        <v>1.4285714285712712E-2</v>
      </c>
      <c r="P100" s="94">
        <f>'DATA B3'!C101</f>
        <v>221024</v>
      </c>
      <c r="Q100" s="91">
        <f t="shared" si="45"/>
        <v>6</v>
      </c>
      <c r="R100" s="80">
        <f>'DATA B3'!D101</f>
        <v>165652</v>
      </c>
      <c r="S100" s="80">
        <f t="shared" si="46"/>
        <v>5</v>
      </c>
      <c r="T100" s="15">
        <f t="shared" si="41"/>
        <v>0.83333333333333337</v>
      </c>
      <c r="U100" s="15">
        <f>IFERROR((('DATA B3'!E101-'DATA B3'!E100)+('DATA B3'!F101-'DATA B3'!F100))/('WATER_STEAM RATIO'!P100-'WATER_STEAM RATIO'!P99),0)</f>
        <v>6.6266666666666652</v>
      </c>
    </row>
    <row r="101" spans="2:21">
      <c r="B101" s="292"/>
      <c r="C101" s="97">
        <v>0.79166666666666596</v>
      </c>
      <c r="D101" s="84">
        <f>'DATA B1'!D102</f>
        <v>222134</v>
      </c>
      <c r="E101" s="5">
        <f t="shared" si="47"/>
        <v>0</v>
      </c>
      <c r="F101" s="80">
        <f>'DATA B1'!E102</f>
        <v>524526</v>
      </c>
      <c r="G101" s="80">
        <f t="shared" si="42"/>
        <v>0</v>
      </c>
      <c r="H101" s="28">
        <f t="shared" si="38"/>
        <v>0</v>
      </c>
      <c r="I101" s="45">
        <f>IFERROR((('DATA B1'!G102-'DATA B1'!G101)/('WATER_STEAM RATIO'!D101-'WATER_STEAM RATIO'!D100))*1000,0)</f>
        <v>0</v>
      </c>
      <c r="J101" s="50">
        <f>'DATA B2'!D102</f>
        <v>512092</v>
      </c>
      <c r="K101" s="82">
        <f t="shared" si="43"/>
        <v>10</v>
      </c>
      <c r="L101" s="80">
        <f>'DATA B2'!E102</f>
        <v>567972</v>
      </c>
      <c r="M101" s="80">
        <f t="shared" si="44"/>
        <v>16</v>
      </c>
      <c r="N101" s="28">
        <f t="shared" si="40"/>
        <v>1.6</v>
      </c>
      <c r="O101" s="51">
        <f>IFERROR((('DATA B2'!F102-'DATA B2'!F101)/(K101))*1000,0)</f>
        <v>0</v>
      </c>
      <c r="P101" s="94">
        <f>'DATA B3'!C102</f>
        <v>221029</v>
      </c>
      <c r="Q101" s="91">
        <f t="shared" si="45"/>
        <v>5</v>
      </c>
      <c r="R101" s="80">
        <f>'DATA B3'!D102</f>
        <v>165657</v>
      </c>
      <c r="S101" s="80">
        <f t="shared" si="46"/>
        <v>5</v>
      </c>
      <c r="T101" s="15">
        <f t="shared" si="41"/>
        <v>1</v>
      </c>
      <c r="U101" s="15">
        <f>IFERROR((('DATA B3'!E102-'DATA B3'!E101)+('DATA B3'!F102-'DATA B3'!F101))/('WATER_STEAM RATIO'!P101-'WATER_STEAM RATIO'!P100),0)</f>
        <v>0.75199999999999823</v>
      </c>
    </row>
    <row r="102" spans="2:21">
      <c r="B102" s="292"/>
      <c r="C102" s="97">
        <v>0.83333333333333304</v>
      </c>
      <c r="D102" s="84">
        <f>'DATA B1'!D103</f>
        <v>222134</v>
      </c>
      <c r="E102" s="5">
        <f t="shared" si="47"/>
        <v>0</v>
      </c>
      <c r="F102" s="80">
        <f>'DATA B1'!E103</f>
        <v>524526</v>
      </c>
      <c r="G102" s="80">
        <f t="shared" si="42"/>
        <v>0</v>
      </c>
      <c r="H102" s="28">
        <f t="shared" si="38"/>
        <v>0</v>
      </c>
      <c r="I102" s="45">
        <f>IFERROR((('DATA B1'!G103-'DATA B1'!G102)/('WATER_STEAM RATIO'!D102-'WATER_STEAM RATIO'!D101))*1000,0)</f>
        <v>0</v>
      </c>
      <c r="J102" s="50">
        <f>'DATA B2'!D103</f>
        <v>512107</v>
      </c>
      <c r="K102" s="82">
        <f t="shared" si="43"/>
        <v>15</v>
      </c>
      <c r="L102" s="80">
        <f>'DATA B2'!E103</f>
        <v>567994</v>
      </c>
      <c r="M102" s="80">
        <f t="shared" si="44"/>
        <v>22</v>
      </c>
      <c r="N102" s="28">
        <f t="shared" si="40"/>
        <v>1.4666666666666666</v>
      </c>
      <c r="O102" s="51">
        <f>IFERROR((('DATA B2'!F103-'DATA B2'!F102)/(K102))*1000,0)</f>
        <v>0</v>
      </c>
      <c r="P102" s="94">
        <f>'DATA B3'!C103</f>
        <v>221038</v>
      </c>
      <c r="Q102" s="91">
        <f t="shared" si="45"/>
        <v>9</v>
      </c>
      <c r="R102" s="80">
        <f>'DATA B3'!D103</f>
        <v>165664</v>
      </c>
      <c r="S102" s="80">
        <f t="shared" si="46"/>
        <v>7</v>
      </c>
      <c r="T102" s="15">
        <f t="shared" si="41"/>
        <v>0.77777777777777779</v>
      </c>
      <c r="U102" s="15">
        <f>IFERROR((('DATA B3'!E103-'DATA B3'!E102)+('DATA B3'!F103-'DATA B3'!F102))/('WATER_STEAM RATIO'!P102-'WATER_STEAM RATIO'!P101),0)</f>
        <v>5.0711111111111222</v>
      </c>
    </row>
    <row r="103" spans="2:21">
      <c r="B103" s="292"/>
      <c r="C103" s="97">
        <v>0.875</v>
      </c>
      <c r="D103" s="84">
        <f>'DATA B1'!D104</f>
        <v>222134</v>
      </c>
      <c r="E103" s="5">
        <f t="shared" si="47"/>
        <v>0</v>
      </c>
      <c r="F103" s="80">
        <f>'DATA B1'!E104</f>
        <v>524526</v>
      </c>
      <c r="G103" s="80">
        <f t="shared" si="42"/>
        <v>0</v>
      </c>
      <c r="H103" s="28">
        <f t="shared" si="38"/>
        <v>0</v>
      </c>
      <c r="I103" s="45">
        <f>IFERROR((('DATA B1'!G104-'DATA B1'!G103)/('WATER_STEAM RATIO'!D103-'WATER_STEAM RATIO'!D102))*1000,0)</f>
        <v>0</v>
      </c>
      <c r="J103" s="50">
        <f>'DATA B2'!D104</f>
        <v>512117</v>
      </c>
      <c r="K103" s="82">
        <f t="shared" si="43"/>
        <v>10</v>
      </c>
      <c r="L103" s="80">
        <f>'DATA B2'!E104</f>
        <v>568007</v>
      </c>
      <c r="M103" s="80">
        <f t="shared" si="44"/>
        <v>13</v>
      </c>
      <c r="N103" s="28">
        <f>IFERROR(M103/K103,0)</f>
        <v>1.3</v>
      </c>
      <c r="O103" s="51">
        <f>IFERROR((('DATA B2'!F104-'DATA B2'!F103)/(K103))*1000,0)</f>
        <v>0</v>
      </c>
      <c r="P103" s="94">
        <f>'DATA B3'!C104</f>
        <v>221044</v>
      </c>
      <c r="Q103" s="91">
        <f t="shared" si="45"/>
        <v>6</v>
      </c>
      <c r="R103" s="80">
        <f>'DATA B3'!D104</f>
        <v>165668</v>
      </c>
      <c r="S103" s="80">
        <f t="shared" si="46"/>
        <v>4</v>
      </c>
      <c r="T103" s="15">
        <f t="shared" si="41"/>
        <v>0.66666666666666663</v>
      </c>
      <c r="U103" s="15">
        <f>IFERROR((('DATA B3'!E104-'DATA B3'!E103)+('DATA B3'!F104-'DATA B3'!F103))/('WATER_STEAM RATIO'!P103-'WATER_STEAM RATIO'!P102),0)</f>
        <v>10.691666666666643</v>
      </c>
    </row>
    <row r="104" spans="2:21">
      <c r="B104" s="292"/>
      <c r="C104" s="97">
        <v>0.91666666666666596</v>
      </c>
      <c r="D104" s="84">
        <f>'DATA B1'!D105</f>
        <v>222134</v>
      </c>
      <c r="E104" s="5">
        <f t="shared" si="47"/>
        <v>0</v>
      </c>
      <c r="F104" s="80">
        <f>'DATA B1'!E105</f>
        <v>524526</v>
      </c>
      <c r="G104" s="80">
        <f t="shared" si="42"/>
        <v>0</v>
      </c>
      <c r="H104" s="28">
        <f t="shared" si="38"/>
        <v>0</v>
      </c>
      <c r="I104" s="45">
        <f>IFERROR((('DATA B1'!G105-'DATA B1'!G104)/('WATER_STEAM RATIO'!D104-'WATER_STEAM RATIO'!D103))*1000,0)</f>
        <v>0</v>
      </c>
      <c r="J104" s="50">
        <f>'DATA B2'!D105</f>
        <v>512127</v>
      </c>
      <c r="K104" s="82">
        <f t="shared" si="43"/>
        <v>10</v>
      </c>
      <c r="L104" s="80">
        <f>'DATA B2'!E105</f>
        <v>568020</v>
      </c>
      <c r="M104" s="80">
        <f t="shared" si="44"/>
        <v>13</v>
      </c>
      <c r="N104" s="28">
        <f t="shared" si="40"/>
        <v>1.3</v>
      </c>
      <c r="O104" s="51">
        <f>IFERROR((('DATA B2'!F105-'DATA B2'!F104)/(K104))*1000,0)</f>
        <v>0</v>
      </c>
      <c r="P104" s="94">
        <f>'DATA B3'!C105</f>
        <v>221050</v>
      </c>
      <c r="Q104" s="91">
        <f t="shared" si="45"/>
        <v>6</v>
      </c>
      <c r="R104" s="80">
        <f>'DATA B3'!D105</f>
        <v>165673</v>
      </c>
      <c r="S104" s="80">
        <f t="shared" si="46"/>
        <v>5</v>
      </c>
      <c r="T104" s="15">
        <f t="shared" si="41"/>
        <v>0.83333333333333337</v>
      </c>
      <c r="U104" s="15">
        <f>IFERROR((('DATA B3'!E105-'DATA B3'!E104)+('DATA B3'!F105-'DATA B3'!F104))/('WATER_STEAM RATIO'!P104-'WATER_STEAM RATIO'!P103),0)</f>
        <v>1.216666666666659</v>
      </c>
    </row>
    <row r="105" spans="2:21">
      <c r="B105" s="292"/>
      <c r="C105" s="97">
        <v>0.95833333333333304</v>
      </c>
      <c r="D105" s="84">
        <f>'DATA B1'!D106</f>
        <v>222134</v>
      </c>
      <c r="E105" s="5">
        <f t="shared" si="47"/>
        <v>0</v>
      </c>
      <c r="F105" s="80">
        <f>'DATA B1'!E106</f>
        <v>524526</v>
      </c>
      <c r="G105" s="80">
        <f t="shared" si="42"/>
        <v>0</v>
      </c>
      <c r="H105" s="28">
        <f t="shared" si="38"/>
        <v>0</v>
      </c>
      <c r="I105" s="45">
        <f>IFERROR((('DATA B1'!G106-'DATA B1'!G105)/('WATER_STEAM RATIO'!D105-'WATER_STEAM RATIO'!D104))*1000,0)</f>
        <v>0</v>
      </c>
      <c r="J105" s="50">
        <f>'DATA B2'!D106</f>
        <v>512138</v>
      </c>
      <c r="K105" s="82">
        <f>SUM(J105-J104)</f>
        <v>11</v>
      </c>
      <c r="L105" s="80">
        <f>'DATA B2'!E106</f>
        <v>568033</v>
      </c>
      <c r="M105" s="80">
        <f t="shared" si="44"/>
        <v>13</v>
      </c>
      <c r="N105" s="28">
        <f t="shared" si="40"/>
        <v>1.1818181818181819</v>
      </c>
      <c r="O105" s="51">
        <f>IFERROR((('DATA B2'!F106-'DATA B2'!F105)/(K105))*1000,0)</f>
        <v>0</v>
      </c>
      <c r="P105" s="94">
        <f>'DATA B3'!C106</f>
        <v>221056</v>
      </c>
      <c r="Q105" s="91">
        <f t="shared" si="45"/>
        <v>6</v>
      </c>
      <c r="R105" s="80">
        <f>'DATA B3'!D106</f>
        <v>165678</v>
      </c>
      <c r="S105" s="80">
        <f t="shared" si="46"/>
        <v>5</v>
      </c>
      <c r="T105" s="15">
        <f t="shared" si="41"/>
        <v>0.83333333333333337</v>
      </c>
      <c r="U105" s="15">
        <f>IFERROR((('DATA B3'!E106-'DATA B3'!E105)+('DATA B3'!F106-'DATA B3'!F105))/('WATER_STEAM RATIO'!P105-'WATER_STEAM RATIO'!P104),0)</f>
        <v>1.2649999999999864</v>
      </c>
    </row>
    <row r="106" spans="2:21">
      <c r="B106" s="292"/>
      <c r="C106" s="97">
        <v>1</v>
      </c>
      <c r="D106" s="84">
        <f>'DATA B1'!D107</f>
        <v>222134</v>
      </c>
      <c r="E106" s="5">
        <f t="shared" si="47"/>
        <v>0</v>
      </c>
      <c r="F106" s="80">
        <f>'DATA B1'!E107</f>
        <v>524526</v>
      </c>
      <c r="G106" s="80">
        <f t="shared" si="42"/>
        <v>0</v>
      </c>
      <c r="H106" s="28">
        <f t="shared" si="38"/>
        <v>0</v>
      </c>
      <c r="I106" s="45">
        <f>IFERROR((('DATA B1'!G107-'DATA B1'!G106)/('WATER_STEAM RATIO'!D106-'WATER_STEAM RATIO'!D105))*1000,0)</f>
        <v>0</v>
      </c>
      <c r="J106" s="50">
        <f>'DATA B2'!D107</f>
        <v>512148</v>
      </c>
      <c r="K106" s="82">
        <f t="shared" si="43"/>
        <v>10</v>
      </c>
      <c r="L106" s="80">
        <f>'DATA B2'!E107</f>
        <v>568047</v>
      </c>
      <c r="M106" s="80">
        <f t="shared" si="44"/>
        <v>14</v>
      </c>
      <c r="N106" s="28">
        <f t="shared" si="40"/>
        <v>1.4</v>
      </c>
      <c r="O106" s="51">
        <f>IFERROR((('DATA B2'!F107-'DATA B2'!F106)/(K106))*1000,0)</f>
        <v>0</v>
      </c>
      <c r="P106" s="94">
        <f>'DATA B3'!C107</f>
        <v>221062</v>
      </c>
      <c r="Q106" s="91">
        <f t="shared" si="45"/>
        <v>6</v>
      </c>
      <c r="R106" s="80">
        <f>'DATA B3'!D107</f>
        <v>165683</v>
      </c>
      <c r="S106" s="80">
        <f t="shared" si="46"/>
        <v>5</v>
      </c>
      <c r="T106" s="15">
        <f t="shared" si="41"/>
        <v>0.83333333333333337</v>
      </c>
      <c r="U106" s="15">
        <f>IFERROR((('DATA B3'!E107-'DATA B3'!E106)+('DATA B3'!F107-'DATA B3'!F106))/('WATER_STEAM RATIO'!P106-'WATER_STEAM RATIO'!P105),0)</f>
        <v>1.8633333333333439</v>
      </c>
    </row>
    <row r="107" spans="2:21">
      <c r="B107" s="292"/>
      <c r="C107" s="97">
        <v>1.0416666666666701</v>
      </c>
      <c r="D107" s="84">
        <f>'DATA B1'!D108</f>
        <v>222134</v>
      </c>
      <c r="E107" s="5">
        <f t="shared" si="47"/>
        <v>0</v>
      </c>
      <c r="F107" s="80">
        <f>'DATA B1'!E108</f>
        <v>524526</v>
      </c>
      <c r="G107" s="80">
        <f t="shared" si="42"/>
        <v>0</v>
      </c>
      <c r="H107" s="28">
        <f t="shared" si="38"/>
        <v>0</v>
      </c>
      <c r="I107" s="45">
        <f>IFERROR((('DATA B1'!G108-'DATA B1'!G107)/('WATER_STEAM RATIO'!D107-'WATER_STEAM RATIO'!D106))*1000,0)</f>
        <v>0</v>
      </c>
      <c r="J107" s="50">
        <f>'DATA B2'!D108</f>
        <v>512158</v>
      </c>
      <c r="K107" s="82">
        <f t="shared" si="43"/>
        <v>10</v>
      </c>
      <c r="L107" s="80">
        <f>'DATA B2'!E108</f>
        <v>568061</v>
      </c>
      <c r="M107" s="80">
        <f t="shared" si="44"/>
        <v>14</v>
      </c>
      <c r="N107" s="28">
        <f t="shared" si="40"/>
        <v>1.4</v>
      </c>
      <c r="O107" s="51">
        <f>IFERROR((('DATA B2'!F108-'DATA B2'!F107)/(K107))*1000,0)</f>
        <v>0</v>
      </c>
      <c r="P107" s="94">
        <f>'DATA B3'!C108</f>
        <v>221068</v>
      </c>
      <c r="Q107" s="91">
        <f t="shared" si="45"/>
        <v>6</v>
      </c>
      <c r="R107" s="80">
        <f>'DATA B3'!D108</f>
        <v>165688</v>
      </c>
      <c r="S107" s="80">
        <f t="shared" si="46"/>
        <v>5</v>
      </c>
      <c r="T107" s="15">
        <f t="shared" si="41"/>
        <v>0.83333333333333337</v>
      </c>
      <c r="U107" s="15">
        <f>IFERROR((('DATA B3'!E108-'DATA B3'!E107)+('DATA B3'!F108-'DATA B3'!F107))/('WATER_STEAM RATIO'!P107-'WATER_STEAM RATIO'!P106),0)</f>
        <v>1.8633333333333439</v>
      </c>
    </row>
    <row r="108" spans="2:21">
      <c r="B108" s="292"/>
      <c r="C108" s="97">
        <v>1.0833333333333399</v>
      </c>
      <c r="D108" s="84">
        <f>'DATA B1'!D109</f>
        <v>222134</v>
      </c>
      <c r="E108" s="5">
        <f>SUM(D108-D107)</f>
        <v>0</v>
      </c>
      <c r="F108" s="80">
        <f>'DATA B1'!E109</f>
        <v>524526</v>
      </c>
      <c r="G108" s="80">
        <f t="shared" si="42"/>
        <v>0</v>
      </c>
      <c r="H108" s="28">
        <f t="shared" si="38"/>
        <v>0</v>
      </c>
      <c r="I108" s="45">
        <f>IFERROR((('DATA B1'!G109-'DATA B1'!G108)/('WATER_STEAM RATIO'!D108-'WATER_STEAM RATIO'!D107))*1000,0)</f>
        <v>0</v>
      </c>
      <c r="J108" s="50">
        <f>'DATA B2'!D109</f>
        <v>512168</v>
      </c>
      <c r="K108" s="82">
        <f t="shared" si="43"/>
        <v>10</v>
      </c>
      <c r="L108" s="80">
        <f>'DATA B2'!E109</f>
        <v>568075</v>
      </c>
      <c r="M108" s="80">
        <f t="shared" si="44"/>
        <v>14</v>
      </c>
      <c r="N108" s="28">
        <f t="shared" si="40"/>
        <v>1.4</v>
      </c>
      <c r="O108" s="51">
        <f>IFERROR((('DATA B2'!F109-'DATA B2'!F108)/(K108))*1000,0)</f>
        <v>0</v>
      </c>
      <c r="P108" s="94">
        <f>'DATA B3'!C109</f>
        <v>221074</v>
      </c>
      <c r="Q108" s="91">
        <f>SUM(P108-P107)</f>
        <v>6</v>
      </c>
      <c r="R108" s="80">
        <f>'DATA B3'!D109</f>
        <v>165693</v>
      </c>
      <c r="S108" s="80">
        <f t="shared" si="46"/>
        <v>5</v>
      </c>
      <c r="T108" s="15">
        <f t="shared" si="41"/>
        <v>0.83333333333333337</v>
      </c>
      <c r="U108" s="15">
        <f>IFERROR((('DATA B3'!E109-'DATA B3'!E108)+('DATA B3'!F109-'DATA B3'!F108))/('WATER_STEAM RATIO'!P108-'WATER_STEAM RATIO'!P107),0)</f>
        <v>1.8633333333333439</v>
      </c>
    </row>
    <row r="109" spans="2:21">
      <c r="B109" s="292"/>
      <c r="C109" s="97">
        <v>1.125</v>
      </c>
      <c r="D109" s="84">
        <f>'DATA B1'!D110</f>
        <v>222134</v>
      </c>
      <c r="E109" s="5">
        <f t="shared" si="47"/>
        <v>0</v>
      </c>
      <c r="F109" s="80">
        <f>'DATA B1'!E110</f>
        <v>524526</v>
      </c>
      <c r="G109" s="80">
        <f t="shared" si="42"/>
        <v>0</v>
      </c>
      <c r="H109" s="28">
        <f t="shared" si="38"/>
        <v>0</v>
      </c>
      <c r="I109" s="45">
        <f>IFERROR((('DATA B1'!G110-'DATA B1'!G109)/('WATER_STEAM RATIO'!D109-'WATER_STEAM RATIO'!D108))*1000,0)</f>
        <v>0</v>
      </c>
      <c r="J109" s="50">
        <f>'DATA B2'!D110</f>
        <v>512178</v>
      </c>
      <c r="K109" s="82">
        <f t="shared" si="43"/>
        <v>10</v>
      </c>
      <c r="L109" s="80">
        <f>'DATA B2'!E110</f>
        <v>568089</v>
      </c>
      <c r="M109" s="80">
        <f t="shared" si="44"/>
        <v>14</v>
      </c>
      <c r="N109" s="28">
        <f t="shared" si="40"/>
        <v>1.4</v>
      </c>
      <c r="O109" s="51">
        <f>IFERROR((('DATA B2'!F110-'DATA B2'!F109)/(K109))*1000,0)</f>
        <v>0</v>
      </c>
      <c r="P109" s="94">
        <f>'DATA B3'!C110</f>
        <v>221081</v>
      </c>
      <c r="Q109" s="91">
        <f t="shared" si="45"/>
        <v>7</v>
      </c>
      <c r="R109" s="80">
        <f>'DATA B3'!D110</f>
        <v>165699</v>
      </c>
      <c r="S109" s="80">
        <f t="shared" si="46"/>
        <v>6</v>
      </c>
      <c r="T109" s="15">
        <f t="shared" si="41"/>
        <v>0.8571428571428571</v>
      </c>
      <c r="U109" s="15">
        <f>IFERROR((('DATA B3'!E110-'DATA B3'!E109)+('DATA B3'!F110-'DATA B3'!F109))/('WATER_STEAM RATIO'!P109-'WATER_STEAM RATIO'!P108),0)</f>
        <v>1.5971428571428337</v>
      </c>
    </row>
    <row r="110" spans="2:21">
      <c r="B110" s="292"/>
      <c r="C110" s="97">
        <v>1.1666666666666701</v>
      </c>
      <c r="D110" s="84">
        <f>'DATA B1'!D111</f>
        <v>222134</v>
      </c>
      <c r="E110" s="5">
        <f t="shared" si="47"/>
        <v>0</v>
      </c>
      <c r="F110" s="80">
        <f>'DATA B1'!E111</f>
        <v>524526</v>
      </c>
      <c r="G110" s="80">
        <f t="shared" si="42"/>
        <v>0</v>
      </c>
      <c r="H110" s="28">
        <f t="shared" si="38"/>
        <v>0</v>
      </c>
      <c r="I110" s="45">
        <f>IFERROR((('DATA B1'!G111-'DATA B1'!G110)/('WATER_STEAM RATIO'!D110-'WATER_STEAM RATIO'!D109))*1000,0)</f>
        <v>0</v>
      </c>
      <c r="J110" s="50">
        <f>'DATA B2'!D111</f>
        <v>512189</v>
      </c>
      <c r="K110" s="82">
        <f t="shared" si="43"/>
        <v>11</v>
      </c>
      <c r="L110" s="80">
        <f>'DATA B2'!E111</f>
        <v>568106</v>
      </c>
      <c r="M110" s="80">
        <f t="shared" si="44"/>
        <v>17</v>
      </c>
      <c r="N110" s="28">
        <f t="shared" si="40"/>
        <v>1.5454545454545454</v>
      </c>
      <c r="O110" s="51">
        <f>IFERROR((('DATA B2'!F111-'DATA B2'!F110)/(K110))*1000,0)</f>
        <v>0</v>
      </c>
      <c r="P110" s="94">
        <f>'DATA B3'!C111</f>
        <v>221086</v>
      </c>
      <c r="Q110" s="91">
        <f t="shared" si="45"/>
        <v>5</v>
      </c>
      <c r="R110" s="80">
        <f>'DATA B3'!D111</f>
        <v>165704</v>
      </c>
      <c r="S110" s="80">
        <f t="shared" si="46"/>
        <v>5</v>
      </c>
      <c r="T110" s="15">
        <f t="shared" si="41"/>
        <v>1</v>
      </c>
      <c r="U110" s="15">
        <f>IFERROR((('DATA B3'!E111-'DATA B3'!E110)+('DATA B3'!F111-'DATA B3'!F110))/('WATER_STEAM RATIO'!P110-'WATER_STEAM RATIO'!P109),0)</f>
        <v>11.2</v>
      </c>
    </row>
    <row r="111" spans="2:21">
      <c r="B111" s="292"/>
      <c r="C111" s="97">
        <v>1.2083333333333399</v>
      </c>
      <c r="D111" s="84">
        <f>'DATA B1'!D112</f>
        <v>222134</v>
      </c>
      <c r="E111" s="5">
        <f t="shared" si="47"/>
        <v>0</v>
      </c>
      <c r="F111" s="80">
        <f>'DATA B1'!E112</f>
        <v>524526</v>
      </c>
      <c r="G111" s="80">
        <f t="shared" si="42"/>
        <v>0</v>
      </c>
      <c r="H111" s="28">
        <f t="shared" si="38"/>
        <v>0</v>
      </c>
      <c r="I111" s="45">
        <f>IFERROR((('DATA B1'!G112-'DATA B1'!G111)/('WATER_STEAM RATIO'!D111-'WATER_STEAM RATIO'!D110))*1000,0)</f>
        <v>0</v>
      </c>
      <c r="J111" s="50">
        <f>'DATA B2'!D112</f>
        <v>512201</v>
      </c>
      <c r="K111" s="82">
        <f t="shared" si="43"/>
        <v>12</v>
      </c>
      <c r="L111" s="80">
        <f>'DATA B2'!E112</f>
        <v>568124</v>
      </c>
      <c r="M111" s="80">
        <f t="shared" si="44"/>
        <v>18</v>
      </c>
      <c r="N111" s="28">
        <f t="shared" si="40"/>
        <v>1.5</v>
      </c>
      <c r="O111" s="51">
        <f>IFERROR((('DATA B2'!F112-'DATA B2'!F111)/(K111))*1000,0)</f>
        <v>0</v>
      </c>
      <c r="P111" s="94">
        <f>'DATA B3'!C112</f>
        <v>221092</v>
      </c>
      <c r="Q111" s="91">
        <f t="shared" si="45"/>
        <v>6</v>
      </c>
      <c r="R111" s="80">
        <f>'DATA B3'!D112</f>
        <v>165709</v>
      </c>
      <c r="S111" s="80">
        <f t="shared" si="46"/>
        <v>5</v>
      </c>
      <c r="T111" s="15">
        <f t="shared" si="41"/>
        <v>0.83333333333333337</v>
      </c>
      <c r="U111" s="15">
        <f>IFERROR((('DATA B3'!E112-'DATA B3'!E111)+('DATA B3'!F112-'DATA B3'!F111))/('WATER_STEAM RATIO'!P111-'WATER_STEAM RATIO'!P110),0)</f>
        <v>9.3333333333333339</v>
      </c>
    </row>
    <row r="112" spans="2:21">
      <c r="B112" s="292"/>
      <c r="C112" s="97">
        <v>1.25</v>
      </c>
      <c r="D112" s="84">
        <f>'DATA B1'!D113</f>
        <v>222134</v>
      </c>
      <c r="E112" s="5">
        <f t="shared" si="47"/>
        <v>0</v>
      </c>
      <c r="F112" s="80">
        <f>'DATA B1'!E113</f>
        <v>524526</v>
      </c>
      <c r="G112" s="80">
        <f t="shared" si="42"/>
        <v>0</v>
      </c>
      <c r="H112" s="28">
        <f t="shared" si="38"/>
        <v>0</v>
      </c>
      <c r="I112" s="45">
        <f>IFERROR((('DATA B1'!G113-'DATA B1'!G112)/('WATER_STEAM RATIO'!D112-'WATER_STEAM RATIO'!D111))*1000,0)</f>
        <v>0</v>
      </c>
      <c r="J112" s="50">
        <f>'DATA B2'!D113</f>
        <v>512213</v>
      </c>
      <c r="K112" s="82">
        <f t="shared" si="43"/>
        <v>12</v>
      </c>
      <c r="L112" s="80">
        <f>'DATA B2'!E113</f>
        <v>568142</v>
      </c>
      <c r="M112" s="80">
        <f t="shared" si="44"/>
        <v>18</v>
      </c>
      <c r="N112" s="28">
        <f t="shared" si="40"/>
        <v>1.5</v>
      </c>
      <c r="O112" s="51">
        <f>IFERROR((('DATA B2'!F113-'DATA B2'!F112)/(K112))*1000,0)</f>
        <v>0</v>
      </c>
      <c r="P112" s="94">
        <f>'DATA B3'!C113</f>
        <v>221098</v>
      </c>
      <c r="Q112" s="91">
        <f t="shared" si="45"/>
        <v>6</v>
      </c>
      <c r="R112" s="80">
        <f>'DATA B3'!D113</f>
        <v>165715</v>
      </c>
      <c r="S112" s="80">
        <f t="shared" si="46"/>
        <v>6</v>
      </c>
      <c r="T112" s="15">
        <f t="shared" si="41"/>
        <v>1</v>
      </c>
      <c r="U112" s="15">
        <f>IFERROR((('DATA B3'!E113-'DATA B3'!E112)+('DATA B3'!F113-'DATA B3'!F112))/('WATER_STEAM RATIO'!P112-'WATER_STEAM RATIO'!P111),0)</f>
        <v>9.3333333333333339</v>
      </c>
    </row>
    <row r="113" spans="2:21">
      <c r="B113" s="292"/>
      <c r="C113" s="97">
        <v>1.2916666666666701</v>
      </c>
      <c r="D113" s="84">
        <f>'DATA B1'!D114</f>
        <v>222134</v>
      </c>
      <c r="E113" s="5">
        <f t="shared" si="47"/>
        <v>0</v>
      </c>
      <c r="F113" s="80">
        <f>'DATA B1'!E114</f>
        <v>524526</v>
      </c>
      <c r="G113" s="80">
        <f t="shared" si="42"/>
        <v>0</v>
      </c>
      <c r="H113" s="28">
        <f t="shared" si="38"/>
        <v>0</v>
      </c>
      <c r="I113" s="45">
        <f>IFERROR((('DATA B1'!G114-'DATA B1'!G113)/('WATER_STEAM RATIO'!D113-'WATER_STEAM RATIO'!D112))*1000,0)</f>
        <v>0</v>
      </c>
      <c r="J113" s="50">
        <f>'DATA B2'!D114</f>
        <v>512225</v>
      </c>
      <c r="K113" s="82">
        <f>SUM(J113-J112)</f>
        <v>12</v>
      </c>
      <c r="L113" s="80">
        <f>'DATA B2'!E114</f>
        <v>568159</v>
      </c>
      <c r="M113" s="80">
        <f t="shared" si="44"/>
        <v>17</v>
      </c>
      <c r="N113" s="28">
        <f t="shared" si="40"/>
        <v>1.4166666666666667</v>
      </c>
      <c r="O113" s="51">
        <f>IFERROR((('DATA B2'!F114-'DATA B2'!F113)/(K113))*1000,0)</f>
        <v>0</v>
      </c>
      <c r="P113" s="94">
        <f>'DATA B3'!C114</f>
        <v>221104</v>
      </c>
      <c r="Q113" s="91">
        <f t="shared" si="45"/>
        <v>6</v>
      </c>
      <c r="R113" s="80">
        <f>'DATA B3'!D114</f>
        <v>165722</v>
      </c>
      <c r="S113" s="80">
        <f t="shared" si="46"/>
        <v>7</v>
      </c>
      <c r="T113" s="15">
        <f t="shared" si="41"/>
        <v>1.1666666666666667</v>
      </c>
      <c r="U113" s="15">
        <f>IFERROR((('DATA B3'!E114-'DATA B3'!E113)+('DATA B3'!F114-'DATA B3'!F113))/('WATER_STEAM RATIO'!P113-'WATER_STEAM RATIO'!P112),0)</f>
        <v>9.7050000000000036</v>
      </c>
    </row>
    <row r="114" spans="2:21" ht="15.75" thickBot="1">
      <c r="B114" s="293"/>
      <c r="C114" s="235"/>
      <c r="D114" s="224" cm="1">
        <f t="array" ref="D114">IFERROR(LOOKUP(2,1/(D89:D113&gt;0),D89:D113-D89),0)</f>
        <v>0</v>
      </c>
      <c r="E114" s="223">
        <f>SUMIF(E90:E113,"&gt;=0",E90:E113)</f>
        <v>0</v>
      </c>
      <c r="F114" s="224" cm="1">
        <f t="array" ref="F114">IFERROR(LOOKUP(2,1/(F89:F113&gt;0),F89:F113-F89),0)</f>
        <v>0</v>
      </c>
      <c r="G114" s="223">
        <f>SUMIF(G90:G113,"&gt;=0",G90:G113)</f>
        <v>0</v>
      </c>
      <c r="H114" s="225">
        <f t="shared" si="38"/>
        <v>0</v>
      </c>
      <c r="I114" s="236">
        <f>IFERROR((('DATA B1'!H115)/(E114))*1000,0)</f>
        <v>0</v>
      </c>
      <c r="J114" s="222" cm="1">
        <f t="array" ref="J114">IFERROR(LOOKUP(2,1/(J89:J113&gt;0),J89:J113-J89),0)</f>
        <v>260</v>
      </c>
      <c r="K114" s="223">
        <f>SUMIF(K90:K113,"&gt;=0",K90:K113)</f>
        <v>260</v>
      </c>
      <c r="L114" s="224" cm="1">
        <f t="array" ref="L114">IFERROR(LOOKUP(2,1/(L89:L113&gt;0),L89:L113-L89),0)</f>
        <v>382</v>
      </c>
      <c r="M114" s="223">
        <f>SUMIF(M90:M113,"&gt;=0",M90:M113)</f>
        <v>382</v>
      </c>
      <c r="N114" s="225">
        <f>IFERROR(M114/K114,0)</f>
        <v>1.4692307692307693</v>
      </c>
      <c r="O114" s="226">
        <f>IFERROR((('DATA B2'!H115)/(K114))*1000,0)</f>
        <v>4.2307692307696192E-3</v>
      </c>
      <c r="P114" s="224" cm="1">
        <f t="array" ref="P114">IFERROR(LOOKUP(2,1/(P89:P113&gt;0),P89:P113-P89),0)</f>
        <v>150</v>
      </c>
      <c r="Q114" s="223">
        <f>SUMIF(Q90:Q113,"&gt;=0",Q90:Q113)</f>
        <v>150</v>
      </c>
      <c r="R114" s="224" cm="1">
        <f t="array" ref="R114">IFERROR(LOOKUP(2,1/(R89:R113&gt;0),R89:R113-R89),0)</f>
        <v>130</v>
      </c>
      <c r="S114" s="223">
        <f>SUMIF(S90:S113,"&gt;=0",S90:S113)</f>
        <v>130</v>
      </c>
      <c r="T114" s="237">
        <f t="shared" si="41"/>
        <v>0.8666666666666667</v>
      </c>
      <c r="U114" s="226">
        <f>IFERROR(('DATA B3'!E115+'DATA B3'!F115)/Q114*1000,0)</f>
        <v>5195.3333333333312</v>
      </c>
    </row>
    <row r="115" spans="2:21">
      <c r="B115" s="291">
        <f>SUM('DATA B1'!B116:B141)</f>
        <v>46027</v>
      </c>
      <c r="C115" s="97">
        <v>0.29166666666666669</v>
      </c>
      <c r="D115" s="84">
        <f>'DATA B1'!D116</f>
        <v>222134</v>
      </c>
      <c r="E115" s="5">
        <f>SUM(E113)</f>
        <v>0</v>
      </c>
      <c r="F115" s="80">
        <f>'DATA B1'!E116</f>
        <v>524526</v>
      </c>
      <c r="G115" s="80">
        <f>SUM(G113)</f>
        <v>0</v>
      </c>
      <c r="H115" s="28">
        <f t="shared" si="38"/>
        <v>0</v>
      </c>
      <c r="I115" s="45"/>
      <c r="J115" s="50">
        <f>'DATA B2'!D116</f>
        <v>512225</v>
      </c>
      <c r="K115" s="82">
        <f>SUM(K113)</f>
        <v>12</v>
      </c>
      <c r="L115" s="80">
        <f>'DATA B2'!E116</f>
        <v>568159</v>
      </c>
      <c r="M115" s="80">
        <f>SUM(M113)</f>
        <v>17</v>
      </c>
      <c r="N115" s="28">
        <f>IFERROR(M115/K115,0)</f>
        <v>1.4166666666666667</v>
      </c>
      <c r="O115" s="103"/>
      <c r="P115" s="94">
        <f>'DATA B3'!C116</f>
        <v>221104</v>
      </c>
      <c r="Q115" s="91">
        <f>SUM(Q113)</f>
        <v>6</v>
      </c>
      <c r="R115" s="80">
        <f>'DATA B3'!D116</f>
        <v>165722</v>
      </c>
      <c r="S115" s="80">
        <f>SUM(S113)</f>
        <v>7</v>
      </c>
      <c r="T115" s="15">
        <f>IFERROR(S115/Q115,0)</f>
        <v>1.1666666666666667</v>
      </c>
      <c r="U115" s="15"/>
    </row>
    <row r="116" spans="2:21">
      <c r="B116" s="292"/>
      <c r="C116" s="97">
        <v>0.33333333333333298</v>
      </c>
      <c r="D116" s="84">
        <f>'DATA B1'!D117</f>
        <v>222134</v>
      </c>
      <c r="E116" s="5">
        <f t="shared" ref="E116:E122" si="48">SUM(D116-D115)</f>
        <v>0</v>
      </c>
      <c r="F116" s="80">
        <f>'DATA B1'!E117</f>
        <v>524526</v>
      </c>
      <c r="G116" s="80">
        <f>SUM(F116-F115)</f>
        <v>0</v>
      </c>
      <c r="H116" s="28">
        <f t="shared" si="38"/>
        <v>0</v>
      </c>
      <c r="I116" s="45">
        <f>IFERROR((('DATA B1'!G117-'DATA B1'!G116)/('WATER_STEAM RATIO'!D116-'WATER_STEAM RATIO'!D115))*1000,0)</f>
        <v>0</v>
      </c>
      <c r="J116" s="50">
        <f>'DATA B2'!D117</f>
        <v>512241</v>
      </c>
      <c r="K116" s="82">
        <f>SUM(J116-J115)</f>
        <v>16</v>
      </c>
      <c r="L116" s="80">
        <f>'DATA B2'!E117</f>
        <v>568187</v>
      </c>
      <c r="M116" s="80">
        <f>SUM(L116-L115)</f>
        <v>28</v>
      </c>
      <c r="N116" s="28">
        <f t="shared" ref="N116:N139" si="49">IFERROR(M116/K116,0)</f>
        <v>1.75</v>
      </c>
      <c r="O116" s="51">
        <f>IFERROR((('DATA B2'!F117-'DATA B2'!F116)/(K116))*1000,0)</f>
        <v>6.2499999999993117E-3</v>
      </c>
      <c r="P116" s="94">
        <f>'DATA B3'!C117</f>
        <v>221112</v>
      </c>
      <c r="Q116" s="91">
        <f>SUM(P116-P115)</f>
        <v>8</v>
      </c>
      <c r="R116" s="80">
        <f>'DATA B3'!D117</f>
        <v>165729</v>
      </c>
      <c r="S116" s="80">
        <f>SUM(R116-R115)</f>
        <v>7</v>
      </c>
      <c r="T116" s="15">
        <f t="shared" ref="T116:T140" si="50">IFERROR(S116/Q116,0)</f>
        <v>0.875</v>
      </c>
      <c r="U116" s="15">
        <f>IFERROR((('DATA B3'!E117-'DATA B3'!E116)+('DATA B3'!F117-'DATA B3'!F116))/('WATER_STEAM RATIO'!P116-'WATER_STEAM RATIO'!P115),0)</f>
        <v>5.3512500000000216</v>
      </c>
    </row>
    <row r="117" spans="2:21">
      <c r="B117" s="292"/>
      <c r="C117" s="97">
        <v>0.375</v>
      </c>
      <c r="D117" s="84">
        <f>'DATA B1'!D118</f>
        <v>222134</v>
      </c>
      <c r="E117" s="5">
        <f t="shared" si="48"/>
        <v>0</v>
      </c>
      <c r="F117" s="80">
        <f>'DATA B1'!E118</f>
        <v>524526</v>
      </c>
      <c r="G117" s="80">
        <f t="shared" ref="G117:G139" si="51">SUM(F117-F116)</f>
        <v>0</v>
      </c>
      <c r="H117" s="28">
        <f t="shared" si="38"/>
        <v>0</v>
      </c>
      <c r="I117" s="45">
        <f>IFERROR((('DATA B1'!G118-'DATA B1'!G117)/('WATER_STEAM RATIO'!D117-'WATER_STEAM RATIO'!D116))*1000,0)</f>
        <v>0</v>
      </c>
      <c r="J117" s="50">
        <f>'DATA B2'!D118</f>
        <v>512250</v>
      </c>
      <c r="K117" s="82">
        <f t="shared" ref="K117:K138" si="52">SUM(J117-J116)</f>
        <v>9</v>
      </c>
      <c r="L117" s="80">
        <f>'DATA B2'!E118</f>
        <v>568201</v>
      </c>
      <c r="M117" s="80">
        <f t="shared" ref="M117:M139" si="53">SUM(L117-L116)</f>
        <v>14</v>
      </c>
      <c r="N117" s="28">
        <f t="shared" si="49"/>
        <v>1.5555555555555556</v>
      </c>
      <c r="O117" s="51">
        <f>IFERROR((('DATA B2'!F118-'DATA B2'!F117)/(K117))*1000,0)</f>
        <v>1.1111111111109887E-2</v>
      </c>
      <c r="P117" s="94">
        <f>'DATA B3'!C118</f>
        <v>221117</v>
      </c>
      <c r="Q117" s="91">
        <f t="shared" ref="Q117:Q139" si="54">SUM(P117-P116)</f>
        <v>5</v>
      </c>
      <c r="R117" s="80">
        <f>'DATA B3'!D118</f>
        <v>165734</v>
      </c>
      <c r="S117" s="80">
        <f t="shared" ref="S117:S139" si="55">SUM(R117-R116)</f>
        <v>5</v>
      </c>
      <c r="T117" s="15">
        <f t="shared" si="50"/>
        <v>1</v>
      </c>
      <c r="U117" s="15">
        <f>IFERROR((('DATA B3'!E118-'DATA B3'!E117)+('DATA B3'!F118-'DATA B3'!F117))/('WATER_STEAM RATIO'!P117-'WATER_STEAM RATIO'!P116),0)</f>
        <v>5.5820000000000167</v>
      </c>
    </row>
    <row r="118" spans="2:21">
      <c r="B118" s="292"/>
      <c r="C118" s="97">
        <v>0.41666666666666702</v>
      </c>
      <c r="D118" s="84">
        <f>'DATA B1'!D119</f>
        <v>222134</v>
      </c>
      <c r="E118" s="5">
        <f t="shared" si="48"/>
        <v>0</v>
      </c>
      <c r="F118" s="80">
        <f>'DATA B1'!E119</f>
        <v>524526</v>
      </c>
      <c r="G118" s="80">
        <f t="shared" si="51"/>
        <v>0</v>
      </c>
      <c r="H118" s="28">
        <f t="shared" si="38"/>
        <v>0</v>
      </c>
      <c r="I118" s="45">
        <f>IFERROR((('DATA B1'!G119-'DATA B1'!G118)/('WATER_STEAM RATIO'!D118-'WATER_STEAM RATIO'!D117))*1000,0)</f>
        <v>0</v>
      </c>
      <c r="J118" s="50">
        <f>'DATA B2'!D119</f>
        <v>512259</v>
      </c>
      <c r="K118" s="82">
        <f t="shared" si="52"/>
        <v>9</v>
      </c>
      <c r="L118" s="80">
        <f>'DATA B2'!E119</f>
        <v>568216</v>
      </c>
      <c r="M118" s="80">
        <f t="shared" si="53"/>
        <v>15</v>
      </c>
      <c r="N118" s="28">
        <f t="shared" si="49"/>
        <v>1.6666666666666667</v>
      </c>
      <c r="O118" s="51">
        <f>IFERROR((('DATA B2'!F119-'DATA B2'!F118)/(K118))*1000,0)</f>
        <v>0</v>
      </c>
      <c r="P118" s="94">
        <f>'DATA B3'!C119</f>
        <v>221123</v>
      </c>
      <c r="Q118" s="91">
        <f t="shared" si="54"/>
        <v>6</v>
      </c>
      <c r="R118" s="80">
        <f>'DATA B3'!D119</f>
        <v>165739</v>
      </c>
      <c r="S118" s="80">
        <f t="shared" si="55"/>
        <v>5</v>
      </c>
      <c r="T118" s="15">
        <f t="shared" si="50"/>
        <v>0.83333333333333337</v>
      </c>
      <c r="U118" s="15">
        <f>IFERROR((('DATA B3'!E119-'DATA B3'!E118)+('DATA B3'!F119-'DATA B3'!F118))/('WATER_STEAM RATIO'!P118-'WATER_STEAM RATIO'!P117),0)</f>
        <v>4.8499999999999845</v>
      </c>
    </row>
    <row r="119" spans="2:21">
      <c r="B119" s="292"/>
      <c r="C119" s="97">
        <v>0.45833333333333298</v>
      </c>
      <c r="D119" s="84">
        <f>'DATA B1'!D120</f>
        <v>222134</v>
      </c>
      <c r="E119" s="5">
        <f t="shared" si="48"/>
        <v>0</v>
      </c>
      <c r="F119" s="80">
        <f>'DATA B1'!E120</f>
        <v>524526</v>
      </c>
      <c r="G119" s="80">
        <f t="shared" si="51"/>
        <v>0</v>
      </c>
      <c r="H119" s="28">
        <f t="shared" si="38"/>
        <v>0</v>
      </c>
      <c r="I119" s="45">
        <f>IFERROR((('DATA B1'!G120-'DATA B1'!G119)/('WATER_STEAM RATIO'!D119-'WATER_STEAM RATIO'!D118))*1000,0)</f>
        <v>0</v>
      </c>
      <c r="J119" s="50">
        <f>'DATA B2'!D120</f>
        <v>512268</v>
      </c>
      <c r="K119" s="82">
        <f t="shared" si="52"/>
        <v>9</v>
      </c>
      <c r="L119" s="80">
        <f>'DATA B2'!E120</f>
        <v>568231</v>
      </c>
      <c r="M119" s="80">
        <f t="shared" si="53"/>
        <v>15</v>
      </c>
      <c r="N119" s="28">
        <f t="shared" si="49"/>
        <v>1.6666666666666667</v>
      </c>
      <c r="O119" s="51">
        <f>IFERROR((('DATA B2'!F120-'DATA B2'!F119)/(K119))*1000,0)</f>
        <v>1.1111111111109887E-2</v>
      </c>
      <c r="P119" s="94">
        <f>'DATA B3'!C120</f>
        <v>221129</v>
      </c>
      <c r="Q119" s="91">
        <f t="shared" si="54"/>
        <v>6</v>
      </c>
      <c r="R119" s="80">
        <f>'DATA B3'!D120</f>
        <v>165744</v>
      </c>
      <c r="S119" s="80">
        <f t="shared" si="55"/>
        <v>5</v>
      </c>
      <c r="T119" s="15">
        <f t="shared" si="50"/>
        <v>0.83333333333333337</v>
      </c>
      <c r="U119" s="15">
        <f>IFERROR((('DATA B3'!E120-'DATA B3'!E119)+('DATA B3'!F120-'DATA B3'!F119))/('WATER_STEAM RATIO'!P119-'WATER_STEAM RATIO'!P118),0)</f>
        <v>4.9816666666666833</v>
      </c>
    </row>
    <row r="120" spans="2:21">
      <c r="B120" s="292"/>
      <c r="C120" s="97">
        <v>0.5</v>
      </c>
      <c r="D120" s="84">
        <f>'DATA B1'!D121</f>
        <v>222134</v>
      </c>
      <c r="E120" s="5">
        <f t="shared" si="48"/>
        <v>0</v>
      </c>
      <c r="F120" s="80">
        <f>'DATA B1'!E121</f>
        <v>524526</v>
      </c>
      <c r="G120" s="80">
        <f t="shared" si="51"/>
        <v>0</v>
      </c>
      <c r="H120" s="28">
        <f t="shared" si="38"/>
        <v>0</v>
      </c>
      <c r="I120" s="45">
        <f>IFERROR((('DATA B1'!G121-'DATA B1'!G120)/('WATER_STEAM RATIO'!D120-'WATER_STEAM RATIO'!D119))*1000,0)</f>
        <v>0</v>
      </c>
      <c r="J120" s="50">
        <f>'DATA B2'!D121</f>
        <v>512279</v>
      </c>
      <c r="K120" s="82">
        <f t="shared" si="52"/>
        <v>11</v>
      </c>
      <c r="L120" s="80">
        <f>'DATA B2'!E121</f>
        <v>568247</v>
      </c>
      <c r="M120" s="80">
        <f t="shared" si="53"/>
        <v>16</v>
      </c>
      <c r="N120" s="28">
        <f t="shared" si="49"/>
        <v>1.4545454545454546</v>
      </c>
      <c r="O120" s="51">
        <f>IFERROR((('DATA B2'!F121-'DATA B2'!F120)/(K120))*1000,0)</f>
        <v>0</v>
      </c>
      <c r="P120" s="94">
        <f>'DATA B3'!C121</f>
        <v>221135</v>
      </c>
      <c r="Q120" s="91">
        <f t="shared" si="54"/>
        <v>6</v>
      </c>
      <c r="R120" s="80">
        <f>'DATA B3'!D121</f>
        <v>165749</v>
      </c>
      <c r="S120" s="80">
        <f t="shared" si="55"/>
        <v>5</v>
      </c>
      <c r="T120" s="15">
        <f t="shared" si="50"/>
        <v>0.83333333333333337</v>
      </c>
      <c r="U120" s="15">
        <f>IFERROR((('DATA B3'!E121-'DATA B3'!E120)+('DATA B3'!F121-'DATA B3'!F120))/('WATER_STEAM RATIO'!P120-'WATER_STEAM RATIO'!P119),0)</f>
        <v>4.9816666666666451</v>
      </c>
    </row>
    <row r="121" spans="2:21">
      <c r="B121" s="292"/>
      <c r="C121" s="97">
        <v>0.54166666666666696</v>
      </c>
      <c r="D121" s="84">
        <f>'DATA B1'!D122</f>
        <v>222134</v>
      </c>
      <c r="E121" s="5">
        <f t="shared" si="48"/>
        <v>0</v>
      </c>
      <c r="F121" s="80">
        <f>'DATA B1'!E122</f>
        <v>524526</v>
      </c>
      <c r="G121" s="80">
        <f t="shared" si="51"/>
        <v>0</v>
      </c>
      <c r="H121" s="28">
        <f t="shared" si="38"/>
        <v>0</v>
      </c>
      <c r="I121" s="45">
        <f>IFERROR((('DATA B1'!G122-'DATA B1'!G121)/('WATER_STEAM RATIO'!D121-'WATER_STEAM RATIO'!D120))*1000,0)</f>
        <v>0</v>
      </c>
      <c r="J121" s="50">
        <f>'DATA B2'!D122</f>
        <v>512290</v>
      </c>
      <c r="K121" s="82">
        <f t="shared" si="52"/>
        <v>11</v>
      </c>
      <c r="L121" s="80">
        <f>'DATA B2'!E122</f>
        <v>568263</v>
      </c>
      <c r="M121" s="80">
        <f t="shared" si="53"/>
        <v>16</v>
      </c>
      <c r="N121" s="28">
        <f t="shared" si="49"/>
        <v>1.4545454545454546</v>
      </c>
      <c r="O121" s="51">
        <f>IFERROR((('DATA B2'!F122-'DATA B2'!F121)/(K121))*1000,0)</f>
        <v>9.0909090909080895E-3</v>
      </c>
      <c r="P121" s="94">
        <f>'DATA B3'!C122</f>
        <v>221141</v>
      </c>
      <c r="Q121" s="91">
        <f t="shared" si="54"/>
        <v>6</v>
      </c>
      <c r="R121" s="80">
        <f>'DATA B3'!D122</f>
        <v>165754</v>
      </c>
      <c r="S121" s="80">
        <f t="shared" si="55"/>
        <v>5</v>
      </c>
      <c r="T121" s="15">
        <f t="shared" si="50"/>
        <v>0.83333333333333337</v>
      </c>
      <c r="U121" s="15">
        <f>IFERROR((('DATA B3'!E122-'DATA B3'!E121)+('DATA B3'!F122-'DATA B3'!F121))/('WATER_STEAM RATIO'!P121-'WATER_STEAM RATIO'!P120),0)</f>
        <v>4.9816666666666833</v>
      </c>
    </row>
    <row r="122" spans="2:21">
      <c r="B122" s="292"/>
      <c r="C122" s="97">
        <v>0.58333333333333304</v>
      </c>
      <c r="D122" s="84">
        <f>'DATA B1'!D123</f>
        <v>222134</v>
      </c>
      <c r="E122" s="5">
        <f t="shared" si="48"/>
        <v>0</v>
      </c>
      <c r="F122" s="80">
        <f>'DATA B1'!E123</f>
        <v>524526</v>
      </c>
      <c r="G122" s="80">
        <f t="shared" si="51"/>
        <v>0</v>
      </c>
      <c r="H122" s="28">
        <f t="shared" si="38"/>
        <v>0</v>
      </c>
      <c r="I122" s="45">
        <f>IFERROR((('DATA B1'!G123-'DATA B1'!G122)/('WATER_STEAM RATIO'!D122-'WATER_STEAM RATIO'!D121))*1000,0)</f>
        <v>0</v>
      </c>
      <c r="J122" s="50">
        <f>'DATA B2'!D123</f>
        <v>512301</v>
      </c>
      <c r="K122" s="82">
        <f t="shared" si="52"/>
        <v>11</v>
      </c>
      <c r="L122" s="80">
        <f>'DATA B2'!E123</f>
        <v>568279</v>
      </c>
      <c r="M122" s="80">
        <f t="shared" si="53"/>
        <v>16</v>
      </c>
      <c r="N122" s="28">
        <f t="shared" si="49"/>
        <v>1.4545454545454546</v>
      </c>
      <c r="O122" s="51">
        <f>IFERROR((('DATA B2'!F123-'DATA B2'!F122)/(K122))*1000,0)</f>
        <v>0</v>
      </c>
      <c r="P122" s="94">
        <f>'DATA B3'!C123</f>
        <v>221147</v>
      </c>
      <c r="Q122" s="91">
        <f t="shared" si="54"/>
        <v>6</v>
      </c>
      <c r="R122" s="80">
        <f>'DATA B3'!D123</f>
        <v>165759</v>
      </c>
      <c r="S122" s="80">
        <f t="shared" si="55"/>
        <v>5</v>
      </c>
      <c r="T122" s="15">
        <f t="shared" si="50"/>
        <v>0.83333333333333337</v>
      </c>
      <c r="U122" s="15">
        <f>IFERROR((('DATA B3'!E123-'DATA B3'!E122)+('DATA B3'!F123-'DATA B3'!F122))/('WATER_STEAM RATIO'!P122-'WATER_STEAM RATIO'!P121),0)</f>
        <v>4.9816666666666451</v>
      </c>
    </row>
    <row r="123" spans="2:21">
      <c r="B123" s="292"/>
      <c r="C123" s="97">
        <v>0.625</v>
      </c>
      <c r="D123" s="84">
        <f>'DATA B1'!D124</f>
        <v>222134</v>
      </c>
      <c r="E123" s="5">
        <f t="shared" ref="E123:E139" si="56">SUM(D123-D122)</f>
        <v>0</v>
      </c>
      <c r="F123" s="80">
        <f>'DATA B1'!E124</f>
        <v>524526</v>
      </c>
      <c r="G123" s="80">
        <f t="shared" si="51"/>
        <v>0</v>
      </c>
      <c r="H123" s="28">
        <f t="shared" si="38"/>
        <v>0</v>
      </c>
      <c r="I123" s="45">
        <f>IFERROR((('DATA B1'!G124-'DATA B1'!G123)/('WATER_STEAM RATIO'!D123-'WATER_STEAM RATIO'!D122))*1000,0)</f>
        <v>0</v>
      </c>
      <c r="J123" s="50">
        <f>'DATA B2'!D124</f>
        <v>512313</v>
      </c>
      <c r="K123" s="82">
        <f t="shared" si="52"/>
        <v>12</v>
      </c>
      <c r="L123" s="80">
        <f>'DATA B2'!E124</f>
        <v>568298</v>
      </c>
      <c r="M123" s="80">
        <f t="shared" si="53"/>
        <v>19</v>
      </c>
      <c r="N123" s="28">
        <f t="shared" si="49"/>
        <v>1.5833333333333333</v>
      </c>
      <c r="O123" s="51">
        <f>IFERROR((('DATA B2'!F124-'DATA B2'!F123)/(K123))*1000,0)</f>
        <v>8.3333333333324155E-3</v>
      </c>
      <c r="P123" s="94">
        <f>'DATA B3'!C124</f>
        <v>221155</v>
      </c>
      <c r="Q123" s="91">
        <f t="shared" si="54"/>
        <v>8</v>
      </c>
      <c r="R123" s="80">
        <f>'DATA B3'!D124</f>
        <v>165767</v>
      </c>
      <c r="S123" s="80">
        <f t="shared" si="55"/>
        <v>8</v>
      </c>
      <c r="T123" s="15">
        <f t="shared" si="50"/>
        <v>1</v>
      </c>
      <c r="U123" s="15">
        <f>IFERROR((('DATA B3'!E124-'DATA B3'!E123)+('DATA B3'!F124-'DATA B3'!F123))/('WATER_STEAM RATIO'!P123-'WATER_STEAM RATIO'!P122),0)</f>
        <v>5.6500000000000341</v>
      </c>
    </row>
    <row r="124" spans="2:21">
      <c r="B124" s="292"/>
      <c r="C124" s="97">
        <v>0.66666666666666596</v>
      </c>
      <c r="D124" s="84">
        <f>'DATA B1'!D125</f>
        <v>222134</v>
      </c>
      <c r="E124" s="5">
        <f t="shared" si="56"/>
        <v>0</v>
      </c>
      <c r="F124" s="80">
        <f>'DATA B1'!E125</f>
        <v>524526</v>
      </c>
      <c r="G124" s="80">
        <f t="shared" si="51"/>
        <v>0</v>
      </c>
      <c r="H124" s="28">
        <f t="shared" si="38"/>
        <v>0</v>
      </c>
      <c r="I124" s="45">
        <f>IFERROR((('DATA B1'!G125-'DATA B1'!G124)/('WATER_STEAM RATIO'!D124-'WATER_STEAM RATIO'!D123))*1000,0)</f>
        <v>0</v>
      </c>
      <c r="J124" s="50">
        <f>'DATA B2'!D125</f>
        <v>512323</v>
      </c>
      <c r="K124" s="82">
        <f>SUM(J124-J123)</f>
        <v>10</v>
      </c>
      <c r="L124" s="80">
        <f>'DATA B2'!E125</f>
        <v>568314</v>
      </c>
      <c r="M124" s="80">
        <f t="shared" si="53"/>
        <v>16</v>
      </c>
      <c r="N124" s="28">
        <f t="shared" si="49"/>
        <v>1.6</v>
      </c>
      <c r="O124" s="51">
        <f>IFERROR((('DATA B2'!F125-'DATA B2'!F124)/(K124))*1000,0)</f>
        <v>0</v>
      </c>
      <c r="P124" s="94">
        <f>'DATA B3'!C125</f>
        <v>221160</v>
      </c>
      <c r="Q124" s="91">
        <f t="shared" si="54"/>
        <v>5</v>
      </c>
      <c r="R124" s="80">
        <f>'DATA B3'!D125</f>
        <v>165772</v>
      </c>
      <c r="S124" s="80">
        <f t="shared" si="55"/>
        <v>5</v>
      </c>
      <c r="T124" s="15">
        <f t="shared" si="50"/>
        <v>1</v>
      </c>
      <c r="U124" s="15">
        <f>IFERROR((('DATA B3'!E125-'DATA B3'!E124)+('DATA B3'!F125-'DATA B3'!F124))/('WATER_STEAM RATIO'!P124-'WATER_STEAM RATIO'!P123),0)</f>
        <v>6.0420000000000069</v>
      </c>
    </row>
    <row r="125" spans="2:21">
      <c r="B125" s="292"/>
      <c r="C125" s="97">
        <v>0.70833333333333304</v>
      </c>
      <c r="D125" s="84">
        <f>'DATA B1'!D126</f>
        <v>222134</v>
      </c>
      <c r="E125" s="5">
        <f t="shared" si="56"/>
        <v>0</v>
      </c>
      <c r="F125" s="80">
        <f>'DATA B1'!E126</f>
        <v>524526</v>
      </c>
      <c r="G125" s="80">
        <f t="shared" si="51"/>
        <v>0</v>
      </c>
      <c r="H125" s="28">
        <f t="shared" si="38"/>
        <v>0</v>
      </c>
      <c r="I125" s="45">
        <f>IFERROR((('DATA B1'!G126-'DATA B1'!G125)/('WATER_STEAM RATIO'!D125-'WATER_STEAM RATIO'!D124))*1000,0)</f>
        <v>0</v>
      </c>
      <c r="J125" s="50">
        <f>'DATA B2'!D126</f>
        <v>512333</v>
      </c>
      <c r="K125" s="82">
        <f t="shared" si="52"/>
        <v>10</v>
      </c>
      <c r="L125" s="80">
        <f>'DATA B2'!E126</f>
        <v>568330</v>
      </c>
      <c r="M125" s="80">
        <f t="shared" si="53"/>
        <v>16</v>
      </c>
      <c r="N125" s="28">
        <f t="shared" si="49"/>
        <v>1.6</v>
      </c>
      <c r="O125" s="51">
        <f>IFERROR((('DATA B2'!F126-'DATA B2'!F125)/(K125))*1000,0)</f>
        <v>9.9999999999988987E-3</v>
      </c>
      <c r="P125" s="94">
        <f>'DATA B3'!C126</f>
        <v>221165</v>
      </c>
      <c r="Q125" s="91">
        <f t="shared" si="54"/>
        <v>5</v>
      </c>
      <c r="R125" s="80">
        <f>'DATA B3'!D126</f>
        <v>165777</v>
      </c>
      <c r="S125" s="80">
        <f t="shared" si="55"/>
        <v>5</v>
      </c>
      <c r="T125" s="15">
        <f t="shared" si="50"/>
        <v>1</v>
      </c>
      <c r="U125" s="15">
        <f>IFERROR((('DATA B3'!E126-'DATA B3'!E125)+('DATA B3'!F126-'DATA B3'!F125))/('WATER_STEAM RATIO'!P125-'WATER_STEAM RATIO'!P124),0)</f>
        <v>5.7879999999999203</v>
      </c>
    </row>
    <row r="126" spans="2:21">
      <c r="B126" s="292"/>
      <c r="C126" s="97">
        <v>0.75</v>
      </c>
      <c r="D126" s="84">
        <f>'DATA B1'!D127</f>
        <v>222134</v>
      </c>
      <c r="E126" s="5">
        <f t="shared" si="56"/>
        <v>0</v>
      </c>
      <c r="F126" s="80">
        <f>'DATA B1'!E127</f>
        <v>524526</v>
      </c>
      <c r="G126" s="80">
        <f t="shared" si="51"/>
        <v>0</v>
      </c>
      <c r="H126" s="28">
        <f t="shared" si="38"/>
        <v>0</v>
      </c>
      <c r="I126" s="45">
        <f>IFERROR((('DATA B1'!G127-'DATA B1'!G126)/('WATER_STEAM RATIO'!D126-'WATER_STEAM RATIO'!D125))*1000,0)</f>
        <v>0</v>
      </c>
      <c r="J126" s="50">
        <f>'DATA B2'!D127</f>
        <v>512344</v>
      </c>
      <c r="K126" s="82">
        <f t="shared" si="52"/>
        <v>11</v>
      </c>
      <c r="L126" s="80">
        <f>'DATA B2'!E127</f>
        <v>568347</v>
      </c>
      <c r="M126" s="80">
        <f t="shared" si="53"/>
        <v>17</v>
      </c>
      <c r="N126" s="28">
        <f t="shared" si="49"/>
        <v>1.5454545454545454</v>
      </c>
      <c r="O126" s="51">
        <f>IFERROR((('DATA B2'!F127-'DATA B2'!F126)/(K126))*1000,0)</f>
        <v>0</v>
      </c>
      <c r="P126" s="94">
        <f>'DATA B3'!C127</f>
        <v>221171</v>
      </c>
      <c r="Q126" s="91">
        <f t="shared" si="54"/>
        <v>6</v>
      </c>
      <c r="R126" s="80">
        <f>'DATA B3'!D127</f>
        <v>165782</v>
      </c>
      <c r="S126" s="80">
        <f t="shared" si="55"/>
        <v>5</v>
      </c>
      <c r="T126" s="15">
        <f t="shared" si="50"/>
        <v>0.83333333333333337</v>
      </c>
      <c r="U126" s="15">
        <f>IFERROR((('DATA B3'!E127-'DATA B3'!E126)+('DATA B3'!F127-'DATA B3'!F126))/('WATER_STEAM RATIO'!P126-'WATER_STEAM RATIO'!P125),0)</f>
        <v>5.0683333333333849</v>
      </c>
    </row>
    <row r="127" spans="2:21">
      <c r="B127" s="292"/>
      <c r="C127" s="97">
        <v>0.79166666666666596</v>
      </c>
      <c r="D127" s="84">
        <f>'DATA B1'!D128</f>
        <v>222134</v>
      </c>
      <c r="E127" s="5">
        <f t="shared" si="56"/>
        <v>0</v>
      </c>
      <c r="F127" s="80">
        <f>'DATA B1'!E128</f>
        <v>524526</v>
      </c>
      <c r="G127" s="80">
        <f t="shared" si="51"/>
        <v>0</v>
      </c>
      <c r="H127" s="28">
        <f t="shared" si="38"/>
        <v>0</v>
      </c>
      <c r="I127" s="45">
        <f>IFERROR((('DATA B1'!G128-'DATA B1'!G127)/('WATER_STEAM RATIO'!D127-'WATER_STEAM RATIO'!D126))*1000,0)</f>
        <v>0</v>
      </c>
      <c r="J127" s="50">
        <f>'DATA B2'!D128</f>
        <v>512355</v>
      </c>
      <c r="K127" s="82">
        <f t="shared" si="52"/>
        <v>11</v>
      </c>
      <c r="L127" s="80">
        <f>'DATA B2'!E128</f>
        <v>568364</v>
      </c>
      <c r="M127" s="80">
        <f t="shared" si="53"/>
        <v>17</v>
      </c>
      <c r="N127" s="28">
        <f t="shared" si="49"/>
        <v>1.5454545454545454</v>
      </c>
      <c r="O127" s="51">
        <f>IFERROR((('DATA B2'!F128-'DATA B2'!F127)/(K127))*1000,0)</f>
        <v>9.0909090909080895E-3</v>
      </c>
      <c r="P127" s="94">
        <f>'DATA B3'!C128</f>
        <v>221177</v>
      </c>
      <c r="Q127" s="91">
        <f t="shared" si="54"/>
        <v>6</v>
      </c>
      <c r="R127" s="80">
        <f>'DATA B3'!D128</f>
        <v>165787</v>
      </c>
      <c r="S127" s="80">
        <f t="shared" si="55"/>
        <v>5</v>
      </c>
      <c r="T127" s="15">
        <f t="shared" si="50"/>
        <v>0.83333333333333337</v>
      </c>
      <c r="U127" s="15">
        <f>IFERROR((('DATA B3'!E128-'DATA B3'!E127)+('DATA B3'!F128-'DATA B3'!F127))/('WATER_STEAM RATIO'!P127-'WATER_STEAM RATIO'!P126),0)</f>
        <v>5.291666666666667</v>
      </c>
    </row>
    <row r="128" spans="2:21">
      <c r="B128" s="292"/>
      <c r="C128" s="97">
        <v>0.83333333333333304</v>
      </c>
      <c r="D128" s="84">
        <f>'DATA B1'!D129</f>
        <v>222134</v>
      </c>
      <c r="E128" s="5">
        <f t="shared" si="56"/>
        <v>0</v>
      </c>
      <c r="F128" s="80">
        <f>'DATA B1'!E129</f>
        <v>524526</v>
      </c>
      <c r="G128" s="80">
        <f t="shared" si="51"/>
        <v>0</v>
      </c>
      <c r="H128" s="28">
        <f t="shared" si="38"/>
        <v>0</v>
      </c>
      <c r="I128" s="45">
        <f>IFERROR((('DATA B1'!G129-'DATA B1'!G128)/('WATER_STEAM RATIO'!D128-'WATER_STEAM RATIO'!D127))*1000,0)</f>
        <v>0</v>
      </c>
      <c r="J128" s="50">
        <f>'DATA B2'!D129</f>
        <v>512367</v>
      </c>
      <c r="K128" s="82">
        <f t="shared" si="52"/>
        <v>12</v>
      </c>
      <c r="L128" s="80">
        <f>'DATA B2'!E129</f>
        <v>568382</v>
      </c>
      <c r="M128" s="80">
        <f t="shared" si="53"/>
        <v>18</v>
      </c>
      <c r="N128" s="28">
        <f t="shared" si="49"/>
        <v>1.5</v>
      </c>
      <c r="O128" s="51">
        <f>IFERROR((('DATA B2'!F129-'DATA B2'!F128)/(K128))*1000,0)</f>
        <v>0</v>
      </c>
      <c r="P128" s="94">
        <f>'DATA B3'!C129</f>
        <v>221185</v>
      </c>
      <c r="Q128" s="91">
        <f t="shared" si="54"/>
        <v>8</v>
      </c>
      <c r="R128" s="80">
        <f>'DATA B3'!D129</f>
        <v>165794</v>
      </c>
      <c r="S128" s="80">
        <f t="shared" si="55"/>
        <v>7</v>
      </c>
      <c r="T128" s="15">
        <f t="shared" si="50"/>
        <v>0.875</v>
      </c>
      <c r="U128" s="15">
        <f>IFERROR((('DATA B3'!E129-'DATA B3'!E128)+('DATA B3'!F129-'DATA B3'!F128))/('WATER_STEAM RATIO'!P128-'WATER_STEAM RATIO'!P127),0)</f>
        <v>4.6074999999999591</v>
      </c>
    </row>
    <row r="129" spans="2:21">
      <c r="B129" s="292"/>
      <c r="C129" s="97">
        <v>0.875</v>
      </c>
      <c r="D129" s="84">
        <f>'DATA B1'!D130</f>
        <v>222134</v>
      </c>
      <c r="E129" s="5">
        <f t="shared" si="56"/>
        <v>0</v>
      </c>
      <c r="F129" s="80">
        <f>'DATA B1'!E130</f>
        <v>524526</v>
      </c>
      <c r="G129" s="80">
        <f t="shared" si="51"/>
        <v>0</v>
      </c>
      <c r="H129" s="28">
        <f t="shared" si="38"/>
        <v>0</v>
      </c>
      <c r="I129" s="45">
        <f>IFERROR((('DATA B1'!G130-'DATA B1'!G129)/('WATER_STEAM RATIO'!D129-'WATER_STEAM RATIO'!D128))*1000,0)</f>
        <v>0</v>
      </c>
      <c r="J129" s="50">
        <f>'DATA B2'!D130</f>
        <v>512377</v>
      </c>
      <c r="K129" s="82">
        <f t="shared" si="52"/>
        <v>10</v>
      </c>
      <c r="L129" s="80">
        <f>'DATA B2'!E130</f>
        <v>568395</v>
      </c>
      <c r="M129" s="80">
        <f t="shared" si="53"/>
        <v>13</v>
      </c>
      <c r="N129" s="28">
        <f>IFERROR(M129/K129,0)</f>
        <v>1.3</v>
      </c>
      <c r="O129" s="51">
        <f>IFERROR((('DATA B2'!F130-'DATA B2'!F129)/(K129))*1000,0)</f>
        <v>0</v>
      </c>
      <c r="P129" s="94">
        <f>'DATA B3'!C130</f>
        <v>221191</v>
      </c>
      <c r="Q129" s="91">
        <f t="shared" si="54"/>
        <v>6</v>
      </c>
      <c r="R129" s="80">
        <f>'DATA B3'!D130</f>
        <v>165799</v>
      </c>
      <c r="S129" s="80">
        <f t="shared" si="55"/>
        <v>5</v>
      </c>
      <c r="T129" s="15">
        <f t="shared" si="50"/>
        <v>0.83333333333333337</v>
      </c>
      <c r="U129" s="15">
        <f>IFERROR((('DATA B3'!E130-'DATA B3'!E129)+('DATA B3'!F130-'DATA B3'!F129))/('WATER_STEAM RATIO'!P129-'WATER_STEAM RATIO'!P128),0)</f>
        <v>5.2383333333333439</v>
      </c>
    </row>
    <row r="130" spans="2:21">
      <c r="B130" s="292"/>
      <c r="C130" s="97">
        <v>0.91666666666666596</v>
      </c>
      <c r="D130" s="84">
        <f>'DATA B1'!D131</f>
        <v>222134</v>
      </c>
      <c r="E130" s="5">
        <f t="shared" si="56"/>
        <v>0</v>
      </c>
      <c r="F130" s="80">
        <f>'DATA B1'!E131</f>
        <v>524526</v>
      </c>
      <c r="G130" s="80">
        <f t="shared" si="51"/>
        <v>0</v>
      </c>
      <c r="H130" s="28">
        <f t="shared" si="38"/>
        <v>0</v>
      </c>
      <c r="I130" s="45">
        <f>IFERROR((('DATA B1'!G131-'DATA B1'!G130)/('WATER_STEAM RATIO'!D130-'WATER_STEAM RATIO'!D129))*1000,0)</f>
        <v>0</v>
      </c>
      <c r="J130" s="50">
        <f>'DATA B2'!D131</f>
        <v>512387</v>
      </c>
      <c r="K130" s="82">
        <f t="shared" si="52"/>
        <v>10</v>
      </c>
      <c r="L130" s="80">
        <f>'DATA B2'!E131</f>
        <v>568409</v>
      </c>
      <c r="M130" s="80">
        <f t="shared" si="53"/>
        <v>14</v>
      </c>
      <c r="N130" s="28">
        <f t="shared" si="49"/>
        <v>1.4</v>
      </c>
      <c r="O130" s="51">
        <f>IFERROR((('DATA B2'!F131-'DATA B2'!F130)/(K130))*1000,0)</f>
        <v>0</v>
      </c>
      <c r="P130" s="94">
        <f>'DATA B3'!C131</f>
        <v>221197</v>
      </c>
      <c r="Q130" s="91">
        <f t="shared" si="54"/>
        <v>6</v>
      </c>
      <c r="R130" s="80">
        <f>'DATA B3'!D131</f>
        <v>165804</v>
      </c>
      <c r="S130" s="80">
        <f t="shared" si="55"/>
        <v>5</v>
      </c>
      <c r="T130" s="15">
        <f t="shared" si="50"/>
        <v>0.83333333333333337</v>
      </c>
      <c r="U130" s="15">
        <f>IFERROR((('DATA B3'!E131-'DATA B3'!E130)+('DATA B3'!F131-'DATA B3'!F130))/('WATER_STEAM RATIO'!P130-'WATER_STEAM RATIO'!P129),0)</f>
        <v>5.2383333333333821</v>
      </c>
    </row>
    <row r="131" spans="2:21">
      <c r="B131" s="292"/>
      <c r="C131" s="97">
        <v>0.95833333333333304</v>
      </c>
      <c r="D131" s="84">
        <f>'DATA B1'!D132</f>
        <v>222134</v>
      </c>
      <c r="E131" s="5">
        <f t="shared" si="56"/>
        <v>0</v>
      </c>
      <c r="F131" s="80">
        <f>'DATA B1'!E132</f>
        <v>524526</v>
      </c>
      <c r="G131" s="80">
        <f t="shared" si="51"/>
        <v>0</v>
      </c>
      <c r="H131" s="28">
        <f t="shared" si="38"/>
        <v>0</v>
      </c>
      <c r="I131" s="45">
        <f>IFERROR((('DATA B1'!G132-'DATA B1'!G131)/('WATER_STEAM RATIO'!D131-'WATER_STEAM RATIO'!D130))*1000,0)</f>
        <v>0</v>
      </c>
      <c r="J131" s="50">
        <f>'DATA B2'!D132</f>
        <v>512397</v>
      </c>
      <c r="K131" s="82">
        <f>SUM(J131-J130)</f>
        <v>10</v>
      </c>
      <c r="L131" s="80">
        <f>'DATA B2'!E132</f>
        <v>568423</v>
      </c>
      <c r="M131" s="80">
        <f t="shared" si="53"/>
        <v>14</v>
      </c>
      <c r="N131" s="28">
        <f t="shared" si="49"/>
        <v>1.4</v>
      </c>
      <c r="O131" s="51">
        <f>IFERROR((('DATA B2'!F132-'DATA B2'!F131)/(K131))*1000,0)</f>
        <v>0</v>
      </c>
      <c r="P131" s="94">
        <f>'DATA B3'!C132</f>
        <v>221204</v>
      </c>
      <c r="Q131" s="91">
        <f t="shared" si="54"/>
        <v>7</v>
      </c>
      <c r="R131" s="80">
        <f>'DATA B3'!D132</f>
        <v>165809</v>
      </c>
      <c r="S131" s="80">
        <f t="shared" si="55"/>
        <v>5</v>
      </c>
      <c r="T131" s="15">
        <f t="shared" si="50"/>
        <v>0.7142857142857143</v>
      </c>
      <c r="U131" s="15">
        <f>IFERROR((('DATA B3'!E132-'DATA B3'!E131)+('DATA B3'!F132-'DATA B3'!F131))/('WATER_STEAM RATIO'!P131-'WATER_STEAM RATIO'!P130),0)</f>
        <v>4.4928571428571171</v>
      </c>
    </row>
    <row r="132" spans="2:21">
      <c r="B132" s="292"/>
      <c r="C132" s="97">
        <v>1</v>
      </c>
      <c r="D132" s="84">
        <f>'DATA B1'!D133</f>
        <v>222134</v>
      </c>
      <c r="E132" s="5">
        <f t="shared" si="56"/>
        <v>0</v>
      </c>
      <c r="F132" s="80">
        <f>'DATA B1'!E133</f>
        <v>524526</v>
      </c>
      <c r="G132" s="80">
        <f t="shared" si="51"/>
        <v>0</v>
      </c>
      <c r="H132" s="28">
        <f t="shared" si="38"/>
        <v>0</v>
      </c>
      <c r="I132" s="45">
        <f>IFERROR((('DATA B1'!G133-'DATA B1'!G132)/('WATER_STEAM RATIO'!D132-'WATER_STEAM RATIO'!D131))*1000,0)</f>
        <v>0</v>
      </c>
      <c r="J132" s="50">
        <f>'DATA B2'!D133</f>
        <v>512406</v>
      </c>
      <c r="K132" s="82">
        <f t="shared" si="52"/>
        <v>9</v>
      </c>
      <c r="L132" s="80">
        <f>'DATA B2'!E133</f>
        <v>568439</v>
      </c>
      <c r="M132" s="80">
        <f t="shared" si="53"/>
        <v>16</v>
      </c>
      <c r="N132" s="28">
        <f t="shared" si="49"/>
        <v>1.7777777777777777</v>
      </c>
      <c r="O132" s="51">
        <f>IFERROR((('DATA B2'!F133-'DATA B2'!F132)/(K132))*1000,0)</f>
        <v>0</v>
      </c>
      <c r="P132" s="94">
        <f>'DATA B3'!C133</f>
        <v>221206</v>
      </c>
      <c r="Q132" s="91">
        <f t="shared" si="54"/>
        <v>2</v>
      </c>
      <c r="R132" s="80">
        <f>'DATA B3'!D133</f>
        <v>165812</v>
      </c>
      <c r="S132" s="80">
        <f t="shared" si="55"/>
        <v>3</v>
      </c>
      <c r="T132" s="15">
        <f t="shared" si="50"/>
        <v>1.5</v>
      </c>
      <c r="U132" s="15">
        <f>IFERROR((('DATA B3'!E133-'DATA B3'!E132)+('DATA B3'!F133-'DATA B3'!F132))/('WATER_STEAM RATIO'!P132-'WATER_STEAM RATIO'!P131),0)</f>
        <v>11.279999999999973</v>
      </c>
    </row>
    <row r="133" spans="2:21">
      <c r="B133" s="292"/>
      <c r="C133" s="97">
        <v>1.0416666666666701</v>
      </c>
      <c r="D133" s="84">
        <f>'DATA B1'!D134</f>
        <v>222134</v>
      </c>
      <c r="E133" s="5">
        <f t="shared" si="56"/>
        <v>0</v>
      </c>
      <c r="F133" s="80">
        <f>'DATA B1'!E134</f>
        <v>524526</v>
      </c>
      <c r="G133" s="80">
        <f t="shared" si="51"/>
        <v>0</v>
      </c>
      <c r="H133" s="28">
        <f t="shared" si="38"/>
        <v>0</v>
      </c>
      <c r="I133" s="45">
        <f>IFERROR((('DATA B1'!G134-'DATA B1'!G133)/('WATER_STEAM RATIO'!D133-'WATER_STEAM RATIO'!D132))*1000,0)</f>
        <v>0</v>
      </c>
      <c r="J133" s="50">
        <f>'DATA B2'!D134</f>
        <v>512415</v>
      </c>
      <c r="K133" s="82">
        <f t="shared" si="52"/>
        <v>9</v>
      </c>
      <c r="L133" s="80">
        <f>'DATA B2'!E134</f>
        <v>568455</v>
      </c>
      <c r="M133" s="80">
        <f t="shared" si="53"/>
        <v>16</v>
      </c>
      <c r="N133" s="28">
        <f t="shared" si="49"/>
        <v>1.7777777777777777</v>
      </c>
      <c r="O133" s="51">
        <f>IFERROR((('DATA B2'!F134-'DATA B2'!F133)/(K133))*1000,0)</f>
        <v>0</v>
      </c>
      <c r="P133" s="94">
        <f>'DATA B3'!C134</f>
        <v>221206</v>
      </c>
      <c r="Q133" s="91">
        <f t="shared" si="54"/>
        <v>0</v>
      </c>
      <c r="R133" s="80">
        <f>'DATA B3'!D134</f>
        <v>165812</v>
      </c>
      <c r="S133" s="80">
        <f t="shared" si="55"/>
        <v>0</v>
      </c>
      <c r="T133" s="15">
        <f t="shared" si="50"/>
        <v>0</v>
      </c>
      <c r="U133" s="15">
        <f>IFERROR((('DATA B3'!E134-'DATA B3'!E133)+('DATA B3'!F134-'DATA B3'!F133))/('WATER_STEAM RATIO'!P133-'WATER_STEAM RATIO'!P132),0)</f>
        <v>0</v>
      </c>
    </row>
    <row r="134" spans="2:21">
      <c r="B134" s="292"/>
      <c r="C134" s="97">
        <v>1.0833333333333399</v>
      </c>
      <c r="D134" s="84">
        <f>'DATA B1'!D135</f>
        <v>222134</v>
      </c>
      <c r="E134" s="5">
        <f>SUM(D134-D133)</f>
        <v>0</v>
      </c>
      <c r="F134" s="80">
        <f>'DATA B1'!E135</f>
        <v>524526</v>
      </c>
      <c r="G134" s="80">
        <f t="shared" si="51"/>
        <v>0</v>
      </c>
      <c r="H134" s="28">
        <f t="shared" si="38"/>
        <v>0</v>
      </c>
      <c r="I134" s="45">
        <f>IFERROR((('DATA B1'!G135-'DATA B1'!G134)/('WATER_STEAM RATIO'!D134-'WATER_STEAM RATIO'!D133))*1000,0)</f>
        <v>0</v>
      </c>
      <c r="J134" s="50">
        <f>'DATA B2'!D135</f>
        <v>512425</v>
      </c>
      <c r="K134" s="82">
        <f t="shared" si="52"/>
        <v>10</v>
      </c>
      <c r="L134" s="80">
        <f>'DATA B2'!E135</f>
        <v>568471</v>
      </c>
      <c r="M134" s="80">
        <f t="shared" si="53"/>
        <v>16</v>
      </c>
      <c r="N134" s="28">
        <f t="shared" si="49"/>
        <v>1.6</v>
      </c>
      <c r="O134" s="51">
        <f>IFERROR((('DATA B2'!F135-'DATA B2'!F134)/(K134))*1000,0)</f>
        <v>0</v>
      </c>
      <c r="P134" s="94">
        <f>'DATA B3'!C135</f>
        <v>221206</v>
      </c>
      <c r="Q134" s="91">
        <f>SUM(P134-P133)</f>
        <v>0</v>
      </c>
      <c r="R134" s="80">
        <f>'DATA B3'!D135</f>
        <v>165812</v>
      </c>
      <c r="S134" s="80">
        <f t="shared" si="55"/>
        <v>0</v>
      </c>
      <c r="T134" s="15">
        <f t="shared" si="50"/>
        <v>0</v>
      </c>
      <c r="U134" s="15">
        <f>IFERROR((('DATA B3'!E135-'DATA B3'!E134)+('DATA B3'!F135-'DATA B3'!F134))/('WATER_STEAM RATIO'!P134-'WATER_STEAM RATIO'!P133),0)</f>
        <v>0</v>
      </c>
    </row>
    <row r="135" spans="2:21">
      <c r="B135" s="292"/>
      <c r="C135" s="97">
        <v>1.125</v>
      </c>
      <c r="D135" s="84">
        <f>'DATA B1'!D136</f>
        <v>222134</v>
      </c>
      <c r="E135" s="5">
        <f t="shared" si="56"/>
        <v>0</v>
      </c>
      <c r="F135" s="80">
        <f>'DATA B1'!E136</f>
        <v>524526</v>
      </c>
      <c r="G135" s="80">
        <f t="shared" si="51"/>
        <v>0</v>
      </c>
      <c r="H135" s="28">
        <f t="shared" si="38"/>
        <v>0</v>
      </c>
      <c r="I135" s="45">
        <f>IFERROR((('DATA B1'!G136-'DATA B1'!G135)/('WATER_STEAM RATIO'!D135-'WATER_STEAM RATIO'!D134))*1000,0)</f>
        <v>0</v>
      </c>
      <c r="J135" s="50">
        <f>'DATA B2'!D136</f>
        <v>512435</v>
      </c>
      <c r="K135" s="82">
        <f t="shared" si="52"/>
        <v>10</v>
      </c>
      <c r="L135" s="80">
        <f>'DATA B2'!E136</f>
        <v>568488</v>
      </c>
      <c r="M135" s="80">
        <f t="shared" si="53"/>
        <v>17</v>
      </c>
      <c r="N135" s="28">
        <f t="shared" si="49"/>
        <v>1.7</v>
      </c>
      <c r="O135" s="51">
        <f>IFERROR((('DATA B2'!F136-'DATA B2'!F135)/(K135))*1000,0)</f>
        <v>0</v>
      </c>
      <c r="P135" s="94">
        <f>'DATA B3'!C136</f>
        <v>221206</v>
      </c>
      <c r="Q135" s="91">
        <f t="shared" si="54"/>
        <v>0</v>
      </c>
      <c r="R135" s="80">
        <f>'DATA B3'!D136</f>
        <v>165812</v>
      </c>
      <c r="S135" s="80">
        <f t="shared" si="55"/>
        <v>0</v>
      </c>
      <c r="T135" s="15">
        <f t="shared" si="50"/>
        <v>0</v>
      </c>
      <c r="U135" s="15">
        <f>IFERROR((('DATA B3'!E136-'DATA B3'!E135)+('DATA B3'!F136-'DATA B3'!F135))/('WATER_STEAM RATIO'!P135-'WATER_STEAM RATIO'!P134),0)</f>
        <v>0</v>
      </c>
    </row>
    <row r="136" spans="2:21">
      <c r="B136" s="292"/>
      <c r="C136" s="97">
        <v>1.1666666666666701</v>
      </c>
      <c r="D136" s="84">
        <f>'DATA B1'!D137</f>
        <v>222134</v>
      </c>
      <c r="E136" s="5">
        <f t="shared" si="56"/>
        <v>0</v>
      </c>
      <c r="F136" s="80">
        <f>'DATA B1'!E137</f>
        <v>524526</v>
      </c>
      <c r="G136" s="80">
        <f t="shared" si="51"/>
        <v>0</v>
      </c>
      <c r="H136" s="28">
        <f t="shared" si="38"/>
        <v>0</v>
      </c>
      <c r="I136" s="45">
        <f>IFERROR((('DATA B1'!G137-'DATA B1'!G136)/('WATER_STEAM RATIO'!D136-'WATER_STEAM RATIO'!D135))*1000,0)</f>
        <v>0</v>
      </c>
      <c r="J136" s="50">
        <f>'DATA B2'!D137</f>
        <v>512443</v>
      </c>
      <c r="K136" s="82">
        <f t="shared" si="52"/>
        <v>8</v>
      </c>
      <c r="L136" s="80">
        <f>'DATA B2'!E137</f>
        <v>568505</v>
      </c>
      <c r="M136" s="80">
        <f t="shared" si="53"/>
        <v>17</v>
      </c>
      <c r="N136" s="28">
        <f t="shared" si="49"/>
        <v>2.125</v>
      </c>
      <c r="O136" s="51">
        <f>IFERROR((('DATA B2'!F137-'DATA B2'!F136)/(K136))*1000,0)</f>
        <v>0</v>
      </c>
      <c r="P136" s="94">
        <f>'DATA B3'!C137</f>
        <v>221206</v>
      </c>
      <c r="Q136" s="91">
        <f t="shared" si="54"/>
        <v>0</v>
      </c>
      <c r="R136" s="80">
        <f>'DATA B3'!D137</f>
        <v>165812</v>
      </c>
      <c r="S136" s="80">
        <f t="shared" si="55"/>
        <v>0</v>
      </c>
      <c r="T136" s="15">
        <f t="shared" si="50"/>
        <v>0</v>
      </c>
      <c r="U136" s="15">
        <f>IFERROR((('DATA B3'!E137-'DATA B3'!E136)+('DATA B3'!F137-'DATA B3'!F136))/('WATER_STEAM RATIO'!P136-'WATER_STEAM RATIO'!P135),0)</f>
        <v>0</v>
      </c>
    </row>
    <row r="137" spans="2:21">
      <c r="B137" s="292"/>
      <c r="C137" s="97">
        <v>1.2083333333333399</v>
      </c>
      <c r="D137" s="84">
        <f>'DATA B1'!D138</f>
        <v>222134</v>
      </c>
      <c r="E137" s="5">
        <f t="shared" si="56"/>
        <v>0</v>
      </c>
      <c r="F137" s="80">
        <f>'DATA B1'!E138</f>
        <v>524526</v>
      </c>
      <c r="G137" s="80">
        <f t="shared" si="51"/>
        <v>0</v>
      </c>
      <c r="H137" s="28">
        <f t="shared" si="38"/>
        <v>0</v>
      </c>
      <c r="I137" s="45">
        <f>IFERROR((('DATA B1'!G138-'DATA B1'!G137)/('WATER_STEAM RATIO'!D137-'WATER_STEAM RATIO'!D136))*1000,0)</f>
        <v>0</v>
      </c>
      <c r="J137" s="50">
        <f>'DATA B2'!D138</f>
        <v>512451</v>
      </c>
      <c r="K137" s="82">
        <f t="shared" si="52"/>
        <v>8</v>
      </c>
      <c r="L137" s="80">
        <f>'DATA B2'!E138</f>
        <v>568522</v>
      </c>
      <c r="M137" s="80">
        <f t="shared" si="53"/>
        <v>17</v>
      </c>
      <c r="N137" s="28">
        <f t="shared" si="49"/>
        <v>2.125</v>
      </c>
      <c r="O137" s="51">
        <f>IFERROR((('DATA B2'!F138-'DATA B2'!F137)/(K137))*1000,0)</f>
        <v>0</v>
      </c>
      <c r="P137" s="94">
        <f>'DATA B3'!C138</f>
        <v>221206</v>
      </c>
      <c r="Q137" s="91">
        <f t="shared" si="54"/>
        <v>0</v>
      </c>
      <c r="R137" s="80">
        <f>'DATA B3'!D138</f>
        <v>165812</v>
      </c>
      <c r="S137" s="80">
        <f t="shared" si="55"/>
        <v>0</v>
      </c>
      <c r="T137" s="15">
        <f t="shared" si="50"/>
        <v>0</v>
      </c>
      <c r="U137" s="15">
        <f>IFERROR((('DATA B3'!E138-'DATA B3'!E137)+('DATA B3'!F138-'DATA B3'!F137))/('WATER_STEAM RATIO'!P137-'WATER_STEAM RATIO'!P136),0)</f>
        <v>0</v>
      </c>
    </row>
    <row r="138" spans="2:21">
      <c r="B138" s="292"/>
      <c r="C138" s="97">
        <v>1.25</v>
      </c>
      <c r="D138" s="84">
        <f>'DATA B1'!D139</f>
        <v>222134</v>
      </c>
      <c r="E138" s="5">
        <f t="shared" si="56"/>
        <v>0</v>
      </c>
      <c r="F138" s="80">
        <f>'DATA B1'!E139</f>
        <v>524526</v>
      </c>
      <c r="G138" s="80">
        <f t="shared" si="51"/>
        <v>0</v>
      </c>
      <c r="H138" s="28">
        <f t="shared" si="38"/>
        <v>0</v>
      </c>
      <c r="I138" s="45">
        <f>IFERROR((('DATA B1'!G139-'DATA B1'!G138)/('WATER_STEAM RATIO'!D138-'WATER_STEAM RATIO'!D137))*1000,0)</f>
        <v>0</v>
      </c>
      <c r="J138" s="50">
        <f>'DATA B2'!D139</f>
        <v>512460</v>
      </c>
      <c r="K138" s="82">
        <f t="shared" si="52"/>
        <v>9</v>
      </c>
      <c r="L138" s="80">
        <f>'DATA B2'!E139</f>
        <v>568539</v>
      </c>
      <c r="M138" s="80">
        <f t="shared" si="53"/>
        <v>17</v>
      </c>
      <c r="N138" s="28">
        <f t="shared" si="49"/>
        <v>1.8888888888888888</v>
      </c>
      <c r="O138" s="51">
        <f>IFERROR((('DATA B2'!F139-'DATA B2'!F138)/(K138))*1000,0)</f>
        <v>0</v>
      </c>
      <c r="P138" s="94">
        <f>'DATA B3'!C139</f>
        <v>221206</v>
      </c>
      <c r="Q138" s="91">
        <f t="shared" si="54"/>
        <v>0</v>
      </c>
      <c r="R138" s="80">
        <f>'DATA B3'!D139</f>
        <v>165812</v>
      </c>
      <c r="S138" s="80">
        <f t="shared" si="55"/>
        <v>0</v>
      </c>
      <c r="T138" s="15">
        <f t="shared" si="50"/>
        <v>0</v>
      </c>
      <c r="U138" s="15">
        <f>IFERROR((('DATA B3'!E139-'DATA B3'!E138)+('DATA B3'!F139-'DATA B3'!F138))/('WATER_STEAM RATIO'!P138-'WATER_STEAM RATIO'!P137),0)</f>
        <v>0</v>
      </c>
    </row>
    <row r="139" spans="2:21">
      <c r="B139" s="292"/>
      <c r="C139" s="97">
        <v>1.2916666666666701</v>
      </c>
      <c r="D139" s="84">
        <f>'DATA B1'!D140</f>
        <v>222134</v>
      </c>
      <c r="E139" s="5">
        <f t="shared" si="56"/>
        <v>0</v>
      </c>
      <c r="F139" s="80">
        <f>'DATA B1'!E140</f>
        <v>524526</v>
      </c>
      <c r="G139" s="80">
        <f t="shared" si="51"/>
        <v>0</v>
      </c>
      <c r="H139" s="28">
        <f t="shared" si="38"/>
        <v>0</v>
      </c>
      <c r="I139" s="45">
        <f>IFERROR((('DATA B1'!G140-'DATA B1'!G139)/('WATER_STEAM RATIO'!D139-'WATER_STEAM RATIO'!D138))*1000,0)</f>
        <v>0</v>
      </c>
      <c r="J139" s="50">
        <f>'DATA B2'!D140</f>
        <v>512469</v>
      </c>
      <c r="K139" s="82">
        <f>SUM(J139-J138)</f>
        <v>9</v>
      </c>
      <c r="L139" s="80">
        <f>'DATA B2'!E140</f>
        <v>568559</v>
      </c>
      <c r="M139" s="80">
        <f t="shared" si="53"/>
        <v>20</v>
      </c>
      <c r="N139" s="28">
        <f t="shared" si="49"/>
        <v>2.2222222222222223</v>
      </c>
      <c r="O139" s="51">
        <f>IFERROR((('DATA B2'!F140-'DATA B2'!F139)/(K139))*1000,0)</f>
        <v>0</v>
      </c>
      <c r="P139" s="94">
        <f>'DATA B3'!C140</f>
        <v>221206</v>
      </c>
      <c r="Q139" s="91">
        <f t="shared" si="54"/>
        <v>0</v>
      </c>
      <c r="R139" s="80">
        <f>'DATA B3'!D140</f>
        <v>165812</v>
      </c>
      <c r="S139" s="80">
        <f t="shared" si="55"/>
        <v>0</v>
      </c>
      <c r="T139" s="15">
        <f t="shared" si="50"/>
        <v>0</v>
      </c>
      <c r="U139" s="15">
        <f>IFERROR((('DATA B3'!E140-'DATA B3'!E139)+('DATA B3'!F140-'DATA B3'!F139))/('WATER_STEAM RATIO'!P139-'WATER_STEAM RATIO'!P138),0)</f>
        <v>0</v>
      </c>
    </row>
    <row r="140" spans="2:21" ht="15.75" thickBot="1">
      <c r="B140" s="293"/>
      <c r="C140" s="235"/>
      <c r="D140" s="224" cm="1">
        <f t="array" ref="D140">IFERROR(LOOKUP(2,1/(D115:D139&gt;0),D115:D139-D115),0)</f>
        <v>0</v>
      </c>
      <c r="E140" s="223">
        <f>SUMIF(E116:E139,"&gt;=0",E116:E139)</f>
        <v>0</v>
      </c>
      <c r="F140" s="224" cm="1">
        <f t="array" ref="F140">IFERROR(LOOKUP(2,1/(F115:F139&gt;0),F115:F139-F115),0)</f>
        <v>0</v>
      </c>
      <c r="G140" s="223">
        <f>SUMIF(G116:G139,"&gt;=0",G116:G139)</f>
        <v>0</v>
      </c>
      <c r="H140" s="225">
        <f t="shared" si="38"/>
        <v>0</v>
      </c>
      <c r="I140" s="236">
        <f>IFERROR((('DATA B1'!H141)/(E140))*1000,0)</f>
        <v>0</v>
      </c>
      <c r="J140" s="222" cm="1">
        <f t="array" ref="J140">IFERROR(LOOKUP(2,1/(J115:J139&gt;0),J115:J139-J115),0)</f>
        <v>244</v>
      </c>
      <c r="K140" s="223">
        <f>SUMIF(K116:K139,"&gt;=0",K116:K139)</f>
        <v>244</v>
      </c>
      <c r="L140" s="224" cm="1">
        <f t="array" ref="L140">IFERROR(LOOKUP(2,1/(L115:L139&gt;0),L115:L139-L115),0)</f>
        <v>400</v>
      </c>
      <c r="M140" s="223">
        <f>SUMIF(M116:M139,"&gt;=0",M116:M139)</f>
        <v>400</v>
      </c>
      <c r="N140" s="225">
        <f>IFERROR(M140/K140,0)</f>
        <v>1.639344262295082</v>
      </c>
      <c r="O140" s="226">
        <f>IFERROR((('DATA B2'!H141)/(K140))*1000,0)</f>
        <v>4.5081967213109787E-3</v>
      </c>
      <c r="P140" s="224" cm="1">
        <f t="array" ref="P140">IFERROR(LOOKUP(2,1/(P115:P139&gt;0),P115:P139-P115),0)</f>
        <v>102</v>
      </c>
      <c r="Q140" s="223">
        <f>SUMIF(Q116:Q139,"&gt;=0",Q116:Q139)</f>
        <v>102</v>
      </c>
      <c r="R140" s="224" cm="1">
        <f t="array" ref="R140">IFERROR(LOOKUP(2,1/(R115:R139&gt;0),R115:R139-R115),0)</f>
        <v>90</v>
      </c>
      <c r="S140" s="223">
        <f>SUMIF(S116:S139,"&gt;=0",S116:S139)</f>
        <v>90</v>
      </c>
      <c r="T140" s="237">
        <f t="shared" si="50"/>
        <v>0.88235294117647056</v>
      </c>
      <c r="U140" s="226">
        <f>IFERROR(('DATA B3'!E141+'DATA B3'!F141)/Q140*1000,0)</f>
        <v>5290.3921568627466</v>
      </c>
    </row>
    <row r="141" spans="2:21" ht="15" customHeight="1">
      <c r="B141" s="291">
        <f>SUM('DATA B1'!B142:B167)</f>
        <v>46028</v>
      </c>
      <c r="C141" s="97">
        <v>0.29166666666666669</v>
      </c>
      <c r="D141" s="84">
        <f>'DATA B1'!D142</f>
        <v>222134</v>
      </c>
      <c r="E141" s="5">
        <f>SUM(E139)</f>
        <v>0</v>
      </c>
      <c r="F141" s="80">
        <f>'DATA B1'!E142</f>
        <v>524526</v>
      </c>
      <c r="G141" s="80">
        <f>SUM(G139)</f>
        <v>0</v>
      </c>
      <c r="H141" s="28">
        <f t="shared" si="38"/>
        <v>0</v>
      </c>
      <c r="I141" s="45"/>
      <c r="J141" s="50">
        <f>'DATA B2'!D142</f>
        <v>512469</v>
      </c>
      <c r="K141" s="82">
        <f>SUM(K139)</f>
        <v>9</v>
      </c>
      <c r="L141" s="80">
        <f>'DATA B2'!E142</f>
        <v>568559</v>
      </c>
      <c r="M141" s="80">
        <f>SUM(M139)</f>
        <v>20</v>
      </c>
      <c r="N141" s="28">
        <f>IFERROR(M141/K141,0)</f>
        <v>2.2222222222222223</v>
      </c>
      <c r="O141" s="103"/>
      <c r="P141" s="94">
        <f>'DATA B3'!C142</f>
        <v>221206</v>
      </c>
      <c r="Q141" s="91">
        <f>SUM(Q139)</f>
        <v>0</v>
      </c>
      <c r="R141" s="80">
        <f>'DATA B3'!D142</f>
        <v>165812</v>
      </c>
      <c r="S141" s="80">
        <f>SUM(S139)</f>
        <v>0</v>
      </c>
      <c r="T141" s="15">
        <f>IFERROR(S141/Q141,0)</f>
        <v>0</v>
      </c>
      <c r="U141" s="15"/>
    </row>
    <row r="142" spans="2:21">
      <c r="B142" s="292"/>
      <c r="C142" s="97">
        <v>0.33333333333333298</v>
      </c>
      <c r="D142" s="84">
        <f>'DATA B1'!D143</f>
        <v>222134</v>
      </c>
      <c r="E142" s="5">
        <f t="shared" ref="E142:E148" si="57">SUM(D142-D141)</f>
        <v>0</v>
      </c>
      <c r="F142" s="80">
        <f>'DATA B1'!E143</f>
        <v>524526</v>
      </c>
      <c r="G142" s="80">
        <f>SUM(F142-F141)</f>
        <v>0</v>
      </c>
      <c r="H142" s="28">
        <f t="shared" ref="H142:H205" si="58" xml:space="preserve"> IFERROR(G142/E142,0)</f>
        <v>0</v>
      </c>
      <c r="I142" s="45">
        <f>IFERROR((('DATA B1'!G143-'DATA B1'!G142)/('WATER_STEAM RATIO'!D142-'WATER_STEAM RATIO'!D141))*1000,0)</f>
        <v>0</v>
      </c>
      <c r="J142" s="50">
        <f>'DATA B2'!D143</f>
        <v>512480</v>
      </c>
      <c r="K142" s="82">
        <f>SUM(J142-J141)</f>
        <v>11</v>
      </c>
      <c r="L142" s="80">
        <f>'DATA B2'!E143</f>
        <v>568580</v>
      </c>
      <c r="M142" s="80">
        <f>SUM(L142-L141)</f>
        <v>21</v>
      </c>
      <c r="N142" s="28">
        <f t="shared" ref="N142:N165" si="59">IFERROR(M142/K142,0)</f>
        <v>1.9090909090909092</v>
      </c>
      <c r="O142" s="51">
        <f>IFERROR((('DATA B2'!F143-'DATA B2'!F142)/(K142))*1000,0)</f>
        <v>9.0909090909080895E-3</v>
      </c>
      <c r="P142" s="94">
        <f>'DATA B3'!C143</f>
        <v>221206</v>
      </c>
      <c r="Q142" s="91">
        <f>SUM(P142-P141)</f>
        <v>0</v>
      </c>
      <c r="R142" s="80">
        <f>'DATA B3'!D143</f>
        <v>165812</v>
      </c>
      <c r="S142" s="80">
        <f>SUM(R142-R141)</f>
        <v>0</v>
      </c>
      <c r="T142" s="15">
        <f t="shared" ref="T142:T166" si="60">IFERROR(S142/Q142,0)</f>
        <v>0</v>
      </c>
      <c r="U142" s="15">
        <f>IFERROR((('DATA B3'!E143-'DATA B3'!E142)+('DATA B3'!F143-'DATA B3'!F142))/('WATER_STEAM RATIO'!P142-'WATER_STEAM RATIO'!P141),0)</f>
        <v>0</v>
      </c>
    </row>
    <row r="143" spans="2:21">
      <c r="B143" s="292"/>
      <c r="C143" s="97">
        <v>0.375</v>
      </c>
      <c r="D143" s="84">
        <f>'DATA B1'!D144</f>
        <v>222134</v>
      </c>
      <c r="E143" s="5">
        <f t="shared" si="57"/>
        <v>0</v>
      </c>
      <c r="F143" s="80">
        <f>'DATA B1'!E144</f>
        <v>524526</v>
      </c>
      <c r="G143" s="80">
        <f t="shared" ref="G143:G165" si="61">SUM(F143-F142)</f>
        <v>0</v>
      </c>
      <c r="H143" s="28">
        <f t="shared" si="58"/>
        <v>0</v>
      </c>
      <c r="I143" s="45">
        <f>IFERROR((('DATA B1'!G144-'DATA B1'!G143)/('WATER_STEAM RATIO'!D143-'WATER_STEAM RATIO'!D142))*1000,0)</f>
        <v>0</v>
      </c>
      <c r="J143" s="50">
        <f>'DATA B2'!D144</f>
        <v>512487</v>
      </c>
      <c r="K143" s="82">
        <f t="shared" ref="K143:K164" si="62">SUM(J143-J142)</f>
        <v>7</v>
      </c>
      <c r="L143" s="80">
        <f>'DATA B2'!E144</f>
        <v>568597</v>
      </c>
      <c r="M143" s="80">
        <f t="shared" ref="M143:M165" si="63">SUM(L143-L142)</f>
        <v>17</v>
      </c>
      <c r="N143" s="28">
        <f t="shared" si="59"/>
        <v>2.4285714285714284</v>
      </c>
      <c r="O143" s="51">
        <f>IFERROR((('DATA B2'!F144-'DATA B2'!F143)/(K143))*1000,0)</f>
        <v>0</v>
      </c>
      <c r="P143" s="94">
        <f>'DATA B3'!C144</f>
        <v>221206</v>
      </c>
      <c r="Q143" s="91">
        <f t="shared" ref="Q143:Q165" si="64">SUM(P143-P142)</f>
        <v>0</v>
      </c>
      <c r="R143" s="80">
        <f>'DATA B3'!D144</f>
        <v>165812</v>
      </c>
      <c r="S143" s="80">
        <f t="shared" ref="S143:S165" si="65">SUM(R143-R142)</f>
        <v>0</v>
      </c>
      <c r="T143" s="15">
        <f t="shared" si="60"/>
        <v>0</v>
      </c>
      <c r="U143" s="15">
        <f>IFERROR((('DATA B3'!E144-'DATA B3'!E143)+('DATA B3'!F144-'DATA B3'!F143))/('WATER_STEAM RATIO'!P143-'WATER_STEAM RATIO'!P142),0)</f>
        <v>0</v>
      </c>
    </row>
    <row r="144" spans="2:21">
      <c r="B144" s="292"/>
      <c r="C144" s="97">
        <v>0.41666666666666702</v>
      </c>
      <c r="D144" s="84">
        <f>'DATA B1'!D145</f>
        <v>222134</v>
      </c>
      <c r="E144" s="5">
        <f t="shared" si="57"/>
        <v>0</v>
      </c>
      <c r="F144" s="80">
        <f>'DATA B1'!E145</f>
        <v>524526</v>
      </c>
      <c r="G144" s="80">
        <f t="shared" si="61"/>
        <v>0</v>
      </c>
      <c r="H144" s="28">
        <f t="shared" si="58"/>
        <v>0</v>
      </c>
      <c r="I144" s="45">
        <f>IFERROR((('DATA B1'!G145-'DATA B1'!G144)/('WATER_STEAM RATIO'!D144-'WATER_STEAM RATIO'!D143))*1000,0)</f>
        <v>0</v>
      </c>
      <c r="J144" s="50">
        <f>'DATA B2'!D145</f>
        <v>512494</v>
      </c>
      <c r="K144" s="82">
        <f t="shared" si="62"/>
        <v>7</v>
      </c>
      <c r="L144" s="80">
        <f>'DATA B2'!E145</f>
        <v>568614</v>
      </c>
      <c r="M144" s="80">
        <f t="shared" si="63"/>
        <v>17</v>
      </c>
      <c r="N144" s="28">
        <f t="shared" si="59"/>
        <v>2.4285714285714284</v>
      </c>
      <c r="O144" s="51">
        <f>IFERROR((('DATA B2'!F145-'DATA B2'!F144)/(K144))*1000,0)</f>
        <v>0</v>
      </c>
      <c r="P144" s="94">
        <f>'DATA B3'!C145</f>
        <v>221206</v>
      </c>
      <c r="Q144" s="91">
        <f t="shared" si="64"/>
        <v>0</v>
      </c>
      <c r="R144" s="80">
        <f>'DATA B3'!D145</f>
        <v>165812</v>
      </c>
      <c r="S144" s="80">
        <f t="shared" si="65"/>
        <v>0</v>
      </c>
      <c r="T144" s="15">
        <f t="shared" si="60"/>
        <v>0</v>
      </c>
      <c r="U144" s="15">
        <f>IFERROR((('DATA B3'!E145-'DATA B3'!E144)+('DATA B3'!F145-'DATA B3'!F144))/('WATER_STEAM RATIO'!P144-'WATER_STEAM RATIO'!P143),0)</f>
        <v>0</v>
      </c>
    </row>
    <row r="145" spans="2:21">
      <c r="B145" s="292"/>
      <c r="C145" s="97">
        <v>0.45833333333333298</v>
      </c>
      <c r="D145" s="84">
        <f>'DATA B1'!D146</f>
        <v>222134</v>
      </c>
      <c r="E145" s="5">
        <f t="shared" si="57"/>
        <v>0</v>
      </c>
      <c r="F145" s="80">
        <f>'DATA B1'!E146</f>
        <v>524526</v>
      </c>
      <c r="G145" s="80">
        <f t="shared" si="61"/>
        <v>0</v>
      </c>
      <c r="H145" s="28">
        <f t="shared" si="58"/>
        <v>0</v>
      </c>
      <c r="I145" s="45">
        <f>IFERROR((('DATA B1'!G146-'DATA B1'!G145)/('WATER_STEAM RATIO'!D145-'WATER_STEAM RATIO'!D144))*1000,0)</f>
        <v>0</v>
      </c>
      <c r="J145" s="50">
        <f>'DATA B2'!D146</f>
        <v>512502</v>
      </c>
      <c r="K145" s="82">
        <f t="shared" si="62"/>
        <v>8</v>
      </c>
      <c r="L145" s="80">
        <f>'DATA B2'!E146</f>
        <v>568631</v>
      </c>
      <c r="M145" s="80">
        <f t="shared" si="63"/>
        <v>17</v>
      </c>
      <c r="N145" s="28">
        <f t="shared" si="59"/>
        <v>2.125</v>
      </c>
      <c r="O145" s="51">
        <f>IFERROR((('DATA B2'!F146-'DATA B2'!F145)/(K145))*1000,0)</f>
        <v>1.2499999999998623E-2</v>
      </c>
      <c r="P145" s="94">
        <f>'DATA B3'!C146</f>
        <v>221206</v>
      </c>
      <c r="Q145" s="91">
        <f t="shared" si="64"/>
        <v>0</v>
      </c>
      <c r="R145" s="80">
        <f>'DATA B3'!D146</f>
        <v>165812</v>
      </c>
      <c r="S145" s="80">
        <f t="shared" si="65"/>
        <v>0</v>
      </c>
      <c r="T145" s="15">
        <f t="shared" si="60"/>
        <v>0</v>
      </c>
      <c r="U145" s="15">
        <f>IFERROR((('DATA B3'!E146-'DATA B3'!E145)+('DATA B3'!F146-'DATA B3'!F145))/('WATER_STEAM RATIO'!P145-'WATER_STEAM RATIO'!P144),0)</f>
        <v>0</v>
      </c>
    </row>
    <row r="146" spans="2:21">
      <c r="B146" s="292"/>
      <c r="C146" s="97">
        <v>0.5</v>
      </c>
      <c r="D146" s="84">
        <f>'DATA B1'!D147</f>
        <v>222134</v>
      </c>
      <c r="E146" s="5">
        <f t="shared" si="57"/>
        <v>0</v>
      </c>
      <c r="F146" s="80">
        <f>'DATA B1'!E147</f>
        <v>524526</v>
      </c>
      <c r="G146" s="80">
        <f t="shared" si="61"/>
        <v>0</v>
      </c>
      <c r="H146" s="28">
        <f t="shared" si="58"/>
        <v>0</v>
      </c>
      <c r="I146" s="45">
        <f>IFERROR((('DATA B1'!G147-'DATA B1'!G146)/('WATER_STEAM RATIO'!D146-'WATER_STEAM RATIO'!D145))*1000,0)</f>
        <v>0</v>
      </c>
      <c r="J146" s="50">
        <f>'DATA B2'!D147</f>
        <v>512510</v>
      </c>
      <c r="K146" s="82">
        <f t="shared" si="62"/>
        <v>8</v>
      </c>
      <c r="L146" s="80">
        <f>'DATA B2'!E147</f>
        <v>568650</v>
      </c>
      <c r="M146" s="80">
        <f t="shared" si="63"/>
        <v>19</v>
      </c>
      <c r="N146" s="28">
        <f t="shared" si="59"/>
        <v>2.375</v>
      </c>
      <c r="O146" s="51">
        <f>IFERROR((('DATA B2'!F147-'DATA B2'!F146)/(K146))*1000,0)</f>
        <v>0</v>
      </c>
      <c r="P146" s="94">
        <f>'DATA B3'!C147</f>
        <v>221206</v>
      </c>
      <c r="Q146" s="91">
        <f t="shared" si="64"/>
        <v>0</v>
      </c>
      <c r="R146" s="80">
        <f>'DATA B3'!D147</f>
        <v>165812</v>
      </c>
      <c r="S146" s="80">
        <f t="shared" si="65"/>
        <v>0</v>
      </c>
      <c r="T146" s="15">
        <f t="shared" si="60"/>
        <v>0</v>
      </c>
      <c r="U146" s="15">
        <f>IFERROR((('DATA B3'!E147-'DATA B3'!E146)+('DATA B3'!F147-'DATA B3'!F146))/('WATER_STEAM RATIO'!P146-'WATER_STEAM RATIO'!P145),0)</f>
        <v>0</v>
      </c>
    </row>
    <row r="147" spans="2:21">
      <c r="B147" s="292"/>
      <c r="C147" s="97">
        <v>0.54166666666666696</v>
      </c>
      <c r="D147" s="84">
        <f>'DATA B1'!D148</f>
        <v>222134</v>
      </c>
      <c r="E147" s="5">
        <f t="shared" si="57"/>
        <v>0</v>
      </c>
      <c r="F147" s="80">
        <f>'DATA B1'!E148</f>
        <v>524526</v>
      </c>
      <c r="G147" s="80">
        <f t="shared" si="61"/>
        <v>0</v>
      </c>
      <c r="H147" s="28">
        <f t="shared" si="58"/>
        <v>0</v>
      </c>
      <c r="I147" s="45">
        <f>IFERROR((('DATA B1'!G148-'DATA B1'!G147)/('WATER_STEAM RATIO'!D147-'WATER_STEAM RATIO'!D146))*1000,0)</f>
        <v>0</v>
      </c>
      <c r="J147" s="50">
        <f>'DATA B2'!D148</f>
        <v>512518</v>
      </c>
      <c r="K147" s="82">
        <f t="shared" si="62"/>
        <v>8</v>
      </c>
      <c r="L147" s="80">
        <f>'DATA B2'!E148</f>
        <v>568669</v>
      </c>
      <c r="M147" s="80">
        <f t="shared" si="63"/>
        <v>19</v>
      </c>
      <c r="N147" s="28">
        <f t="shared" si="59"/>
        <v>2.375</v>
      </c>
      <c r="O147" s="51">
        <f>IFERROR((('DATA B2'!F148-'DATA B2'!F147)/(K147))*1000,0)</f>
        <v>1.2499999999998623E-2</v>
      </c>
      <c r="P147" s="94">
        <f>'DATA B3'!C148</f>
        <v>221206</v>
      </c>
      <c r="Q147" s="91">
        <f t="shared" si="64"/>
        <v>0</v>
      </c>
      <c r="R147" s="80">
        <f>'DATA B3'!D148</f>
        <v>165812</v>
      </c>
      <c r="S147" s="80">
        <f t="shared" si="65"/>
        <v>0</v>
      </c>
      <c r="T147" s="15">
        <f t="shared" si="60"/>
        <v>0</v>
      </c>
      <c r="U147" s="15">
        <f>IFERROR((('DATA B3'!E148-'DATA B3'!E147)+('DATA B3'!F148-'DATA B3'!F147))/('WATER_STEAM RATIO'!P147-'WATER_STEAM RATIO'!P146),0)</f>
        <v>0</v>
      </c>
    </row>
    <row r="148" spans="2:21">
      <c r="B148" s="292"/>
      <c r="C148" s="97">
        <v>0.58333333333333304</v>
      </c>
      <c r="D148" s="84">
        <f>'DATA B1'!D149</f>
        <v>222134</v>
      </c>
      <c r="E148" s="5">
        <f t="shared" si="57"/>
        <v>0</v>
      </c>
      <c r="F148" s="80">
        <f>'DATA B1'!E149</f>
        <v>524526</v>
      </c>
      <c r="G148" s="80">
        <f t="shared" si="61"/>
        <v>0</v>
      </c>
      <c r="H148" s="28">
        <f t="shared" si="58"/>
        <v>0</v>
      </c>
      <c r="I148" s="45">
        <f>IFERROR((('DATA B1'!G149-'DATA B1'!G148)/('WATER_STEAM RATIO'!D148-'WATER_STEAM RATIO'!D147))*1000,0)</f>
        <v>0</v>
      </c>
      <c r="J148" s="50">
        <f>'DATA B2'!D149</f>
        <v>512527</v>
      </c>
      <c r="K148" s="82">
        <f t="shared" si="62"/>
        <v>9</v>
      </c>
      <c r="L148" s="80">
        <f>'DATA B2'!E149</f>
        <v>568689</v>
      </c>
      <c r="M148" s="80">
        <f t="shared" si="63"/>
        <v>20</v>
      </c>
      <c r="N148" s="28">
        <f t="shared" si="59"/>
        <v>2.2222222222222223</v>
      </c>
      <c r="O148" s="51">
        <f>IFERROR((('DATA B2'!F149-'DATA B2'!F148)/(K148))*1000,0)</f>
        <v>0</v>
      </c>
      <c r="P148" s="94">
        <f>'DATA B3'!C149</f>
        <v>221206</v>
      </c>
      <c r="Q148" s="91">
        <f t="shared" si="64"/>
        <v>0</v>
      </c>
      <c r="R148" s="80">
        <f>'DATA B3'!D149</f>
        <v>165812</v>
      </c>
      <c r="S148" s="80">
        <f t="shared" si="65"/>
        <v>0</v>
      </c>
      <c r="T148" s="15">
        <f t="shared" si="60"/>
        <v>0</v>
      </c>
      <c r="U148" s="15">
        <f>IFERROR((('DATA B3'!E149-'DATA B3'!E148)+('DATA B3'!F149-'DATA B3'!F148))/('WATER_STEAM RATIO'!P148-'WATER_STEAM RATIO'!P147),0)</f>
        <v>0</v>
      </c>
    </row>
    <row r="149" spans="2:21">
      <c r="B149" s="292"/>
      <c r="C149" s="97">
        <v>0.625</v>
      </c>
      <c r="D149" s="84">
        <f>'DATA B1'!D150</f>
        <v>222134</v>
      </c>
      <c r="E149" s="5">
        <f t="shared" ref="E149:E165" si="66">SUM(D149-D148)</f>
        <v>0</v>
      </c>
      <c r="F149" s="80">
        <f>'DATA B1'!E150</f>
        <v>524526</v>
      </c>
      <c r="G149" s="80">
        <f t="shared" si="61"/>
        <v>0</v>
      </c>
      <c r="H149" s="28">
        <f t="shared" si="58"/>
        <v>0</v>
      </c>
      <c r="I149" s="45">
        <f>IFERROR((('DATA B1'!G150-'DATA B1'!G149)/('WATER_STEAM RATIO'!D149-'WATER_STEAM RATIO'!D148))*1000,0)</f>
        <v>0</v>
      </c>
      <c r="J149" s="50">
        <f>'DATA B2'!D150</f>
        <v>512536</v>
      </c>
      <c r="K149" s="82">
        <f t="shared" si="62"/>
        <v>9</v>
      </c>
      <c r="L149" s="80">
        <f>'DATA B2'!E150</f>
        <v>568709</v>
      </c>
      <c r="M149" s="80">
        <f t="shared" si="63"/>
        <v>20</v>
      </c>
      <c r="N149" s="28">
        <f t="shared" si="59"/>
        <v>2.2222222222222223</v>
      </c>
      <c r="O149" s="51">
        <f>IFERROR((('DATA B2'!F150-'DATA B2'!F149)/(K149))*1000,0)</f>
        <v>1.1111111111109887E-2</v>
      </c>
      <c r="P149" s="94">
        <f>'DATA B3'!C150</f>
        <v>221206</v>
      </c>
      <c r="Q149" s="91">
        <f t="shared" si="64"/>
        <v>0</v>
      </c>
      <c r="R149" s="80">
        <f>'DATA B3'!D150</f>
        <v>165812</v>
      </c>
      <c r="S149" s="80">
        <f t="shared" si="65"/>
        <v>0</v>
      </c>
      <c r="T149" s="15">
        <f t="shared" si="60"/>
        <v>0</v>
      </c>
      <c r="U149" s="15">
        <f>IFERROR((('DATA B3'!E150-'DATA B3'!E149)+('DATA B3'!F150-'DATA B3'!F149))/('WATER_STEAM RATIO'!P149-'WATER_STEAM RATIO'!P148),0)</f>
        <v>0</v>
      </c>
    </row>
    <row r="150" spans="2:21">
      <c r="B150" s="292"/>
      <c r="C150" s="97">
        <v>0.66666666666666596</v>
      </c>
      <c r="D150" s="84">
        <f>'DATA B1'!D151</f>
        <v>222134</v>
      </c>
      <c r="E150" s="5">
        <f t="shared" si="66"/>
        <v>0</v>
      </c>
      <c r="F150" s="80">
        <f>'DATA B1'!E151</f>
        <v>524526</v>
      </c>
      <c r="G150" s="80">
        <f t="shared" si="61"/>
        <v>0</v>
      </c>
      <c r="H150" s="28">
        <f t="shared" si="58"/>
        <v>0</v>
      </c>
      <c r="I150" s="45">
        <f>IFERROR((('DATA B1'!G151-'DATA B1'!G150)/('WATER_STEAM RATIO'!D150-'WATER_STEAM RATIO'!D149))*1000,0)</f>
        <v>0</v>
      </c>
      <c r="J150" s="50">
        <f>'DATA B2'!D151</f>
        <v>512544</v>
      </c>
      <c r="K150" s="82">
        <f>SUM(J150-J149)</f>
        <v>8</v>
      </c>
      <c r="L150" s="80">
        <f>'DATA B2'!E151</f>
        <v>568728</v>
      </c>
      <c r="M150" s="80">
        <f t="shared" si="63"/>
        <v>19</v>
      </c>
      <c r="N150" s="28">
        <f t="shared" si="59"/>
        <v>2.375</v>
      </c>
      <c r="O150" s="51">
        <f>IFERROR((('DATA B2'!F151-'DATA B2'!F150)/(K150))*1000,0)</f>
        <v>0</v>
      </c>
      <c r="P150" s="94">
        <f>'DATA B3'!C151</f>
        <v>221206</v>
      </c>
      <c r="Q150" s="91">
        <f t="shared" si="64"/>
        <v>0</v>
      </c>
      <c r="R150" s="80">
        <f>'DATA B3'!D151</f>
        <v>165812</v>
      </c>
      <c r="S150" s="80">
        <f t="shared" si="65"/>
        <v>0</v>
      </c>
      <c r="T150" s="15">
        <f t="shared" si="60"/>
        <v>0</v>
      </c>
      <c r="U150" s="15">
        <f>IFERROR((('DATA B3'!E151-'DATA B3'!E150)+('DATA B3'!F151-'DATA B3'!F150))/('WATER_STEAM RATIO'!P150-'WATER_STEAM RATIO'!P149),0)</f>
        <v>0</v>
      </c>
    </row>
    <row r="151" spans="2:21">
      <c r="B151" s="292"/>
      <c r="C151" s="97">
        <v>0.70833333333333304</v>
      </c>
      <c r="D151" s="84">
        <f>'DATA B1'!D152</f>
        <v>222134</v>
      </c>
      <c r="E151" s="5">
        <f t="shared" si="66"/>
        <v>0</v>
      </c>
      <c r="F151" s="80">
        <f>'DATA B1'!E152</f>
        <v>524526</v>
      </c>
      <c r="G151" s="80">
        <f t="shared" si="61"/>
        <v>0</v>
      </c>
      <c r="H151" s="28">
        <f t="shared" si="58"/>
        <v>0</v>
      </c>
      <c r="I151" s="45">
        <f>IFERROR((('DATA B1'!G152-'DATA B1'!G151)/('WATER_STEAM RATIO'!D151-'WATER_STEAM RATIO'!D150))*1000,0)</f>
        <v>0</v>
      </c>
      <c r="J151" s="50">
        <f>'DATA B2'!D152</f>
        <v>512552</v>
      </c>
      <c r="K151" s="82">
        <f t="shared" si="62"/>
        <v>8</v>
      </c>
      <c r="L151" s="80">
        <f>'DATA B2'!E152</f>
        <v>568747</v>
      </c>
      <c r="M151" s="80">
        <f t="shared" si="63"/>
        <v>19</v>
      </c>
      <c r="N151" s="28">
        <f t="shared" si="59"/>
        <v>2.375</v>
      </c>
      <c r="O151" s="51">
        <f>IFERROR((('DATA B2'!F152-'DATA B2'!F151)/(K151))*1000,0)</f>
        <v>0</v>
      </c>
      <c r="P151" s="94">
        <f>'DATA B3'!C152</f>
        <v>221206</v>
      </c>
      <c r="Q151" s="91">
        <f t="shared" si="64"/>
        <v>0</v>
      </c>
      <c r="R151" s="80">
        <f>'DATA B3'!D152</f>
        <v>165812</v>
      </c>
      <c r="S151" s="80">
        <f t="shared" si="65"/>
        <v>0</v>
      </c>
      <c r="T151" s="15">
        <f t="shared" si="60"/>
        <v>0</v>
      </c>
      <c r="U151" s="15">
        <f>IFERROR((('DATA B3'!E152-'DATA B3'!E151)+('DATA B3'!F152-'DATA B3'!F151))/('WATER_STEAM RATIO'!P151-'WATER_STEAM RATIO'!P150),0)</f>
        <v>0</v>
      </c>
    </row>
    <row r="152" spans="2:21">
      <c r="B152" s="292"/>
      <c r="C152" s="97">
        <v>0.75</v>
      </c>
      <c r="D152" s="84">
        <f>'DATA B1'!D153</f>
        <v>222134</v>
      </c>
      <c r="E152" s="5">
        <f t="shared" si="66"/>
        <v>0</v>
      </c>
      <c r="F152" s="80">
        <f>'DATA B1'!E153</f>
        <v>524526</v>
      </c>
      <c r="G152" s="80">
        <f t="shared" si="61"/>
        <v>0</v>
      </c>
      <c r="H152" s="28">
        <f t="shared" si="58"/>
        <v>0</v>
      </c>
      <c r="I152" s="45">
        <f>IFERROR((('DATA B1'!G153-'DATA B1'!G152)/('WATER_STEAM RATIO'!D152-'WATER_STEAM RATIO'!D151))*1000,0)</f>
        <v>0</v>
      </c>
      <c r="J152" s="50">
        <f>'DATA B2'!D153</f>
        <v>512560</v>
      </c>
      <c r="K152" s="82">
        <f t="shared" si="62"/>
        <v>8</v>
      </c>
      <c r="L152" s="80">
        <f>'DATA B2'!E153</f>
        <v>568766</v>
      </c>
      <c r="M152" s="80">
        <f t="shared" si="63"/>
        <v>19</v>
      </c>
      <c r="N152" s="28">
        <f t="shared" si="59"/>
        <v>2.375</v>
      </c>
      <c r="O152" s="51">
        <f>IFERROR((('DATA B2'!F153-'DATA B2'!F152)/(K152))*1000,0)</f>
        <v>0</v>
      </c>
      <c r="P152" s="94">
        <f>'DATA B3'!C153</f>
        <v>221206</v>
      </c>
      <c r="Q152" s="91">
        <f t="shared" si="64"/>
        <v>0</v>
      </c>
      <c r="R152" s="80">
        <f>'DATA B3'!D153</f>
        <v>165812</v>
      </c>
      <c r="S152" s="80">
        <f t="shared" si="65"/>
        <v>0</v>
      </c>
      <c r="T152" s="15">
        <f t="shared" si="60"/>
        <v>0</v>
      </c>
      <c r="U152" s="15">
        <f>IFERROR((('DATA B3'!E153-'DATA B3'!E152)+('DATA B3'!F153-'DATA B3'!F152))/('WATER_STEAM RATIO'!P152-'WATER_STEAM RATIO'!P151),0)</f>
        <v>0</v>
      </c>
    </row>
    <row r="153" spans="2:21">
      <c r="B153" s="292"/>
      <c r="C153" s="97">
        <v>0.79166666666666596</v>
      </c>
      <c r="D153" s="84">
        <f>'DATA B1'!D154</f>
        <v>222134</v>
      </c>
      <c r="E153" s="5">
        <f t="shared" si="66"/>
        <v>0</v>
      </c>
      <c r="F153" s="80">
        <f>'DATA B1'!E154</f>
        <v>524526</v>
      </c>
      <c r="G153" s="80">
        <f t="shared" si="61"/>
        <v>0</v>
      </c>
      <c r="H153" s="28">
        <f t="shared" si="58"/>
        <v>0</v>
      </c>
      <c r="I153" s="45">
        <f>IFERROR((('DATA B1'!G154-'DATA B1'!G153)/('WATER_STEAM RATIO'!D153-'WATER_STEAM RATIO'!D152))*1000,0)</f>
        <v>0</v>
      </c>
      <c r="J153" s="50">
        <f>'DATA B2'!D154</f>
        <v>512569</v>
      </c>
      <c r="K153" s="82">
        <f t="shared" si="62"/>
        <v>9</v>
      </c>
      <c r="L153" s="80">
        <f>'DATA B2'!E154</f>
        <v>568787</v>
      </c>
      <c r="M153" s="80">
        <f t="shared" si="63"/>
        <v>21</v>
      </c>
      <c r="N153" s="28">
        <f t="shared" si="59"/>
        <v>2.3333333333333335</v>
      </c>
      <c r="O153" s="51">
        <f>IFERROR((('DATA B2'!F154-'DATA B2'!F153)/(K153))*1000,0)</f>
        <v>1.1111111111109887E-2</v>
      </c>
      <c r="P153" s="94">
        <f>'DATA B3'!C154</f>
        <v>221206</v>
      </c>
      <c r="Q153" s="91">
        <f t="shared" si="64"/>
        <v>0</v>
      </c>
      <c r="R153" s="80">
        <f>'DATA B3'!D154</f>
        <v>165812</v>
      </c>
      <c r="S153" s="80">
        <f t="shared" si="65"/>
        <v>0</v>
      </c>
      <c r="T153" s="15">
        <f t="shared" si="60"/>
        <v>0</v>
      </c>
      <c r="U153" s="15">
        <f>IFERROR((('DATA B3'!E154-'DATA B3'!E153)+('DATA B3'!F154-'DATA B3'!F153))/('WATER_STEAM RATIO'!P153-'WATER_STEAM RATIO'!P152),0)</f>
        <v>0</v>
      </c>
    </row>
    <row r="154" spans="2:21">
      <c r="B154" s="292"/>
      <c r="C154" s="97">
        <v>0.83333333333333304</v>
      </c>
      <c r="D154" s="84">
        <f>'DATA B1'!D155</f>
        <v>222134</v>
      </c>
      <c r="E154" s="5">
        <f t="shared" si="66"/>
        <v>0</v>
      </c>
      <c r="F154" s="80">
        <f>'DATA B1'!E155</f>
        <v>524526</v>
      </c>
      <c r="G154" s="80">
        <f t="shared" si="61"/>
        <v>0</v>
      </c>
      <c r="H154" s="28">
        <f t="shared" si="58"/>
        <v>0</v>
      </c>
      <c r="I154" s="45">
        <f>IFERROR((('DATA B1'!G155-'DATA B1'!G154)/('WATER_STEAM RATIO'!D154-'WATER_STEAM RATIO'!D153))*1000,0)</f>
        <v>0</v>
      </c>
      <c r="J154" s="50">
        <f>'DATA B2'!D155</f>
        <v>512581</v>
      </c>
      <c r="K154" s="82">
        <f t="shared" si="62"/>
        <v>12</v>
      </c>
      <c r="L154" s="80">
        <f>'DATA B2'!E155</f>
        <v>568815</v>
      </c>
      <c r="M154" s="80">
        <f t="shared" si="63"/>
        <v>28</v>
      </c>
      <c r="N154" s="28">
        <f t="shared" si="59"/>
        <v>2.3333333333333335</v>
      </c>
      <c r="O154" s="51">
        <f>IFERROR((('DATA B2'!F155-'DATA B2'!F154)/(K154))*1000,0)</f>
        <v>8.3333333333324155E-3</v>
      </c>
      <c r="P154" s="94">
        <f>'DATA B3'!C155</f>
        <v>221206</v>
      </c>
      <c r="Q154" s="91">
        <f t="shared" si="64"/>
        <v>0</v>
      </c>
      <c r="R154" s="80">
        <f>'DATA B3'!D155</f>
        <v>165812</v>
      </c>
      <c r="S154" s="80">
        <f t="shared" si="65"/>
        <v>0</v>
      </c>
      <c r="T154" s="15">
        <f t="shared" si="60"/>
        <v>0</v>
      </c>
      <c r="U154" s="15">
        <f>IFERROR((('DATA B3'!E155-'DATA B3'!E154)+('DATA B3'!F155-'DATA B3'!F154))/('WATER_STEAM RATIO'!P154-'WATER_STEAM RATIO'!P153),0)</f>
        <v>0</v>
      </c>
    </row>
    <row r="155" spans="2:21">
      <c r="B155" s="292"/>
      <c r="C155" s="97">
        <v>0.875</v>
      </c>
      <c r="D155" s="84">
        <f>'DATA B1'!D156</f>
        <v>222134</v>
      </c>
      <c r="E155" s="5">
        <f t="shared" si="66"/>
        <v>0</v>
      </c>
      <c r="F155" s="80">
        <f>'DATA B1'!E156</f>
        <v>524526</v>
      </c>
      <c r="G155" s="80">
        <f t="shared" si="61"/>
        <v>0</v>
      </c>
      <c r="H155" s="28">
        <f t="shared" si="58"/>
        <v>0</v>
      </c>
      <c r="I155" s="45">
        <f>IFERROR((('DATA B1'!G156-'DATA B1'!G155)/('WATER_STEAM RATIO'!D155-'WATER_STEAM RATIO'!D154))*1000,0)</f>
        <v>0</v>
      </c>
      <c r="J155" s="50">
        <f>'DATA B2'!D156</f>
        <v>512589</v>
      </c>
      <c r="K155" s="82">
        <f t="shared" si="62"/>
        <v>8</v>
      </c>
      <c r="L155" s="80">
        <f>'DATA B2'!E156</f>
        <v>568829</v>
      </c>
      <c r="M155" s="80">
        <f t="shared" si="63"/>
        <v>14</v>
      </c>
      <c r="N155" s="28">
        <f>IFERROR(M155/K155,0)</f>
        <v>1.75</v>
      </c>
      <c r="O155" s="51">
        <f>IFERROR((('DATA B2'!F156-'DATA B2'!F155)/(K155))*1000,0)</f>
        <v>0</v>
      </c>
      <c r="P155" s="94">
        <f>'DATA B3'!C156</f>
        <v>221206</v>
      </c>
      <c r="Q155" s="91">
        <f t="shared" si="64"/>
        <v>0</v>
      </c>
      <c r="R155" s="80">
        <f>'DATA B3'!D156</f>
        <v>165812</v>
      </c>
      <c r="S155" s="80">
        <f t="shared" si="65"/>
        <v>0</v>
      </c>
      <c r="T155" s="15">
        <f t="shared" si="60"/>
        <v>0</v>
      </c>
      <c r="U155" s="15">
        <f>IFERROR((('DATA B3'!E156-'DATA B3'!E155)+('DATA B3'!F156-'DATA B3'!F155))/('WATER_STEAM RATIO'!P155-'WATER_STEAM RATIO'!P154),0)</f>
        <v>0</v>
      </c>
    </row>
    <row r="156" spans="2:21">
      <c r="B156" s="292"/>
      <c r="C156" s="97">
        <v>0.91666666666666596</v>
      </c>
      <c r="D156" s="84">
        <f>'DATA B1'!D157</f>
        <v>222134</v>
      </c>
      <c r="E156" s="5">
        <f t="shared" si="66"/>
        <v>0</v>
      </c>
      <c r="F156" s="80">
        <f>'DATA B1'!E157</f>
        <v>524526</v>
      </c>
      <c r="G156" s="80">
        <f t="shared" si="61"/>
        <v>0</v>
      </c>
      <c r="H156" s="28">
        <f t="shared" si="58"/>
        <v>0</v>
      </c>
      <c r="I156" s="45">
        <f>IFERROR((('DATA B1'!G157-'DATA B1'!G156)/('WATER_STEAM RATIO'!D156-'WATER_STEAM RATIO'!D155))*1000,0)</f>
        <v>0</v>
      </c>
      <c r="J156" s="50">
        <f>'DATA B2'!D157</f>
        <v>512598</v>
      </c>
      <c r="K156" s="82">
        <f t="shared" si="62"/>
        <v>9</v>
      </c>
      <c r="L156" s="80">
        <f>'DATA B2'!E157</f>
        <v>568843</v>
      </c>
      <c r="M156" s="80">
        <f t="shared" si="63"/>
        <v>14</v>
      </c>
      <c r="N156" s="28">
        <f t="shared" si="59"/>
        <v>1.5555555555555556</v>
      </c>
      <c r="O156" s="51">
        <f>IFERROR((('DATA B2'!F157-'DATA B2'!F156)/(K156))*1000,0)</f>
        <v>0</v>
      </c>
      <c r="P156" s="94">
        <f>'DATA B3'!C157</f>
        <v>221206</v>
      </c>
      <c r="Q156" s="91">
        <f t="shared" si="64"/>
        <v>0</v>
      </c>
      <c r="R156" s="80">
        <f>'DATA B3'!D157</f>
        <v>165812</v>
      </c>
      <c r="S156" s="80">
        <f t="shared" si="65"/>
        <v>0</v>
      </c>
      <c r="T156" s="15">
        <f t="shared" si="60"/>
        <v>0</v>
      </c>
      <c r="U156" s="15">
        <f>IFERROR((('DATA B3'!E157-'DATA B3'!E156)+('DATA B3'!F157-'DATA B3'!F156))/('WATER_STEAM RATIO'!P156-'WATER_STEAM RATIO'!P155),0)</f>
        <v>0</v>
      </c>
    </row>
    <row r="157" spans="2:21">
      <c r="B157" s="292"/>
      <c r="C157" s="97">
        <v>0.95833333333333304</v>
      </c>
      <c r="D157" s="84">
        <f>'DATA B1'!D158</f>
        <v>222134</v>
      </c>
      <c r="E157" s="5">
        <f t="shared" si="66"/>
        <v>0</v>
      </c>
      <c r="F157" s="80">
        <f>'DATA B1'!E158</f>
        <v>524526</v>
      </c>
      <c r="G157" s="80">
        <f t="shared" si="61"/>
        <v>0</v>
      </c>
      <c r="H157" s="28">
        <f t="shared" si="58"/>
        <v>0</v>
      </c>
      <c r="I157" s="45">
        <f>IFERROR((('DATA B1'!G158-'DATA B1'!G157)/('WATER_STEAM RATIO'!D157-'WATER_STEAM RATIO'!D156))*1000,0)</f>
        <v>0</v>
      </c>
      <c r="J157" s="50">
        <f>'DATA B2'!D158</f>
        <v>512607</v>
      </c>
      <c r="K157" s="82">
        <f>SUM(J157-J156)</f>
        <v>9</v>
      </c>
      <c r="L157" s="80">
        <f>'DATA B2'!E158</f>
        <v>568858</v>
      </c>
      <c r="M157" s="80">
        <f t="shared" si="63"/>
        <v>15</v>
      </c>
      <c r="N157" s="28">
        <f t="shared" si="59"/>
        <v>1.6666666666666667</v>
      </c>
      <c r="O157" s="51">
        <f>IFERROR((('DATA B2'!F158-'DATA B2'!F157)/(K157))*1000,0)</f>
        <v>0</v>
      </c>
      <c r="P157" s="94">
        <f>'DATA B3'!C158</f>
        <v>221206</v>
      </c>
      <c r="Q157" s="91">
        <f t="shared" si="64"/>
        <v>0</v>
      </c>
      <c r="R157" s="80">
        <f>'DATA B3'!D158</f>
        <v>165812</v>
      </c>
      <c r="S157" s="80">
        <f t="shared" si="65"/>
        <v>0</v>
      </c>
      <c r="T157" s="15">
        <f t="shared" si="60"/>
        <v>0</v>
      </c>
      <c r="U157" s="15">
        <f>IFERROR((('DATA B3'!E158-'DATA B3'!E157)+('DATA B3'!F158-'DATA B3'!F157))/('WATER_STEAM RATIO'!P157-'WATER_STEAM RATIO'!P156),0)</f>
        <v>0</v>
      </c>
    </row>
    <row r="158" spans="2:21">
      <c r="B158" s="292"/>
      <c r="C158" s="97">
        <v>1</v>
      </c>
      <c r="D158" s="84">
        <f>'DATA B1'!D159</f>
        <v>222134</v>
      </c>
      <c r="E158" s="5">
        <f t="shared" si="66"/>
        <v>0</v>
      </c>
      <c r="F158" s="80">
        <f>'DATA B1'!E159</f>
        <v>524526</v>
      </c>
      <c r="G158" s="80">
        <f t="shared" si="61"/>
        <v>0</v>
      </c>
      <c r="H158" s="28">
        <f t="shared" si="58"/>
        <v>0</v>
      </c>
      <c r="I158" s="45">
        <f>IFERROR((('DATA B1'!G159-'DATA B1'!G158)/('WATER_STEAM RATIO'!D158-'WATER_STEAM RATIO'!D157))*1000,0)</f>
        <v>0</v>
      </c>
      <c r="J158" s="50">
        <f>'DATA B2'!D159</f>
        <v>512615</v>
      </c>
      <c r="K158" s="82">
        <f t="shared" si="62"/>
        <v>8</v>
      </c>
      <c r="L158" s="80">
        <f>'DATA B2'!E159</f>
        <v>568876</v>
      </c>
      <c r="M158" s="80">
        <f t="shared" si="63"/>
        <v>18</v>
      </c>
      <c r="N158" s="28">
        <f t="shared" si="59"/>
        <v>2.25</v>
      </c>
      <c r="O158" s="51">
        <f>IFERROR((('DATA B2'!F159-'DATA B2'!F158)/(K158))*1000,0)</f>
        <v>0</v>
      </c>
      <c r="P158" s="94">
        <f>'DATA B3'!C159</f>
        <v>221206</v>
      </c>
      <c r="Q158" s="91">
        <f t="shared" si="64"/>
        <v>0</v>
      </c>
      <c r="R158" s="80">
        <f>'DATA B3'!D159</f>
        <v>165812</v>
      </c>
      <c r="S158" s="80">
        <f t="shared" si="65"/>
        <v>0</v>
      </c>
      <c r="T158" s="15">
        <f t="shared" si="60"/>
        <v>0</v>
      </c>
      <c r="U158" s="15">
        <f>IFERROR((('DATA B3'!E159-'DATA B3'!E158)+('DATA B3'!F159-'DATA B3'!F158))/('WATER_STEAM RATIO'!P158-'WATER_STEAM RATIO'!P157),0)</f>
        <v>0</v>
      </c>
    </row>
    <row r="159" spans="2:21">
      <c r="B159" s="292"/>
      <c r="C159" s="97">
        <v>1.0416666666666701</v>
      </c>
      <c r="D159" s="84">
        <f>'DATA B1'!D160</f>
        <v>222134</v>
      </c>
      <c r="E159" s="5">
        <f t="shared" si="66"/>
        <v>0</v>
      </c>
      <c r="F159" s="80">
        <f>'DATA B1'!E160</f>
        <v>524526</v>
      </c>
      <c r="G159" s="80">
        <f t="shared" si="61"/>
        <v>0</v>
      </c>
      <c r="H159" s="28">
        <f t="shared" si="58"/>
        <v>0</v>
      </c>
      <c r="I159" s="45">
        <f>IFERROR((('DATA B1'!G160-'DATA B1'!G159)/('WATER_STEAM RATIO'!D159-'WATER_STEAM RATIO'!D158))*1000,0)</f>
        <v>0</v>
      </c>
      <c r="J159" s="50">
        <f>'DATA B2'!D160</f>
        <v>512623</v>
      </c>
      <c r="K159" s="82">
        <f t="shared" si="62"/>
        <v>8</v>
      </c>
      <c r="L159" s="80">
        <f>'DATA B2'!E160</f>
        <v>568894</v>
      </c>
      <c r="M159" s="80">
        <f t="shared" si="63"/>
        <v>18</v>
      </c>
      <c r="N159" s="28">
        <f t="shared" si="59"/>
        <v>2.25</v>
      </c>
      <c r="O159" s="51">
        <f>IFERROR((('DATA B2'!F160-'DATA B2'!F159)/(K159))*1000,0)</f>
        <v>0</v>
      </c>
      <c r="P159" s="94">
        <f>'DATA B3'!C160</f>
        <v>221206</v>
      </c>
      <c r="Q159" s="91">
        <f t="shared" si="64"/>
        <v>0</v>
      </c>
      <c r="R159" s="80">
        <f>'DATA B3'!D160</f>
        <v>165812</v>
      </c>
      <c r="S159" s="80">
        <f t="shared" si="65"/>
        <v>0</v>
      </c>
      <c r="T159" s="15">
        <f t="shared" si="60"/>
        <v>0</v>
      </c>
      <c r="U159" s="15">
        <f>IFERROR((('DATA B3'!E160-'DATA B3'!E159)+('DATA B3'!F160-'DATA B3'!F159))/('WATER_STEAM RATIO'!P159-'WATER_STEAM RATIO'!P158),0)</f>
        <v>0</v>
      </c>
    </row>
    <row r="160" spans="2:21">
      <c r="B160" s="292"/>
      <c r="C160" s="97">
        <v>1.0833333333333399</v>
      </c>
      <c r="D160" s="84">
        <f>'DATA B1'!D161</f>
        <v>222134</v>
      </c>
      <c r="E160" s="5">
        <f>SUM(D160-D159)</f>
        <v>0</v>
      </c>
      <c r="F160" s="80">
        <f>'DATA B1'!E161</f>
        <v>524526</v>
      </c>
      <c r="G160" s="80">
        <f t="shared" si="61"/>
        <v>0</v>
      </c>
      <c r="H160" s="28">
        <f t="shared" si="58"/>
        <v>0</v>
      </c>
      <c r="I160" s="45">
        <f>IFERROR((('DATA B1'!G161-'DATA B1'!G160)/('WATER_STEAM RATIO'!D160-'WATER_STEAM RATIO'!D159))*1000,0)</f>
        <v>0</v>
      </c>
      <c r="J160" s="50">
        <f>'DATA B2'!D161</f>
        <v>512631</v>
      </c>
      <c r="K160" s="82">
        <f t="shared" si="62"/>
        <v>8</v>
      </c>
      <c r="L160" s="80">
        <f>'DATA B2'!E161</f>
        <v>568912</v>
      </c>
      <c r="M160" s="80">
        <f t="shared" si="63"/>
        <v>18</v>
      </c>
      <c r="N160" s="28">
        <f t="shared" si="59"/>
        <v>2.25</v>
      </c>
      <c r="O160" s="51">
        <f>IFERROR((('DATA B2'!F161-'DATA B2'!F160)/(K160))*1000,0)</f>
        <v>0</v>
      </c>
      <c r="P160" s="94">
        <f>'DATA B3'!C161</f>
        <v>221206</v>
      </c>
      <c r="Q160" s="91">
        <f>SUM(P160-P159)</f>
        <v>0</v>
      </c>
      <c r="R160" s="80">
        <f>'DATA B3'!D161</f>
        <v>165812</v>
      </c>
      <c r="S160" s="80">
        <f t="shared" si="65"/>
        <v>0</v>
      </c>
      <c r="T160" s="15">
        <f t="shared" si="60"/>
        <v>0</v>
      </c>
      <c r="U160" s="15">
        <f>IFERROR((('DATA B3'!E161-'DATA B3'!E160)+('DATA B3'!F161-'DATA B3'!F160))/('WATER_STEAM RATIO'!P160-'WATER_STEAM RATIO'!P159),0)</f>
        <v>0</v>
      </c>
    </row>
    <row r="161" spans="2:21">
      <c r="B161" s="292"/>
      <c r="C161" s="97">
        <v>1.125</v>
      </c>
      <c r="D161" s="84">
        <f>'DATA B1'!D162</f>
        <v>222134</v>
      </c>
      <c r="E161" s="5">
        <f t="shared" si="66"/>
        <v>0</v>
      </c>
      <c r="F161" s="80">
        <f>'DATA B1'!E162</f>
        <v>524526</v>
      </c>
      <c r="G161" s="80">
        <f t="shared" si="61"/>
        <v>0</v>
      </c>
      <c r="H161" s="28">
        <f t="shared" si="58"/>
        <v>0</v>
      </c>
      <c r="I161" s="45">
        <f>IFERROR((('DATA B1'!G162-'DATA B1'!G161)/('WATER_STEAM RATIO'!D161-'WATER_STEAM RATIO'!D160))*1000,0)</f>
        <v>0</v>
      </c>
      <c r="J161" s="50">
        <f>'DATA B2'!D162</f>
        <v>512640</v>
      </c>
      <c r="K161" s="82">
        <f t="shared" si="62"/>
        <v>9</v>
      </c>
      <c r="L161" s="80">
        <f>'DATA B2'!E162</f>
        <v>568930</v>
      </c>
      <c r="M161" s="80">
        <f t="shared" si="63"/>
        <v>18</v>
      </c>
      <c r="N161" s="28">
        <f t="shared" si="59"/>
        <v>2</v>
      </c>
      <c r="O161" s="51">
        <f>IFERROR((('DATA B2'!F162-'DATA B2'!F161)/(K161))*1000,0)</f>
        <v>0</v>
      </c>
      <c r="P161" s="94">
        <f>'DATA B3'!C162</f>
        <v>221206</v>
      </c>
      <c r="Q161" s="91">
        <f t="shared" si="64"/>
        <v>0</v>
      </c>
      <c r="R161" s="80">
        <f>'DATA B3'!D162</f>
        <v>165812</v>
      </c>
      <c r="S161" s="80">
        <f t="shared" si="65"/>
        <v>0</v>
      </c>
      <c r="T161" s="15">
        <f t="shared" si="60"/>
        <v>0</v>
      </c>
      <c r="U161" s="15">
        <f>IFERROR((('DATA B3'!E162-'DATA B3'!E161)+('DATA B3'!F162-'DATA B3'!F161))/('WATER_STEAM RATIO'!P161-'WATER_STEAM RATIO'!P160),0)</f>
        <v>0</v>
      </c>
    </row>
    <row r="162" spans="2:21">
      <c r="B162" s="292"/>
      <c r="C162" s="97">
        <v>1.1666666666666701</v>
      </c>
      <c r="D162" s="84">
        <f>'DATA B1'!D163</f>
        <v>222134</v>
      </c>
      <c r="E162" s="5">
        <f t="shared" si="66"/>
        <v>0</v>
      </c>
      <c r="F162" s="80">
        <f>'DATA B1'!E163</f>
        <v>524526</v>
      </c>
      <c r="G162" s="80">
        <f t="shared" si="61"/>
        <v>0</v>
      </c>
      <c r="H162" s="28">
        <f t="shared" si="58"/>
        <v>0</v>
      </c>
      <c r="I162" s="45">
        <f>IFERROR((('DATA B1'!G163-'DATA B1'!G162)/('WATER_STEAM RATIO'!D162-'WATER_STEAM RATIO'!D161))*1000,0)</f>
        <v>0</v>
      </c>
      <c r="J162" s="50">
        <f>'DATA B2'!D163</f>
        <v>512648</v>
      </c>
      <c r="K162" s="82">
        <f t="shared" si="62"/>
        <v>8</v>
      </c>
      <c r="L162" s="80">
        <f>'DATA B2'!E163</f>
        <v>568946</v>
      </c>
      <c r="M162" s="80">
        <f t="shared" si="63"/>
        <v>16</v>
      </c>
      <c r="N162" s="28">
        <f t="shared" si="59"/>
        <v>2</v>
      </c>
      <c r="O162" s="51">
        <f>IFERROR((('DATA B2'!F163-'DATA B2'!F162)/(K162))*1000,0)</f>
        <v>0</v>
      </c>
      <c r="P162" s="94">
        <f>'DATA B3'!C163</f>
        <v>221206</v>
      </c>
      <c r="Q162" s="91">
        <f t="shared" si="64"/>
        <v>0</v>
      </c>
      <c r="R162" s="80">
        <f>'DATA B3'!D163</f>
        <v>165812</v>
      </c>
      <c r="S162" s="80">
        <f t="shared" si="65"/>
        <v>0</v>
      </c>
      <c r="T162" s="15">
        <f t="shared" si="60"/>
        <v>0</v>
      </c>
      <c r="U162" s="15">
        <f>IFERROR((('DATA B3'!E163-'DATA B3'!E162)+('DATA B3'!F163-'DATA B3'!F162))/('WATER_STEAM RATIO'!P162-'WATER_STEAM RATIO'!P161),0)</f>
        <v>0</v>
      </c>
    </row>
    <row r="163" spans="2:21">
      <c r="B163" s="292"/>
      <c r="C163" s="97">
        <v>1.2083333333333399</v>
      </c>
      <c r="D163" s="84">
        <f>'DATA B1'!D164</f>
        <v>222134</v>
      </c>
      <c r="E163" s="5">
        <f t="shared" si="66"/>
        <v>0</v>
      </c>
      <c r="F163" s="80">
        <f>'DATA B1'!E164</f>
        <v>524526</v>
      </c>
      <c r="G163" s="80">
        <f t="shared" si="61"/>
        <v>0</v>
      </c>
      <c r="H163" s="28">
        <f t="shared" si="58"/>
        <v>0</v>
      </c>
      <c r="I163" s="45">
        <f>IFERROR((('DATA B1'!G164-'DATA B1'!G163)/('WATER_STEAM RATIO'!D163-'WATER_STEAM RATIO'!D162))*1000,0)</f>
        <v>0</v>
      </c>
      <c r="J163" s="50">
        <f>'DATA B2'!D164</f>
        <v>512656</v>
      </c>
      <c r="K163" s="82">
        <f t="shared" si="62"/>
        <v>8</v>
      </c>
      <c r="L163" s="80">
        <f>'DATA B2'!E164</f>
        <v>568962</v>
      </c>
      <c r="M163" s="80">
        <f t="shared" si="63"/>
        <v>16</v>
      </c>
      <c r="N163" s="28">
        <f t="shared" si="59"/>
        <v>2</v>
      </c>
      <c r="O163" s="51">
        <f>IFERROR((('DATA B2'!F164-'DATA B2'!F163)/(K163))*1000,0)</f>
        <v>0</v>
      </c>
      <c r="P163" s="94">
        <f>'DATA B3'!C164</f>
        <v>221206</v>
      </c>
      <c r="Q163" s="91">
        <f t="shared" si="64"/>
        <v>0</v>
      </c>
      <c r="R163" s="80">
        <f>'DATA B3'!D164</f>
        <v>165812</v>
      </c>
      <c r="S163" s="80">
        <f t="shared" si="65"/>
        <v>0</v>
      </c>
      <c r="T163" s="15">
        <f t="shared" si="60"/>
        <v>0</v>
      </c>
      <c r="U163" s="15">
        <f>IFERROR((('DATA B3'!E164-'DATA B3'!E163)+('DATA B3'!F164-'DATA B3'!F163))/('WATER_STEAM RATIO'!P163-'WATER_STEAM RATIO'!P162),0)</f>
        <v>0</v>
      </c>
    </row>
    <row r="164" spans="2:21">
      <c r="B164" s="292"/>
      <c r="C164" s="97">
        <v>1.25</v>
      </c>
      <c r="D164" s="84">
        <f>'DATA B1'!D165</f>
        <v>222134</v>
      </c>
      <c r="E164" s="5">
        <f t="shared" si="66"/>
        <v>0</v>
      </c>
      <c r="F164" s="80">
        <f>'DATA B1'!E165</f>
        <v>524526</v>
      </c>
      <c r="G164" s="80">
        <f t="shared" si="61"/>
        <v>0</v>
      </c>
      <c r="H164" s="28">
        <f t="shared" si="58"/>
        <v>0</v>
      </c>
      <c r="I164" s="45">
        <f>IFERROR((('DATA B1'!G165-'DATA B1'!G164)/('WATER_STEAM RATIO'!D164-'WATER_STEAM RATIO'!D163))*1000,0)</f>
        <v>0</v>
      </c>
      <c r="J164" s="50">
        <f>'DATA B2'!D165</f>
        <v>512665</v>
      </c>
      <c r="K164" s="82">
        <f t="shared" si="62"/>
        <v>9</v>
      </c>
      <c r="L164" s="80">
        <f>'DATA B2'!E165</f>
        <v>568978</v>
      </c>
      <c r="M164" s="80">
        <f t="shared" si="63"/>
        <v>16</v>
      </c>
      <c r="N164" s="28">
        <f t="shared" si="59"/>
        <v>1.7777777777777777</v>
      </c>
      <c r="O164" s="51">
        <f>IFERROR((('DATA B2'!F165-'DATA B2'!F164)/(K164))*1000,0)</f>
        <v>0</v>
      </c>
      <c r="P164" s="94">
        <f>'DATA B3'!C165</f>
        <v>221206</v>
      </c>
      <c r="Q164" s="91">
        <f t="shared" si="64"/>
        <v>0</v>
      </c>
      <c r="R164" s="80">
        <f>'DATA B3'!D165</f>
        <v>165812</v>
      </c>
      <c r="S164" s="80">
        <f t="shared" si="65"/>
        <v>0</v>
      </c>
      <c r="T164" s="15">
        <f t="shared" si="60"/>
        <v>0</v>
      </c>
      <c r="U164" s="15">
        <f>IFERROR((('DATA B3'!E165-'DATA B3'!E164)+('DATA B3'!F165-'DATA B3'!F164))/('WATER_STEAM RATIO'!P164-'WATER_STEAM RATIO'!P163),0)</f>
        <v>0</v>
      </c>
    </row>
    <row r="165" spans="2:21">
      <c r="B165" s="292"/>
      <c r="C165" s="97">
        <v>1.2916666666666701</v>
      </c>
      <c r="D165" s="84">
        <f>'DATA B1'!D166</f>
        <v>222134</v>
      </c>
      <c r="E165" s="5">
        <f t="shared" si="66"/>
        <v>0</v>
      </c>
      <c r="F165" s="80">
        <f>'DATA B1'!E166</f>
        <v>524526</v>
      </c>
      <c r="G165" s="80">
        <f t="shared" si="61"/>
        <v>0</v>
      </c>
      <c r="H165" s="28">
        <f t="shared" si="58"/>
        <v>0</v>
      </c>
      <c r="I165" s="45">
        <f>IFERROR((('DATA B1'!G166-'DATA B1'!G165)/('WATER_STEAM RATIO'!D165-'WATER_STEAM RATIO'!D164))*1000,0)</f>
        <v>0</v>
      </c>
      <c r="J165" s="50">
        <f>'DATA B2'!D166</f>
        <v>512674</v>
      </c>
      <c r="K165" s="82">
        <f>SUM(J165-J164)</f>
        <v>9</v>
      </c>
      <c r="L165" s="80">
        <f>'DATA B2'!E166</f>
        <v>568995</v>
      </c>
      <c r="M165" s="80">
        <f t="shared" si="63"/>
        <v>17</v>
      </c>
      <c r="N165" s="28">
        <f t="shared" si="59"/>
        <v>1.8888888888888888</v>
      </c>
      <c r="O165" s="51">
        <f>IFERROR((('DATA B2'!F166-'DATA B2'!F165)/(K165))*1000,0)</f>
        <v>0</v>
      </c>
      <c r="P165" s="94">
        <f>'DATA B3'!C166</f>
        <v>221206</v>
      </c>
      <c r="Q165" s="91">
        <f t="shared" si="64"/>
        <v>0</v>
      </c>
      <c r="R165" s="80">
        <f>'DATA B3'!D166</f>
        <v>165812</v>
      </c>
      <c r="S165" s="80">
        <f t="shared" si="65"/>
        <v>0</v>
      </c>
      <c r="T165" s="15">
        <f t="shared" si="60"/>
        <v>0</v>
      </c>
      <c r="U165" s="15">
        <f>IFERROR((('DATA B3'!E166-'DATA B3'!E165)+('DATA B3'!F166-'DATA B3'!F165))/('WATER_STEAM RATIO'!P165-'WATER_STEAM RATIO'!P164),0)</f>
        <v>0</v>
      </c>
    </row>
    <row r="166" spans="2:21" ht="15.75" thickBot="1">
      <c r="B166" s="293"/>
      <c r="C166" s="235"/>
      <c r="D166" s="224" cm="1">
        <f t="array" ref="D166">IFERROR(LOOKUP(2,1/(D141:D165&gt;0),D141:D165-D141),0)</f>
        <v>0</v>
      </c>
      <c r="E166" s="223">
        <f>SUMIF(E142:E165,"&gt;=0",E142:E165)</f>
        <v>0</v>
      </c>
      <c r="F166" s="224" cm="1">
        <f t="array" ref="F166">IFERROR(LOOKUP(2,1/(F141:F165&gt;0),F141:F165-F141),0)</f>
        <v>0</v>
      </c>
      <c r="G166" s="223">
        <f>SUMIF(G142:G165,"&gt;=0",G142:G165)</f>
        <v>0</v>
      </c>
      <c r="H166" s="225">
        <f t="shared" si="58"/>
        <v>0</v>
      </c>
      <c r="I166" s="236">
        <f>IFERROR((('DATA B1'!H167)/(E166))*1000,0)</f>
        <v>0</v>
      </c>
      <c r="J166" s="222" cm="1">
        <f t="array" ref="J166">IFERROR(LOOKUP(2,1/(J141:J165&gt;0),J141:J165-J141),0)</f>
        <v>205</v>
      </c>
      <c r="K166" s="223">
        <f>SUMIF(K142:K165,"&gt;=0",K142:K165)</f>
        <v>205</v>
      </c>
      <c r="L166" s="224" cm="1">
        <f t="array" ref="L166">IFERROR(LOOKUP(2,1/(L141:L165&gt;0),L141:L165-L141),0)</f>
        <v>436</v>
      </c>
      <c r="M166" s="223">
        <f>SUMIF(M142:M165,"&gt;=0",M142:M165)</f>
        <v>436</v>
      </c>
      <c r="N166" s="225">
        <f>IFERROR(M166/K166,0)</f>
        <v>2.126829268292683</v>
      </c>
      <c r="O166" s="226">
        <f>IFERROR((('DATA B2'!H167)/(K166))*1000,0)</f>
        <v>4.878048780487268E-3</v>
      </c>
      <c r="P166" s="224" cm="1">
        <f t="array" ref="P166">IFERROR(LOOKUP(2,1/(P141:P165&gt;0),P141:P165-P141),0)</f>
        <v>0</v>
      </c>
      <c r="Q166" s="223">
        <f>SUMIF(Q142:Q165,"&gt;=0",Q142:Q165)</f>
        <v>0</v>
      </c>
      <c r="R166" s="224" cm="1">
        <f t="array" ref="R166">IFERROR(LOOKUP(2,1/(R141:R165&gt;0),R141:R165-R141),0)</f>
        <v>0</v>
      </c>
      <c r="S166" s="223">
        <f>SUMIF(S142:S165,"&gt;=0",S142:S165)</f>
        <v>0</v>
      </c>
      <c r="T166" s="237">
        <f t="shared" si="60"/>
        <v>0</v>
      </c>
      <c r="U166" s="226">
        <f>IFERROR(('DATA B3'!E167+'DATA B3'!F167)/Q166*1000,0)</f>
        <v>0</v>
      </c>
    </row>
    <row r="167" spans="2:21" ht="15" customHeight="1">
      <c r="B167" s="291">
        <f>SUM('DATA B1'!B168:B193)</f>
        <v>46029</v>
      </c>
      <c r="C167" s="97">
        <v>0.29166666666666669</v>
      </c>
      <c r="D167" s="84">
        <f>'DATA B1'!D168</f>
        <v>222134</v>
      </c>
      <c r="E167" s="5">
        <f>SUM(E165)</f>
        <v>0</v>
      </c>
      <c r="F167" s="80">
        <f>'DATA B1'!E168</f>
        <v>524526</v>
      </c>
      <c r="G167" s="80">
        <f>SUM(G165)</f>
        <v>0</v>
      </c>
      <c r="H167" s="28">
        <f t="shared" si="58"/>
        <v>0</v>
      </c>
      <c r="I167" s="45"/>
      <c r="J167" s="50">
        <f>'DATA B2'!D168</f>
        <v>512674</v>
      </c>
      <c r="K167" s="82">
        <f>SUM(K165)</f>
        <v>9</v>
      </c>
      <c r="L167" s="80">
        <f>'DATA B2'!E168</f>
        <v>568995</v>
      </c>
      <c r="M167" s="80">
        <f>SUM(M165)</f>
        <v>17</v>
      </c>
      <c r="N167" s="28">
        <f>IFERROR(M167/K167,0)</f>
        <v>1.8888888888888888</v>
      </c>
      <c r="O167" s="103"/>
      <c r="P167" s="94">
        <f>'DATA B3'!C168</f>
        <v>221206</v>
      </c>
      <c r="Q167" s="91">
        <f>SUM(Q165)</f>
        <v>0</v>
      </c>
      <c r="R167" s="80">
        <f>'DATA B3'!D168</f>
        <v>165812</v>
      </c>
      <c r="S167" s="80">
        <f>SUM(S165)</f>
        <v>0</v>
      </c>
      <c r="T167" s="15">
        <f>IFERROR(S167/Q167,0)</f>
        <v>0</v>
      </c>
      <c r="U167" s="15"/>
    </row>
    <row r="168" spans="2:21">
      <c r="B168" s="292"/>
      <c r="C168" s="97">
        <v>0.33333333333333298</v>
      </c>
      <c r="D168" s="84">
        <f>'DATA B1'!D169</f>
        <v>222134</v>
      </c>
      <c r="E168" s="5">
        <f t="shared" ref="E168:E174" si="67">SUM(D168-D167)</f>
        <v>0</v>
      </c>
      <c r="F168" s="80">
        <f>'DATA B1'!E169</f>
        <v>524526</v>
      </c>
      <c r="G168" s="80">
        <f>SUM(F168-F167)</f>
        <v>0</v>
      </c>
      <c r="H168" s="28">
        <f t="shared" si="58"/>
        <v>0</v>
      </c>
      <c r="I168" s="45">
        <f>IFERROR((('DATA B1'!G169-'DATA B1'!G168)/('WATER_STEAM RATIO'!D168-'WATER_STEAM RATIO'!D167))*1000,0)</f>
        <v>0</v>
      </c>
      <c r="J168" s="50">
        <f>'DATA B2'!D169</f>
        <v>512684</v>
      </c>
      <c r="K168" s="82">
        <f>SUM(J168-J167)</f>
        <v>10</v>
      </c>
      <c r="L168" s="80">
        <f>'DATA B2'!E169</f>
        <v>569017</v>
      </c>
      <c r="M168" s="80">
        <f>SUM(L168-L167)</f>
        <v>22</v>
      </c>
      <c r="N168" s="28">
        <f t="shared" ref="N168:N191" si="68">IFERROR(M168/K168,0)</f>
        <v>2.2000000000000002</v>
      </c>
      <c r="O168" s="51">
        <f>IFERROR((('DATA B2'!F169-'DATA B2'!F168)/(K168))*1000,0)</f>
        <v>9.9999999999988987E-3</v>
      </c>
      <c r="P168" s="94">
        <f>'DATA B3'!C169</f>
        <v>221206</v>
      </c>
      <c r="Q168" s="91">
        <f>SUM(P168-P167)</f>
        <v>0</v>
      </c>
      <c r="R168" s="80">
        <f>'DATA B3'!D169</f>
        <v>165812</v>
      </c>
      <c r="S168" s="80">
        <f>SUM(R168-R167)</f>
        <v>0</v>
      </c>
      <c r="T168" s="15">
        <f t="shared" ref="T168:T192" si="69">IFERROR(S168/Q168,0)</f>
        <v>0</v>
      </c>
      <c r="U168" s="15">
        <f>IFERROR((('DATA B3'!E169-'DATA B3'!E168)+('DATA B3'!F169-'DATA B3'!F168))/('WATER_STEAM RATIO'!P168-'WATER_STEAM RATIO'!P167),0)</f>
        <v>0</v>
      </c>
    </row>
    <row r="169" spans="2:21">
      <c r="B169" s="292"/>
      <c r="C169" s="97">
        <v>0.375</v>
      </c>
      <c r="D169" s="84">
        <f>'DATA B1'!D170</f>
        <v>222134</v>
      </c>
      <c r="E169" s="5">
        <f t="shared" si="67"/>
        <v>0</v>
      </c>
      <c r="F169" s="80">
        <f>'DATA B1'!E170</f>
        <v>524526</v>
      </c>
      <c r="G169" s="80">
        <f t="shared" ref="G169:G191" si="70">SUM(F169-F168)</f>
        <v>0</v>
      </c>
      <c r="H169" s="28">
        <f t="shared" si="58"/>
        <v>0</v>
      </c>
      <c r="I169" s="45">
        <f>IFERROR((('DATA B1'!G170-'DATA B1'!G169)/('WATER_STEAM RATIO'!D169-'WATER_STEAM RATIO'!D168))*1000,0)</f>
        <v>0</v>
      </c>
      <c r="J169" s="50">
        <f>'DATA B2'!D170</f>
        <v>512692</v>
      </c>
      <c r="K169" s="82">
        <f t="shared" ref="K169:K190" si="71">SUM(J169-J168)</f>
        <v>8</v>
      </c>
      <c r="L169" s="80">
        <f>'DATA B2'!E170</f>
        <v>569034</v>
      </c>
      <c r="M169" s="80">
        <f t="shared" ref="M169:M191" si="72">SUM(L169-L168)</f>
        <v>17</v>
      </c>
      <c r="N169" s="28">
        <f t="shared" si="68"/>
        <v>2.125</v>
      </c>
      <c r="O169" s="51">
        <f>IFERROR((('DATA B2'!F170-'DATA B2'!F169)/(K169))*1000,0)</f>
        <v>0</v>
      </c>
      <c r="P169" s="94">
        <f>'DATA B3'!C170</f>
        <v>221206</v>
      </c>
      <c r="Q169" s="91">
        <f t="shared" ref="Q169:Q191" si="73">SUM(P169-P168)</f>
        <v>0</v>
      </c>
      <c r="R169" s="80">
        <f>'DATA B3'!D170</f>
        <v>165812</v>
      </c>
      <c r="S169" s="80">
        <f t="shared" ref="S169:S191" si="74">SUM(R169-R168)</f>
        <v>0</v>
      </c>
      <c r="T169" s="15">
        <f t="shared" si="69"/>
        <v>0</v>
      </c>
      <c r="U169" s="15">
        <f>IFERROR((('DATA B3'!E170-'DATA B3'!E169)+('DATA B3'!F170-'DATA B3'!F169))/('WATER_STEAM RATIO'!P169-'WATER_STEAM RATIO'!P168),0)</f>
        <v>0</v>
      </c>
    </row>
    <row r="170" spans="2:21">
      <c r="B170" s="292"/>
      <c r="C170" s="97">
        <v>0.41666666666666702</v>
      </c>
      <c r="D170" s="84">
        <f>'DATA B1'!D171</f>
        <v>222134</v>
      </c>
      <c r="E170" s="5">
        <f t="shared" si="67"/>
        <v>0</v>
      </c>
      <c r="F170" s="80">
        <f>'DATA B1'!E171</f>
        <v>524526</v>
      </c>
      <c r="G170" s="80">
        <f t="shared" si="70"/>
        <v>0</v>
      </c>
      <c r="H170" s="28">
        <f t="shared" si="58"/>
        <v>0</v>
      </c>
      <c r="I170" s="45">
        <f>IFERROR((('DATA B1'!G171-'DATA B1'!G170)/('WATER_STEAM RATIO'!D170-'WATER_STEAM RATIO'!D169))*1000,0)</f>
        <v>0</v>
      </c>
      <c r="J170" s="50">
        <f>'DATA B2'!D171</f>
        <v>512700</v>
      </c>
      <c r="K170" s="82">
        <f t="shared" si="71"/>
        <v>8</v>
      </c>
      <c r="L170" s="80">
        <f>'DATA B2'!E171</f>
        <v>569051</v>
      </c>
      <c r="M170" s="80">
        <f t="shared" si="72"/>
        <v>17</v>
      </c>
      <c r="N170" s="28">
        <f t="shared" si="68"/>
        <v>2.125</v>
      </c>
      <c r="O170" s="51">
        <f>IFERROR((('DATA B2'!F171-'DATA B2'!F170)/(K170))*1000,0)</f>
        <v>0</v>
      </c>
      <c r="P170" s="94">
        <f>'DATA B3'!C171</f>
        <v>221206</v>
      </c>
      <c r="Q170" s="91">
        <f t="shared" si="73"/>
        <v>0</v>
      </c>
      <c r="R170" s="80">
        <f>'DATA B3'!D171</f>
        <v>165812</v>
      </c>
      <c r="S170" s="80">
        <f t="shared" si="74"/>
        <v>0</v>
      </c>
      <c r="T170" s="15">
        <f t="shared" si="69"/>
        <v>0</v>
      </c>
      <c r="U170" s="15">
        <f>IFERROR((('DATA B3'!E171-'DATA B3'!E170)+('DATA B3'!F171-'DATA B3'!F170))/('WATER_STEAM RATIO'!P170-'WATER_STEAM RATIO'!P169),0)</f>
        <v>0</v>
      </c>
    </row>
    <row r="171" spans="2:21">
      <c r="B171" s="292"/>
      <c r="C171" s="97">
        <v>0.45833333333333298</v>
      </c>
      <c r="D171" s="84">
        <f>'DATA B1'!D172</f>
        <v>222134</v>
      </c>
      <c r="E171" s="5">
        <f t="shared" si="67"/>
        <v>0</v>
      </c>
      <c r="F171" s="80">
        <f>'DATA B1'!E172</f>
        <v>524526</v>
      </c>
      <c r="G171" s="80">
        <f t="shared" si="70"/>
        <v>0</v>
      </c>
      <c r="H171" s="28">
        <f t="shared" si="58"/>
        <v>0</v>
      </c>
      <c r="I171" s="45">
        <f>IFERROR((('DATA B1'!G172-'DATA B1'!G171)/('WATER_STEAM RATIO'!D171-'WATER_STEAM RATIO'!D170))*1000,0)</f>
        <v>0</v>
      </c>
      <c r="J171" s="50">
        <f>'DATA B2'!D172</f>
        <v>512708</v>
      </c>
      <c r="K171" s="82">
        <f t="shared" si="71"/>
        <v>8</v>
      </c>
      <c r="L171" s="80">
        <f>'DATA B2'!E172</f>
        <v>569069</v>
      </c>
      <c r="M171" s="80">
        <f t="shared" si="72"/>
        <v>18</v>
      </c>
      <c r="N171" s="28">
        <f t="shared" si="68"/>
        <v>2.25</v>
      </c>
      <c r="O171" s="51">
        <f>IFERROR((('DATA B2'!F172-'DATA B2'!F171)/(K171))*1000,0)</f>
        <v>1.2499999999998623E-2</v>
      </c>
      <c r="P171" s="94">
        <f>'DATA B3'!C172</f>
        <v>221206</v>
      </c>
      <c r="Q171" s="91">
        <f t="shared" si="73"/>
        <v>0</v>
      </c>
      <c r="R171" s="80">
        <f>'DATA B3'!D172</f>
        <v>165812</v>
      </c>
      <c r="S171" s="80">
        <f t="shared" si="74"/>
        <v>0</v>
      </c>
      <c r="T171" s="15">
        <f t="shared" si="69"/>
        <v>0</v>
      </c>
      <c r="U171" s="15">
        <f>IFERROR((('DATA B3'!E172-'DATA B3'!E171)+('DATA B3'!F172-'DATA B3'!F171))/('WATER_STEAM RATIO'!P171-'WATER_STEAM RATIO'!P170),0)</f>
        <v>0</v>
      </c>
    </row>
    <row r="172" spans="2:21">
      <c r="B172" s="292"/>
      <c r="C172" s="97">
        <v>0.5</v>
      </c>
      <c r="D172" s="84">
        <f>'DATA B1'!D173</f>
        <v>222134</v>
      </c>
      <c r="E172" s="5">
        <f t="shared" si="67"/>
        <v>0</v>
      </c>
      <c r="F172" s="80">
        <f>'DATA B1'!E173</f>
        <v>524526</v>
      </c>
      <c r="G172" s="80">
        <f t="shared" si="70"/>
        <v>0</v>
      </c>
      <c r="H172" s="28">
        <f t="shared" si="58"/>
        <v>0</v>
      </c>
      <c r="I172" s="45">
        <f>IFERROR((('DATA B1'!G173-'DATA B1'!G172)/('WATER_STEAM RATIO'!D172-'WATER_STEAM RATIO'!D171))*1000,0)</f>
        <v>0</v>
      </c>
      <c r="J172" s="50">
        <f>'DATA B2'!D173</f>
        <v>512717</v>
      </c>
      <c r="K172" s="82">
        <f t="shared" si="71"/>
        <v>9</v>
      </c>
      <c r="L172" s="80">
        <f>'DATA B2'!E173</f>
        <v>569086</v>
      </c>
      <c r="M172" s="80">
        <f t="shared" si="72"/>
        <v>17</v>
      </c>
      <c r="N172" s="28">
        <f t="shared" si="68"/>
        <v>1.8888888888888888</v>
      </c>
      <c r="O172" s="51">
        <f>IFERROR((('DATA B2'!F173-'DATA B2'!F172)/(K172))*1000,0)</f>
        <v>0</v>
      </c>
      <c r="P172" s="94">
        <f>'DATA B3'!C173</f>
        <v>221206</v>
      </c>
      <c r="Q172" s="91">
        <f t="shared" si="73"/>
        <v>0</v>
      </c>
      <c r="R172" s="80">
        <f>'DATA B3'!D173</f>
        <v>165812</v>
      </c>
      <c r="S172" s="80">
        <f t="shared" si="74"/>
        <v>0</v>
      </c>
      <c r="T172" s="15">
        <f t="shared" si="69"/>
        <v>0</v>
      </c>
      <c r="U172" s="15">
        <f>IFERROR((('DATA B3'!E173-'DATA B3'!E172)+('DATA B3'!F173-'DATA B3'!F172))/('WATER_STEAM RATIO'!P172-'WATER_STEAM RATIO'!P171),0)</f>
        <v>0</v>
      </c>
    </row>
    <row r="173" spans="2:21">
      <c r="B173" s="292"/>
      <c r="C173" s="97">
        <v>0.54166666666666696</v>
      </c>
      <c r="D173" s="84">
        <f>'DATA B1'!D174</f>
        <v>222134</v>
      </c>
      <c r="E173" s="5">
        <f t="shared" si="67"/>
        <v>0</v>
      </c>
      <c r="F173" s="80">
        <f>'DATA B1'!E174</f>
        <v>524526</v>
      </c>
      <c r="G173" s="80">
        <f t="shared" si="70"/>
        <v>0</v>
      </c>
      <c r="H173" s="28">
        <f t="shared" si="58"/>
        <v>0</v>
      </c>
      <c r="I173" s="45">
        <f>IFERROR((('DATA B1'!G174-'DATA B1'!G173)/('WATER_STEAM RATIO'!D173-'WATER_STEAM RATIO'!D172))*1000,0)</f>
        <v>0</v>
      </c>
      <c r="J173" s="50">
        <f>'DATA B2'!D174</f>
        <v>512726</v>
      </c>
      <c r="K173" s="82">
        <f t="shared" si="71"/>
        <v>9</v>
      </c>
      <c r="L173" s="80">
        <f>'DATA B2'!E174</f>
        <v>569104</v>
      </c>
      <c r="M173" s="80">
        <f t="shared" si="72"/>
        <v>18</v>
      </c>
      <c r="N173" s="28">
        <f t="shared" si="68"/>
        <v>2</v>
      </c>
      <c r="O173" s="51">
        <f>IFERROR((('DATA B2'!F174-'DATA B2'!F173)/(K173))*1000,0)</f>
        <v>0</v>
      </c>
      <c r="P173" s="94">
        <f>'DATA B3'!C174</f>
        <v>221206</v>
      </c>
      <c r="Q173" s="91">
        <f t="shared" si="73"/>
        <v>0</v>
      </c>
      <c r="R173" s="80">
        <f>'DATA B3'!D174</f>
        <v>165812</v>
      </c>
      <c r="S173" s="80">
        <f t="shared" si="74"/>
        <v>0</v>
      </c>
      <c r="T173" s="15">
        <f t="shared" si="69"/>
        <v>0</v>
      </c>
      <c r="U173" s="15">
        <f>IFERROR((('DATA B3'!E174-'DATA B3'!E173)+('DATA B3'!F174-'DATA B3'!F173))/('WATER_STEAM RATIO'!P173-'WATER_STEAM RATIO'!P172),0)</f>
        <v>0</v>
      </c>
    </row>
    <row r="174" spans="2:21">
      <c r="B174" s="292"/>
      <c r="C174" s="97">
        <v>0.58333333333333304</v>
      </c>
      <c r="D174" s="84">
        <f>'DATA B1'!D175</f>
        <v>222134</v>
      </c>
      <c r="E174" s="5">
        <f t="shared" si="67"/>
        <v>0</v>
      </c>
      <c r="F174" s="80">
        <f>'DATA B1'!E175</f>
        <v>524526</v>
      </c>
      <c r="G174" s="80">
        <f t="shared" si="70"/>
        <v>0</v>
      </c>
      <c r="H174" s="28">
        <f t="shared" si="58"/>
        <v>0</v>
      </c>
      <c r="I174" s="45">
        <f>IFERROR((('DATA B1'!G175-'DATA B1'!G174)/('WATER_STEAM RATIO'!D174-'WATER_STEAM RATIO'!D173))*1000,0)</f>
        <v>0</v>
      </c>
      <c r="J174" s="50">
        <f>'DATA B2'!D175</f>
        <v>512735</v>
      </c>
      <c r="K174" s="82">
        <f t="shared" si="71"/>
        <v>9</v>
      </c>
      <c r="L174" s="80">
        <f>'DATA B2'!E175</f>
        <v>569122</v>
      </c>
      <c r="M174" s="80">
        <f t="shared" si="72"/>
        <v>18</v>
      </c>
      <c r="N174" s="28">
        <f t="shared" si="68"/>
        <v>2</v>
      </c>
      <c r="O174" s="51">
        <f>IFERROR((('DATA B2'!F175-'DATA B2'!F174)/(K174))*1000,0)</f>
        <v>1.1111111111109887E-2</v>
      </c>
      <c r="P174" s="94">
        <f>'DATA B3'!C175</f>
        <v>221206</v>
      </c>
      <c r="Q174" s="91">
        <f t="shared" si="73"/>
        <v>0</v>
      </c>
      <c r="R174" s="80">
        <f>'DATA B3'!D175</f>
        <v>165812</v>
      </c>
      <c r="S174" s="80">
        <f t="shared" si="74"/>
        <v>0</v>
      </c>
      <c r="T174" s="15">
        <f t="shared" si="69"/>
        <v>0</v>
      </c>
      <c r="U174" s="15">
        <f>IFERROR((('DATA B3'!E175-'DATA B3'!E174)+('DATA B3'!F175-'DATA B3'!F174))/('WATER_STEAM RATIO'!P174-'WATER_STEAM RATIO'!P173),0)</f>
        <v>0</v>
      </c>
    </row>
    <row r="175" spans="2:21">
      <c r="B175" s="292"/>
      <c r="C175" s="97">
        <v>0.625</v>
      </c>
      <c r="D175" s="84">
        <f>'DATA B1'!D176</f>
        <v>222134</v>
      </c>
      <c r="E175" s="5">
        <f t="shared" ref="E175:E191" si="75">SUM(D175-D174)</f>
        <v>0</v>
      </c>
      <c r="F175" s="80">
        <f>'DATA B1'!E176</f>
        <v>524526</v>
      </c>
      <c r="G175" s="80">
        <f t="shared" si="70"/>
        <v>0</v>
      </c>
      <c r="H175" s="28">
        <f t="shared" si="58"/>
        <v>0</v>
      </c>
      <c r="I175" s="45">
        <f>IFERROR((('DATA B1'!G176-'DATA B1'!G175)/('WATER_STEAM RATIO'!D175-'WATER_STEAM RATIO'!D174))*1000,0)</f>
        <v>0</v>
      </c>
      <c r="J175" s="50">
        <f>'DATA B2'!D176</f>
        <v>512744</v>
      </c>
      <c r="K175" s="82">
        <f t="shared" si="71"/>
        <v>9</v>
      </c>
      <c r="L175" s="80">
        <f>'DATA B2'!E176</f>
        <v>569140</v>
      </c>
      <c r="M175" s="80">
        <f t="shared" si="72"/>
        <v>18</v>
      </c>
      <c r="N175" s="28">
        <f t="shared" si="68"/>
        <v>2</v>
      </c>
      <c r="O175" s="51">
        <f>IFERROR((('DATA B2'!F176-'DATA B2'!F175)/(K175))*1000,0)</f>
        <v>0</v>
      </c>
      <c r="P175" s="94">
        <f>'DATA B3'!C176</f>
        <v>221206</v>
      </c>
      <c r="Q175" s="91">
        <f t="shared" si="73"/>
        <v>0</v>
      </c>
      <c r="R175" s="80">
        <f>'DATA B3'!D176</f>
        <v>165812</v>
      </c>
      <c r="S175" s="80">
        <f t="shared" si="74"/>
        <v>0</v>
      </c>
      <c r="T175" s="15">
        <f t="shared" si="69"/>
        <v>0</v>
      </c>
      <c r="U175" s="15">
        <f>IFERROR((('DATA B3'!E176-'DATA B3'!E175)+('DATA B3'!F176-'DATA B3'!F175))/('WATER_STEAM RATIO'!P175-'WATER_STEAM RATIO'!P174),0)</f>
        <v>0</v>
      </c>
    </row>
    <row r="176" spans="2:21">
      <c r="B176" s="292"/>
      <c r="C176" s="97">
        <v>0.66666666666666596</v>
      </c>
      <c r="D176" s="84">
        <f>'DATA B1'!D177</f>
        <v>222134</v>
      </c>
      <c r="E176" s="5">
        <f t="shared" si="75"/>
        <v>0</v>
      </c>
      <c r="F176" s="80">
        <f>'DATA B1'!E177</f>
        <v>524526</v>
      </c>
      <c r="G176" s="80">
        <f t="shared" si="70"/>
        <v>0</v>
      </c>
      <c r="H176" s="28">
        <f t="shared" si="58"/>
        <v>0</v>
      </c>
      <c r="I176" s="45">
        <f>IFERROR((('DATA B1'!G177-'DATA B1'!G176)/('WATER_STEAM RATIO'!D176-'WATER_STEAM RATIO'!D175))*1000,0)</f>
        <v>0</v>
      </c>
      <c r="J176" s="50">
        <f>'DATA B2'!D177</f>
        <v>512752</v>
      </c>
      <c r="K176" s="82">
        <f>SUM(J176-J175)</f>
        <v>8</v>
      </c>
      <c r="L176" s="80">
        <f>'DATA B2'!E177</f>
        <v>569157</v>
      </c>
      <c r="M176" s="80">
        <f t="shared" si="72"/>
        <v>17</v>
      </c>
      <c r="N176" s="28">
        <f t="shared" si="68"/>
        <v>2.125</v>
      </c>
      <c r="O176" s="51">
        <f>IFERROR((('DATA B2'!F177-'DATA B2'!F176)/(K176))*1000,0)</f>
        <v>0</v>
      </c>
      <c r="P176" s="94">
        <f>'DATA B3'!C177</f>
        <v>221206</v>
      </c>
      <c r="Q176" s="91">
        <f t="shared" si="73"/>
        <v>0</v>
      </c>
      <c r="R176" s="80">
        <f>'DATA B3'!D177</f>
        <v>165812</v>
      </c>
      <c r="S176" s="80">
        <f t="shared" si="74"/>
        <v>0</v>
      </c>
      <c r="T176" s="15">
        <f t="shared" si="69"/>
        <v>0</v>
      </c>
      <c r="U176" s="15">
        <f>IFERROR((('DATA B3'!E177-'DATA B3'!E176)+('DATA B3'!F177-'DATA B3'!F176))/('WATER_STEAM RATIO'!P176-'WATER_STEAM RATIO'!P175),0)</f>
        <v>0</v>
      </c>
    </row>
    <row r="177" spans="2:21">
      <c r="B177" s="292"/>
      <c r="C177" s="97">
        <v>0.70833333333333304</v>
      </c>
      <c r="D177" s="84">
        <f>'DATA B1'!D178</f>
        <v>222134</v>
      </c>
      <c r="E177" s="5">
        <f t="shared" si="75"/>
        <v>0</v>
      </c>
      <c r="F177" s="80">
        <f>'DATA B1'!E178</f>
        <v>524526</v>
      </c>
      <c r="G177" s="80">
        <f t="shared" si="70"/>
        <v>0</v>
      </c>
      <c r="H177" s="28">
        <f t="shared" si="58"/>
        <v>0</v>
      </c>
      <c r="I177" s="45">
        <f>IFERROR((('DATA B1'!G178-'DATA B1'!G177)/('WATER_STEAM RATIO'!D177-'WATER_STEAM RATIO'!D176))*1000,0)</f>
        <v>0</v>
      </c>
      <c r="J177" s="50">
        <f>'DATA B2'!D178</f>
        <v>512760</v>
      </c>
      <c r="K177" s="82">
        <f t="shared" si="71"/>
        <v>8</v>
      </c>
      <c r="L177" s="80">
        <f>'DATA B2'!E178</f>
        <v>569174</v>
      </c>
      <c r="M177" s="80">
        <f t="shared" si="72"/>
        <v>17</v>
      </c>
      <c r="N177" s="28">
        <f t="shared" si="68"/>
        <v>2.125</v>
      </c>
      <c r="O177" s="51">
        <f>IFERROR((('DATA B2'!F178-'DATA B2'!F177)/(K177))*1000,0)</f>
        <v>0</v>
      </c>
      <c r="P177" s="94">
        <f>'DATA B3'!C178</f>
        <v>221206</v>
      </c>
      <c r="Q177" s="91">
        <f t="shared" si="73"/>
        <v>0</v>
      </c>
      <c r="R177" s="80">
        <f>'DATA B3'!D178</f>
        <v>165812</v>
      </c>
      <c r="S177" s="80">
        <f t="shared" si="74"/>
        <v>0</v>
      </c>
      <c r="T177" s="15">
        <f t="shared" si="69"/>
        <v>0</v>
      </c>
      <c r="U177" s="15">
        <f>IFERROR((('DATA B3'!E178-'DATA B3'!E177)+('DATA B3'!F178-'DATA B3'!F177))/('WATER_STEAM RATIO'!P177-'WATER_STEAM RATIO'!P176),0)</f>
        <v>0</v>
      </c>
    </row>
    <row r="178" spans="2:21">
      <c r="B178" s="292"/>
      <c r="C178" s="97">
        <v>0.75</v>
      </c>
      <c r="D178" s="84">
        <f>'DATA B1'!D179</f>
        <v>222134</v>
      </c>
      <c r="E178" s="5">
        <f t="shared" si="75"/>
        <v>0</v>
      </c>
      <c r="F178" s="80">
        <f>'DATA B1'!E179</f>
        <v>524526</v>
      </c>
      <c r="G178" s="80">
        <f t="shared" si="70"/>
        <v>0</v>
      </c>
      <c r="H178" s="28">
        <f t="shared" si="58"/>
        <v>0</v>
      </c>
      <c r="I178" s="45">
        <f>IFERROR((('DATA B1'!G179-'DATA B1'!G178)/('WATER_STEAM RATIO'!D178-'WATER_STEAM RATIO'!D177))*1000,0)</f>
        <v>0</v>
      </c>
      <c r="J178" s="50">
        <f>'DATA B2'!D179</f>
        <v>512769</v>
      </c>
      <c r="K178" s="82">
        <f t="shared" si="71"/>
        <v>9</v>
      </c>
      <c r="L178" s="80">
        <f>'DATA B2'!E179</f>
        <v>569191</v>
      </c>
      <c r="M178" s="80">
        <f t="shared" si="72"/>
        <v>17</v>
      </c>
      <c r="N178" s="28">
        <f t="shared" si="68"/>
        <v>1.8888888888888888</v>
      </c>
      <c r="O178" s="51">
        <f>IFERROR((('DATA B2'!F179-'DATA B2'!F178)/(K178))*1000,0)</f>
        <v>1.111111111113456E-2</v>
      </c>
      <c r="P178" s="94">
        <f>'DATA B3'!C179</f>
        <v>221206</v>
      </c>
      <c r="Q178" s="91">
        <f t="shared" si="73"/>
        <v>0</v>
      </c>
      <c r="R178" s="80">
        <f>'DATA B3'!D179</f>
        <v>165812</v>
      </c>
      <c r="S178" s="80">
        <f t="shared" si="74"/>
        <v>0</v>
      </c>
      <c r="T178" s="15">
        <f t="shared" si="69"/>
        <v>0</v>
      </c>
      <c r="U178" s="15">
        <f>IFERROR((('DATA B3'!E179-'DATA B3'!E178)+('DATA B3'!F179-'DATA B3'!F178))/('WATER_STEAM RATIO'!P178-'WATER_STEAM RATIO'!P177),0)</f>
        <v>0</v>
      </c>
    </row>
    <row r="179" spans="2:21">
      <c r="B179" s="292"/>
      <c r="C179" s="97">
        <v>0.79166666666666596</v>
      </c>
      <c r="D179" s="84">
        <f>'DATA B1'!D180</f>
        <v>222134</v>
      </c>
      <c r="E179" s="5">
        <f t="shared" si="75"/>
        <v>0</v>
      </c>
      <c r="F179" s="80">
        <f>'DATA B1'!E180</f>
        <v>524526</v>
      </c>
      <c r="G179" s="80">
        <f t="shared" si="70"/>
        <v>0</v>
      </c>
      <c r="H179" s="28">
        <f t="shared" si="58"/>
        <v>0</v>
      </c>
      <c r="I179" s="45">
        <f>IFERROR((('DATA B1'!G180-'DATA B1'!G179)/('WATER_STEAM RATIO'!D179-'WATER_STEAM RATIO'!D178))*1000,0)</f>
        <v>0</v>
      </c>
      <c r="J179" s="50">
        <f>'DATA B2'!D180</f>
        <v>512779</v>
      </c>
      <c r="K179" s="82">
        <f t="shared" si="71"/>
        <v>10</v>
      </c>
      <c r="L179" s="80">
        <f>'DATA B2'!E180</f>
        <v>569209</v>
      </c>
      <c r="M179" s="80">
        <f t="shared" si="72"/>
        <v>18</v>
      </c>
      <c r="N179" s="28">
        <f t="shared" si="68"/>
        <v>1.8</v>
      </c>
      <c r="O179" s="51">
        <f>IFERROR((('DATA B2'!F180-'DATA B2'!F179)/(K179))*1000,0)</f>
        <v>9.9999999999988987E-3</v>
      </c>
      <c r="P179" s="94">
        <f>'DATA B3'!C180</f>
        <v>221206</v>
      </c>
      <c r="Q179" s="91">
        <f t="shared" si="73"/>
        <v>0</v>
      </c>
      <c r="R179" s="80">
        <f>'DATA B3'!D180</f>
        <v>165812</v>
      </c>
      <c r="S179" s="80">
        <f t="shared" si="74"/>
        <v>0</v>
      </c>
      <c r="T179" s="15">
        <f t="shared" si="69"/>
        <v>0</v>
      </c>
      <c r="U179" s="15">
        <f>IFERROR((('DATA B3'!E180-'DATA B3'!E179)+('DATA B3'!F180-'DATA B3'!F179))/('WATER_STEAM RATIO'!P179-'WATER_STEAM RATIO'!P178),0)</f>
        <v>0</v>
      </c>
    </row>
    <row r="180" spans="2:21">
      <c r="B180" s="292"/>
      <c r="C180" s="97">
        <v>0.83333333333333304</v>
      </c>
      <c r="D180" s="84">
        <f>'DATA B1'!D181</f>
        <v>222134</v>
      </c>
      <c r="E180" s="5">
        <f t="shared" si="75"/>
        <v>0</v>
      </c>
      <c r="F180" s="80">
        <f>'DATA B1'!E181</f>
        <v>524526</v>
      </c>
      <c r="G180" s="80">
        <f t="shared" si="70"/>
        <v>0</v>
      </c>
      <c r="H180" s="28">
        <f t="shared" si="58"/>
        <v>0</v>
      </c>
      <c r="I180" s="45">
        <f>IFERROR((('DATA B1'!G181-'DATA B1'!G180)/('WATER_STEAM RATIO'!D180-'WATER_STEAM RATIO'!D179))*1000,0)</f>
        <v>0</v>
      </c>
      <c r="J180" s="50">
        <f>'DATA B2'!D181</f>
        <v>512791</v>
      </c>
      <c r="K180" s="82">
        <f t="shared" si="71"/>
        <v>12</v>
      </c>
      <c r="L180" s="80">
        <f>'DATA B2'!E181</f>
        <v>569235</v>
      </c>
      <c r="M180" s="80">
        <f t="shared" si="72"/>
        <v>26</v>
      </c>
      <c r="N180" s="28">
        <f t="shared" si="68"/>
        <v>2.1666666666666665</v>
      </c>
      <c r="O180" s="51">
        <f>IFERROR((('DATA B2'!F181-'DATA B2'!F180)/(K180))*1000,0)</f>
        <v>8.3333333333324155E-3</v>
      </c>
      <c r="P180" s="94">
        <f>'DATA B3'!C181</f>
        <v>221206</v>
      </c>
      <c r="Q180" s="91">
        <f t="shared" si="73"/>
        <v>0</v>
      </c>
      <c r="R180" s="80">
        <f>'DATA B3'!D181</f>
        <v>165812</v>
      </c>
      <c r="S180" s="80">
        <f t="shared" si="74"/>
        <v>0</v>
      </c>
      <c r="T180" s="15">
        <f t="shared" si="69"/>
        <v>0</v>
      </c>
      <c r="U180" s="15">
        <f>IFERROR((('DATA B3'!E181-'DATA B3'!E180)+('DATA B3'!F181-'DATA B3'!F180))/('WATER_STEAM RATIO'!P180-'WATER_STEAM RATIO'!P179),0)</f>
        <v>0</v>
      </c>
    </row>
    <row r="181" spans="2:21">
      <c r="B181" s="292"/>
      <c r="C181" s="97">
        <v>0.875</v>
      </c>
      <c r="D181" s="84">
        <f>'DATA B1'!D182</f>
        <v>222134</v>
      </c>
      <c r="E181" s="5">
        <f t="shared" si="75"/>
        <v>0</v>
      </c>
      <c r="F181" s="80">
        <f>'DATA B1'!E182</f>
        <v>524526</v>
      </c>
      <c r="G181" s="80">
        <f t="shared" si="70"/>
        <v>0</v>
      </c>
      <c r="H181" s="28">
        <f t="shared" si="58"/>
        <v>0</v>
      </c>
      <c r="I181" s="45">
        <f>IFERROR((('DATA B1'!G182-'DATA B1'!G181)/('WATER_STEAM RATIO'!D181-'WATER_STEAM RATIO'!D180))*1000,0)</f>
        <v>0</v>
      </c>
      <c r="J181" s="50">
        <f>'DATA B2'!D182</f>
        <v>512799</v>
      </c>
      <c r="K181" s="82">
        <f t="shared" si="71"/>
        <v>8</v>
      </c>
      <c r="L181" s="80">
        <f>'DATA B2'!E182</f>
        <v>569251</v>
      </c>
      <c r="M181" s="80">
        <f t="shared" si="72"/>
        <v>16</v>
      </c>
      <c r="N181" s="28">
        <f>IFERROR(M181/K181,0)</f>
        <v>2</v>
      </c>
      <c r="O181" s="51">
        <f>IFERROR((('DATA B2'!F182-'DATA B2'!F181)/(K181))*1000,0)</f>
        <v>0</v>
      </c>
      <c r="P181" s="94">
        <f>'DATA B3'!C182</f>
        <v>221206</v>
      </c>
      <c r="Q181" s="91">
        <f t="shared" si="73"/>
        <v>0</v>
      </c>
      <c r="R181" s="80">
        <f>'DATA B3'!D182</f>
        <v>165812</v>
      </c>
      <c r="S181" s="80">
        <f t="shared" si="74"/>
        <v>0</v>
      </c>
      <c r="T181" s="15">
        <f t="shared" si="69"/>
        <v>0</v>
      </c>
      <c r="U181" s="15">
        <f>IFERROR((('DATA B3'!E182-'DATA B3'!E181)+('DATA B3'!F182-'DATA B3'!F181))/('WATER_STEAM RATIO'!P181-'WATER_STEAM RATIO'!P180),0)</f>
        <v>0</v>
      </c>
    </row>
    <row r="182" spans="2:21">
      <c r="B182" s="292"/>
      <c r="C182" s="97">
        <v>0.91666666666666596</v>
      </c>
      <c r="D182" s="84">
        <f>'DATA B1'!D183</f>
        <v>222134</v>
      </c>
      <c r="E182" s="5">
        <f t="shared" si="75"/>
        <v>0</v>
      </c>
      <c r="F182" s="80">
        <f>'DATA B1'!E183</f>
        <v>524526</v>
      </c>
      <c r="G182" s="80">
        <f t="shared" si="70"/>
        <v>0</v>
      </c>
      <c r="H182" s="28">
        <f t="shared" si="58"/>
        <v>0</v>
      </c>
      <c r="I182" s="45">
        <f>IFERROR((('DATA B1'!G183-'DATA B1'!G182)/('WATER_STEAM RATIO'!D182-'WATER_STEAM RATIO'!D181))*1000,0)</f>
        <v>0</v>
      </c>
      <c r="J182" s="50">
        <f>'DATA B2'!D183</f>
        <v>512807</v>
      </c>
      <c r="K182" s="82">
        <f t="shared" si="71"/>
        <v>8</v>
      </c>
      <c r="L182" s="80">
        <f>'DATA B2'!E183</f>
        <v>569267</v>
      </c>
      <c r="M182" s="80">
        <f t="shared" si="72"/>
        <v>16</v>
      </c>
      <c r="N182" s="28">
        <f t="shared" si="68"/>
        <v>2</v>
      </c>
      <c r="O182" s="51">
        <f>IFERROR((('DATA B2'!F183-'DATA B2'!F182)/(K182))*1000,0)</f>
        <v>0</v>
      </c>
      <c r="P182" s="94">
        <f>'DATA B3'!C183</f>
        <v>221206</v>
      </c>
      <c r="Q182" s="91">
        <f t="shared" si="73"/>
        <v>0</v>
      </c>
      <c r="R182" s="80">
        <f>'DATA B3'!D183</f>
        <v>165812</v>
      </c>
      <c r="S182" s="80">
        <f t="shared" si="74"/>
        <v>0</v>
      </c>
      <c r="T182" s="15">
        <f t="shared" si="69"/>
        <v>0</v>
      </c>
      <c r="U182" s="15">
        <f>IFERROR((('DATA B3'!E183-'DATA B3'!E182)+('DATA B3'!F183-'DATA B3'!F182))/('WATER_STEAM RATIO'!P182-'WATER_STEAM RATIO'!P181),0)</f>
        <v>0</v>
      </c>
    </row>
    <row r="183" spans="2:21">
      <c r="B183" s="292"/>
      <c r="C183" s="97">
        <v>0.95833333333333304</v>
      </c>
      <c r="D183" s="84">
        <f>'DATA B1'!D184</f>
        <v>222134</v>
      </c>
      <c r="E183" s="5">
        <f t="shared" si="75"/>
        <v>0</v>
      </c>
      <c r="F183" s="80">
        <f>'DATA B1'!E184</f>
        <v>524526</v>
      </c>
      <c r="G183" s="80">
        <f t="shared" si="70"/>
        <v>0</v>
      </c>
      <c r="H183" s="28">
        <f t="shared" si="58"/>
        <v>0</v>
      </c>
      <c r="I183" s="45">
        <f>IFERROR((('DATA B1'!G184-'DATA B1'!G183)/('WATER_STEAM RATIO'!D183-'WATER_STEAM RATIO'!D182))*1000,0)</f>
        <v>0</v>
      </c>
      <c r="J183" s="50">
        <f>'DATA B2'!D184</f>
        <v>512816</v>
      </c>
      <c r="K183" s="82">
        <f>SUM(J183-J182)</f>
        <v>9</v>
      </c>
      <c r="L183" s="80">
        <f>'DATA B2'!E184</f>
        <v>569284</v>
      </c>
      <c r="M183" s="80">
        <f t="shared" si="72"/>
        <v>17</v>
      </c>
      <c r="N183" s="28">
        <f t="shared" si="68"/>
        <v>1.8888888888888888</v>
      </c>
      <c r="O183" s="51">
        <f>IFERROR((('DATA B2'!F184-'DATA B2'!F183)/(K183))*1000,0)</f>
        <v>0</v>
      </c>
      <c r="P183" s="94">
        <f>'DATA B3'!C184</f>
        <v>221206</v>
      </c>
      <c r="Q183" s="91">
        <f t="shared" si="73"/>
        <v>0</v>
      </c>
      <c r="R183" s="80">
        <f>'DATA B3'!D184</f>
        <v>165812</v>
      </c>
      <c r="S183" s="80">
        <f t="shared" si="74"/>
        <v>0</v>
      </c>
      <c r="T183" s="15">
        <f t="shared" si="69"/>
        <v>0</v>
      </c>
      <c r="U183" s="15">
        <f>IFERROR((('DATA B3'!E184-'DATA B3'!E183)+('DATA B3'!F184-'DATA B3'!F183))/('WATER_STEAM RATIO'!P183-'WATER_STEAM RATIO'!P182),0)</f>
        <v>0</v>
      </c>
    </row>
    <row r="184" spans="2:21">
      <c r="B184" s="292"/>
      <c r="C184" s="97">
        <v>1</v>
      </c>
      <c r="D184" s="84">
        <f>'DATA B1'!D185</f>
        <v>222134</v>
      </c>
      <c r="E184" s="5">
        <f t="shared" si="75"/>
        <v>0</v>
      </c>
      <c r="F184" s="80">
        <f>'DATA B1'!E185</f>
        <v>524526</v>
      </c>
      <c r="G184" s="80">
        <f t="shared" si="70"/>
        <v>0</v>
      </c>
      <c r="H184" s="28">
        <f t="shared" si="58"/>
        <v>0</v>
      </c>
      <c r="I184" s="45">
        <f>IFERROR((('DATA B1'!G185-'DATA B1'!G184)/('WATER_STEAM RATIO'!D184-'WATER_STEAM RATIO'!D183))*1000,0)</f>
        <v>0</v>
      </c>
      <c r="J184" s="50">
        <f>'DATA B2'!D185</f>
        <v>512825</v>
      </c>
      <c r="K184" s="82">
        <f t="shared" si="71"/>
        <v>9</v>
      </c>
      <c r="L184" s="80">
        <f>'DATA B2'!E185</f>
        <v>569301</v>
      </c>
      <c r="M184" s="80">
        <f t="shared" si="72"/>
        <v>17</v>
      </c>
      <c r="N184" s="28">
        <f t="shared" si="68"/>
        <v>1.8888888888888888</v>
      </c>
      <c r="O184" s="51">
        <f>IFERROR((('DATA B2'!F185-'DATA B2'!F184)/(K184))*1000,0)</f>
        <v>0</v>
      </c>
      <c r="P184" s="94">
        <f>'DATA B3'!C185</f>
        <v>221206</v>
      </c>
      <c r="Q184" s="91">
        <f t="shared" si="73"/>
        <v>0</v>
      </c>
      <c r="R184" s="80">
        <f>'DATA B3'!D185</f>
        <v>165812</v>
      </c>
      <c r="S184" s="80">
        <f t="shared" si="74"/>
        <v>0</v>
      </c>
      <c r="T184" s="15">
        <f t="shared" si="69"/>
        <v>0</v>
      </c>
      <c r="U184" s="15">
        <f>IFERROR((('DATA B3'!E185-'DATA B3'!E184)+('DATA B3'!F185-'DATA B3'!F184))/('WATER_STEAM RATIO'!P184-'WATER_STEAM RATIO'!P183),0)</f>
        <v>0</v>
      </c>
    </row>
    <row r="185" spans="2:21">
      <c r="B185" s="292"/>
      <c r="C185" s="97">
        <v>1.0416666666666701</v>
      </c>
      <c r="D185" s="84">
        <f>'DATA B1'!D186</f>
        <v>222134</v>
      </c>
      <c r="E185" s="5">
        <f t="shared" si="75"/>
        <v>0</v>
      </c>
      <c r="F185" s="80">
        <f>'DATA B1'!E186</f>
        <v>524526</v>
      </c>
      <c r="G185" s="80">
        <f t="shared" si="70"/>
        <v>0</v>
      </c>
      <c r="H185" s="28">
        <f t="shared" si="58"/>
        <v>0</v>
      </c>
      <c r="I185" s="45">
        <f>IFERROR((('DATA B1'!G186-'DATA B1'!G185)/('WATER_STEAM RATIO'!D185-'WATER_STEAM RATIO'!D184))*1000,0)</f>
        <v>0</v>
      </c>
      <c r="J185" s="50">
        <f>'DATA B2'!D186</f>
        <v>512834</v>
      </c>
      <c r="K185" s="82">
        <f t="shared" si="71"/>
        <v>9</v>
      </c>
      <c r="L185" s="80">
        <f>'DATA B2'!E186</f>
        <v>569318</v>
      </c>
      <c r="M185" s="80">
        <f t="shared" si="72"/>
        <v>17</v>
      </c>
      <c r="N185" s="28">
        <f t="shared" si="68"/>
        <v>1.8888888888888888</v>
      </c>
      <c r="O185" s="51">
        <f>IFERROR((('DATA B2'!F186-'DATA B2'!F185)/(K185))*1000,0)</f>
        <v>0</v>
      </c>
      <c r="P185" s="94">
        <f>'DATA B3'!C186</f>
        <v>221206</v>
      </c>
      <c r="Q185" s="91">
        <f t="shared" si="73"/>
        <v>0</v>
      </c>
      <c r="R185" s="80">
        <f>'DATA B3'!D186</f>
        <v>165812</v>
      </c>
      <c r="S185" s="80">
        <f t="shared" si="74"/>
        <v>0</v>
      </c>
      <c r="T185" s="15">
        <f t="shared" si="69"/>
        <v>0</v>
      </c>
      <c r="U185" s="15">
        <f>IFERROR((('DATA B3'!E186-'DATA B3'!E185)+('DATA B3'!F186-'DATA B3'!F185))/('WATER_STEAM RATIO'!P185-'WATER_STEAM RATIO'!P184),0)</f>
        <v>0</v>
      </c>
    </row>
    <row r="186" spans="2:21">
      <c r="B186" s="292"/>
      <c r="C186" s="97">
        <v>1.0833333333333399</v>
      </c>
      <c r="D186" s="84">
        <f>'DATA B1'!D187</f>
        <v>222134</v>
      </c>
      <c r="E186" s="5">
        <f>SUM(D186-D185)</f>
        <v>0</v>
      </c>
      <c r="F186" s="80">
        <f>'DATA B1'!E187</f>
        <v>524526</v>
      </c>
      <c r="G186" s="80">
        <f t="shared" si="70"/>
        <v>0</v>
      </c>
      <c r="H186" s="28">
        <f t="shared" si="58"/>
        <v>0</v>
      </c>
      <c r="I186" s="45">
        <f>IFERROR((('DATA B1'!G187-'DATA B1'!G186)/('WATER_STEAM RATIO'!D186-'WATER_STEAM RATIO'!D185))*1000,0)</f>
        <v>0</v>
      </c>
      <c r="J186" s="50">
        <f>'DATA B2'!D187</f>
        <v>512842</v>
      </c>
      <c r="K186" s="82">
        <f t="shared" si="71"/>
        <v>8</v>
      </c>
      <c r="L186" s="80">
        <f>'DATA B2'!E187</f>
        <v>569334</v>
      </c>
      <c r="M186" s="80">
        <f t="shared" si="72"/>
        <v>16</v>
      </c>
      <c r="N186" s="28">
        <f t="shared" si="68"/>
        <v>2</v>
      </c>
      <c r="O186" s="51">
        <f>IFERROR((('DATA B2'!F187-'DATA B2'!F186)/(K186))*1000,0)</f>
        <v>0</v>
      </c>
      <c r="P186" s="94">
        <f>'DATA B3'!C187</f>
        <v>221206</v>
      </c>
      <c r="Q186" s="91">
        <f>SUM(P186-P185)</f>
        <v>0</v>
      </c>
      <c r="R186" s="80">
        <f>'DATA B3'!D187</f>
        <v>165812</v>
      </c>
      <c r="S186" s="80">
        <f t="shared" si="74"/>
        <v>0</v>
      </c>
      <c r="T186" s="15">
        <f t="shared" si="69"/>
        <v>0</v>
      </c>
      <c r="U186" s="15">
        <f>IFERROR((('DATA B3'!E187-'DATA B3'!E186)+('DATA B3'!F187-'DATA B3'!F186))/('WATER_STEAM RATIO'!P186-'WATER_STEAM RATIO'!P185),0)</f>
        <v>0</v>
      </c>
    </row>
    <row r="187" spans="2:21">
      <c r="B187" s="292"/>
      <c r="C187" s="97">
        <v>1.125</v>
      </c>
      <c r="D187" s="84">
        <f>'DATA B1'!D188</f>
        <v>222134</v>
      </c>
      <c r="E187" s="5">
        <f t="shared" si="75"/>
        <v>0</v>
      </c>
      <c r="F187" s="80">
        <f>'DATA B1'!E188</f>
        <v>524526</v>
      </c>
      <c r="G187" s="80">
        <f t="shared" si="70"/>
        <v>0</v>
      </c>
      <c r="H187" s="28">
        <f t="shared" si="58"/>
        <v>0</v>
      </c>
      <c r="I187" s="45">
        <f>IFERROR((('DATA B1'!G188-'DATA B1'!G187)/('WATER_STEAM RATIO'!D187-'WATER_STEAM RATIO'!D186))*1000,0)</f>
        <v>0</v>
      </c>
      <c r="J187" s="50">
        <f>'DATA B2'!D188</f>
        <v>512852</v>
      </c>
      <c r="K187" s="82">
        <f t="shared" si="71"/>
        <v>10</v>
      </c>
      <c r="L187" s="80">
        <f>'DATA B2'!E188</f>
        <v>569352</v>
      </c>
      <c r="M187" s="80">
        <f t="shared" si="72"/>
        <v>18</v>
      </c>
      <c r="N187" s="28">
        <f t="shared" si="68"/>
        <v>1.8</v>
      </c>
      <c r="O187" s="51">
        <f>IFERROR((('DATA B2'!F188-'DATA B2'!F187)/(K187))*1000,0)</f>
        <v>0</v>
      </c>
      <c r="P187" s="94">
        <f>'DATA B3'!C188</f>
        <v>221206</v>
      </c>
      <c r="Q187" s="91">
        <f t="shared" si="73"/>
        <v>0</v>
      </c>
      <c r="R187" s="80">
        <f>'DATA B3'!D188</f>
        <v>165812</v>
      </c>
      <c r="S187" s="80">
        <f t="shared" si="74"/>
        <v>0</v>
      </c>
      <c r="T187" s="15">
        <f t="shared" si="69"/>
        <v>0</v>
      </c>
      <c r="U187" s="15">
        <f>IFERROR((('DATA B3'!E188-'DATA B3'!E187)+('DATA B3'!F188-'DATA B3'!F187))/('WATER_STEAM RATIO'!P187-'WATER_STEAM RATIO'!P186),0)</f>
        <v>0</v>
      </c>
    </row>
    <row r="188" spans="2:21">
      <c r="B188" s="292"/>
      <c r="C188" s="97">
        <v>1.1666666666666701</v>
      </c>
      <c r="D188" s="84">
        <f>'DATA B1'!D189</f>
        <v>222134</v>
      </c>
      <c r="E188" s="5">
        <f t="shared" si="75"/>
        <v>0</v>
      </c>
      <c r="F188" s="80">
        <f>'DATA B1'!E189</f>
        <v>524526</v>
      </c>
      <c r="G188" s="80">
        <f t="shared" si="70"/>
        <v>0</v>
      </c>
      <c r="H188" s="28">
        <f t="shared" si="58"/>
        <v>0</v>
      </c>
      <c r="I188" s="45">
        <f>IFERROR((('DATA B1'!G189-'DATA B1'!G188)/('WATER_STEAM RATIO'!D188-'WATER_STEAM RATIO'!D187))*1000,0)</f>
        <v>0</v>
      </c>
      <c r="J188" s="50">
        <f>'DATA B2'!D189</f>
        <v>512858</v>
      </c>
      <c r="K188" s="82">
        <f t="shared" si="71"/>
        <v>6</v>
      </c>
      <c r="L188" s="80">
        <f>'DATA B2'!E189</f>
        <v>569372</v>
      </c>
      <c r="M188" s="80">
        <f t="shared" si="72"/>
        <v>20</v>
      </c>
      <c r="N188" s="28">
        <f t="shared" si="68"/>
        <v>3.3333333333333335</v>
      </c>
      <c r="O188" s="51">
        <f>IFERROR((('DATA B2'!F189-'DATA B2'!F188)/(K188))*1000,0)</f>
        <v>0</v>
      </c>
      <c r="P188" s="94">
        <f>'DATA B3'!C189</f>
        <v>221206</v>
      </c>
      <c r="Q188" s="91">
        <f t="shared" si="73"/>
        <v>0</v>
      </c>
      <c r="R188" s="80">
        <f>'DATA B3'!D189</f>
        <v>165812</v>
      </c>
      <c r="S188" s="80">
        <f t="shared" si="74"/>
        <v>0</v>
      </c>
      <c r="T188" s="15">
        <f t="shared" si="69"/>
        <v>0</v>
      </c>
      <c r="U188" s="15">
        <f>IFERROR((('DATA B3'!E189-'DATA B3'!E188)+('DATA B3'!F189-'DATA B3'!F188))/('WATER_STEAM RATIO'!P188-'WATER_STEAM RATIO'!P187),0)</f>
        <v>0</v>
      </c>
    </row>
    <row r="189" spans="2:21">
      <c r="B189" s="292"/>
      <c r="C189" s="97">
        <v>1.2083333333333399</v>
      </c>
      <c r="D189" s="84">
        <f>'DATA B1'!D190</f>
        <v>222134</v>
      </c>
      <c r="E189" s="5">
        <f t="shared" si="75"/>
        <v>0</v>
      </c>
      <c r="F189" s="80">
        <f>'DATA B1'!E190</f>
        <v>524526</v>
      </c>
      <c r="G189" s="80">
        <f t="shared" si="70"/>
        <v>0</v>
      </c>
      <c r="H189" s="28">
        <f t="shared" si="58"/>
        <v>0</v>
      </c>
      <c r="I189" s="45">
        <f>IFERROR((('DATA B1'!G190-'DATA B1'!G189)/('WATER_STEAM RATIO'!D189-'WATER_STEAM RATIO'!D188))*1000,0)</f>
        <v>0</v>
      </c>
      <c r="J189" s="50">
        <f>'DATA B2'!D190</f>
        <v>512864</v>
      </c>
      <c r="K189" s="82">
        <f t="shared" si="71"/>
        <v>6</v>
      </c>
      <c r="L189" s="80">
        <f>'DATA B2'!E190</f>
        <v>569393</v>
      </c>
      <c r="M189" s="80">
        <f t="shared" si="72"/>
        <v>21</v>
      </c>
      <c r="N189" s="28">
        <f t="shared" si="68"/>
        <v>3.5</v>
      </c>
      <c r="O189" s="51">
        <f>IFERROR((('DATA B2'!F190-'DATA B2'!F189)/(K189))*1000,0)</f>
        <v>0</v>
      </c>
      <c r="P189" s="94">
        <f>'DATA B3'!C190</f>
        <v>221206</v>
      </c>
      <c r="Q189" s="91">
        <f t="shared" si="73"/>
        <v>0</v>
      </c>
      <c r="R189" s="80">
        <f>'DATA B3'!D190</f>
        <v>165812</v>
      </c>
      <c r="S189" s="80">
        <f t="shared" si="74"/>
        <v>0</v>
      </c>
      <c r="T189" s="15">
        <f t="shared" si="69"/>
        <v>0</v>
      </c>
      <c r="U189" s="15">
        <f>IFERROR((('DATA B3'!E190-'DATA B3'!E189)+('DATA B3'!F190-'DATA B3'!F189))/('WATER_STEAM RATIO'!P189-'WATER_STEAM RATIO'!P188),0)</f>
        <v>0</v>
      </c>
    </row>
    <row r="190" spans="2:21">
      <c r="B190" s="292"/>
      <c r="C190" s="97">
        <v>1.25</v>
      </c>
      <c r="D190" s="84">
        <f>'DATA B1'!D191</f>
        <v>222134</v>
      </c>
      <c r="E190" s="5">
        <f t="shared" si="75"/>
        <v>0</v>
      </c>
      <c r="F190" s="80">
        <f>'DATA B1'!E191</f>
        <v>524526</v>
      </c>
      <c r="G190" s="80">
        <f t="shared" si="70"/>
        <v>0</v>
      </c>
      <c r="H190" s="28">
        <f t="shared" si="58"/>
        <v>0</v>
      </c>
      <c r="I190" s="45">
        <f>IFERROR((('DATA B1'!G191-'DATA B1'!G190)/('WATER_STEAM RATIO'!D190-'WATER_STEAM RATIO'!D189))*1000,0)</f>
        <v>0</v>
      </c>
      <c r="J190" s="50">
        <f>'DATA B2'!D191</f>
        <v>512870</v>
      </c>
      <c r="K190" s="82">
        <f t="shared" si="71"/>
        <v>6</v>
      </c>
      <c r="L190" s="80">
        <f>'DATA B2'!E191</f>
        <v>569414</v>
      </c>
      <c r="M190" s="80">
        <f t="shared" si="72"/>
        <v>21</v>
      </c>
      <c r="N190" s="28">
        <f t="shared" si="68"/>
        <v>3.5</v>
      </c>
      <c r="O190" s="51">
        <f>IFERROR((('DATA B2'!F191-'DATA B2'!F190)/(K190))*1000,0)</f>
        <v>0</v>
      </c>
      <c r="P190" s="94">
        <f>'DATA B3'!C191</f>
        <v>221206</v>
      </c>
      <c r="Q190" s="91">
        <f t="shared" si="73"/>
        <v>0</v>
      </c>
      <c r="R190" s="80">
        <f>'DATA B3'!D191</f>
        <v>165812</v>
      </c>
      <c r="S190" s="80">
        <f t="shared" si="74"/>
        <v>0</v>
      </c>
      <c r="T190" s="15">
        <f t="shared" si="69"/>
        <v>0</v>
      </c>
      <c r="U190" s="15">
        <f>IFERROR((('DATA B3'!E191-'DATA B3'!E190)+('DATA B3'!F191-'DATA B3'!F190))/('WATER_STEAM RATIO'!P190-'WATER_STEAM RATIO'!P189),0)</f>
        <v>0</v>
      </c>
    </row>
    <row r="191" spans="2:21">
      <c r="B191" s="292"/>
      <c r="C191" s="97">
        <v>1.2916666666666701</v>
      </c>
      <c r="D191" s="84">
        <f>'DATA B1'!D192</f>
        <v>222134</v>
      </c>
      <c r="E191" s="5">
        <f t="shared" si="75"/>
        <v>0</v>
      </c>
      <c r="F191" s="80">
        <f>'DATA B1'!E192</f>
        <v>524526</v>
      </c>
      <c r="G191" s="80">
        <f t="shared" si="70"/>
        <v>0</v>
      </c>
      <c r="H191" s="28">
        <f t="shared" si="58"/>
        <v>0</v>
      </c>
      <c r="I191" s="45">
        <f>IFERROR((('DATA B1'!G192-'DATA B1'!G191)/('WATER_STEAM RATIO'!D191-'WATER_STEAM RATIO'!D190))*1000,0)</f>
        <v>0</v>
      </c>
      <c r="J191" s="50">
        <f>'DATA B2'!D192</f>
        <v>512877</v>
      </c>
      <c r="K191" s="82">
        <f>SUM(J191-J190)</f>
        <v>7</v>
      </c>
      <c r="L191" s="80">
        <f>'DATA B2'!E192</f>
        <v>569435</v>
      </c>
      <c r="M191" s="80">
        <f t="shared" si="72"/>
        <v>21</v>
      </c>
      <c r="N191" s="28">
        <f t="shared" si="68"/>
        <v>3</v>
      </c>
      <c r="O191" s="51">
        <f>IFERROR((('DATA B2'!F192-'DATA B2'!F191)/(K191))*1000,0)</f>
        <v>0</v>
      </c>
      <c r="P191" s="94">
        <f>'DATA B3'!C192</f>
        <v>221206</v>
      </c>
      <c r="Q191" s="91">
        <f t="shared" si="73"/>
        <v>0</v>
      </c>
      <c r="R191" s="80">
        <f>'DATA B3'!D192</f>
        <v>165812</v>
      </c>
      <c r="S191" s="80">
        <f t="shared" si="74"/>
        <v>0</v>
      </c>
      <c r="T191" s="15">
        <f t="shared" si="69"/>
        <v>0</v>
      </c>
      <c r="U191" s="15">
        <f>IFERROR((('DATA B3'!E192-'DATA B3'!E191)+('DATA B3'!F192-'DATA B3'!F191))/('WATER_STEAM RATIO'!P191-'WATER_STEAM RATIO'!P190),0)</f>
        <v>0</v>
      </c>
    </row>
    <row r="192" spans="2:21" ht="15.75" thickBot="1">
      <c r="B192" s="293"/>
      <c r="C192" s="235"/>
      <c r="D192" s="224" cm="1">
        <f t="array" ref="D192">IFERROR(LOOKUP(2,1/(D167:D191&gt;0),D167:D191-D167),0)</f>
        <v>0</v>
      </c>
      <c r="E192" s="223">
        <f>SUMIF(E168:E191,"&gt;=0",E168:E191)</f>
        <v>0</v>
      </c>
      <c r="F192" s="224" cm="1">
        <f t="array" ref="F192">IFERROR(LOOKUP(2,1/(F167:F191&gt;0),F167:F191-F167),0)</f>
        <v>0</v>
      </c>
      <c r="G192" s="223">
        <f>SUMIF(G168:G191,"&gt;=0",G168:G191)</f>
        <v>0</v>
      </c>
      <c r="H192" s="225">
        <f t="shared" si="58"/>
        <v>0</v>
      </c>
      <c r="I192" s="236">
        <f>IFERROR((('DATA B1'!H193)/(E192))*1000,0)</f>
        <v>0</v>
      </c>
      <c r="J192" s="222" cm="1">
        <f t="array" ref="J192">IFERROR(LOOKUP(2,1/(J167:J191&gt;0),J167:J191-J167),0)</f>
        <v>203</v>
      </c>
      <c r="K192" s="223">
        <f>SUMIF(K168:K191,"&gt;=0",K168:K191)</f>
        <v>203</v>
      </c>
      <c r="L192" s="224" cm="1">
        <f t="array" ref="L192">IFERROR(LOOKUP(2,1/(L167:L191&gt;0),L167:L191-L167),0)</f>
        <v>440</v>
      </c>
      <c r="M192" s="223">
        <f>SUMIF(M168:M191,"&gt;=0",M168:M191)</f>
        <v>440</v>
      </c>
      <c r="N192" s="225">
        <f>IFERROR(M192/K192,0)</f>
        <v>2.1674876847290641</v>
      </c>
      <c r="O192" s="226">
        <f>IFERROR((('DATA B2'!H193)/(K192))*1000,0)</f>
        <v>4.926108374385881E-3</v>
      </c>
      <c r="P192" s="224" cm="1">
        <f t="array" ref="P192">IFERROR(LOOKUP(2,1/(P167:P191&gt;0),P167:P191-P167),0)</f>
        <v>0</v>
      </c>
      <c r="Q192" s="223">
        <f>SUMIF(Q168:Q191,"&gt;=0",Q168:Q191)</f>
        <v>0</v>
      </c>
      <c r="R192" s="224" cm="1">
        <f t="array" ref="R192">IFERROR(LOOKUP(2,1/(R167:R191&gt;0),R167:R191-R167),0)</f>
        <v>0</v>
      </c>
      <c r="S192" s="223">
        <f>SUMIF(S168:S191,"&gt;=0",S168:S191)</f>
        <v>0</v>
      </c>
      <c r="T192" s="237">
        <f t="shared" si="69"/>
        <v>0</v>
      </c>
      <c r="U192" s="226">
        <f>IFERROR(('DATA B3'!E193+'DATA B3'!F193)/Q192*1000,0)</f>
        <v>0</v>
      </c>
    </row>
    <row r="193" spans="2:21" ht="15" customHeight="1">
      <c r="B193" s="291">
        <f>SUM('DATA B1'!B194:B219)</f>
        <v>46030</v>
      </c>
      <c r="C193" s="97">
        <v>0.29166666666666669</v>
      </c>
      <c r="D193" s="84">
        <f>'DATA B1'!D194</f>
        <v>222134</v>
      </c>
      <c r="E193" s="5">
        <f>SUM(E191)</f>
        <v>0</v>
      </c>
      <c r="F193" s="80">
        <f>'DATA B1'!E194</f>
        <v>524526</v>
      </c>
      <c r="G193" s="80">
        <f>SUM(G191)</f>
        <v>0</v>
      </c>
      <c r="H193" s="28">
        <f t="shared" si="58"/>
        <v>0</v>
      </c>
      <c r="I193" s="45"/>
      <c r="J193" s="50">
        <f>'DATA B2'!D194</f>
        <v>512877</v>
      </c>
      <c r="K193" s="82">
        <f>SUM(K191)</f>
        <v>7</v>
      </c>
      <c r="L193" s="80">
        <f>'DATA B2'!E194</f>
        <v>569435</v>
      </c>
      <c r="M193" s="80">
        <f>SUM(M191)</f>
        <v>21</v>
      </c>
      <c r="N193" s="28">
        <f>IFERROR(M193/K193,0)</f>
        <v>3</v>
      </c>
      <c r="O193" s="103"/>
      <c r="P193" s="94">
        <f>'DATA B3'!C194</f>
        <v>221206</v>
      </c>
      <c r="Q193" s="91">
        <f>SUM(Q191)</f>
        <v>0</v>
      </c>
      <c r="R193" s="80">
        <f>'DATA B3'!D194</f>
        <v>165812</v>
      </c>
      <c r="S193" s="80">
        <f>SUM(S191)</f>
        <v>0</v>
      </c>
      <c r="T193" s="15">
        <f>IFERROR(S193/Q193,0)</f>
        <v>0</v>
      </c>
      <c r="U193" s="15"/>
    </row>
    <row r="194" spans="2:21">
      <c r="B194" s="292"/>
      <c r="C194" s="97">
        <v>0.33333333333333298</v>
      </c>
      <c r="D194" s="84">
        <f>'DATA B1'!D195</f>
        <v>222134</v>
      </c>
      <c r="E194" s="5">
        <f t="shared" ref="E194:E200" si="76">SUM(D194-D193)</f>
        <v>0</v>
      </c>
      <c r="F194" s="80">
        <f>'DATA B1'!E195</f>
        <v>524526</v>
      </c>
      <c r="G194" s="80">
        <f>SUM(F194-F193)</f>
        <v>0</v>
      </c>
      <c r="H194" s="28">
        <f t="shared" si="58"/>
        <v>0</v>
      </c>
      <c r="I194" s="45">
        <f>IFERROR((('DATA B1'!G195-'DATA B1'!G194)/('WATER_STEAM RATIO'!D194-'WATER_STEAM RATIO'!D193))*1000,0)</f>
        <v>0</v>
      </c>
      <c r="J194" s="50">
        <f>'DATA B2'!D195</f>
        <v>512885</v>
      </c>
      <c r="K194" s="82">
        <f>SUM(J194-J193)</f>
        <v>8</v>
      </c>
      <c r="L194" s="80">
        <f>'DATA B2'!E195</f>
        <v>569459</v>
      </c>
      <c r="M194" s="80">
        <f>SUM(L194-L193)</f>
        <v>24</v>
      </c>
      <c r="N194" s="28">
        <f t="shared" ref="N194:N217" si="77">IFERROR(M194/K194,0)</f>
        <v>3</v>
      </c>
      <c r="O194" s="51">
        <f>IFERROR((('DATA B2'!F195-'DATA B2'!F194)/(K194))*1000,0)</f>
        <v>1.2499999999998623E-2</v>
      </c>
      <c r="P194" s="94">
        <f>'DATA B3'!C195</f>
        <v>221206</v>
      </c>
      <c r="Q194" s="91">
        <f>SUM(P194-P193)</f>
        <v>0</v>
      </c>
      <c r="R194" s="80">
        <f>'DATA B3'!D195</f>
        <v>165812</v>
      </c>
      <c r="S194" s="80">
        <f>SUM(R194-R193)</f>
        <v>0</v>
      </c>
      <c r="T194" s="15">
        <f t="shared" ref="T194:T218" si="78">IFERROR(S194/Q194,0)</f>
        <v>0</v>
      </c>
      <c r="U194" s="15">
        <f>IFERROR((('DATA B3'!E195-'DATA B3'!E194)+('DATA B3'!F195-'DATA B3'!F194))/('WATER_STEAM RATIO'!P194-'WATER_STEAM RATIO'!P193),0)</f>
        <v>0</v>
      </c>
    </row>
    <row r="195" spans="2:21">
      <c r="B195" s="292"/>
      <c r="C195" s="97">
        <v>0.375</v>
      </c>
      <c r="D195" s="84">
        <f>'DATA B1'!D196</f>
        <v>222134</v>
      </c>
      <c r="E195" s="5">
        <f t="shared" si="76"/>
        <v>0</v>
      </c>
      <c r="F195" s="80">
        <f>'DATA B1'!E196</f>
        <v>524526</v>
      </c>
      <c r="G195" s="80">
        <f t="shared" ref="G195:G217" si="79">SUM(F195-F194)</f>
        <v>0</v>
      </c>
      <c r="H195" s="28">
        <f t="shared" si="58"/>
        <v>0</v>
      </c>
      <c r="I195" s="45">
        <f>IFERROR((('DATA B1'!G196-'DATA B1'!G195)/('WATER_STEAM RATIO'!D195-'WATER_STEAM RATIO'!D194))*1000,0)</f>
        <v>0</v>
      </c>
      <c r="J195" s="50">
        <f>'DATA B2'!D196</f>
        <v>512891</v>
      </c>
      <c r="K195" s="82">
        <f t="shared" ref="K195:K216" si="80">SUM(J195-J194)</f>
        <v>6</v>
      </c>
      <c r="L195" s="80">
        <f>'DATA B2'!E196</f>
        <v>569480</v>
      </c>
      <c r="M195" s="80">
        <f t="shared" ref="M195:M217" si="81">SUM(L195-L194)</f>
        <v>21</v>
      </c>
      <c r="N195" s="28">
        <f t="shared" si="77"/>
        <v>3.5</v>
      </c>
      <c r="O195" s="51">
        <f>IFERROR((('DATA B2'!F196-'DATA B2'!F195)/(K195))*1000,0)</f>
        <v>0</v>
      </c>
      <c r="P195" s="94">
        <f>'DATA B3'!C196</f>
        <v>221206</v>
      </c>
      <c r="Q195" s="91">
        <f t="shared" ref="Q195:Q217" si="82">SUM(P195-P194)</f>
        <v>0</v>
      </c>
      <c r="R195" s="80">
        <f>'DATA B3'!D196</f>
        <v>165812</v>
      </c>
      <c r="S195" s="80">
        <f t="shared" ref="S195:S217" si="83">SUM(R195-R194)</f>
        <v>0</v>
      </c>
      <c r="T195" s="15">
        <f t="shared" si="78"/>
        <v>0</v>
      </c>
      <c r="U195" s="15">
        <f>IFERROR((('DATA B3'!E196-'DATA B3'!E195)+('DATA B3'!F196-'DATA B3'!F195))/('WATER_STEAM RATIO'!P195-'WATER_STEAM RATIO'!P194),0)</f>
        <v>0</v>
      </c>
    </row>
    <row r="196" spans="2:21">
      <c r="B196" s="292"/>
      <c r="C196" s="97">
        <v>0.41666666666666702</v>
      </c>
      <c r="D196" s="84">
        <f>'DATA B1'!D197</f>
        <v>222134</v>
      </c>
      <c r="E196" s="5">
        <f t="shared" si="76"/>
        <v>0</v>
      </c>
      <c r="F196" s="80">
        <f>'DATA B1'!E197</f>
        <v>524526</v>
      </c>
      <c r="G196" s="80">
        <f t="shared" si="79"/>
        <v>0</v>
      </c>
      <c r="H196" s="28">
        <f t="shared" si="58"/>
        <v>0</v>
      </c>
      <c r="I196" s="45">
        <f>IFERROR((('DATA B1'!G197-'DATA B1'!G196)/('WATER_STEAM RATIO'!D196-'WATER_STEAM RATIO'!D195))*1000,0)</f>
        <v>0</v>
      </c>
      <c r="J196" s="50">
        <f>'DATA B2'!D197</f>
        <v>512897</v>
      </c>
      <c r="K196" s="82">
        <f t="shared" si="80"/>
        <v>6</v>
      </c>
      <c r="L196" s="80">
        <f>'DATA B2'!E197</f>
        <v>569501</v>
      </c>
      <c r="M196" s="80">
        <f t="shared" si="81"/>
        <v>21</v>
      </c>
      <c r="N196" s="28">
        <f t="shared" si="77"/>
        <v>3.5</v>
      </c>
      <c r="O196" s="51">
        <f>IFERROR((('DATA B2'!F197-'DATA B2'!F196)/(K196))*1000,0)</f>
        <v>0</v>
      </c>
      <c r="P196" s="94">
        <f>'DATA B3'!C197</f>
        <v>221206</v>
      </c>
      <c r="Q196" s="91">
        <f t="shared" si="82"/>
        <v>0</v>
      </c>
      <c r="R196" s="80">
        <f>'DATA B3'!D197</f>
        <v>165812</v>
      </c>
      <c r="S196" s="80">
        <f t="shared" si="83"/>
        <v>0</v>
      </c>
      <c r="T196" s="15">
        <f t="shared" si="78"/>
        <v>0</v>
      </c>
      <c r="U196" s="15">
        <f>IFERROR((('DATA B3'!E197-'DATA B3'!E196)+('DATA B3'!F197-'DATA B3'!F196))/('WATER_STEAM RATIO'!P196-'WATER_STEAM RATIO'!P195),0)</f>
        <v>0</v>
      </c>
    </row>
    <row r="197" spans="2:21">
      <c r="B197" s="292"/>
      <c r="C197" s="97">
        <v>0.45833333333333298</v>
      </c>
      <c r="D197" s="84">
        <f>'DATA B1'!D198</f>
        <v>222134</v>
      </c>
      <c r="E197" s="5">
        <f t="shared" si="76"/>
        <v>0</v>
      </c>
      <c r="F197" s="80">
        <f>'DATA B1'!E198</f>
        <v>524526</v>
      </c>
      <c r="G197" s="80">
        <f t="shared" si="79"/>
        <v>0</v>
      </c>
      <c r="H197" s="28">
        <f t="shared" si="58"/>
        <v>0</v>
      </c>
      <c r="I197" s="45">
        <f>IFERROR((('DATA B1'!G198-'DATA B1'!G197)/('WATER_STEAM RATIO'!D197-'WATER_STEAM RATIO'!D196))*1000,0)</f>
        <v>0</v>
      </c>
      <c r="J197" s="50">
        <f>'DATA B2'!D198</f>
        <v>512904</v>
      </c>
      <c r="K197" s="82">
        <f t="shared" si="80"/>
        <v>7</v>
      </c>
      <c r="L197" s="80">
        <f>'DATA B2'!E198</f>
        <v>569524</v>
      </c>
      <c r="M197" s="80">
        <f t="shared" si="81"/>
        <v>23</v>
      </c>
      <c r="N197" s="28">
        <f t="shared" si="77"/>
        <v>3.2857142857142856</v>
      </c>
      <c r="O197" s="51">
        <f>IFERROR((('DATA B2'!F198-'DATA B2'!F197)/(K197))*1000,0)</f>
        <v>1.4285714285712712E-2</v>
      </c>
      <c r="P197" s="94">
        <f>'DATA B3'!C198</f>
        <v>221206</v>
      </c>
      <c r="Q197" s="91">
        <f t="shared" si="82"/>
        <v>0</v>
      </c>
      <c r="R197" s="80">
        <f>'DATA B3'!D198</f>
        <v>165812</v>
      </c>
      <c r="S197" s="80">
        <f t="shared" si="83"/>
        <v>0</v>
      </c>
      <c r="T197" s="15">
        <f t="shared" si="78"/>
        <v>0</v>
      </c>
      <c r="U197" s="15">
        <f>IFERROR((('DATA B3'!E198-'DATA B3'!E197)+('DATA B3'!F198-'DATA B3'!F197))/('WATER_STEAM RATIO'!P197-'WATER_STEAM RATIO'!P196),0)</f>
        <v>0</v>
      </c>
    </row>
    <row r="198" spans="2:21">
      <c r="B198" s="292"/>
      <c r="C198" s="97">
        <v>0.5</v>
      </c>
      <c r="D198" s="84">
        <f>'DATA B1'!D199</f>
        <v>222134</v>
      </c>
      <c r="E198" s="5">
        <f t="shared" si="76"/>
        <v>0</v>
      </c>
      <c r="F198" s="80">
        <f>'DATA B1'!E199</f>
        <v>524526</v>
      </c>
      <c r="G198" s="80">
        <f t="shared" si="79"/>
        <v>0</v>
      </c>
      <c r="H198" s="28">
        <f t="shared" si="58"/>
        <v>0</v>
      </c>
      <c r="I198" s="45">
        <f>IFERROR((('DATA B1'!G199-'DATA B1'!G198)/('WATER_STEAM RATIO'!D198-'WATER_STEAM RATIO'!D197))*1000,0)</f>
        <v>0</v>
      </c>
      <c r="J198" s="50">
        <f>'DATA B2'!D199</f>
        <v>512913</v>
      </c>
      <c r="K198" s="82">
        <f t="shared" si="80"/>
        <v>9</v>
      </c>
      <c r="L198" s="80">
        <f>'DATA B2'!E199</f>
        <v>569546</v>
      </c>
      <c r="M198" s="80">
        <f t="shared" si="81"/>
        <v>22</v>
      </c>
      <c r="N198" s="28">
        <f t="shared" si="77"/>
        <v>2.4444444444444446</v>
      </c>
      <c r="O198" s="51">
        <f>IFERROR((('DATA B2'!F199-'DATA B2'!F198)/(K198))*1000,0)</f>
        <v>1.1111111111109887E-2</v>
      </c>
      <c r="P198" s="94">
        <f>'DATA B3'!C199</f>
        <v>221206</v>
      </c>
      <c r="Q198" s="91">
        <f t="shared" si="82"/>
        <v>0</v>
      </c>
      <c r="R198" s="80">
        <f>'DATA B3'!D199</f>
        <v>165812</v>
      </c>
      <c r="S198" s="80">
        <f t="shared" si="83"/>
        <v>0</v>
      </c>
      <c r="T198" s="15">
        <f t="shared" si="78"/>
        <v>0</v>
      </c>
      <c r="U198" s="15">
        <f>IFERROR((('DATA B3'!E199-'DATA B3'!E198)+('DATA B3'!F199-'DATA B3'!F198))/('WATER_STEAM RATIO'!P198-'WATER_STEAM RATIO'!P197),0)</f>
        <v>0</v>
      </c>
    </row>
    <row r="199" spans="2:21">
      <c r="B199" s="292"/>
      <c r="C199" s="97">
        <v>0.54166666666666696</v>
      </c>
      <c r="D199" s="84">
        <f>'DATA B1'!D200</f>
        <v>222134</v>
      </c>
      <c r="E199" s="5">
        <f t="shared" si="76"/>
        <v>0</v>
      </c>
      <c r="F199" s="80">
        <f>'DATA B1'!E200</f>
        <v>524526</v>
      </c>
      <c r="G199" s="80">
        <f t="shared" si="79"/>
        <v>0</v>
      </c>
      <c r="H199" s="28">
        <f t="shared" si="58"/>
        <v>0</v>
      </c>
      <c r="I199" s="45">
        <f>IFERROR((('DATA B1'!G200-'DATA B1'!G199)/('WATER_STEAM RATIO'!D199-'WATER_STEAM RATIO'!D198))*1000,0)</f>
        <v>0</v>
      </c>
      <c r="J199" s="50">
        <f>'DATA B2'!D200</f>
        <v>512922</v>
      </c>
      <c r="K199" s="82">
        <f t="shared" si="80"/>
        <v>9</v>
      </c>
      <c r="L199" s="80">
        <f>'DATA B2'!E200</f>
        <v>569569</v>
      </c>
      <c r="M199" s="80">
        <f t="shared" si="81"/>
        <v>23</v>
      </c>
      <c r="N199" s="28">
        <f t="shared" si="77"/>
        <v>2.5555555555555554</v>
      </c>
      <c r="O199" s="51">
        <f>IFERROR((('DATA B2'!F200-'DATA B2'!F199)/(K199))*1000,0)</f>
        <v>0</v>
      </c>
      <c r="P199" s="94">
        <f>'DATA B3'!C200</f>
        <v>221206</v>
      </c>
      <c r="Q199" s="91">
        <f t="shared" si="82"/>
        <v>0</v>
      </c>
      <c r="R199" s="80">
        <f>'DATA B3'!D200</f>
        <v>165812</v>
      </c>
      <c r="S199" s="80">
        <f t="shared" si="83"/>
        <v>0</v>
      </c>
      <c r="T199" s="15">
        <f t="shared" si="78"/>
        <v>0</v>
      </c>
      <c r="U199" s="15">
        <f>IFERROR((('DATA B3'!E200-'DATA B3'!E199)+('DATA B3'!F200-'DATA B3'!F199))/('WATER_STEAM RATIO'!P199-'WATER_STEAM RATIO'!P198),0)</f>
        <v>0</v>
      </c>
    </row>
    <row r="200" spans="2:21">
      <c r="B200" s="292"/>
      <c r="C200" s="97">
        <v>0.58333333333333304</v>
      </c>
      <c r="D200" s="84">
        <f>'DATA B1'!D201</f>
        <v>222134</v>
      </c>
      <c r="E200" s="5">
        <f t="shared" si="76"/>
        <v>0</v>
      </c>
      <c r="F200" s="80">
        <f>'DATA B1'!E201</f>
        <v>524526</v>
      </c>
      <c r="G200" s="80">
        <f t="shared" si="79"/>
        <v>0</v>
      </c>
      <c r="H200" s="28">
        <f t="shared" si="58"/>
        <v>0</v>
      </c>
      <c r="I200" s="45">
        <f>IFERROR((('DATA B1'!G201-'DATA B1'!G200)/('WATER_STEAM RATIO'!D200-'WATER_STEAM RATIO'!D199))*1000,0)</f>
        <v>0</v>
      </c>
      <c r="J200" s="50">
        <f>'DATA B2'!D201</f>
        <v>512931</v>
      </c>
      <c r="K200" s="82">
        <f t="shared" si="80"/>
        <v>9</v>
      </c>
      <c r="L200" s="80">
        <f>'DATA B2'!E201</f>
        <v>569592</v>
      </c>
      <c r="M200" s="80">
        <f t="shared" si="81"/>
        <v>23</v>
      </c>
      <c r="N200" s="28">
        <f t="shared" si="77"/>
        <v>2.5555555555555554</v>
      </c>
      <c r="O200" s="51">
        <f>IFERROR((('DATA B2'!F201-'DATA B2'!F200)/(K200))*1000,0)</f>
        <v>1.1111111111109887E-2</v>
      </c>
      <c r="P200" s="94">
        <f>'DATA B3'!C201</f>
        <v>221206</v>
      </c>
      <c r="Q200" s="91">
        <f t="shared" si="82"/>
        <v>0</v>
      </c>
      <c r="R200" s="80">
        <f>'DATA B3'!D201</f>
        <v>165812</v>
      </c>
      <c r="S200" s="80">
        <f t="shared" si="83"/>
        <v>0</v>
      </c>
      <c r="T200" s="15">
        <f t="shared" si="78"/>
        <v>0</v>
      </c>
      <c r="U200" s="15">
        <f>IFERROR((('DATA B3'!E201-'DATA B3'!E200)+('DATA B3'!F201-'DATA B3'!F200))/('WATER_STEAM RATIO'!P200-'WATER_STEAM RATIO'!P199),0)</f>
        <v>0</v>
      </c>
    </row>
    <row r="201" spans="2:21">
      <c r="B201" s="292"/>
      <c r="C201" s="97">
        <v>0.625</v>
      </c>
      <c r="D201" s="84">
        <f>'DATA B1'!D202</f>
        <v>222134</v>
      </c>
      <c r="E201" s="5">
        <f t="shared" ref="E201:E217" si="84">SUM(D201-D200)</f>
        <v>0</v>
      </c>
      <c r="F201" s="80">
        <f>'DATA B1'!E202</f>
        <v>524526</v>
      </c>
      <c r="G201" s="80">
        <f t="shared" si="79"/>
        <v>0</v>
      </c>
      <c r="H201" s="28">
        <f t="shared" si="58"/>
        <v>0</v>
      </c>
      <c r="I201" s="45">
        <f>IFERROR((('DATA B1'!G202-'DATA B1'!G201)/('WATER_STEAM RATIO'!D201-'WATER_STEAM RATIO'!D200))*1000,0)</f>
        <v>0</v>
      </c>
      <c r="J201" s="50">
        <f>'DATA B2'!D202</f>
        <v>512940</v>
      </c>
      <c r="K201" s="82">
        <f t="shared" si="80"/>
        <v>9</v>
      </c>
      <c r="L201" s="80">
        <f>'DATA B2'!E202</f>
        <v>569615</v>
      </c>
      <c r="M201" s="80">
        <f t="shared" si="81"/>
        <v>23</v>
      </c>
      <c r="N201" s="28">
        <f t="shared" si="77"/>
        <v>2.5555555555555554</v>
      </c>
      <c r="O201" s="51">
        <f>IFERROR((('DATA B2'!F202-'DATA B2'!F201)/(K201))*1000,0)</f>
        <v>0</v>
      </c>
      <c r="P201" s="94">
        <f>'DATA B3'!C202</f>
        <v>221206</v>
      </c>
      <c r="Q201" s="91">
        <f t="shared" si="82"/>
        <v>0</v>
      </c>
      <c r="R201" s="80">
        <f>'DATA B3'!D202</f>
        <v>165812</v>
      </c>
      <c r="S201" s="80">
        <f t="shared" si="83"/>
        <v>0</v>
      </c>
      <c r="T201" s="15">
        <f t="shared" si="78"/>
        <v>0</v>
      </c>
      <c r="U201" s="15">
        <f>IFERROR((('DATA B3'!E202-'DATA B3'!E201)+('DATA B3'!F202-'DATA B3'!F201))/('WATER_STEAM RATIO'!P201-'WATER_STEAM RATIO'!P200),0)</f>
        <v>0</v>
      </c>
    </row>
    <row r="202" spans="2:21">
      <c r="B202" s="292"/>
      <c r="C202" s="97">
        <v>0.66666666666666596</v>
      </c>
      <c r="D202" s="84">
        <f>'DATA B1'!D203</f>
        <v>222134</v>
      </c>
      <c r="E202" s="5">
        <f t="shared" si="84"/>
        <v>0</v>
      </c>
      <c r="F202" s="80">
        <f>'DATA B1'!E203</f>
        <v>524526</v>
      </c>
      <c r="G202" s="80">
        <f t="shared" si="79"/>
        <v>0</v>
      </c>
      <c r="H202" s="28">
        <f t="shared" si="58"/>
        <v>0</v>
      </c>
      <c r="I202" s="45">
        <f>IFERROR((('DATA B1'!G203-'DATA B1'!G202)/('WATER_STEAM RATIO'!D202-'WATER_STEAM RATIO'!D201))*1000,0)</f>
        <v>0</v>
      </c>
      <c r="J202" s="50">
        <f>'DATA B2'!D203</f>
        <v>512949</v>
      </c>
      <c r="K202" s="82">
        <f>SUM(J202-J201)</f>
        <v>9</v>
      </c>
      <c r="L202" s="80">
        <f>'DATA B2'!E203</f>
        <v>569640</v>
      </c>
      <c r="M202" s="80">
        <f t="shared" si="81"/>
        <v>25</v>
      </c>
      <c r="N202" s="28">
        <f t="shared" si="77"/>
        <v>2.7777777777777777</v>
      </c>
      <c r="O202" s="51">
        <f>IFERROR((('DATA B2'!F203-'DATA B2'!F202)/(K202))*1000,0)</f>
        <v>0</v>
      </c>
      <c r="P202" s="94">
        <f>'DATA B3'!C203</f>
        <v>221206</v>
      </c>
      <c r="Q202" s="91">
        <f t="shared" si="82"/>
        <v>0</v>
      </c>
      <c r="R202" s="80">
        <f>'DATA B3'!D203</f>
        <v>165812</v>
      </c>
      <c r="S202" s="80">
        <f t="shared" si="83"/>
        <v>0</v>
      </c>
      <c r="T202" s="15">
        <f t="shared" si="78"/>
        <v>0</v>
      </c>
      <c r="U202" s="15">
        <f>IFERROR((('DATA B3'!E203-'DATA B3'!E202)+('DATA B3'!F203-'DATA B3'!F202))/('WATER_STEAM RATIO'!P202-'WATER_STEAM RATIO'!P201),0)</f>
        <v>0</v>
      </c>
    </row>
    <row r="203" spans="2:21">
      <c r="B203" s="292"/>
      <c r="C203" s="97">
        <v>0.70833333333333304</v>
      </c>
      <c r="D203" s="84">
        <f>'DATA B1'!D204</f>
        <v>222134</v>
      </c>
      <c r="E203" s="5">
        <f t="shared" si="84"/>
        <v>0</v>
      </c>
      <c r="F203" s="80">
        <f>'DATA B1'!E204</f>
        <v>524526</v>
      </c>
      <c r="G203" s="80">
        <f t="shared" si="79"/>
        <v>0</v>
      </c>
      <c r="H203" s="28">
        <f t="shared" si="58"/>
        <v>0</v>
      </c>
      <c r="I203" s="45">
        <f>IFERROR((('DATA B1'!G204-'DATA B1'!G203)/('WATER_STEAM RATIO'!D203-'WATER_STEAM RATIO'!D202))*1000,0)</f>
        <v>0</v>
      </c>
      <c r="J203" s="50">
        <f>'DATA B2'!D204</f>
        <v>512958</v>
      </c>
      <c r="K203" s="82">
        <f t="shared" si="80"/>
        <v>9</v>
      </c>
      <c r="L203" s="80">
        <f>'DATA B2'!E204</f>
        <v>569665</v>
      </c>
      <c r="M203" s="80">
        <f t="shared" si="81"/>
        <v>25</v>
      </c>
      <c r="N203" s="28">
        <f t="shared" si="77"/>
        <v>2.7777777777777777</v>
      </c>
      <c r="O203" s="51">
        <f>IFERROR((('DATA B2'!F204-'DATA B2'!F203)/(K203))*1000,0)</f>
        <v>0</v>
      </c>
      <c r="P203" s="94">
        <f>'DATA B3'!C204</f>
        <v>221206</v>
      </c>
      <c r="Q203" s="91">
        <f t="shared" si="82"/>
        <v>0</v>
      </c>
      <c r="R203" s="80">
        <f>'DATA B3'!D204</f>
        <v>165812</v>
      </c>
      <c r="S203" s="80">
        <f t="shared" si="83"/>
        <v>0</v>
      </c>
      <c r="T203" s="15">
        <f t="shared" si="78"/>
        <v>0</v>
      </c>
      <c r="U203" s="15">
        <f>IFERROR((('DATA B3'!E204-'DATA B3'!E203)+('DATA B3'!F204-'DATA B3'!F203))/('WATER_STEAM RATIO'!P203-'WATER_STEAM RATIO'!P202),0)</f>
        <v>0</v>
      </c>
    </row>
    <row r="204" spans="2:21">
      <c r="B204" s="292"/>
      <c r="C204" s="97">
        <v>0.75</v>
      </c>
      <c r="D204" s="84">
        <f>'DATA B1'!D205</f>
        <v>222134</v>
      </c>
      <c r="E204" s="5">
        <f t="shared" si="84"/>
        <v>0</v>
      </c>
      <c r="F204" s="80">
        <f>'DATA B1'!E205</f>
        <v>524526</v>
      </c>
      <c r="G204" s="80">
        <f t="shared" si="79"/>
        <v>0</v>
      </c>
      <c r="H204" s="28">
        <f t="shared" si="58"/>
        <v>0</v>
      </c>
      <c r="I204" s="45">
        <f>IFERROR((('DATA B1'!G205-'DATA B1'!G204)/('WATER_STEAM RATIO'!D204-'WATER_STEAM RATIO'!D203))*1000,0)</f>
        <v>0</v>
      </c>
      <c r="J204" s="50">
        <f>'DATA B2'!D205</f>
        <v>512968</v>
      </c>
      <c r="K204" s="82">
        <f t="shared" si="80"/>
        <v>10</v>
      </c>
      <c r="L204" s="80">
        <f>'DATA B2'!E205</f>
        <v>569690</v>
      </c>
      <c r="M204" s="80">
        <f t="shared" si="81"/>
        <v>25</v>
      </c>
      <c r="N204" s="28">
        <f t="shared" si="77"/>
        <v>2.5</v>
      </c>
      <c r="O204" s="51">
        <f>IFERROR((('DATA B2'!F205-'DATA B2'!F204)/(K204))*1000,0)</f>
        <v>0</v>
      </c>
      <c r="P204" s="94">
        <f>'DATA B3'!C205</f>
        <v>221206</v>
      </c>
      <c r="Q204" s="91">
        <f t="shared" si="82"/>
        <v>0</v>
      </c>
      <c r="R204" s="80">
        <f>'DATA B3'!D205</f>
        <v>165812</v>
      </c>
      <c r="S204" s="80">
        <f t="shared" si="83"/>
        <v>0</v>
      </c>
      <c r="T204" s="15">
        <f t="shared" si="78"/>
        <v>0</v>
      </c>
      <c r="U204" s="15">
        <f>IFERROR((('DATA B3'!E205-'DATA B3'!E204)+('DATA B3'!F205-'DATA B3'!F204))/('WATER_STEAM RATIO'!P204-'WATER_STEAM RATIO'!P203),0)</f>
        <v>0</v>
      </c>
    </row>
    <row r="205" spans="2:21">
      <c r="B205" s="292"/>
      <c r="C205" s="97">
        <v>0.79166666666666596</v>
      </c>
      <c r="D205" s="84">
        <f>'DATA B1'!D206</f>
        <v>222134</v>
      </c>
      <c r="E205" s="5">
        <f t="shared" si="84"/>
        <v>0</v>
      </c>
      <c r="F205" s="80">
        <f>'DATA B1'!E206</f>
        <v>524526</v>
      </c>
      <c r="G205" s="80">
        <f t="shared" si="79"/>
        <v>0</v>
      </c>
      <c r="H205" s="28">
        <f t="shared" si="58"/>
        <v>0</v>
      </c>
      <c r="I205" s="45">
        <f>IFERROR((('DATA B1'!G206-'DATA B1'!G205)/('WATER_STEAM RATIO'!D205-'WATER_STEAM RATIO'!D204))*1000,0)</f>
        <v>0</v>
      </c>
      <c r="J205" s="50">
        <f>'DATA B2'!D206</f>
        <v>512978</v>
      </c>
      <c r="K205" s="82">
        <f t="shared" si="80"/>
        <v>10</v>
      </c>
      <c r="L205" s="80">
        <f>'DATA B2'!E206</f>
        <v>569717</v>
      </c>
      <c r="M205" s="80">
        <f t="shared" si="81"/>
        <v>27</v>
      </c>
      <c r="N205" s="28">
        <f t="shared" si="77"/>
        <v>2.7</v>
      </c>
      <c r="O205" s="51">
        <f>IFERROR((('DATA B2'!F206-'DATA B2'!F205)/(K205))*1000,0)</f>
        <v>9.9999999999988987E-3</v>
      </c>
      <c r="P205" s="94">
        <f>'DATA B3'!C206</f>
        <v>221206</v>
      </c>
      <c r="Q205" s="91">
        <f t="shared" si="82"/>
        <v>0</v>
      </c>
      <c r="R205" s="80">
        <f>'DATA B3'!D206</f>
        <v>165812</v>
      </c>
      <c r="S205" s="80">
        <f t="shared" si="83"/>
        <v>0</v>
      </c>
      <c r="T205" s="15">
        <f t="shared" si="78"/>
        <v>0</v>
      </c>
      <c r="U205" s="15">
        <f>IFERROR((('DATA B3'!E206-'DATA B3'!E205)+('DATA B3'!F206-'DATA B3'!F205))/('WATER_STEAM RATIO'!P205-'WATER_STEAM RATIO'!P204),0)</f>
        <v>0</v>
      </c>
    </row>
    <row r="206" spans="2:21">
      <c r="B206" s="292"/>
      <c r="C206" s="97">
        <v>0.83333333333333304</v>
      </c>
      <c r="D206" s="84">
        <f>'DATA B1'!D207</f>
        <v>222134</v>
      </c>
      <c r="E206" s="5">
        <f t="shared" si="84"/>
        <v>0</v>
      </c>
      <c r="F206" s="80">
        <f>'DATA B1'!E207</f>
        <v>524526</v>
      </c>
      <c r="G206" s="80">
        <f t="shared" si="79"/>
        <v>0</v>
      </c>
      <c r="H206" s="28">
        <f t="shared" ref="H206:H269" si="85" xml:space="preserve"> IFERROR(G206/E206,0)</f>
        <v>0</v>
      </c>
      <c r="I206" s="45">
        <f>IFERROR((('DATA B1'!G207-'DATA B1'!G206)/('WATER_STEAM RATIO'!D206-'WATER_STEAM RATIO'!D205))*1000,0)</f>
        <v>0</v>
      </c>
      <c r="J206" s="50">
        <f>'DATA B2'!D207</f>
        <v>512988</v>
      </c>
      <c r="K206" s="82">
        <f t="shared" si="80"/>
        <v>10</v>
      </c>
      <c r="L206" s="80">
        <f>'DATA B2'!E207</f>
        <v>569742</v>
      </c>
      <c r="M206" s="80">
        <f t="shared" si="81"/>
        <v>25</v>
      </c>
      <c r="N206" s="28">
        <f t="shared" si="77"/>
        <v>2.5</v>
      </c>
      <c r="O206" s="51">
        <f>IFERROR((('DATA B2'!F207-'DATA B2'!F206)/(K206))*1000,0)</f>
        <v>0</v>
      </c>
      <c r="P206" s="94">
        <f>'DATA B3'!C207</f>
        <v>221206</v>
      </c>
      <c r="Q206" s="91">
        <f t="shared" si="82"/>
        <v>0</v>
      </c>
      <c r="R206" s="80">
        <f>'DATA B3'!D207</f>
        <v>165812</v>
      </c>
      <c r="S206" s="80">
        <f t="shared" si="83"/>
        <v>0</v>
      </c>
      <c r="T206" s="15">
        <f t="shared" si="78"/>
        <v>0</v>
      </c>
      <c r="U206" s="15">
        <f>IFERROR((('DATA B3'!E207-'DATA B3'!E206)+('DATA B3'!F207-'DATA B3'!F206))/('WATER_STEAM RATIO'!P206-'WATER_STEAM RATIO'!P205),0)</f>
        <v>0</v>
      </c>
    </row>
    <row r="207" spans="2:21">
      <c r="B207" s="292"/>
      <c r="C207" s="97">
        <v>0.875</v>
      </c>
      <c r="D207" s="84">
        <f>'DATA B1'!D208</f>
        <v>222134</v>
      </c>
      <c r="E207" s="5">
        <f t="shared" si="84"/>
        <v>0</v>
      </c>
      <c r="F207" s="80">
        <f>'DATA B1'!E208</f>
        <v>524526</v>
      </c>
      <c r="G207" s="80">
        <f t="shared" si="79"/>
        <v>0</v>
      </c>
      <c r="H207" s="28">
        <f t="shared" si="85"/>
        <v>0</v>
      </c>
      <c r="I207" s="45">
        <f>IFERROR((('DATA B1'!G208-'DATA B1'!G207)/('WATER_STEAM RATIO'!D207-'WATER_STEAM RATIO'!D206))*1000,0)</f>
        <v>0</v>
      </c>
      <c r="J207" s="50">
        <f>'DATA B2'!D208</f>
        <v>512995</v>
      </c>
      <c r="K207" s="82">
        <f t="shared" si="80"/>
        <v>7</v>
      </c>
      <c r="L207" s="80">
        <f>'DATA B2'!E208</f>
        <v>569764</v>
      </c>
      <c r="M207" s="80">
        <f t="shared" si="81"/>
        <v>22</v>
      </c>
      <c r="N207" s="28">
        <f>IFERROR(M207/K207,0)</f>
        <v>3.1428571428571428</v>
      </c>
      <c r="O207" s="51">
        <f>IFERROR((('DATA B2'!F208-'DATA B2'!F207)/(K207))*1000,0)</f>
        <v>1.4285714285712712E-2</v>
      </c>
      <c r="P207" s="94">
        <f>'DATA B3'!C208</f>
        <v>221206</v>
      </c>
      <c r="Q207" s="91">
        <f t="shared" si="82"/>
        <v>0</v>
      </c>
      <c r="R207" s="80">
        <f>'DATA B3'!D208</f>
        <v>165812</v>
      </c>
      <c r="S207" s="80">
        <f t="shared" si="83"/>
        <v>0</v>
      </c>
      <c r="T207" s="15">
        <f t="shared" si="78"/>
        <v>0</v>
      </c>
      <c r="U207" s="15">
        <f>IFERROR((('DATA B3'!E208-'DATA B3'!E207)+('DATA B3'!F208-'DATA B3'!F207))/('WATER_STEAM RATIO'!P207-'WATER_STEAM RATIO'!P206),0)</f>
        <v>0</v>
      </c>
    </row>
    <row r="208" spans="2:21">
      <c r="B208" s="292"/>
      <c r="C208" s="97">
        <v>0.91666666666666596</v>
      </c>
      <c r="D208" s="84">
        <f>'DATA B1'!D209</f>
        <v>222134</v>
      </c>
      <c r="E208" s="5">
        <f t="shared" si="84"/>
        <v>0</v>
      </c>
      <c r="F208" s="80">
        <f>'DATA B1'!E209</f>
        <v>524526</v>
      </c>
      <c r="G208" s="80">
        <f t="shared" si="79"/>
        <v>0</v>
      </c>
      <c r="H208" s="28">
        <f t="shared" si="85"/>
        <v>0</v>
      </c>
      <c r="I208" s="45">
        <f>IFERROR((('DATA B1'!G209-'DATA B1'!G208)/('WATER_STEAM RATIO'!D208-'WATER_STEAM RATIO'!D207))*1000,0)</f>
        <v>0</v>
      </c>
      <c r="J208" s="50">
        <f>'DATA B2'!D209</f>
        <v>513002</v>
      </c>
      <c r="K208" s="82">
        <f t="shared" si="80"/>
        <v>7</v>
      </c>
      <c r="L208" s="80">
        <f>'DATA B2'!E209</f>
        <v>569786</v>
      </c>
      <c r="M208" s="80">
        <f t="shared" si="81"/>
        <v>22</v>
      </c>
      <c r="N208" s="28">
        <f t="shared" si="77"/>
        <v>3.1428571428571428</v>
      </c>
      <c r="O208" s="51">
        <f>IFERROR((('DATA B2'!F209-'DATA B2'!F208)/(K208))*1000,0)</f>
        <v>0</v>
      </c>
      <c r="P208" s="94">
        <f>'DATA B3'!C209</f>
        <v>221206</v>
      </c>
      <c r="Q208" s="91">
        <f t="shared" si="82"/>
        <v>0</v>
      </c>
      <c r="R208" s="80">
        <f>'DATA B3'!D209</f>
        <v>165812</v>
      </c>
      <c r="S208" s="80">
        <f t="shared" si="83"/>
        <v>0</v>
      </c>
      <c r="T208" s="15">
        <f t="shared" si="78"/>
        <v>0</v>
      </c>
      <c r="U208" s="15">
        <f>IFERROR((('DATA B3'!E209-'DATA B3'!E208)+('DATA B3'!F209-'DATA B3'!F208))/('WATER_STEAM RATIO'!P208-'WATER_STEAM RATIO'!P207),0)</f>
        <v>0</v>
      </c>
    </row>
    <row r="209" spans="2:21">
      <c r="B209" s="292"/>
      <c r="C209" s="97">
        <v>0.95833333333333304</v>
      </c>
      <c r="D209" s="84">
        <f>'DATA B1'!D210</f>
        <v>222134</v>
      </c>
      <c r="E209" s="5">
        <f t="shared" si="84"/>
        <v>0</v>
      </c>
      <c r="F209" s="80">
        <f>'DATA B1'!E210</f>
        <v>524526</v>
      </c>
      <c r="G209" s="80">
        <f t="shared" si="79"/>
        <v>0</v>
      </c>
      <c r="H209" s="28">
        <f t="shared" si="85"/>
        <v>0</v>
      </c>
      <c r="I209" s="45">
        <f>IFERROR((('DATA B1'!G210-'DATA B1'!G209)/('WATER_STEAM RATIO'!D209-'WATER_STEAM RATIO'!D208))*1000,0)</f>
        <v>0</v>
      </c>
      <c r="J209" s="50">
        <f>'DATA B2'!D210</f>
        <v>513009</v>
      </c>
      <c r="K209" s="82">
        <f>SUM(J209-J208)</f>
        <v>7</v>
      </c>
      <c r="L209" s="80">
        <f>'DATA B2'!E210</f>
        <v>569808</v>
      </c>
      <c r="M209" s="80">
        <f t="shared" si="81"/>
        <v>22</v>
      </c>
      <c r="N209" s="28">
        <f t="shared" si="77"/>
        <v>3.1428571428571428</v>
      </c>
      <c r="O209" s="51">
        <f>IFERROR((('DATA B2'!F210-'DATA B2'!F209)/(K209))*1000,0)</f>
        <v>0</v>
      </c>
      <c r="P209" s="94">
        <f>'DATA B3'!C210</f>
        <v>221206</v>
      </c>
      <c r="Q209" s="91">
        <f t="shared" si="82"/>
        <v>0</v>
      </c>
      <c r="R209" s="80">
        <f>'DATA B3'!D210</f>
        <v>165812</v>
      </c>
      <c r="S209" s="80">
        <f t="shared" si="83"/>
        <v>0</v>
      </c>
      <c r="T209" s="15">
        <f t="shared" si="78"/>
        <v>0</v>
      </c>
      <c r="U209" s="15">
        <f>IFERROR((('DATA B3'!E210-'DATA B3'!E209)+('DATA B3'!F210-'DATA B3'!F209))/('WATER_STEAM RATIO'!P209-'WATER_STEAM RATIO'!P208),0)</f>
        <v>0</v>
      </c>
    </row>
    <row r="210" spans="2:21">
      <c r="B210" s="292"/>
      <c r="C210" s="97">
        <v>1</v>
      </c>
      <c r="D210" s="84">
        <f>'DATA B1'!D211</f>
        <v>222134</v>
      </c>
      <c r="E210" s="5">
        <f t="shared" si="84"/>
        <v>0</v>
      </c>
      <c r="F210" s="80">
        <f>'DATA B1'!E211</f>
        <v>524526</v>
      </c>
      <c r="G210" s="80">
        <f t="shared" si="79"/>
        <v>0</v>
      </c>
      <c r="H210" s="28">
        <f t="shared" si="85"/>
        <v>0</v>
      </c>
      <c r="I210" s="45">
        <f>IFERROR((('DATA B1'!G211-'DATA B1'!G210)/('WATER_STEAM RATIO'!D210-'WATER_STEAM RATIO'!D209))*1000,0)</f>
        <v>0</v>
      </c>
      <c r="J210" s="50">
        <f>'DATA B2'!D211</f>
        <v>513016</v>
      </c>
      <c r="K210" s="82">
        <f t="shared" si="80"/>
        <v>7</v>
      </c>
      <c r="L210" s="80">
        <f>'DATA B2'!E211</f>
        <v>569830</v>
      </c>
      <c r="M210" s="80">
        <f t="shared" si="81"/>
        <v>22</v>
      </c>
      <c r="N210" s="28">
        <f t="shared" si="77"/>
        <v>3.1428571428571428</v>
      </c>
      <c r="O210" s="51">
        <f>IFERROR((('DATA B2'!F211-'DATA B2'!F210)/(K210))*1000,0)</f>
        <v>0</v>
      </c>
      <c r="P210" s="94">
        <f>'DATA B3'!C211</f>
        <v>221206</v>
      </c>
      <c r="Q210" s="91">
        <f t="shared" si="82"/>
        <v>0</v>
      </c>
      <c r="R210" s="80">
        <f>'DATA B3'!D211</f>
        <v>165812</v>
      </c>
      <c r="S210" s="80">
        <f t="shared" si="83"/>
        <v>0</v>
      </c>
      <c r="T210" s="15">
        <f t="shared" si="78"/>
        <v>0</v>
      </c>
      <c r="U210" s="15">
        <f>IFERROR((('DATA B3'!E211-'DATA B3'!E210)+('DATA B3'!F211-'DATA B3'!F210))/('WATER_STEAM RATIO'!P210-'WATER_STEAM RATIO'!P209),0)</f>
        <v>0</v>
      </c>
    </row>
    <row r="211" spans="2:21">
      <c r="B211" s="292"/>
      <c r="C211" s="97">
        <v>1.0416666666666701</v>
      </c>
      <c r="D211" s="84">
        <f>'DATA B1'!D212</f>
        <v>222134</v>
      </c>
      <c r="E211" s="5">
        <f t="shared" si="84"/>
        <v>0</v>
      </c>
      <c r="F211" s="80">
        <f>'DATA B1'!E212</f>
        <v>524526</v>
      </c>
      <c r="G211" s="80">
        <f t="shared" si="79"/>
        <v>0</v>
      </c>
      <c r="H211" s="28">
        <f t="shared" si="85"/>
        <v>0</v>
      </c>
      <c r="I211" s="45">
        <f>IFERROR((('DATA B1'!G212-'DATA B1'!G211)/('WATER_STEAM RATIO'!D211-'WATER_STEAM RATIO'!D210))*1000,0)</f>
        <v>0</v>
      </c>
      <c r="J211" s="50">
        <f>'DATA B2'!D212</f>
        <v>513023</v>
      </c>
      <c r="K211" s="82">
        <f t="shared" si="80"/>
        <v>7</v>
      </c>
      <c r="L211" s="80">
        <f>'DATA B2'!E212</f>
        <v>569852</v>
      </c>
      <c r="M211" s="80">
        <f t="shared" si="81"/>
        <v>22</v>
      </c>
      <c r="N211" s="28">
        <f t="shared" si="77"/>
        <v>3.1428571428571428</v>
      </c>
      <c r="O211" s="51">
        <f>IFERROR((('DATA B2'!F212-'DATA B2'!F211)/(K211))*1000,0)</f>
        <v>0</v>
      </c>
      <c r="P211" s="94">
        <f>'DATA B3'!C212</f>
        <v>221206</v>
      </c>
      <c r="Q211" s="91">
        <f t="shared" si="82"/>
        <v>0</v>
      </c>
      <c r="R211" s="80">
        <f>'DATA B3'!D212</f>
        <v>165812</v>
      </c>
      <c r="S211" s="80">
        <f t="shared" si="83"/>
        <v>0</v>
      </c>
      <c r="T211" s="15">
        <f t="shared" si="78"/>
        <v>0</v>
      </c>
      <c r="U211" s="15">
        <f>IFERROR((('DATA B3'!E212-'DATA B3'!E211)+('DATA B3'!F212-'DATA B3'!F211))/('WATER_STEAM RATIO'!P211-'WATER_STEAM RATIO'!P210),0)</f>
        <v>0</v>
      </c>
    </row>
    <row r="212" spans="2:21">
      <c r="B212" s="292"/>
      <c r="C212" s="97">
        <v>1.0833333333333399</v>
      </c>
      <c r="D212" s="84">
        <f>'DATA B1'!D213</f>
        <v>222134</v>
      </c>
      <c r="E212" s="5">
        <f>SUM(D212-D211)</f>
        <v>0</v>
      </c>
      <c r="F212" s="80">
        <f>'DATA B1'!E213</f>
        <v>524526</v>
      </c>
      <c r="G212" s="80">
        <f t="shared" si="79"/>
        <v>0</v>
      </c>
      <c r="H212" s="28">
        <f t="shared" si="85"/>
        <v>0</v>
      </c>
      <c r="I212" s="45">
        <f>IFERROR((('DATA B1'!G213-'DATA B1'!G212)/('WATER_STEAM RATIO'!D212-'WATER_STEAM RATIO'!D211))*1000,0)</f>
        <v>0</v>
      </c>
      <c r="J212" s="50">
        <f>'DATA B2'!D213</f>
        <v>513029</v>
      </c>
      <c r="K212" s="82">
        <f t="shared" si="80"/>
        <v>6</v>
      </c>
      <c r="L212" s="80">
        <f>'DATA B2'!E213</f>
        <v>569873</v>
      </c>
      <c r="M212" s="80">
        <f t="shared" si="81"/>
        <v>21</v>
      </c>
      <c r="N212" s="28">
        <f t="shared" si="77"/>
        <v>3.5</v>
      </c>
      <c r="O212" s="51">
        <f>IFERROR((('DATA B2'!F213-'DATA B2'!F212)/(K212))*1000,0)</f>
        <v>0</v>
      </c>
      <c r="P212" s="94">
        <f>'DATA B3'!C213</f>
        <v>221206</v>
      </c>
      <c r="Q212" s="91">
        <f>SUM(P212-P211)</f>
        <v>0</v>
      </c>
      <c r="R212" s="80">
        <f>'DATA B3'!D213</f>
        <v>165812</v>
      </c>
      <c r="S212" s="80">
        <f t="shared" si="83"/>
        <v>0</v>
      </c>
      <c r="T212" s="15">
        <f t="shared" si="78"/>
        <v>0</v>
      </c>
      <c r="U212" s="15">
        <f>IFERROR((('DATA B3'!E213-'DATA B3'!E212)+('DATA B3'!F213-'DATA B3'!F212))/('WATER_STEAM RATIO'!P212-'WATER_STEAM RATIO'!P211),0)</f>
        <v>0</v>
      </c>
    </row>
    <row r="213" spans="2:21">
      <c r="B213" s="292"/>
      <c r="C213" s="97">
        <v>1.125</v>
      </c>
      <c r="D213" s="84">
        <f>'DATA B1'!D214</f>
        <v>222134</v>
      </c>
      <c r="E213" s="5">
        <f t="shared" si="84"/>
        <v>0</v>
      </c>
      <c r="F213" s="80">
        <f>'DATA B1'!E214</f>
        <v>524526</v>
      </c>
      <c r="G213" s="80">
        <f t="shared" si="79"/>
        <v>0</v>
      </c>
      <c r="H213" s="28">
        <f t="shared" si="85"/>
        <v>0</v>
      </c>
      <c r="I213" s="45">
        <f>IFERROR((('DATA B1'!G214-'DATA B1'!G213)/('WATER_STEAM RATIO'!D213-'WATER_STEAM RATIO'!D212))*1000,0)</f>
        <v>0</v>
      </c>
      <c r="J213" s="50">
        <f>'DATA B2'!D214</f>
        <v>513037</v>
      </c>
      <c r="K213" s="82">
        <f t="shared" si="80"/>
        <v>8</v>
      </c>
      <c r="L213" s="80">
        <f>'DATA B2'!E214</f>
        <v>569896</v>
      </c>
      <c r="M213" s="80">
        <f t="shared" si="81"/>
        <v>23</v>
      </c>
      <c r="N213" s="28">
        <f t="shared" si="77"/>
        <v>2.875</v>
      </c>
      <c r="O213" s="51">
        <f>IFERROR((('DATA B2'!F214-'DATA B2'!F213)/(K213))*1000,0)</f>
        <v>0</v>
      </c>
      <c r="P213" s="94">
        <f>'DATA B3'!C214</f>
        <v>221206</v>
      </c>
      <c r="Q213" s="91">
        <f t="shared" si="82"/>
        <v>0</v>
      </c>
      <c r="R213" s="80">
        <f>'DATA B3'!D214</f>
        <v>165812</v>
      </c>
      <c r="S213" s="80">
        <f t="shared" si="83"/>
        <v>0</v>
      </c>
      <c r="T213" s="15">
        <f t="shared" si="78"/>
        <v>0</v>
      </c>
      <c r="U213" s="15">
        <f>IFERROR((('DATA B3'!E214-'DATA B3'!E213)+('DATA B3'!F214-'DATA B3'!F213))/('WATER_STEAM RATIO'!P213-'WATER_STEAM RATIO'!P212),0)</f>
        <v>0</v>
      </c>
    </row>
    <row r="214" spans="2:21">
      <c r="B214" s="292"/>
      <c r="C214" s="97">
        <v>1.1666666666666701</v>
      </c>
      <c r="D214" s="84">
        <f>'DATA B1'!D215</f>
        <v>222134</v>
      </c>
      <c r="E214" s="5">
        <f t="shared" si="84"/>
        <v>0</v>
      </c>
      <c r="F214" s="80">
        <f>'DATA B1'!E215</f>
        <v>524526</v>
      </c>
      <c r="G214" s="80">
        <f t="shared" si="79"/>
        <v>0</v>
      </c>
      <c r="H214" s="28">
        <f t="shared" si="85"/>
        <v>0</v>
      </c>
      <c r="I214" s="45">
        <f>IFERROR((('DATA B1'!G215-'DATA B1'!G214)/('WATER_STEAM RATIO'!D214-'WATER_STEAM RATIO'!D213))*1000,0)</f>
        <v>0</v>
      </c>
      <c r="J214" s="50">
        <f>'DATA B2'!D215</f>
        <v>513045</v>
      </c>
      <c r="K214" s="82">
        <f t="shared" si="80"/>
        <v>8</v>
      </c>
      <c r="L214" s="80">
        <f>'DATA B2'!E215</f>
        <v>569915</v>
      </c>
      <c r="M214" s="80">
        <f t="shared" si="81"/>
        <v>19</v>
      </c>
      <c r="N214" s="28">
        <f t="shared" si="77"/>
        <v>2.375</v>
      </c>
      <c r="O214" s="51">
        <f>IFERROR((('DATA B2'!F215-'DATA B2'!F214)/(K214))*1000,0)</f>
        <v>0</v>
      </c>
      <c r="P214" s="94">
        <f>'DATA B3'!C215</f>
        <v>221206</v>
      </c>
      <c r="Q214" s="91">
        <f t="shared" si="82"/>
        <v>0</v>
      </c>
      <c r="R214" s="80">
        <f>'DATA B3'!D215</f>
        <v>165812</v>
      </c>
      <c r="S214" s="80">
        <f t="shared" si="83"/>
        <v>0</v>
      </c>
      <c r="T214" s="15">
        <f t="shared" si="78"/>
        <v>0</v>
      </c>
      <c r="U214" s="15">
        <f>IFERROR((('DATA B3'!E215-'DATA B3'!E214)+('DATA B3'!F215-'DATA B3'!F214))/('WATER_STEAM RATIO'!P214-'WATER_STEAM RATIO'!P213),0)</f>
        <v>0</v>
      </c>
    </row>
    <row r="215" spans="2:21">
      <c r="B215" s="292"/>
      <c r="C215" s="97">
        <v>1.2083333333333399</v>
      </c>
      <c r="D215" s="84">
        <f>'DATA B1'!D216</f>
        <v>222134</v>
      </c>
      <c r="E215" s="5">
        <f t="shared" si="84"/>
        <v>0</v>
      </c>
      <c r="F215" s="80">
        <f>'DATA B1'!E216</f>
        <v>524526</v>
      </c>
      <c r="G215" s="80">
        <f t="shared" si="79"/>
        <v>0</v>
      </c>
      <c r="H215" s="28">
        <f t="shared" si="85"/>
        <v>0</v>
      </c>
      <c r="I215" s="45">
        <f>IFERROR((('DATA B1'!G216-'DATA B1'!G215)/('WATER_STEAM RATIO'!D215-'WATER_STEAM RATIO'!D214))*1000,0)</f>
        <v>0</v>
      </c>
      <c r="J215" s="50">
        <f>'DATA B2'!D216</f>
        <v>513053</v>
      </c>
      <c r="K215" s="82">
        <f t="shared" si="80"/>
        <v>8</v>
      </c>
      <c r="L215" s="80">
        <f>'DATA B2'!E216</f>
        <v>569934</v>
      </c>
      <c r="M215" s="80">
        <f t="shared" si="81"/>
        <v>19</v>
      </c>
      <c r="N215" s="28">
        <f t="shared" si="77"/>
        <v>2.375</v>
      </c>
      <c r="O215" s="51">
        <f>IFERROR((('DATA B2'!F216-'DATA B2'!F215)/(K215))*1000,0)</f>
        <v>0</v>
      </c>
      <c r="P215" s="94">
        <f>'DATA B3'!C216</f>
        <v>221206</v>
      </c>
      <c r="Q215" s="91">
        <f t="shared" si="82"/>
        <v>0</v>
      </c>
      <c r="R215" s="80">
        <f>'DATA B3'!D216</f>
        <v>165812</v>
      </c>
      <c r="S215" s="80">
        <f t="shared" si="83"/>
        <v>0</v>
      </c>
      <c r="T215" s="15">
        <f t="shared" si="78"/>
        <v>0</v>
      </c>
      <c r="U215" s="15">
        <f>IFERROR((('DATA B3'!E216-'DATA B3'!E215)+('DATA B3'!F216-'DATA B3'!F215))/('WATER_STEAM RATIO'!P215-'WATER_STEAM RATIO'!P214),0)</f>
        <v>0</v>
      </c>
    </row>
    <row r="216" spans="2:21">
      <c r="B216" s="292"/>
      <c r="C216" s="97">
        <v>1.25</v>
      </c>
      <c r="D216" s="84">
        <f>'DATA B1'!D217</f>
        <v>222134</v>
      </c>
      <c r="E216" s="5">
        <f t="shared" si="84"/>
        <v>0</v>
      </c>
      <c r="F216" s="80">
        <f>'DATA B1'!E217</f>
        <v>524526</v>
      </c>
      <c r="G216" s="80">
        <f t="shared" si="79"/>
        <v>0</v>
      </c>
      <c r="H216" s="28">
        <f t="shared" si="85"/>
        <v>0</v>
      </c>
      <c r="I216" s="45">
        <f>IFERROR((('DATA B1'!G217-'DATA B1'!G216)/('WATER_STEAM RATIO'!D216-'WATER_STEAM RATIO'!D215))*1000,0)</f>
        <v>0</v>
      </c>
      <c r="J216" s="50">
        <f>'DATA B2'!D217</f>
        <v>513061</v>
      </c>
      <c r="K216" s="82">
        <f t="shared" si="80"/>
        <v>8</v>
      </c>
      <c r="L216" s="80">
        <f>'DATA B2'!E217</f>
        <v>569953</v>
      </c>
      <c r="M216" s="80">
        <f t="shared" si="81"/>
        <v>19</v>
      </c>
      <c r="N216" s="28">
        <f t="shared" si="77"/>
        <v>2.375</v>
      </c>
      <c r="O216" s="51">
        <f>IFERROR((('DATA B2'!F217-'DATA B2'!F216)/(K216))*1000,0)</f>
        <v>0</v>
      </c>
      <c r="P216" s="94">
        <f>'DATA B3'!C217</f>
        <v>221206</v>
      </c>
      <c r="Q216" s="91">
        <f t="shared" si="82"/>
        <v>0</v>
      </c>
      <c r="R216" s="80">
        <f>'DATA B3'!D217</f>
        <v>165812</v>
      </c>
      <c r="S216" s="80">
        <f t="shared" si="83"/>
        <v>0</v>
      </c>
      <c r="T216" s="15">
        <f t="shared" si="78"/>
        <v>0</v>
      </c>
      <c r="U216" s="15">
        <f>IFERROR((('DATA B3'!E217-'DATA B3'!E216)+('DATA B3'!F217-'DATA B3'!F216))/('WATER_STEAM RATIO'!P216-'WATER_STEAM RATIO'!P215),0)</f>
        <v>0</v>
      </c>
    </row>
    <row r="217" spans="2:21">
      <c r="B217" s="292"/>
      <c r="C217" s="97">
        <v>1.2916666666666701</v>
      </c>
      <c r="D217" s="84">
        <f>'DATA B1'!D218</f>
        <v>222134</v>
      </c>
      <c r="E217" s="5">
        <f t="shared" si="84"/>
        <v>0</v>
      </c>
      <c r="F217" s="80">
        <f>'DATA B1'!E218</f>
        <v>524526</v>
      </c>
      <c r="G217" s="80">
        <f t="shared" si="79"/>
        <v>0</v>
      </c>
      <c r="H217" s="28">
        <f t="shared" si="85"/>
        <v>0</v>
      </c>
      <c r="I217" s="45">
        <f>IFERROR((('DATA B1'!G218-'DATA B1'!G217)/('WATER_STEAM RATIO'!D217-'WATER_STEAM RATIO'!D216))*1000,0)</f>
        <v>0</v>
      </c>
      <c r="J217" s="50">
        <f>'DATA B2'!D218</f>
        <v>513072</v>
      </c>
      <c r="K217" s="82">
        <f>SUM(J217-J216)</f>
        <v>11</v>
      </c>
      <c r="L217" s="80">
        <f>'DATA B2'!E218</f>
        <v>569973</v>
      </c>
      <c r="M217" s="80">
        <f t="shared" si="81"/>
        <v>20</v>
      </c>
      <c r="N217" s="28">
        <f t="shared" si="77"/>
        <v>1.8181818181818181</v>
      </c>
      <c r="O217" s="51">
        <f>IFERROR((('DATA B2'!F218-'DATA B2'!F217)/(K217))*1000,0)</f>
        <v>0</v>
      </c>
      <c r="P217" s="94">
        <f>'DATA B3'!C218</f>
        <v>221206</v>
      </c>
      <c r="Q217" s="91">
        <f t="shared" si="82"/>
        <v>0</v>
      </c>
      <c r="R217" s="80">
        <f>'DATA B3'!D218</f>
        <v>165812</v>
      </c>
      <c r="S217" s="80">
        <f t="shared" si="83"/>
        <v>0</v>
      </c>
      <c r="T217" s="15">
        <f t="shared" si="78"/>
        <v>0</v>
      </c>
      <c r="U217" s="15">
        <f>IFERROR((('DATA B3'!E218-'DATA B3'!E217)+('DATA B3'!F218-'DATA B3'!F217))/('WATER_STEAM RATIO'!P217-'WATER_STEAM RATIO'!P216),0)</f>
        <v>0</v>
      </c>
    </row>
    <row r="218" spans="2:21" ht="15.75" thickBot="1">
      <c r="B218" s="293"/>
      <c r="C218" s="235"/>
      <c r="D218" s="224" cm="1">
        <f t="array" ref="D218">IFERROR(LOOKUP(2,1/(D193:D217&gt;0),D193:D217-D193),0)</f>
        <v>0</v>
      </c>
      <c r="E218" s="223">
        <f>SUMIF(E194:E217,"&gt;=0",E194:E217)</f>
        <v>0</v>
      </c>
      <c r="F218" s="224" cm="1">
        <f t="array" ref="F218">IFERROR(LOOKUP(2,1/(F193:F217&gt;0),F193:F217-F193),0)</f>
        <v>0</v>
      </c>
      <c r="G218" s="223">
        <f>SUMIF(G194:G217,"&gt;=0",G194:G217)</f>
        <v>0</v>
      </c>
      <c r="H218" s="225">
        <f t="shared" si="85"/>
        <v>0</v>
      </c>
      <c r="I218" s="236">
        <f>IFERROR((('DATA B1'!H219)/(E218))*1000,0)</f>
        <v>0</v>
      </c>
      <c r="J218" s="222" cm="1">
        <f t="array" ref="J218">IFERROR(LOOKUP(2,1/(J193:J217&gt;0),J193:J217-J193),0)</f>
        <v>195</v>
      </c>
      <c r="K218" s="223">
        <f>SUMIF(K194:K217,"&gt;=0",K194:K217)</f>
        <v>195</v>
      </c>
      <c r="L218" s="224" cm="1">
        <f t="array" ref="L218">IFERROR(LOOKUP(2,1/(L193:L217&gt;0),L193:L217-L193),0)</f>
        <v>538</v>
      </c>
      <c r="M218" s="223">
        <f>SUMIF(M194:M217,"&gt;=0",M194:M217)</f>
        <v>538</v>
      </c>
      <c r="N218" s="225">
        <f>IFERROR(M218/K218,0)</f>
        <v>2.7589743589743589</v>
      </c>
      <c r="O218" s="226">
        <f>IFERROR((('DATA B2'!H219)/(K218))*1000,0)</f>
        <v>5.1282051282045635E-3</v>
      </c>
      <c r="P218" s="224" cm="1">
        <f t="array" ref="P218">IFERROR(LOOKUP(2,1/(P193:P217&gt;0),P193:P217-P193),0)</f>
        <v>0</v>
      </c>
      <c r="Q218" s="223">
        <f>SUMIF(Q194:Q217,"&gt;=0",Q194:Q217)</f>
        <v>0</v>
      </c>
      <c r="R218" s="224" cm="1">
        <f t="array" ref="R218">IFERROR(LOOKUP(2,1/(R193:R217&gt;0),R193:R217-R193),0)</f>
        <v>0</v>
      </c>
      <c r="S218" s="223">
        <f>SUMIF(S194:S217,"&gt;=0",S194:S217)</f>
        <v>0</v>
      </c>
      <c r="T218" s="237">
        <f t="shared" si="78"/>
        <v>0</v>
      </c>
      <c r="U218" s="226">
        <f>IFERROR(('DATA B3'!E219+'DATA B3'!F219)/Q218*1000,0)</f>
        <v>0</v>
      </c>
    </row>
    <row r="219" spans="2:21" ht="15" customHeight="1">
      <c r="B219" s="291">
        <f>SUM('DATA B1'!B220:B245)</f>
        <v>46031</v>
      </c>
      <c r="C219" s="97">
        <v>0.29166666666666669</v>
      </c>
      <c r="D219" s="84">
        <f>'DATA B1'!D220</f>
        <v>222134</v>
      </c>
      <c r="E219" s="5">
        <f>SUM(E217)</f>
        <v>0</v>
      </c>
      <c r="F219" s="80">
        <f>'DATA B1'!E220</f>
        <v>524526</v>
      </c>
      <c r="G219" s="80">
        <f>SUM(G217)</f>
        <v>0</v>
      </c>
      <c r="H219" s="28">
        <f t="shared" si="85"/>
        <v>0</v>
      </c>
      <c r="I219" s="45"/>
      <c r="J219" s="50">
        <f>'DATA B2'!D220</f>
        <v>513072</v>
      </c>
      <c r="K219" s="82">
        <f>SUM(K217)</f>
        <v>11</v>
      </c>
      <c r="L219" s="80">
        <f>'DATA B2'!E220</f>
        <v>569973</v>
      </c>
      <c r="M219" s="80">
        <f>SUM(M217)</f>
        <v>20</v>
      </c>
      <c r="N219" s="28">
        <f>IFERROR(M219/K219,0)</f>
        <v>1.8181818181818181</v>
      </c>
      <c r="O219" s="103"/>
      <c r="P219" s="94">
        <f>'DATA B3'!C220</f>
        <v>221206</v>
      </c>
      <c r="Q219" s="91">
        <f>SUM(Q217)</f>
        <v>0</v>
      </c>
      <c r="R219" s="80">
        <f>'DATA B3'!D220</f>
        <v>165812</v>
      </c>
      <c r="S219" s="80">
        <f>SUM(S217)</f>
        <v>0</v>
      </c>
      <c r="T219" s="15">
        <f>IFERROR(S219/Q219,0)</f>
        <v>0</v>
      </c>
      <c r="U219" s="15"/>
    </row>
    <row r="220" spans="2:21">
      <c r="B220" s="292"/>
      <c r="C220" s="97">
        <v>0.33333333333333298</v>
      </c>
      <c r="D220" s="84">
        <f>'DATA B1'!D221</f>
        <v>222134</v>
      </c>
      <c r="E220" s="5">
        <f t="shared" ref="E220:E226" si="86">SUM(D220-D219)</f>
        <v>0</v>
      </c>
      <c r="F220" s="80">
        <f>'DATA B1'!E221</f>
        <v>524526</v>
      </c>
      <c r="G220" s="80">
        <f>SUM(F220-F219)</f>
        <v>0</v>
      </c>
      <c r="H220" s="28">
        <f t="shared" si="85"/>
        <v>0</v>
      </c>
      <c r="I220" s="45">
        <f>IFERROR((('DATA B1'!G221-'DATA B1'!G220)/('WATER_STEAM RATIO'!D220-'WATER_STEAM RATIO'!D219))*1000,0)</f>
        <v>0</v>
      </c>
      <c r="J220" s="50">
        <f>'DATA B2'!D221</f>
        <v>513080</v>
      </c>
      <c r="K220" s="82">
        <f>SUM(J220-J219)</f>
        <v>8</v>
      </c>
      <c r="L220" s="80">
        <f>'DATA B2'!E221</f>
        <v>569999</v>
      </c>
      <c r="M220" s="80">
        <f>SUM(L220-L219)</f>
        <v>26</v>
      </c>
      <c r="N220" s="28">
        <f t="shared" ref="N220:N243" si="87">IFERROR(M220/K220,0)</f>
        <v>3.25</v>
      </c>
      <c r="O220" s="51">
        <f>IFERROR((('DATA B2'!F221-'DATA B2'!F220)/(K220))*1000,0)</f>
        <v>1.2499999999998623E-2</v>
      </c>
      <c r="P220" s="94">
        <f>'DATA B3'!C221</f>
        <v>221206</v>
      </c>
      <c r="Q220" s="91">
        <f>SUM(P220-P219)</f>
        <v>0</v>
      </c>
      <c r="R220" s="80">
        <f>'DATA B3'!D221</f>
        <v>165812</v>
      </c>
      <c r="S220" s="80">
        <f>SUM(R220-R219)</f>
        <v>0</v>
      </c>
      <c r="T220" s="15">
        <f t="shared" ref="T220:T244" si="88">IFERROR(S220/Q220,0)</f>
        <v>0</v>
      </c>
      <c r="U220" s="15">
        <f>IFERROR((('DATA B3'!E221-'DATA B3'!E220)+('DATA B3'!F221-'DATA B3'!F220))/('WATER_STEAM RATIO'!P220-'WATER_STEAM RATIO'!P219),0)</f>
        <v>0</v>
      </c>
    </row>
    <row r="221" spans="2:21">
      <c r="B221" s="292"/>
      <c r="C221" s="97">
        <v>0.375</v>
      </c>
      <c r="D221" s="84">
        <f>'DATA B1'!D222</f>
        <v>222134</v>
      </c>
      <c r="E221" s="5">
        <f t="shared" si="86"/>
        <v>0</v>
      </c>
      <c r="F221" s="80">
        <f>'DATA B1'!E222</f>
        <v>524526</v>
      </c>
      <c r="G221" s="80">
        <f t="shared" ref="G221:G243" si="89">SUM(F221-F220)</f>
        <v>0</v>
      </c>
      <c r="H221" s="28">
        <f t="shared" si="85"/>
        <v>0</v>
      </c>
      <c r="I221" s="45">
        <f>IFERROR((('DATA B1'!G222-'DATA B1'!G221)/('WATER_STEAM RATIO'!D221-'WATER_STEAM RATIO'!D220))*1000,0)</f>
        <v>0</v>
      </c>
      <c r="J221" s="50">
        <f>'DATA B2'!D222</f>
        <v>513088</v>
      </c>
      <c r="K221" s="82">
        <f t="shared" ref="K221:K242" si="90">SUM(J221-J220)</f>
        <v>8</v>
      </c>
      <c r="L221" s="80">
        <f>'DATA B2'!E222</f>
        <v>570019</v>
      </c>
      <c r="M221" s="80">
        <f t="shared" ref="M221:M243" si="91">SUM(L221-L220)</f>
        <v>20</v>
      </c>
      <c r="N221" s="28">
        <f t="shared" si="87"/>
        <v>2.5</v>
      </c>
      <c r="O221" s="51">
        <f>IFERROR((('DATA B2'!F222-'DATA B2'!F221)/(K221))*1000,0)</f>
        <v>0</v>
      </c>
      <c r="P221" s="94">
        <f>'DATA B3'!C222</f>
        <v>221206</v>
      </c>
      <c r="Q221" s="91">
        <f t="shared" ref="Q221:Q243" si="92">SUM(P221-P220)</f>
        <v>0</v>
      </c>
      <c r="R221" s="80">
        <f>'DATA B3'!D222</f>
        <v>165812</v>
      </c>
      <c r="S221" s="80">
        <f t="shared" ref="S221:S243" si="93">SUM(R221-R220)</f>
        <v>0</v>
      </c>
      <c r="T221" s="15">
        <f t="shared" si="88"/>
        <v>0</v>
      </c>
      <c r="U221" s="15">
        <f>IFERROR((('DATA B3'!E222-'DATA B3'!E221)+('DATA B3'!F222-'DATA B3'!F221))/('WATER_STEAM RATIO'!P221-'WATER_STEAM RATIO'!P220),0)</f>
        <v>0</v>
      </c>
    </row>
    <row r="222" spans="2:21">
      <c r="B222" s="292"/>
      <c r="C222" s="97">
        <v>0.41666666666666702</v>
      </c>
      <c r="D222" s="84">
        <f>'DATA B1'!D223</f>
        <v>222134</v>
      </c>
      <c r="E222" s="5">
        <f t="shared" si="86"/>
        <v>0</v>
      </c>
      <c r="F222" s="80">
        <f>'DATA B1'!E223</f>
        <v>524526</v>
      </c>
      <c r="G222" s="80">
        <f t="shared" si="89"/>
        <v>0</v>
      </c>
      <c r="H222" s="28">
        <f t="shared" si="85"/>
        <v>0</v>
      </c>
      <c r="I222" s="45">
        <f>IFERROR((('DATA B1'!G223-'DATA B1'!G222)/('WATER_STEAM RATIO'!D222-'WATER_STEAM RATIO'!D221))*1000,0)</f>
        <v>0</v>
      </c>
      <c r="J222" s="50">
        <f>'DATA B2'!D223</f>
        <v>513096</v>
      </c>
      <c r="K222" s="82">
        <f t="shared" si="90"/>
        <v>8</v>
      </c>
      <c r="L222" s="80">
        <f>'DATA B2'!E223</f>
        <v>570039</v>
      </c>
      <c r="M222" s="80">
        <f t="shared" si="91"/>
        <v>20</v>
      </c>
      <c r="N222" s="28">
        <f t="shared" si="87"/>
        <v>2.5</v>
      </c>
      <c r="O222" s="51">
        <f>IFERROR((('DATA B2'!F223-'DATA B2'!F222)/(K222))*1000,0)</f>
        <v>0</v>
      </c>
      <c r="P222" s="94">
        <f>'DATA B3'!C223</f>
        <v>221206</v>
      </c>
      <c r="Q222" s="91">
        <f t="shared" si="92"/>
        <v>0</v>
      </c>
      <c r="R222" s="80">
        <f>'DATA B3'!D223</f>
        <v>165812</v>
      </c>
      <c r="S222" s="80">
        <f t="shared" si="93"/>
        <v>0</v>
      </c>
      <c r="T222" s="15">
        <f t="shared" si="88"/>
        <v>0</v>
      </c>
      <c r="U222" s="15">
        <f>IFERROR((('DATA B3'!E223-'DATA B3'!E222)+('DATA B3'!F223-'DATA B3'!F222))/('WATER_STEAM RATIO'!P222-'WATER_STEAM RATIO'!P221),0)</f>
        <v>0</v>
      </c>
    </row>
    <row r="223" spans="2:21">
      <c r="B223" s="292"/>
      <c r="C223" s="97">
        <v>0.45833333333333298</v>
      </c>
      <c r="D223" s="84">
        <f>'DATA B1'!D224</f>
        <v>222134</v>
      </c>
      <c r="E223" s="5">
        <f t="shared" si="86"/>
        <v>0</v>
      </c>
      <c r="F223" s="80">
        <f>'DATA B1'!E224</f>
        <v>524526</v>
      </c>
      <c r="G223" s="80">
        <f t="shared" si="89"/>
        <v>0</v>
      </c>
      <c r="H223" s="28">
        <f t="shared" si="85"/>
        <v>0</v>
      </c>
      <c r="I223" s="45">
        <f>IFERROR((('DATA B1'!G224-'DATA B1'!G223)/('WATER_STEAM RATIO'!D223-'WATER_STEAM RATIO'!D222))*1000,0)</f>
        <v>0</v>
      </c>
      <c r="J223" s="50">
        <f>'DATA B2'!D224</f>
        <v>513106</v>
      </c>
      <c r="K223" s="82">
        <f t="shared" si="90"/>
        <v>10</v>
      </c>
      <c r="L223" s="80">
        <f>'DATA B2'!E224</f>
        <v>570061</v>
      </c>
      <c r="M223" s="80">
        <f t="shared" si="91"/>
        <v>22</v>
      </c>
      <c r="N223" s="28">
        <f t="shared" si="87"/>
        <v>2.2000000000000002</v>
      </c>
      <c r="O223" s="51">
        <f>IFERROR((('DATA B2'!F224-'DATA B2'!F223)/(K223))*1000,0)</f>
        <v>9.9999999999988987E-3</v>
      </c>
      <c r="P223" s="94">
        <f>'DATA B3'!C224</f>
        <v>221206</v>
      </c>
      <c r="Q223" s="91">
        <f t="shared" si="92"/>
        <v>0</v>
      </c>
      <c r="R223" s="80">
        <f>'DATA B3'!D224</f>
        <v>165812</v>
      </c>
      <c r="S223" s="80">
        <f t="shared" si="93"/>
        <v>0</v>
      </c>
      <c r="T223" s="15">
        <f t="shared" si="88"/>
        <v>0</v>
      </c>
      <c r="U223" s="15">
        <f>IFERROR((('DATA B3'!E224-'DATA B3'!E223)+('DATA B3'!F224-'DATA B3'!F223))/('WATER_STEAM RATIO'!P223-'WATER_STEAM RATIO'!P222),0)</f>
        <v>0</v>
      </c>
    </row>
    <row r="224" spans="2:21">
      <c r="B224" s="292"/>
      <c r="C224" s="97">
        <v>0.5</v>
      </c>
      <c r="D224" s="84">
        <f>'DATA B1'!D225</f>
        <v>222134</v>
      </c>
      <c r="E224" s="5">
        <f t="shared" si="86"/>
        <v>0</v>
      </c>
      <c r="F224" s="80">
        <f>'DATA B1'!E225</f>
        <v>524526</v>
      </c>
      <c r="G224" s="80">
        <f t="shared" si="89"/>
        <v>0</v>
      </c>
      <c r="H224" s="28">
        <f t="shared" si="85"/>
        <v>0</v>
      </c>
      <c r="I224" s="45">
        <f>IFERROR((('DATA B1'!G225-'DATA B1'!G224)/('WATER_STEAM RATIO'!D224-'WATER_STEAM RATIO'!D223))*1000,0)</f>
        <v>0</v>
      </c>
      <c r="J224" s="50">
        <f>'DATA B2'!D225</f>
        <v>513114</v>
      </c>
      <c r="K224" s="82">
        <f t="shared" si="90"/>
        <v>8</v>
      </c>
      <c r="L224" s="80">
        <f>'DATA B2'!E225</f>
        <v>570080</v>
      </c>
      <c r="M224" s="80">
        <f t="shared" si="91"/>
        <v>19</v>
      </c>
      <c r="N224" s="28">
        <f t="shared" si="87"/>
        <v>2.375</v>
      </c>
      <c r="O224" s="51">
        <f>IFERROR((('DATA B2'!F225-'DATA B2'!F224)/(K224))*1000,0)</f>
        <v>0</v>
      </c>
      <c r="P224" s="94">
        <f>'DATA B3'!C225</f>
        <v>221206</v>
      </c>
      <c r="Q224" s="91">
        <f t="shared" si="92"/>
        <v>0</v>
      </c>
      <c r="R224" s="80">
        <f>'DATA B3'!D225</f>
        <v>165812</v>
      </c>
      <c r="S224" s="80">
        <f t="shared" si="93"/>
        <v>0</v>
      </c>
      <c r="T224" s="15">
        <f t="shared" si="88"/>
        <v>0</v>
      </c>
      <c r="U224" s="15">
        <f>IFERROR((('DATA B3'!E225-'DATA B3'!E224)+('DATA B3'!F225-'DATA B3'!F224))/('WATER_STEAM RATIO'!P224-'WATER_STEAM RATIO'!P223),0)</f>
        <v>0</v>
      </c>
    </row>
    <row r="225" spans="2:21">
      <c r="B225" s="292"/>
      <c r="C225" s="97">
        <v>0.54166666666666696</v>
      </c>
      <c r="D225" s="84">
        <f>'DATA B1'!D226</f>
        <v>222134</v>
      </c>
      <c r="E225" s="5">
        <f t="shared" si="86"/>
        <v>0</v>
      </c>
      <c r="F225" s="80">
        <f>'DATA B1'!E226</f>
        <v>524526</v>
      </c>
      <c r="G225" s="80">
        <f t="shared" si="89"/>
        <v>0</v>
      </c>
      <c r="H225" s="28">
        <f t="shared" si="85"/>
        <v>0</v>
      </c>
      <c r="I225" s="45">
        <f>IFERROR((('DATA B1'!G226-'DATA B1'!G225)/('WATER_STEAM RATIO'!D225-'WATER_STEAM RATIO'!D224))*1000,0)</f>
        <v>0</v>
      </c>
      <c r="J225" s="50">
        <f>'DATA B2'!D226</f>
        <v>513122</v>
      </c>
      <c r="K225" s="82">
        <f t="shared" si="90"/>
        <v>8</v>
      </c>
      <c r="L225" s="80">
        <f>'DATA B2'!E226</f>
        <v>570099</v>
      </c>
      <c r="M225" s="80">
        <f t="shared" si="91"/>
        <v>19</v>
      </c>
      <c r="N225" s="28">
        <f t="shared" si="87"/>
        <v>2.375</v>
      </c>
      <c r="O225" s="51">
        <f>IFERROR((('DATA B2'!F226-'DATA B2'!F225)/(K225))*1000,0)</f>
        <v>0</v>
      </c>
      <c r="P225" s="94">
        <f>'DATA B3'!C226</f>
        <v>221206</v>
      </c>
      <c r="Q225" s="91">
        <f t="shared" si="92"/>
        <v>0</v>
      </c>
      <c r="R225" s="80">
        <f>'DATA B3'!D226</f>
        <v>165812</v>
      </c>
      <c r="S225" s="80">
        <f t="shared" si="93"/>
        <v>0</v>
      </c>
      <c r="T225" s="15">
        <f t="shared" si="88"/>
        <v>0</v>
      </c>
      <c r="U225" s="15">
        <f>IFERROR((('DATA B3'!E226-'DATA B3'!E225)+('DATA B3'!F226-'DATA B3'!F225))/('WATER_STEAM RATIO'!P225-'WATER_STEAM RATIO'!P224),0)</f>
        <v>0</v>
      </c>
    </row>
    <row r="226" spans="2:21">
      <c r="B226" s="292"/>
      <c r="C226" s="97">
        <v>0.58333333333333304</v>
      </c>
      <c r="D226" s="84">
        <f>'DATA B1'!D227</f>
        <v>222134</v>
      </c>
      <c r="E226" s="5">
        <f t="shared" si="86"/>
        <v>0</v>
      </c>
      <c r="F226" s="80">
        <f>'DATA B1'!E227</f>
        <v>524526</v>
      </c>
      <c r="G226" s="80">
        <f t="shared" si="89"/>
        <v>0</v>
      </c>
      <c r="H226" s="28">
        <f t="shared" si="85"/>
        <v>0</v>
      </c>
      <c r="I226" s="45">
        <f>IFERROR((('DATA B1'!G227-'DATA B1'!G226)/('WATER_STEAM RATIO'!D226-'WATER_STEAM RATIO'!D225))*1000,0)</f>
        <v>0</v>
      </c>
      <c r="J226" s="50">
        <f>'DATA B2'!D227</f>
        <v>513130</v>
      </c>
      <c r="K226" s="82">
        <f t="shared" si="90"/>
        <v>8</v>
      </c>
      <c r="L226" s="80">
        <f>'DATA B2'!E227</f>
        <v>570118</v>
      </c>
      <c r="M226" s="80">
        <f t="shared" si="91"/>
        <v>19</v>
      </c>
      <c r="N226" s="28">
        <f t="shared" si="87"/>
        <v>2.375</v>
      </c>
      <c r="O226" s="51">
        <f>IFERROR((('DATA B2'!F227-'DATA B2'!F226)/(K226))*1000,0)</f>
        <v>1.2499999999998623E-2</v>
      </c>
      <c r="P226" s="94">
        <f>'DATA B3'!C227</f>
        <v>221206</v>
      </c>
      <c r="Q226" s="91">
        <f t="shared" si="92"/>
        <v>0</v>
      </c>
      <c r="R226" s="80">
        <f>'DATA B3'!D227</f>
        <v>165812</v>
      </c>
      <c r="S226" s="80">
        <f t="shared" si="93"/>
        <v>0</v>
      </c>
      <c r="T226" s="15">
        <f t="shared" si="88"/>
        <v>0</v>
      </c>
      <c r="U226" s="15">
        <f>IFERROR((('DATA B3'!E227-'DATA B3'!E226)+('DATA B3'!F227-'DATA B3'!F226))/('WATER_STEAM RATIO'!P226-'WATER_STEAM RATIO'!P225),0)</f>
        <v>0</v>
      </c>
    </row>
    <row r="227" spans="2:21">
      <c r="B227" s="292"/>
      <c r="C227" s="97">
        <v>0.625</v>
      </c>
      <c r="D227" s="84">
        <f>'DATA B1'!D228</f>
        <v>222134</v>
      </c>
      <c r="E227" s="5">
        <f t="shared" ref="E227:E243" si="94">SUM(D227-D226)</f>
        <v>0</v>
      </c>
      <c r="F227" s="80">
        <f>'DATA B1'!E228</f>
        <v>524526</v>
      </c>
      <c r="G227" s="80">
        <f t="shared" si="89"/>
        <v>0</v>
      </c>
      <c r="H227" s="28">
        <f t="shared" si="85"/>
        <v>0</v>
      </c>
      <c r="I227" s="45">
        <f>IFERROR((('DATA B1'!G228-'DATA B1'!G227)/('WATER_STEAM RATIO'!D227-'WATER_STEAM RATIO'!D226))*1000,0)</f>
        <v>0</v>
      </c>
      <c r="J227" s="50">
        <f>'DATA B2'!D228</f>
        <v>513138</v>
      </c>
      <c r="K227" s="82">
        <f t="shared" si="90"/>
        <v>8</v>
      </c>
      <c r="L227" s="80">
        <f>'DATA B2'!E228</f>
        <v>570139</v>
      </c>
      <c r="M227" s="80">
        <f t="shared" si="91"/>
        <v>21</v>
      </c>
      <c r="N227" s="28">
        <f t="shared" si="87"/>
        <v>2.625</v>
      </c>
      <c r="O227" s="51">
        <f>IFERROR((('DATA B2'!F228-'DATA B2'!F227)/(K227))*1000,0)</f>
        <v>0</v>
      </c>
      <c r="P227" s="94">
        <f>'DATA B3'!C228</f>
        <v>221206</v>
      </c>
      <c r="Q227" s="91">
        <f t="shared" si="92"/>
        <v>0</v>
      </c>
      <c r="R227" s="80">
        <f>'DATA B3'!D228</f>
        <v>165812</v>
      </c>
      <c r="S227" s="80">
        <f t="shared" si="93"/>
        <v>0</v>
      </c>
      <c r="T227" s="15">
        <f t="shared" si="88"/>
        <v>0</v>
      </c>
      <c r="U227" s="15">
        <f>IFERROR((('DATA B3'!E228-'DATA B3'!E227)+('DATA B3'!F228-'DATA B3'!F227))/('WATER_STEAM RATIO'!P227-'WATER_STEAM RATIO'!P226),0)</f>
        <v>0</v>
      </c>
    </row>
    <row r="228" spans="2:21">
      <c r="B228" s="292"/>
      <c r="C228" s="97">
        <v>0.66666666666666596</v>
      </c>
      <c r="D228" s="84">
        <f>'DATA B1'!D229</f>
        <v>222134</v>
      </c>
      <c r="E228" s="5">
        <f t="shared" si="94"/>
        <v>0</v>
      </c>
      <c r="F228" s="80">
        <f>'DATA B1'!E229</f>
        <v>524526</v>
      </c>
      <c r="G228" s="80">
        <f t="shared" si="89"/>
        <v>0</v>
      </c>
      <c r="H228" s="28">
        <f t="shared" si="85"/>
        <v>0</v>
      </c>
      <c r="I228" s="45">
        <f>IFERROR((('DATA B1'!G229-'DATA B1'!G228)/('WATER_STEAM RATIO'!D228-'WATER_STEAM RATIO'!D227))*1000,0)</f>
        <v>0</v>
      </c>
      <c r="J228" s="50">
        <f>'DATA B2'!D229</f>
        <v>513146</v>
      </c>
      <c r="K228" s="82">
        <f>SUM(J228-J227)</f>
        <v>8</v>
      </c>
      <c r="L228" s="80">
        <f>'DATA B2'!E229</f>
        <v>570161</v>
      </c>
      <c r="M228" s="80">
        <f t="shared" si="91"/>
        <v>22</v>
      </c>
      <c r="N228" s="28">
        <f t="shared" si="87"/>
        <v>2.75</v>
      </c>
      <c r="O228" s="51">
        <f>IFERROR((('DATA B2'!F229-'DATA B2'!F228)/(K228))*1000,0)</f>
        <v>0</v>
      </c>
      <c r="P228" s="94">
        <f>'DATA B3'!C229</f>
        <v>221206</v>
      </c>
      <c r="Q228" s="91">
        <f t="shared" si="92"/>
        <v>0</v>
      </c>
      <c r="R228" s="80">
        <f>'DATA B3'!D229</f>
        <v>165812</v>
      </c>
      <c r="S228" s="80">
        <f t="shared" si="93"/>
        <v>0</v>
      </c>
      <c r="T228" s="15">
        <f t="shared" si="88"/>
        <v>0</v>
      </c>
      <c r="U228" s="15">
        <f>IFERROR((('DATA B3'!E229-'DATA B3'!E228)+('DATA B3'!F229-'DATA B3'!F228))/('WATER_STEAM RATIO'!P228-'WATER_STEAM RATIO'!P227),0)</f>
        <v>0</v>
      </c>
    </row>
    <row r="229" spans="2:21">
      <c r="B229" s="292"/>
      <c r="C229" s="97">
        <v>0.70833333333333304</v>
      </c>
      <c r="D229" s="84">
        <f>'DATA B1'!D230</f>
        <v>222134</v>
      </c>
      <c r="E229" s="5">
        <f t="shared" si="94"/>
        <v>0</v>
      </c>
      <c r="F229" s="80">
        <f>'DATA B1'!E230</f>
        <v>524526</v>
      </c>
      <c r="G229" s="80">
        <f t="shared" si="89"/>
        <v>0</v>
      </c>
      <c r="H229" s="28">
        <f t="shared" si="85"/>
        <v>0</v>
      </c>
      <c r="I229" s="45">
        <f>IFERROR((('DATA B1'!G230-'DATA B1'!G229)/('WATER_STEAM RATIO'!D229-'WATER_STEAM RATIO'!D228))*1000,0)</f>
        <v>0</v>
      </c>
      <c r="J229" s="50">
        <f>'DATA B2'!D230</f>
        <v>513155</v>
      </c>
      <c r="K229" s="82">
        <f t="shared" si="90"/>
        <v>9</v>
      </c>
      <c r="L229" s="80">
        <f>'DATA B2'!E230</f>
        <v>570183</v>
      </c>
      <c r="M229" s="80">
        <f t="shared" si="91"/>
        <v>22</v>
      </c>
      <c r="N229" s="28">
        <f t="shared" si="87"/>
        <v>2.4444444444444446</v>
      </c>
      <c r="O229" s="51">
        <f>IFERROR((('DATA B2'!F230-'DATA B2'!F229)/(K229))*1000,0)</f>
        <v>1.1111111111109887E-2</v>
      </c>
      <c r="P229" s="94">
        <f>'DATA B3'!C230</f>
        <v>221206</v>
      </c>
      <c r="Q229" s="91">
        <f t="shared" si="92"/>
        <v>0</v>
      </c>
      <c r="R229" s="80">
        <f>'DATA B3'!D230</f>
        <v>165812</v>
      </c>
      <c r="S229" s="80">
        <f t="shared" si="93"/>
        <v>0</v>
      </c>
      <c r="T229" s="15">
        <f t="shared" si="88"/>
        <v>0</v>
      </c>
      <c r="U229" s="15">
        <f>IFERROR((('DATA B3'!E230-'DATA B3'!E229)+('DATA B3'!F230-'DATA B3'!F229))/('WATER_STEAM RATIO'!P229-'WATER_STEAM RATIO'!P228),0)</f>
        <v>0</v>
      </c>
    </row>
    <row r="230" spans="2:21">
      <c r="B230" s="292"/>
      <c r="C230" s="97">
        <v>0.75</v>
      </c>
      <c r="D230" s="84">
        <f>'DATA B1'!D231</f>
        <v>222134</v>
      </c>
      <c r="E230" s="5">
        <f t="shared" si="94"/>
        <v>0</v>
      </c>
      <c r="F230" s="80">
        <f>'DATA B1'!E231</f>
        <v>524526</v>
      </c>
      <c r="G230" s="80">
        <f t="shared" si="89"/>
        <v>0</v>
      </c>
      <c r="H230" s="28">
        <f t="shared" si="85"/>
        <v>0</v>
      </c>
      <c r="I230" s="45">
        <f>IFERROR((('DATA B1'!G231-'DATA B1'!G230)/('WATER_STEAM RATIO'!D230-'WATER_STEAM RATIO'!D229))*1000,0)</f>
        <v>0</v>
      </c>
      <c r="J230" s="50">
        <f>'DATA B2'!D231</f>
        <v>513164</v>
      </c>
      <c r="K230" s="82">
        <f t="shared" si="90"/>
        <v>9</v>
      </c>
      <c r="L230" s="80">
        <f>'DATA B2'!E231</f>
        <v>570205</v>
      </c>
      <c r="M230" s="80">
        <f t="shared" si="91"/>
        <v>22</v>
      </c>
      <c r="N230" s="28">
        <f t="shared" si="87"/>
        <v>2.4444444444444446</v>
      </c>
      <c r="O230" s="51">
        <f>IFERROR((('DATA B2'!F231-'DATA B2'!F230)/(K230))*1000,0)</f>
        <v>0</v>
      </c>
      <c r="P230" s="94">
        <f>'DATA B3'!C231</f>
        <v>221206</v>
      </c>
      <c r="Q230" s="91">
        <f t="shared" si="92"/>
        <v>0</v>
      </c>
      <c r="R230" s="80">
        <f>'DATA B3'!D231</f>
        <v>165812</v>
      </c>
      <c r="S230" s="80">
        <f t="shared" si="93"/>
        <v>0</v>
      </c>
      <c r="T230" s="15">
        <f t="shared" si="88"/>
        <v>0</v>
      </c>
      <c r="U230" s="15">
        <f>IFERROR((('DATA B3'!E231-'DATA B3'!E230)+('DATA B3'!F231-'DATA B3'!F230))/('WATER_STEAM RATIO'!P230-'WATER_STEAM RATIO'!P229),0)</f>
        <v>0</v>
      </c>
    </row>
    <row r="231" spans="2:21">
      <c r="B231" s="292"/>
      <c r="C231" s="97">
        <v>0.79166666666666596</v>
      </c>
      <c r="D231" s="84">
        <f>'DATA B1'!D232</f>
        <v>222134</v>
      </c>
      <c r="E231" s="5">
        <f t="shared" si="94"/>
        <v>0</v>
      </c>
      <c r="F231" s="80">
        <f>'DATA B1'!E232</f>
        <v>524526</v>
      </c>
      <c r="G231" s="80">
        <f t="shared" si="89"/>
        <v>0</v>
      </c>
      <c r="H231" s="28">
        <f t="shared" si="85"/>
        <v>0</v>
      </c>
      <c r="I231" s="45">
        <f>IFERROR((('DATA B1'!G232-'DATA B1'!G231)/('WATER_STEAM RATIO'!D231-'WATER_STEAM RATIO'!D230))*1000,0)</f>
        <v>0</v>
      </c>
      <c r="J231" s="50">
        <f>'DATA B2'!D232</f>
        <v>513173</v>
      </c>
      <c r="K231" s="82">
        <f t="shared" si="90"/>
        <v>9</v>
      </c>
      <c r="L231" s="80">
        <f>'DATA B2'!E232</f>
        <v>570228</v>
      </c>
      <c r="M231" s="80">
        <f t="shared" si="91"/>
        <v>23</v>
      </c>
      <c r="N231" s="28">
        <f t="shared" si="87"/>
        <v>2.5555555555555554</v>
      </c>
      <c r="O231" s="51">
        <f>IFERROR((('DATA B2'!F232-'DATA B2'!F231)/(K231))*1000,0)</f>
        <v>0</v>
      </c>
      <c r="P231" s="94">
        <f>'DATA B3'!C232</f>
        <v>221206</v>
      </c>
      <c r="Q231" s="91">
        <f t="shared" si="92"/>
        <v>0</v>
      </c>
      <c r="R231" s="80">
        <f>'DATA B3'!D232</f>
        <v>165812</v>
      </c>
      <c r="S231" s="80">
        <f t="shared" si="93"/>
        <v>0</v>
      </c>
      <c r="T231" s="15">
        <f t="shared" si="88"/>
        <v>0</v>
      </c>
      <c r="U231" s="15">
        <f>IFERROR((('DATA B3'!E232-'DATA B3'!E231)+('DATA B3'!F232-'DATA B3'!F231))/('WATER_STEAM RATIO'!P231-'WATER_STEAM RATIO'!P230),0)</f>
        <v>0</v>
      </c>
    </row>
    <row r="232" spans="2:21">
      <c r="B232" s="292"/>
      <c r="C232" s="97">
        <v>0.83333333333333304</v>
      </c>
      <c r="D232" s="84">
        <f>'DATA B1'!D233</f>
        <v>222134</v>
      </c>
      <c r="E232" s="5">
        <f t="shared" si="94"/>
        <v>0</v>
      </c>
      <c r="F232" s="80">
        <f>'DATA B1'!E233</f>
        <v>524526</v>
      </c>
      <c r="G232" s="80">
        <f t="shared" si="89"/>
        <v>0</v>
      </c>
      <c r="H232" s="28">
        <f t="shared" si="85"/>
        <v>0</v>
      </c>
      <c r="I232" s="45">
        <f>IFERROR((('DATA B1'!G233-'DATA B1'!G232)/('WATER_STEAM RATIO'!D232-'WATER_STEAM RATIO'!D231))*1000,0)</f>
        <v>0</v>
      </c>
      <c r="J232" s="50">
        <f>'DATA B2'!D233</f>
        <v>513181</v>
      </c>
      <c r="K232" s="82">
        <f t="shared" si="90"/>
        <v>8</v>
      </c>
      <c r="L232" s="80">
        <f>'DATA B2'!E233</f>
        <v>570248</v>
      </c>
      <c r="M232" s="80">
        <f t="shared" si="91"/>
        <v>20</v>
      </c>
      <c r="N232" s="28">
        <f t="shared" si="87"/>
        <v>2.5</v>
      </c>
      <c r="O232" s="51">
        <f>IFERROR((('DATA B2'!F233-'DATA B2'!F232)/(K232))*1000,0)</f>
        <v>1.2499999999998623E-2</v>
      </c>
      <c r="P232" s="94">
        <f>'DATA B3'!C233</f>
        <v>221206</v>
      </c>
      <c r="Q232" s="91">
        <f t="shared" si="92"/>
        <v>0</v>
      </c>
      <c r="R232" s="80">
        <f>'DATA B3'!D233</f>
        <v>165812</v>
      </c>
      <c r="S232" s="80">
        <f t="shared" si="93"/>
        <v>0</v>
      </c>
      <c r="T232" s="15">
        <f t="shared" si="88"/>
        <v>0</v>
      </c>
      <c r="U232" s="15">
        <f>IFERROR((('DATA B3'!E233-'DATA B3'!E232)+('DATA B3'!F233-'DATA B3'!F232))/('WATER_STEAM RATIO'!P232-'WATER_STEAM RATIO'!P231),0)</f>
        <v>0</v>
      </c>
    </row>
    <row r="233" spans="2:21">
      <c r="B233" s="292"/>
      <c r="C233" s="97">
        <v>0.875</v>
      </c>
      <c r="D233" s="84">
        <f>'DATA B1'!D234</f>
        <v>222134</v>
      </c>
      <c r="E233" s="5">
        <f t="shared" si="94"/>
        <v>0</v>
      </c>
      <c r="F233" s="80">
        <f>'DATA B1'!E234</f>
        <v>524526</v>
      </c>
      <c r="G233" s="80">
        <f t="shared" si="89"/>
        <v>0</v>
      </c>
      <c r="H233" s="28">
        <f t="shared" si="85"/>
        <v>0</v>
      </c>
      <c r="I233" s="45">
        <f>IFERROR((('DATA B1'!G234-'DATA B1'!G233)/('WATER_STEAM RATIO'!D233-'WATER_STEAM RATIO'!D232))*1000,0)</f>
        <v>0</v>
      </c>
      <c r="J233" s="50">
        <f>'DATA B2'!D234</f>
        <v>513190</v>
      </c>
      <c r="K233" s="82">
        <f t="shared" si="90"/>
        <v>9</v>
      </c>
      <c r="L233" s="80">
        <f>'DATA B2'!E234</f>
        <v>570266</v>
      </c>
      <c r="M233" s="80">
        <f t="shared" si="91"/>
        <v>18</v>
      </c>
      <c r="N233" s="28">
        <f>IFERROR(M233/K233,0)</f>
        <v>2</v>
      </c>
      <c r="O233" s="51">
        <f>IFERROR((('DATA B2'!F234-'DATA B2'!F233)/(K233))*1000,0)</f>
        <v>0</v>
      </c>
      <c r="P233" s="94">
        <f>'DATA B3'!C234</f>
        <v>221206</v>
      </c>
      <c r="Q233" s="91">
        <f t="shared" si="92"/>
        <v>0</v>
      </c>
      <c r="R233" s="80">
        <f>'DATA B3'!D234</f>
        <v>165812</v>
      </c>
      <c r="S233" s="80">
        <f t="shared" si="93"/>
        <v>0</v>
      </c>
      <c r="T233" s="15">
        <f t="shared" si="88"/>
        <v>0</v>
      </c>
      <c r="U233" s="15">
        <f>IFERROR((('DATA B3'!E234-'DATA B3'!E233)+('DATA B3'!F234-'DATA B3'!F233))/('WATER_STEAM RATIO'!P233-'WATER_STEAM RATIO'!P232),0)</f>
        <v>0</v>
      </c>
    </row>
    <row r="234" spans="2:21">
      <c r="B234" s="292"/>
      <c r="C234" s="97">
        <v>0.91666666666666596</v>
      </c>
      <c r="D234" s="84">
        <f>'DATA B1'!D235</f>
        <v>222134</v>
      </c>
      <c r="E234" s="5">
        <f t="shared" si="94"/>
        <v>0</v>
      </c>
      <c r="F234" s="80">
        <f>'DATA B1'!E235</f>
        <v>524526</v>
      </c>
      <c r="G234" s="80">
        <f t="shared" si="89"/>
        <v>0</v>
      </c>
      <c r="H234" s="28">
        <f t="shared" si="85"/>
        <v>0</v>
      </c>
      <c r="I234" s="45">
        <f>IFERROR((('DATA B1'!G235-'DATA B1'!G234)/('WATER_STEAM RATIO'!D234-'WATER_STEAM RATIO'!D233))*1000,0)</f>
        <v>0</v>
      </c>
      <c r="J234" s="50">
        <f>'DATA B2'!D235</f>
        <v>513199</v>
      </c>
      <c r="K234" s="82">
        <f t="shared" si="90"/>
        <v>9</v>
      </c>
      <c r="L234" s="80">
        <f>'DATA B2'!E235</f>
        <v>570284</v>
      </c>
      <c r="M234" s="80">
        <f t="shared" si="91"/>
        <v>18</v>
      </c>
      <c r="N234" s="28">
        <f t="shared" si="87"/>
        <v>2</v>
      </c>
      <c r="O234" s="51">
        <f>IFERROR((('DATA B2'!F235-'DATA B2'!F234)/(K234))*1000,0)</f>
        <v>1.1111111111109887E-2</v>
      </c>
      <c r="P234" s="94">
        <f>'DATA B3'!C235</f>
        <v>221206</v>
      </c>
      <c r="Q234" s="91">
        <f t="shared" si="92"/>
        <v>0</v>
      </c>
      <c r="R234" s="80">
        <f>'DATA B3'!D235</f>
        <v>165812</v>
      </c>
      <c r="S234" s="80">
        <f t="shared" si="93"/>
        <v>0</v>
      </c>
      <c r="T234" s="15">
        <f t="shared" si="88"/>
        <v>0</v>
      </c>
      <c r="U234" s="15">
        <f>IFERROR((('DATA B3'!E235-'DATA B3'!E234)+('DATA B3'!F235-'DATA B3'!F234))/('WATER_STEAM RATIO'!P234-'WATER_STEAM RATIO'!P233),0)</f>
        <v>0</v>
      </c>
    </row>
    <row r="235" spans="2:21">
      <c r="B235" s="292"/>
      <c r="C235" s="97">
        <v>0.95833333333333304</v>
      </c>
      <c r="D235" s="84">
        <f>'DATA B1'!D236</f>
        <v>222134</v>
      </c>
      <c r="E235" s="5">
        <f t="shared" si="94"/>
        <v>0</v>
      </c>
      <c r="F235" s="80">
        <f>'DATA B1'!E236</f>
        <v>524526</v>
      </c>
      <c r="G235" s="80">
        <f t="shared" si="89"/>
        <v>0</v>
      </c>
      <c r="H235" s="28">
        <f t="shared" si="85"/>
        <v>0</v>
      </c>
      <c r="I235" s="45">
        <f>IFERROR((('DATA B1'!G236-'DATA B1'!G235)/('WATER_STEAM RATIO'!D235-'WATER_STEAM RATIO'!D234))*1000,0)</f>
        <v>0</v>
      </c>
      <c r="J235" s="50">
        <f>'DATA B2'!D236</f>
        <v>513208</v>
      </c>
      <c r="K235" s="82">
        <f>SUM(J235-J234)</f>
        <v>9</v>
      </c>
      <c r="L235" s="80">
        <f>'DATA B2'!E236</f>
        <v>570303</v>
      </c>
      <c r="M235" s="80">
        <f t="shared" si="91"/>
        <v>19</v>
      </c>
      <c r="N235" s="28">
        <f t="shared" si="87"/>
        <v>2.1111111111111112</v>
      </c>
      <c r="O235" s="51">
        <f>IFERROR((('DATA B2'!F236-'DATA B2'!F235)/(K235))*1000,0)</f>
        <v>0</v>
      </c>
      <c r="P235" s="94">
        <f>'DATA B3'!C236</f>
        <v>221206</v>
      </c>
      <c r="Q235" s="91">
        <f t="shared" si="92"/>
        <v>0</v>
      </c>
      <c r="R235" s="80">
        <f>'DATA B3'!D236</f>
        <v>165812</v>
      </c>
      <c r="S235" s="80">
        <f t="shared" si="93"/>
        <v>0</v>
      </c>
      <c r="T235" s="15">
        <f t="shared" si="88"/>
        <v>0</v>
      </c>
      <c r="U235" s="15">
        <f>IFERROR((('DATA B3'!E236-'DATA B3'!E235)+('DATA B3'!F236-'DATA B3'!F235))/('WATER_STEAM RATIO'!P235-'WATER_STEAM RATIO'!P234),0)</f>
        <v>0</v>
      </c>
    </row>
    <row r="236" spans="2:21">
      <c r="B236" s="292"/>
      <c r="C236" s="97">
        <v>1</v>
      </c>
      <c r="D236" s="84">
        <f>'DATA B1'!D237</f>
        <v>222134</v>
      </c>
      <c r="E236" s="5">
        <f t="shared" si="94"/>
        <v>0</v>
      </c>
      <c r="F236" s="80">
        <f>'DATA B1'!E237</f>
        <v>524526</v>
      </c>
      <c r="G236" s="80">
        <f t="shared" si="89"/>
        <v>0</v>
      </c>
      <c r="H236" s="28">
        <f t="shared" si="85"/>
        <v>0</v>
      </c>
      <c r="I236" s="45">
        <f>IFERROR((('DATA B1'!G237-'DATA B1'!G236)/('WATER_STEAM RATIO'!D236-'WATER_STEAM RATIO'!D235))*1000,0)</f>
        <v>0</v>
      </c>
      <c r="J236" s="50">
        <f>'DATA B2'!D237</f>
        <v>513216</v>
      </c>
      <c r="K236" s="82">
        <f t="shared" si="90"/>
        <v>8</v>
      </c>
      <c r="L236" s="80">
        <f>'DATA B2'!E237</f>
        <v>570322</v>
      </c>
      <c r="M236" s="80">
        <f t="shared" si="91"/>
        <v>19</v>
      </c>
      <c r="N236" s="28">
        <f t="shared" si="87"/>
        <v>2.375</v>
      </c>
      <c r="O236" s="51">
        <f>IFERROR((('DATA B2'!F237-'DATA B2'!F236)/(K236))*1000,0)</f>
        <v>0</v>
      </c>
      <c r="P236" s="94">
        <f>'DATA B3'!C237</f>
        <v>221206</v>
      </c>
      <c r="Q236" s="91">
        <f t="shared" si="92"/>
        <v>0</v>
      </c>
      <c r="R236" s="80">
        <f>'DATA B3'!D237</f>
        <v>165812</v>
      </c>
      <c r="S236" s="80">
        <f t="shared" si="93"/>
        <v>0</v>
      </c>
      <c r="T236" s="15">
        <f t="shared" si="88"/>
        <v>0</v>
      </c>
      <c r="U236" s="15">
        <f>IFERROR((('DATA B3'!E237-'DATA B3'!E236)+('DATA B3'!F237-'DATA B3'!F236))/('WATER_STEAM RATIO'!P236-'WATER_STEAM RATIO'!P235),0)</f>
        <v>0</v>
      </c>
    </row>
    <row r="237" spans="2:21">
      <c r="B237" s="292"/>
      <c r="C237" s="97">
        <v>1.0416666666666701</v>
      </c>
      <c r="D237" s="84">
        <f>'DATA B1'!D238</f>
        <v>222134</v>
      </c>
      <c r="E237" s="5">
        <f t="shared" si="94"/>
        <v>0</v>
      </c>
      <c r="F237" s="80">
        <f>'DATA B1'!E238</f>
        <v>524526</v>
      </c>
      <c r="G237" s="80">
        <f t="shared" si="89"/>
        <v>0</v>
      </c>
      <c r="H237" s="28">
        <f t="shared" si="85"/>
        <v>0</v>
      </c>
      <c r="I237" s="45">
        <f>IFERROR((('DATA B1'!G238-'DATA B1'!G237)/('WATER_STEAM RATIO'!D237-'WATER_STEAM RATIO'!D236))*1000,0)</f>
        <v>0</v>
      </c>
      <c r="J237" s="50">
        <f>'DATA B2'!D238</f>
        <v>513226</v>
      </c>
      <c r="K237" s="82">
        <f t="shared" si="90"/>
        <v>10</v>
      </c>
      <c r="L237" s="80">
        <f>'DATA B2'!E238</f>
        <v>570341</v>
      </c>
      <c r="M237" s="80">
        <f t="shared" si="91"/>
        <v>19</v>
      </c>
      <c r="N237" s="28">
        <f t="shared" si="87"/>
        <v>1.9</v>
      </c>
      <c r="O237" s="51">
        <f>IFERROR((('DATA B2'!F238-'DATA B2'!F237)/(K237))*1000,0)</f>
        <v>0</v>
      </c>
      <c r="P237" s="94">
        <f>'DATA B3'!C238</f>
        <v>221206</v>
      </c>
      <c r="Q237" s="91">
        <f t="shared" si="92"/>
        <v>0</v>
      </c>
      <c r="R237" s="80">
        <f>'DATA B3'!D238</f>
        <v>165812</v>
      </c>
      <c r="S237" s="80">
        <f t="shared" si="93"/>
        <v>0</v>
      </c>
      <c r="T237" s="15">
        <f t="shared" si="88"/>
        <v>0</v>
      </c>
      <c r="U237" s="15">
        <f>IFERROR((('DATA B3'!E238-'DATA B3'!E237)+('DATA B3'!F238-'DATA B3'!F237))/('WATER_STEAM RATIO'!P237-'WATER_STEAM RATIO'!P236),0)</f>
        <v>0</v>
      </c>
    </row>
    <row r="238" spans="2:21">
      <c r="B238" s="292"/>
      <c r="C238" s="97">
        <v>1.0833333333333399</v>
      </c>
      <c r="D238" s="84">
        <f>'DATA B1'!D239</f>
        <v>222134</v>
      </c>
      <c r="E238" s="5">
        <f>SUM(D238-D237)</f>
        <v>0</v>
      </c>
      <c r="F238" s="80">
        <f>'DATA B1'!E239</f>
        <v>524526</v>
      </c>
      <c r="G238" s="80">
        <f t="shared" si="89"/>
        <v>0</v>
      </c>
      <c r="H238" s="28">
        <f t="shared" si="85"/>
        <v>0</v>
      </c>
      <c r="I238" s="45">
        <f>IFERROR((('DATA B1'!G239-'DATA B1'!G238)/('WATER_STEAM RATIO'!D238-'WATER_STEAM RATIO'!D237))*1000,0)</f>
        <v>0</v>
      </c>
      <c r="J238" s="50">
        <f>'DATA B2'!D239</f>
        <v>513234</v>
      </c>
      <c r="K238" s="82">
        <f t="shared" si="90"/>
        <v>8</v>
      </c>
      <c r="L238" s="80">
        <f>'DATA B2'!E239</f>
        <v>570359</v>
      </c>
      <c r="M238" s="80">
        <f t="shared" si="91"/>
        <v>18</v>
      </c>
      <c r="N238" s="28">
        <f t="shared" si="87"/>
        <v>2.25</v>
      </c>
      <c r="O238" s="51">
        <f>IFERROR((('DATA B2'!F239-'DATA B2'!F238)/(K238))*1000,0)</f>
        <v>0</v>
      </c>
      <c r="P238" s="94">
        <f>'DATA B3'!C239</f>
        <v>221206</v>
      </c>
      <c r="Q238" s="91">
        <f>SUM(P238-P237)</f>
        <v>0</v>
      </c>
      <c r="R238" s="80">
        <f>'DATA B3'!D239</f>
        <v>165812</v>
      </c>
      <c r="S238" s="80">
        <f t="shared" si="93"/>
        <v>0</v>
      </c>
      <c r="T238" s="15">
        <f t="shared" si="88"/>
        <v>0</v>
      </c>
      <c r="U238" s="15">
        <f>IFERROR((('DATA B3'!E239-'DATA B3'!E238)+('DATA B3'!F239-'DATA B3'!F238))/('WATER_STEAM RATIO'!P238-'WATER_STEAM RATIO'!P237),0)</f>
        <v>0</v>
      </c>
    </row>
    <row r="239" spans="2:21">
      <c r="B239" s="292"/>
      <c r="C239" s="97">
        <v>1.125</v>
      </c>
      <c r="D239" s="84">
        <f>'DATA B1'!D240</f>
        <v>222134</v>
      </c>
      <c r="E239" s="5">
        <f t="shared" si="94"/>
        <v>0</v>
      </c>
      <c r="F239" s="80">
        <f>'DATA B1'!E240</f>
        <v>524526</v>
      </c>
      <c r="G239" s="80">
        <f t="shared" si="89"/>
        <v>0</v>
      </c>
      <c r="H239" s="28">
        <f t="shared" si="85"/>
        <v>0</v>
      </c>
      <c r="I239" s="45">
        <f>IFERROR((('DATA B1'!G240-'DATA B1'!G239)/('WATER_STEAM RATIO'!D239-'WATER_STEAM RATIO'!D238))*1000,0)</f>
        <v>0</v>
      </c>
      <c r="J239" s="50">
        <f>'DATA B2'!D240</f>
        <v>513244</v>
      </c>
      <c r="K239" s="82">
        <f t="shared" si="90"/>
        <v>10</v>
      </c>
      <c r="L239" s="80">
        <f>'DATA B2'!E240</f>
        <v>570379</v>
      </c>
      <c r="M239" s="80">
        <f t="shared" si="91"/>
        <v>20</v>
      </c>
      <c r="N239" s="28">
        <f t="shared" si="87"/>
        <v>2</v>
      </c>
      <c r="O239" s="51">
        <f>IFERROR((('DATA B2'!F240-'DATA B2'!F239)/(K239))*1000,0)</f>
        <v>0</v>
      </c>
      <c r="P239" s="94">
        <f>'DATA B3'!C240</f>
        <v>221206</v>
      </c>
      <c r="Q239" s="91">
        <f t="shared" si="92"/>
        <v>0</v>
      </c>
      <c r="R239" s="80">
        <f>'DATA B3'!D240</f>
        <v>165812</v>
      </c>
      <c r="S239" s="80">
        <f t="shared" si="93"/>
        <v>0</v>
      </c>
      <c r="T239" s="15">
        <f t="shared" si="88"/>
        <v>0</v>
      </c>
      <c r="U239" s="15">
        <f>IFERROR((('DATA B3'!E240-'DATA B3'!E239)+('DATA B3'!F240-'DATA B3'!F239))/('WATER_STEAM RATIO'!P239-'WATER_STEAM RATIO'!P238),0)</f>
        <v>0</v>
      </c>
    </row>
    <row r="240" spans="2:21">
      <c r="B240" s="292"/>
      <c r="C240" s="97">
        <v>1.1666666666666701</v>
      </c>
      <c r="D240" s="84">
        <f>'DATA B1'!D241</f>
        <v>222134</v>
      </c>
      <c r="E240" s="5">
        <f t="shared" si="94"/>
        <v>0</v>
      </c>
      <c r="F240" s="80">
        <f>'DATA B1'!E241</f>
        <v>524526</v>
      </c>
      <c r="G240" s="80">
        <f t="shared" si="89"/>
        <v>0</v>
      </c>
      <c r="H240" s="28">
        <f t="shared" si="85"/>
        <v>0</v>
      </c>
      <c r="I240" s="45">
        <f>IFERROR((('DATA B1'!G241-'DATA B1'!G240)/('WATER_STEAM RATIO'!D240-'WATER_STEAM RATIO'!D239))*1000,0)</f>
        <v>0</v>
      </c>
      <c r="J240" s="50">
        <f>'DATA B2'!D241</f>
        <v>513252</v>
      </c>
      <c r="K240" s="82">
        <f t="shared" si="90"/>
        <v>8</v>
      </c>
      <c r="L240" s="80">
        <f>'DATA B2'!E241</f>
        <v>570401</v>
      </c>
      <c r="M240" s="80">
        <f t="shared" si="91"/>
        <v>22</v>
      </c>
      <c r="N240" s="28">
        <f t="shared" si="87"/>
        <v>2.75</v>
      </c>
      <c r="O240" s="51">
        <f>IFERROR((('DATA B2'!F241-'DATA B2'!F240)/(K240))*1000,0)</f>
        <v>0</v>
      </c>
      <c r="P240" s="94">
        <f>'DATA B3'!C241</f>
        <v>221206</v>
      </c>
      <c r="Q240" s="91">
        <f t="shared" si="92"/>
        <v>0</v>
      </c>
      <c r="R240" s="80">
        <f>'DATA B3'!D241</f>
        <v>165812</v>
      </c>
      <c r="S240" s="80">
        <f t="shared" si="93"/>
        <v>0</v>
      </c>
      <c r="T240" s="15">
        <f t="shared" si="88"/>
        <v>0</v>
      </c>
      <c r="U240" s="15">
        <f>IFERROR((('DATA B3'!E241-'DATA B3'!E240)+('DATA B3'!F241-'DATA B3'!F240))/('WATER_STEAM RATIO'!P240-'WATER_STEAM RATIO'!P239),0)</f>
        <v>0</v>
      </c>
    </row>
    <row r="241" spans="2:21">
      <c r="B241" s="292"/>
      <c r="C241" s="97">
        <v>1.2083333333333399</v>
      </c>
      <c r="D241" s="84">
        <f>'DATA B1'!D242</f>
        <v>222134</v>
      </c>
      <c r="E241" s="5">
        <f t="shared" si="94"/>
        <v>0</v>
      </c>
      <c r="F241" s="80">
        <f>'DATA B1'!E242</f>
        <v>524526</v>
      </c>
      <c r="G241" s="80">
        <f t="shared" si="89"/>
        <v>0</v>
      </c>
      <c r="H241" s="28">
        <f t="shared" si="85"/>
        <v>0</v>
      </c>
      <c r="I241" s="45">
        <f>IFERROR((('DATA B1'!G242-'DATA B1'!G241)/('WATER_STEAM RATIO'!D241-'WATER_STEAM RATIO'!D240))*1000,0)</f>
        <v>0</v>
      </c>
      <c r="J241" s="50">
        <f>'DATA B2'!D242</f>
        <v>513259</v>
      </c>
      <c r="K241" s="82">
        <f t="shared" si="90"/>
        <v>7</v>
      </c>
      <c r="L241" s="80">
        <f>'DATA B2'!E242</f>
        <v>570423</v>
      </c>
      <c r="M241" s="80">
        <f t="shared" si="91"/>
        <v>22</v>
      </c>
      <c r="N241" s="28">
        <f t="shared" si="87"/>
        <v>3.1428571428571428</v>
      </c>
      <c r="O241" s="51">
        <f>IFERROR((('DATA B2'!F242-'DATA B2'!F241)/(K241))*1000,0)</f>
        <v>0</v>
      </c>
      <c r="P241" s="94">
        <f>'DATA B3'!C242</f>
        <v>221206</v>
      </c>
      <c r="Q241" s="91">
        <f t="shared" si="92"/>
        <v>0</v>
      </c>
      <c r="R241" s="80">
        <f>'DATA B3'!D242</f>
        <v>165812</v>
      </c>
      <c r="S241" s="80">
        <f t="shared" si="93"/>
        <v>0</v>
      </c>
      <c r="T241" s="15">
        <f t="shared" si="88"/>
        <v>0</v>
      </c>
      <c r="U241" s="15">
        <f>IFERROR((('DATA B3'!E242-'DATA B3'!E241)+('DATA B3'!F242-'DATA B3'!F241))/('WATER_STEAM RATIO'!P241-'WATER_STEAM RATIO'!P240),0)</f>
        <v>0</v>
      </c>
    </row>
    <row r="242" spans="2:21">
      <c r="B242" s="292"/>
      <c r="C242" s="97">
        <v>1.25</v>
      </c>
      <c r="D242" s="84">
        <f>'DATA B1'!D243</f>
        <v>222134</v>
      </c>
      <c r="E242" s="5">
        <f t="shared" si="94"/>
        <v>0</v>
      </c>
      <c r="F242" s="80">
        <f>'DATA B1'!E243</f>
        <v>524526</v>
      </c>
      <c r="G242" s="80">
        <f t="shared" si="89"/>
        <v>0</v>
      </c>
      <c r="H242" s="28">
        <f t="shared" si="85"/>
        <v>0</v>
      </c>
      <c r="I242" s="45">
        <f>IFERROR((('DATA B1'!G243-'DATA B1'!G242)/('WATER_STEAM RATIO'!D242-'WATER_STEAM RATIO'!D241))*1000,0)</f>
        <v>0</v>
      </c>
      <c r="J242" s="50">
        <f>'DATA B2'!D243</f>
        <v>513267</v>
      </c>
      <c r="K242" s="82">
        <f t="shared" si="90"/>
        <v>8</v>
      </c>
      <c r="L242" s="80">
        <f>'DATA B2'!E243</f>
        <v>570445</v>
      </c>
      <c r="M242" s="80">
        <f t="shared" si="91"/>
        <v>22</v>
      </c>
      <c r="N242" s="28">
        <f t="shared" si="87"/>
        <v>2.75</v>
      </c>
      <c r="O242" s="51">
        <f>IFERROR((('DATA B2'!F243-'DATA B2'!F242)/(K242))*1000,0)</f>
        <v>0</v>
      </c>
      <c r="P242" s="94">
        <f>'DATA B3'!C243</f>
        <v>221206</v>
      </c>
      <c r="Q242" s="91">
        <f t="shared" si="92"/>
        <v>0</v>
      </c>
      <c r="R242" s="80">
        <f>'DATA B3'!D243</f>
        <v>165812</v>
      </c>
      <c r="S242" s="80">
        <f t="shared" si="93"/>
        <v>0</v>
      </c>
      <c r="T242" s="15">
        <f t="shared" si="88"/>
        <v>0</v>
      </c>
      <c r="U242" s="15">
        <f>IFERROR((('DATA B3'!E243-'DATA B3'!E242)+('DATA B3'!F243-'DATA B3'!F242))/('WATER_STEAM RATIO'!P242-'WATER_STEAM RATIO'!P241),0)</f>
        <v>0</v>
      </c>
    </row>
    <row r="243" spans="2:21">
      <c r="B243" s="292"/>
      <c r="C243" s="97">
        <v>1.2916666666666701</v>
      </c>
      <c r="D243" s="84">
        <f>'DATA B1'!D244</f>
        <v>222134</v>
      </c>
      <c r="E243" s="5">
        <f t="shared" si="94"/>
        <v>0</v>
      </c>
      <c r="F243" s="80">
        <f>'DATA B1'!E244</f>
        <v>524526</v>
      </c>
      <c r="G243" s="80">
        <f t="shared" si="89"/>
        <v>0</v>
      </c>
      <c r="H243" s="28">
        <f t="shared" si="85"/>
        <v>0</v>
      </c>
      <c r="I243" s="45">
        <f>IFERROR((('DATA B1'!G244-'DATA B1'!G243)/('WATER_STEAM RATIO'!D243-'WATER_STEAM RATIO'!D242))*1000,0)</f>
        <v>0</v>
      </c>
      <c r="J243" s="50">
        <f>'DATA B2'!D244</f>
        <v>513278</v>
      </c>
      <c r="K243" s="82">
        <f>SUM(J243-J242)</f>
        <v>11</v>
      </c>
      <c r="L243" s="80">
        <f>'DATA B2'!E244</f>
        <v>570470</v>
      </c>
      <c r="M243" s="80">
        <f t="shared" si="91"/>
        <v>25</v>
      </c>
      <c r="N243" s="28">
        <f t="shared" si="87"/>
        <v>2.2727272727272729</v>
      </c>
      <c r="O243" s="51">
        <f>IFERROR((('DATA B2'!F244-'DATA B2'!F243)/(K243))*1000,0)</f>
        <v>0</v>
      </c>
      <c r="P243" s="94">
        <f>'DATA B3'!C244</f>
        <v>221206</v>
      </c>
      <c r="Q243" s="91">
        <f t="shared" si="92"/>
        <v>0</v>
      </c>
      <c r="R243" s="80">
        <f>'DATA B3'!D244</f>
        <v>165812</v>
      </c>
      <c r="S243" s="80">
        <f t="shared" si="93"/>
        <v>0</v>
      </c>
      <c r="T243" s="15">
        <f t="shared" si="88"/>
        <v>0</v>
      </c>
      <c r="U243" s="15">
        <f>IFERROR((('DATA B3'!E244-'DATA B3'!E243)+('DATA B3'!F244-'DATA B3'!F243))/('WATER_STEAM RATIO'!P243-'WATER_STEAM RATIO'!P242),0)</f>
        <v>0</v>
      </c>
    </row>
    <row r="244" spans="2:21" ht="15.75" thickBot="1">
      <c r="B244" s="293"/>
      <c r="C244" s="235"/>
      <c r="D244" s="224" cm="1">
        <f t="array" ref="D244">IFERROR(LOOKUP(2,1/(D219:D243&gt;0),D219:D243-D219),0)</f>
        <v>0</v>
      </c>
      <c r="E244" s="223">
        <f>SUMIF(E220:E243,"&gt;=0",E220:E243)</f>
        <v>0</v>
      </c>
      <c r="F244" s="224" cm="1">
        <f t="array" ref="F244">IFERROR(LOOKUP(2,1/(F219:F243&gt;0),F219:F243-F219),0)</f>
        <v>0</v>
      </c>
      <c r="G244" s="223">
        <f>SUMIF(G220:G243,"&gt;=0",G220:G243)</f>
        <v>0</v>
      </c>
      <c r="H244" s="225">
        <f t="shared" si="85"/>
        <v>0</v>
      </c>
      <c r="I244" s="236">
        <f>IFERROR((('DATA B1'!H245)/(E244))*1000,0)</f>
        <v>0</v>
      </c>
      <c r="J244" s="222" cm="1">
        <f t="array" ref="J244">IFERROR(LOOKUP(2,1/(J219:J243&gt;0),J219:J243-J219),0)</f>
        <v>206</v>
      </c>
      <c r="K244" s="223">
        <f>SUMIF(K220:K243,"&gt;=0",K220:K243)</f>
        <v>206</v>
      </c>
      <c r="L244" s="224" cm="1">
        <f t="array" ref="L244">IFERROR(LOOKUP(2,1/(L219:L243&gt;0),L219:L243-L219),0)</f>
        <v>497</v>
      </c>
      <c r="M244" s="223">
        <f>SUMIF(M220:M243,"&gt;=0",M220:M243)</f>
        <v>497</v>
      </c>
      <c r="N244" s="225">
        <f>IFERROR(M244/K244,0)</f>
        <v>2.412621359223301</v>
      </c>
      <c r="O244" s="226">
        <f>IFERROR((('DATA B2'!H245)/(K244))*1000,0)</f>
        <v>4.8543689320383002E-3</v>
      </c>
      <c r="P244" s="224" cm="1">
        <f t="array" ref="P244">IFERROR(LOOKUP(2,1/(P219:P243&gt;0),P219:P243-P219),0)</f>
        <v>0</v>
      </c>
      <c r="Q244" s="223">
        <f>SUMIF(Q220:Q243,"&gt;=0",Q220:Q243)</f>
        <v>0</v>
      </c>
      <c r="R244" s="224" cm="1">
        <f t="array" ref="R244">IFERROR(LOOKUP(2,1/(R219:R243&gt;0),R219:R243-R219),0)</f>
        <v>0</v>
      </c>
      <c r="S244" s="223">
        <f>SUMIF(S220:S243,"&gt;=0",S220:S243)</f>
        <v>0</v>
      </c>
      <c r="T244" s="237">
        <f t="shared" si="88"/>
        <v>0</v>
      </c>
      <c r="U244" s="226">
        <f>IFERROR(('DATA B3'!E245+'DATA B3'!F245)/Q244*1000,0)</f>
        <v>0</v>
      </c>
    </row>
    <row r="245" spans="2:21" ht="15" customHeight="1">
      <c r="B245" s="291">
        <f>SUM('DATA B1'!B246:B271)</f>
        <v>46032</v>
      </c>
      <c r="C245" s="97">
        <v>0.29166666666666669</v>
      </c>
      <c r="D245" s="84">
        <f>'DATA B1'!D246</f>
        <v>222134</v>
      </c>
      <c r="E245" s="5">
        <f>SUM(E243)</f>
        <v>0</v>
      </c>
      <c r="F245" s="80">
        <f>'DATA B1'!E246</f>
        <v>524526</v>
      </c>
      <c r="G245" s="80">
        <f>SUM(G243)</f>
        <v>0</v>
      </c>
      <c r="H245" s="28">
        <f t="shared" si="85"/>
        <v>0</v>
      </c>
      <c r="I245" s="45"/>
      <c r="J245" s="50">
        <f>'DATA B2'!D246</f>
        <v>513278</v>
      </c>
      <c r="K245" s="82">
        <f>SUM(K243)</f>
        <v>11</v>
      </c>
      <c r="L245" s="80">
        <f>'DATA B2'!E246</f>
        <v>570470</v>
      </c>
      <c r="M245" s="80">
        <f>SUM(M243)</f>
        <v>25</v>
      </c>
      <c r="N245" s="28">
        <f>IFERROR(M245/K245,0)</f>
        <v>2.2727272727272729</v>
      </c>
      <c r="O245" s="103"/>
      <c r="P245" s="94">
        <f>'DATA B3'!C246</f>
        <v>221206</v>
      </c>
      <c r="Q245" s="91">
        <f>SUM(Q243)</f>
        <v>0</v>
      </c>
      <c r="R245" s="80">
        <f>'DATA B3'!D246</f>
        <v>165812</v>
      </c>
      <c r="S245" s="80">
        <f>SUM(S243)</f>
        <v>0</v>
      </c>
      <c r="T245" s="15">
        <f>IFERROR(S245/Q245,0)</f>
        <v>0</v>
      </c>
      <c r="U245" s="15"/>
    </row>
    <row r="246" spans="2:21">
      <c r="B246" s="292"/>
      <c r="C246" s="97">
        <v>0.33333333333333298</v>
      </c>
      <c r="D246" s="84">
        <f>'DATA B1'!D247</f>
        <v>222134</v>
      </c>
      <c r="E246" s="5">
        <f t="shared" ref="E246:E252" si="95">SUM(D246-D245)</f>
        <v>0</v>
      </c>
      <c r="F246" s="80">
        <f>'DATA B1'!E247</f>
        <v>524526</v>
      </c>
      <c r="G246" s="80">
        <f>SUM(F246-F245)</f>
        <v>0</v>
      </c>
      <c r="H246" s="28">
        <f t="shared" si="85"/>
        <v>0</v>
      </c>
      <c r="I246" s="45">
        <f>IFERROR((('DATA B1'!G247-'DATA B1'!G246)/('WATER_STEAM RATIO'!D246-'WATER_STEAM RATIO'!D245))*1000,0)</f>
        <v>0</v>
      </c>
      <c r="J246" s="50">
        <f>'DATA B2'!D247</f>
        <v>513280</v>
      </c>
      <c r="K246" s="82">
        <f>SUM(J246-J245)</f>
        <v>2</v>
      </c>
      <c r="L246" s="80">
        <f>'DATA B2'!E247</f>
        <v>570501</v>
      </c>
      <c r="M246" s="80">
        <f>SUM(L246-L245)</f>
        <v>31</v>
      </c>
      <c r="N246" s="28">
        <f t="shared" ref="N246:N269" si="96">IFERROR(M246/K246,0)</f>
        <v>15.5</v>
      </c>
      <c r="O246" s="51">
        <f>IFERROR((('DATA B2'!F247-'DATA B2'!F246)/(K246))*1000,0)</f>
        <v>4.9999999999994493E-2</v>
      </c>
      <c r="P246" s="94">
        <f>'DATA B3'!C247</f>
        <v>221206</v>
      </c>
      <c r="Q246" s="91">
        <f>SUM(P246-P245)</f>
        <v>0</v>
      </c>
      <c r="R246" s="80">
        <f>'DATA B3'!D247</f>
        <v>165812</v>
      </c>
      <c r="S246" s="80">
        <f>SUM(R246-R245)</f>
        <v>0</v>
      </c>
      <c r="T246" s="15">
        <f t="shared" ref="T246:T270" si="97">IFERROR(S246/Q246,0)</f>
        <v>0</v>
      </c>
      <c r="U246" s="15">
        <f>IFERROR((('DATA B3'!E247-'DATA B3'!E246)+('DATA B3'!F247-'DATA B3'!F246))/('WATER_STEAM RATIO'!P246-'WATER_STEAM RATIO'!P245),0)</f>
        <v>0</v>
      </c>
    </row>
    <row r="247" spans="2:21">
      <c r="B247" s="292"/>
      <c r="C247" s="97">
        <v>0.375</v>
      </c>
      <c r="D247" s="84">
        <f>'DATA B1'!D248</f>
        <v>222134</v>
      </c>
      <c r="E247" s="5">
        <f t="shared" si="95"/>
        <v>0</v>
      </c>
      <c r="F247" s="80">
        <f>'DATA B1'!E248</f>
        <v>524526</v>
      </c>
      <c r="G247" s="80">
        <f t="shared" ref="G247:G269" si="98">SUM(F247-F246)</f>
        <v>0</v>
      </c>
      <c r="H247" s="28">
        <f t="shared" si="85"/>
        <v>0</v>
      </c>
      <c r="I247" s="45">
        <f>IFERROR((('DATA B1'!G248-'DATA B1'!G247)/('WATER_STEAM RATIO'!D247-'WATER_STEAM RATIO'!D246))*1000,0)</f>
        <v>0</v>
      </c>
      <c r="J247" s="50">
        <f>'DATA B2'!D248</f>
        <v>513286</v>
      </c>
      <c r="K247" s="82">
        <f t="shared" ref="K247:K268" si="99">SUM(J247-J246)</f>
        <v>6</v>
      </c>
      <c r="L247" s="80">
        <f>'DATA B2'!E248</f>
        <v>570522</v>
      </c>
      <c r="M247" s="80">
        <f t="shared" ref="M247:M269" si="100">SUM(L247-L246)</f>
        <v>21</v>
      </c>
      <c r="N247" s="28">
        <f t="shared" si="96"/>
        <v>3.5</v>
      </c>
      <c r="O247" s="51">
        <f>IFERROR((('DATA B2'!F248-'DATA B2'!F247)/(K247))*1000,0)</f>
        <v>0</v>
      </c>
      <c r="P247" s="94">
        <f>'DATA B3'!C248</f>
        <v>221206</v>
      </c>
      <c r="Q247" s="91">
        <f t="shared" ref="Q247:Q269" si="101">SUM(P247-P246)</f>
        <v>0</v>
      </c>
      <c r="R247" s="80">
        <f>'DATA B3'!D248</f>
        <v>165812</v>
      </c>
      <c r="S247" s="80">
        <f t="shared" ref="S247:S269" si="102">SUM(R247-R246)</f>
        <v>0</v>
      </c>
      <c r="T247" s="15">
        <f t="shared" si="97"/>
        <v>0</v>
      </c>
      <c r="U247" s="15">
        <f>IFERROR((('DATA B3'!E248-'DATA B3'!E247)+('DATA B3'!F248-'DATA B3'!F247))/('WATER_STEAM RATIO'!P247-'WATER_STEAM RATIO'!P246),0)</f>
        <v>0</v>
      </c>
    </row>
    <row r="248" spans="2:21">
      <c r="B248" s="292"/>
      <c r="C248" s="97">
        <v>0.41666666666666702</v>
      </c>
      <c r="D248" s="84">
        <f>'DATA B1'!D249</f>
        <v>222134</v>
      </c>
      <c r="E248" s="5">
        <f t="shared" si="95"/>
        <v>0</v>
      </c>
      <c r="F248" s="80">
        <f>'DATA B1'!E249</f>
        <v>524526</v>
      </c>
      <c r="G248" s="80">
        <f t="shared" si="98"/>
        <v>0</v>
      </c>
      <c r="H248" s="28">
        <f t="shared" si="85"/>
        <v>0</v>
      </c>
      <c r="I248" s="45">
        <f>IFERROR((('DATA B1'!G249-'DATA B1'!G248)/('WATER_STEAM RATIO'!D248-'WATER_STEAM RATIO'!D247))*1000,0)</f>
        <v>0</v>
      </c>
      <c r="J248" s="50">
        <f>'DATA B2'!D249</f>
        <v>513293</v>
      </c>
      <c r="K248" s="82">
        <f t="shared" si="99"/>
        <v>7</v>
      </c>
      <c r="L248" s="80">
        <f>'DATA B2'!E249</f>
        <v>570543</v>
      </c>
      <c r="M248" s="80">
        <f t="shared" si="100"/>
        <v>21</v>
      </c>
      <c r="N248" s="28">
        <f t="shared" si="96"/>
        <v>3</v>
      </c>
      <c r="O248" s="51">
        <f>IFERROR((('DATA B2'!F249-'DATA B2'!F248)/(K248))*1000,0)</f>
        <v>0</v>
      </c>
      <c r="P248" s="94">
        <f>'DATA B3'!C249</f>
        <v>221206</v>
      </c>
      <c r="Q248" s="91">
        <f t="shared" si="101"/>
        <v>0</v>
      </c>
      <c r="R248" s="80">
        <f>'DATA B3'!D249</f>
        <v>165812</v>
      </c>
      <c r="S248" s="80">
        <f t="shared" si="102"/>
        <v>0</v>
      </c>
      <c r="T248" s="15">
        <f t="shared" si="97"/>
        <v>0</v>
      </c>
      <c r="U248" s="15">
        <f>IFERROR((('DATA B3'!E249-'DATA B3'!E248)+('DATA B3'!F249-'DATA B3'!F248))/('WATER_STEAM RATIO'!P248-'WATER_STEAM RATIO'!P247),0)</f>
        <v>0</v>
      </c>
    </row>
    <row r="249" spans="2:21">
      <c r="B249" s="292"/>
      <c r="C249" s="97">
        <v>0.45833333333333298</v>
      </c>
      <c r="D249" s="84">
        <f>'DATA B1'!D250</f>
        <v>222134</v>
      </c>
      <c r="E249" s="5">
        <f t="shared" si="95"/>
        <v>0</v>
      </c>
      <c r="F249" s="80">
        <f>'DATA B1'!E250</f>
        <v>524526</v>
      </c>
      <c r="G249" s="80">
        <f t="shared" si="98"/>
        <v>0</v>
      </c>
      <c r="H249" s="28">
        <f t="shared" si="85"/>
        <v>0</v>
      </c>
      <c r="I249" s="45">
        <f>IFERROR((('DATA B1'!G250-'DATA B1'!G249)/('WATER_STEAM RATIO'!D249-'WATER_STEAM RATIO'!D248))*1000,0)</f>
        <v>0</v>
      </c>
      <c r="J249" s="50">
        <f>'DATA B2'!D250</f>
        <v>513300</v>
      </c>
      <c r="K249" s="82">
        <f t="shared" si="99"/>
        <v>7</v>
      </c>
      <c r="L249" s="80">
        <f>'DATA B2'!E250</f>
        <v>570566</v>
      </c>
      <c r="M249" s="80">
        <f t="shared" si="100"/>
        <v>23</v>
      </c>
      <c r="N249" s="28">
        <f t="shared" si="96"/>
        <v>3.2857142857142856</v>
      </c>
      <c r="O249" s="51">
        <f>IFERROR((('DATA B2'!F250-'DATA B2'!F249)/(K249))*1000,0)</f>
        <v>1.4285714285712712E-2</v>
      </c>
      <c r="P249" s="94">
        <f>'DATA B3'!C250</f>
        <v>221206</v>
      </c>
      <c r="Q249" s="91">
        <f t="shared" si="101"/>
        <v>0</v>
      </c>
      <c r="R249" s="80">
        <f>'DATA B3'!D250</f>
        <v>165812</v>
      </c>
      <c r="S249" s="80">
        <f t="shared" si="102"/>
        <v>0</v>
      </c>
      <c r="T249" s="15">
        <f t="shared" si="97"/>
        <v>0</v>
      </c>
      <c r="U249" s="15">
        <f>IFERROR((('DATA B3'!E250-'DATA B3'!E249)+('DATA B3'!F250-'DATA B3'!F249))/('WATER_STEAM RATIO'!P249-'WATER_STEAM RATIO'!P248),0)</f>
        <v>0</v>
      </c>
    </row>
    <row r="250" spans="2:21">
      <c r="B250" s="292"/>
      <c r="C250" s="97">
        <v>0.5</v>
      </c>
      <c r="D250" s="84">
        <f>'DATA B1'!D251</f>
        <v>222134</v>
      </c>
      <c r="E250" s="5">
        <f t="shared" si="95"/>
        <v>0</v>
      </c>
      <c r="F250" s="80">
        <f>'DATA B1'!E251</f>
        <v>524526</v>
      </c>
      <c r="G250" s="80">
        <f t="shared" si="98"/>
        <v>0</v>
      </c>
      <c r="H250" s="28">
        <f t="shared" si="85"/>
        <v>0</v>
      </c>
      <c r="I250" s="45">
        <f>IFERROR((('DATA B1'!G251-'DATA B1'!G250)/('WATER_STEAM RATIO'!D250-'WATER_STEAM RATIO'!D249))*1000,0)</f>
        <v>0</v>
      </c>
      <c r="J250" s="50">
        <f>'DATA B2'!D251</f>
        <v>513308</v>
      </c>
      <c r="K250" s="82">
        <f t="shared" si="99"/>
        <v>8</v>
      </c>
      <c r="L250" s="80">
        <f>'DATA B2'!E251</f>
        <v>570587</v>
      </c>
      <c r="M250" s="80">
        <f t="shared" si="100"/>
        <v>21</v>
      </c>
      <c r="N250" s="28">
        <f t="shared" si="96"/>
        <v>2.625</v>
      </c>
      <c r="O250" s="51">
        <f>IFERROR((('DATA B2'!F251-'DATA B2'!F250)/(K250))*1000,0)</f>
        <v>0</v>
      </c>
      <c r="P250" s="94">
        <f>'DATA B3'!C251</f>
        <v>221206</v>
      </c>
      <c r="Q250" s="91">
        <f t="shared" si="101"/>
        <v>0</v>
      </c>
      <c r="R250" s="80">
        <f>'DATA B3'!D251</f>
        <v>165812</v>
      </c>
      <c r="S250" s="80">
        <f t="shared" si="102"/>
        <v>0</v>
      </c>
      <c r="T250" s="15">
        <f t="shared" si="97"/>
        <v>0</v>
      </c>
      <c r="U250" s="15">
        <f>IFERROR((('DATA B3'!E251-'DATA B3'!E250)+('DATA B3'!F251-'DATA B3'!F250))/('WATER_STEAM RATIO'!P250-'WATER_STEAM RATIO'!P249),0)</f>
        <v>0</v>
      </c>
    </row>
    <row r="251" spans="2:21">
      <c r="B251" s="292"/>
      <c r="C251" s="97">
        <v>0.54166666666666696</v>
      </c>
      <c r="D251" s="84">
        <f>'DATA B1'!D252</f>
        <v>222134</v>
      </c>
      <c r="E251" s="5">
        <f t="shared" si="95"/>
        <v>0</v>
      </c>
      <c r="F251" s="80">
        <f>'DATA B1'!E252</f>
        <v>524526</v>
      </c>
      <c r="G251" s="80">
        <f t="shared" si="98"/>
        <v>0</v>
      </c>
      <c r="H251" s="28">
        <f t="shared" si="85"/>
        <v>0</v>
      </c>
      <c r="I251" s="45">
        <f>IFERROR((('DATA B1'!G252-'DATA B1'!G251)/('WATER_STEAM RATIO'!D251-'WATER_STEAM RATIO'!D250))*1000,0)</f>
        <v>0</v>
      </c>
      <c r="J251" s="50">
        <f>'DATA B2'!D252</f>
        <v>513316</v>
      </c>
      <c r="K251" s="82">
        <f t="shared" si="99"/>
        <v>8</v>
      </c>
      <c r="L251" s="80">
        <f>'DATA B2'!E252</f>
        <v>570608</v>
      </c>
      <c r="M251" s="80">
        <f t="shared" si="100"/>
        <v>21</v>
      </c>
      <c r="N251" s="28">
        <f t="shared" si="96"/>
        <v>2.625</v>
      </c>
      <c r="O251" s="51">
        <f>IFERROR((('DATA B2'!F252-'DATA B2'!F251)/(K251))*1000,0)</f>
        <v>0</v>
      </c>
      <c r="P251" s="94">
        <f>'DATA B3'!C252</f>
        <v>221206</v>
      </c>
      <c r="Q251" s="91">
        <f t="shared" si="101"/>
        <v>0</v>
      </c>
      <c r="R251" s="80">
        <f>'DATA B3'!D252</f>
        <v>165812</v>
      </c>
      <c r="S251" s="80">
        <f t="shared" si="102"/>
        <v>0</v>
      </c>
      <c r="T251" s="15">
        <f t="shared" si="97"/>
        <v>0</v>
      </c>
      <c r="U251" s="15">
        <f>IFERROR((('DATA B3'!E252-'DATA B3'!E251)+('DATA B3'!F252-'DATA B3'!F251))/('WATER_STEAM RATIO'!P251-'WATER_STEAM RATIO'!P250),0)</f>
        <v>0</v>
      </c>
    </row>
    <row r="252" spans="2:21">
      <c r="B252" s="292"/>
      <c r="C252" s="97">
        <v>0.58333333333333304</v>
      </c>
      <c r="D252" s="84">
        <f>'DATA B1'!D253</f>
        <v>222134</v>
      </c>
      <c r="E252" s="5">
        <f t="shared" si="95"/>
        <v>0</v>
      </c>
      <c r="F252" s="80">
        <f>'DATA B1'!E253</f>
        <v>524526</v>
      </c>
      <c r="G252" s="80">
        <f t="shared" si="98"/>
        <v>0</v>
      </c>
      <c r="H252" s="28">
        <f t="shared" si="85"/>
        <v>0</v>
      </c>
      <c r="I252" s="45">
        <f>IFERROR((('DATA B1'!G253-'DATA B1'!G252)/('WATER_STEAM RATIO'!D252-'WATER_STEAM RATIO'!D251))*1000,0)</f>
        <v>0</v>
      </c>
      <c r="J252" s="50">
        <f>'DATA B2'!D253</f>
        <v>513324</v>
      </c>
      <c r="K252" s="82">
        <f t="shared" si="99"/>
        <v>8</v>
      </c>
      <c r="L252" s="80">
        <f>'DATA B2'!E253</f>
        <v>570629</v>
      </c>
      <c r="M252" s="80">
        <f t="shared" si="100"/>
        <v>21</v>
      </c>
      <c r="N252" s="28">
        <f t="shared" si="96"/>
        <v>2.625</v>
      </c>
      <c r="O252" s="51">
        <f>IFERROR((('DATA B2'!F253-'DATA B2'!F252)/(K252))*1000,0)</f>
        <v>1.2499999999998623E-2</v>
      </c>
      <c r="P252" s="94">
        <f>'DATA B3'!C253</f>
        <v>221206</v>
      </c>
      <c r="Q252" s="91">
        <f t="shared" si="101"/>
        <v>0</v>
      </c>
      <c r="R252" s="80">
        <f>'DATA B3'!D253</f>
        <v>165812</v>
      </c>
      <c r="S252" s="80">
        <f t="shared" si="102"/>
        <v>0</v>
      </c>
      <c r="T252" s="15">
        <f t="shared" si="97"/>
        <v>0</v>
      </c>
      <c r="U252" s="15">
        <f>IFERROR((('DATA B3'!E253-'DATA B3'!E252)+('DATA B3'!F253-'DATA B3'!F252))/('WATER_STEAM RATIO'!P252-'WATER_STEAM RATIO'!P251),0)</f>
        <v>0</v>
      </c>
    </row>
    <row r="253" spans="2:21">
      <c r="B253" s="292"/>
      <c r="C253" s="97">
        <v>0.625</v>
      </c>
      <c r="D253" s="84">
        <f>'DATA B1'!D254</f>
        <v>222134</v>
      </c>
      <c r="E253" s="5">
        <f t="shared" ref="E253:E269" si="103">SUM(D253-D252)</f>
        <v>0</v>
      </c>
      <c r="F253" s="80">
        <f>'DATA B1'!E254</f>
        <v>524526</v>
      </c>
      <c r="G253" s="80">
        <f t="shared" si="98"/>
        <v>0</v>
      </c>
      <c r="H253" s="28">
        <f t="shared" si="85"/>
        <v>0</v>
      </c>
      <c r="I253" s="45">
        <f>IFERROR((('DATA B1'!G254-'DATA B1'!G253)/('WATER_STEAM RATIO'!D253-'WATER_STEAM RATIO'!D252))*1000,0)</f>
        <v>0</v>
      </c>
      <c r="J253" s="50">
        <f>'DATA B2'!D254</f>
        <v>513332</v>
      </c>
      <c r="K253" s="82">
        <f t="shared" si="99"/>
        <v>8</v>
      </c>
      <c r="L253" s="80">
        <f>'DATA B2'!E254</f>
        <v>570650</v>
      </c>
      <c r="M253" s="80">
        <f t="shared" si="100"/>
        <v>21</v>
      </c>
      <c r="N253" s="28">
        <f t="shared" si="96"/>
        <v>2.625</v>
      </c>
      <c r="O253" s="51">
        <f>IFERROR((('DATA B2'!F254-'DATA B2'!F253)/(K253))*1000,0)</f>
        <v>0</v>
      </c>
      <c r="P253" s="94">
        <f>'DATA B3'!C254</f>
        <v>221206</v>
      </c>
      <c r="Q253" s="91">
        <f t="shared" si="101"/>
        <v>0</v>
      </c>
      <c r="R253" s="80">
        <f>'DATA B3'!D254</f>
        <v>165812</v>
      </c>
      <c r="S253" s="80">
        <f t="shared" si="102"/>
        <v>0</v>
      </c>
      <c r="T253" s="15">
        <f t="shared" si="97"/>
        <v>0</v>
      </c>
      <c r="U253" s="15">
        <f>IFERROR((('DATA B3'!E254-'DATA B3'!E253)+('DATA B3'!F254-'DATA B3'!F253))/('WATER_STEAM RATIO'!P253-'WATER_STEAM RATIO'!P252),0)</f>
        <v>0</v>
      </c>
    </row>
    <row r="254" spans="2:21">
      <c r="B254" s="292"/>
      <c r="C254" s="97">
        <v>0.66666666666666596</v>
      </c>
      <c r="D254" s="84">
        <f>'DATA B1'!D255</f>
        <v>222134</v>
      </c>
      <c r="E254" s="5">
        <f t="shared" si="103"/>
        <v>0</v>
      </c>
      <c r="F254" s="80">
        <f>'DATA B1'!E255</f>
        <v>524526</v>
      </c>
      <c r="G254" s="80">
        <f t="shared" si="98"/>
        <v>0</v>
      </c>
      <c r="H254" s="28">
        <f t="shared" si="85"/>
        <v>0</v>
      </c>
      <c r="I254" s="45">
        <f>IFERROR((('DATA B1'!G255-'DATA B1'!G254)/('WATER_STEAM RATIO'!D254-'WATER_STEAM RATIO'!D253))*1000,0)</f>
        <v>0</v>
      </c>
      <c r="J254" s="50">
        <f>'DATA B2'!D255</f>
        <v>513340</v>
      </c>
      <c r="K254" s="82">
        <f>SUM(J254-J253)</f>
        <v>8</v>
      </c>
      <c r="L254" s="80">
        <f>'DATA B2'!E255</f>
        <v>570671</v>
      </c>
      <c r="M254" s="80">
        <f t="shared" si="100"/>
        <v>21</v>
      </c>
      <c r="N254" s="28">
        <f t="shared" si="96"/>
        <v>2.625</v>
      </c>
      <c r="O254" s="51">
        <f>IFERROR((('DATA B2'!F255-'DATA B2'!F254)/(K254))*1000,0)</f>
        <v>0</v>
      </c>
      <c r="P254" s="94">
        <f>'DATA B3'!C255</f>
        <v>221206</v>
      </c>
      <c r="Q254" s="91">
        <f t="shared" si="101"/>
        <v>0</v>
      </c>
      <c r="R254" s="80">
        <f>'DATA B3'!D255</f>
        <v>165812</v>
      </c>
      <c r="S254" s="80">
        <f t="shared" si="102"/>
        <v>0</v>
      </c>
      <c r="T254" s="15">
        <f t="shared" si="97"/>
        <v>0</v>
      </c>
      <c r="U254" s="15">
        <f>IFERROR((('DATA B3'!E255-'DATA B3'!E254)+('DATA B3'!F255-'DATA B3'!F254))/('WATER_STEAM RATIO'!P254-'WATER_STEAM RATIO'!P253),0)</f>
        <v>0</v>
      </c>
    </row>
    <row r="255" spans="2:21">
      <c r="B255" s="292"/>
      <c r="C255" s="97">
        <v>0.70833333333333304</v>
      </c>
      <c r="D255" s="84">
        <f>'DATA B1'!D256</f>
        <v>222134</v>
      </c>
      <c r="E255" s="5">
        <f t="shared" si="103"/>
        <v>0</v>
      </c>
      <c r="F255" s="80">
        <f>'DATA B1'!E256</f>
        <v>524526</v>
      </c>
      <c r="G255" s="80">
        <f t="shared" si="98"/>
        <v>0</v>
      </c>
      <c r="H255" s="28">
        <f t="shared" si="85"/>
        <v>0</v>
      </c>
      <c r="I255" s="45">
        <f>IFERROR((('DATA B1'!G256-'DATA B1'!G255)/('WATER_STEAM RATIO'!D255-'WATER_STEAM RATIO'!D254))*1000,0)</f>
        <v>0</v>
      </c>
      <c r="J255" s="50">
        <f>'DATA B2'!D256</f>
        <v>513349</v>
      </c>
      <c r="K255" s="82">
        <f t="shared" si="99"/>
        <v>9</v>
      </c>
      <c r="L255" s="80">
        <f>'DATA B2'!E256</f>
        <v>570698</v>
      </c>
      <c r="M255" s="80">
        <f t="shared" si="100"/>
        <v>27</v>
      </c>
      <c r="N255" s="28">
        <f t="shared" si="96"/>
        <v>3</v>
      </c>
      <c r="O255" s="51">
        <f>IFERROR((('DATA B2'!F256-'DATA B2'!F255)/(K255))*1000,0)</f>
        <v>1.1111111111109887E-2</v>
      </c>
      <c r="P255" s="94">
        <f>'DATA B3'!C256</f>
        <v>221206</v>
      </c>
      <c r="Q255" s="91">
        <f t="shared" si="101"/>
        <v>0</v>
      </c>
      <c r="R255" s="80">
        <f>'DATA B3'!D256</f>
        <v>165812</v>
      </c>
      <c r="S255" s="80">
        <f t="shared" si="102"/>
        <v>0</v>
      </c>
      <c r="T255" s="15">
        <f t="shared" si="97"/>
        <v>0</v>
      </c>
      <c r="U255" s="15">
        <f>IFERROR((('DATA B3'!E256-'DATA B3'!E255)+('DATA B3'!F256-'DATA B3'!F255))/('WATER_STEAM RATIO'!P255-'WATER_STEAM RATIO'!P254),0)</f>
        <v>0</v>
      </c>
    </row>
    <row r="256" spans="2:21">
      <c r="B256" s="292"/>
      <c r="C256" s="97">
        <v>0.75</v>
      </c>
      <c r="D256" s="84">
        <f>'DATA B1'!D257</f>
        <v>222134</v>
      </c>
      <c r="E256" s="5">
        <f t="shared" si="103"/>
        <v>0</v>
      </c>
      <c r="F256" s="80">
        <f>'DATA B1'!E257</f>
        <v>524526</v>
      </c>
      <c r="G256" s="80">
        <f t="shared" si="98"/>
        <v>0</v>
      </c>
      <c r="H256" s="28">
        <f t="shared" si="85"/>
        <v>0</v>
      </c>
      <c r="I256" s="45">
        <f>IFERROR((('DATA B1'!G257-'DATA B1'!G256)/('WATER_STEAM RATIO'!D256-'WATER_STEAM RATIO'!D255))*1000,0)</f>
        <v>0</v>
      </c>
      <c r="J256" s="50">
        <f>'DATA B2'!D257</f>
        <v>513358</v>
      </c>
      <c r="K256" s="82">
        <f t="shared" si="99"/>
        <v>9</v>
      </c>
      <c r="L256" s="80">
        <f>'DATA B2'!E257</f>
        <v>570725</v>
      </c>
      <c r="M256" s="80">
        <f t="shared" si="100"/>
        <v>27</v>
      </c>
      <c r="N256" s="28">
        <f t="shared" si="96"/>
        <v>3</v>
      </c>
      <c r="O256" s="51">
        <f>IFERROR((('DATA B2'!F257-'DATA B2'!F256)/(K256))*1000,0)</f>
        <v>0</v>
      </c>
      <c r="P256" s="94">
        <f>'DATA B3'!C257</f>
        <v>221206</v>
      </c>
      <c r="Q256" s="91">
        <f t="shared" si="101"/>
        <v>0</v>
      </c>
      <c r="R256" s="80">
        <f>'DATA B3'!D257</f>
        <v>165812</v>
      </c>
      <c r="S256" s="80">
        <f t="shared" si="102"/>
        <v>0</v>
      </c>
      <c r="T256" s="15">
        <f t="shared" si="97"/>
        <v>0</v>
      </c>
      <c r="U256" s="15">
        <f>IFERROR((('DATA B3'!E257-'DATA B3'!E256)+('DATA B3'!F257-'DATA B3'!F256))/('WATER_STEAM RATIO'!P256-'WATER_STEAM RATIO'!P255),0)</f>
        <v>0</v>
      </c>
    </row>
    <row r="257" spans="2:21">
      <c r="B257" s="292"/>
      <c r="C257" s="97">
        <v>0.79166666666666596</v>
      </c>
      <c r="D257" s="84">
        <f>'DATA B1'!D258</f>
        <v>222134</v>
      </c>
      <c r="E257" s="5">
        <f t="shared" si="103"/>
        <v>0</v>
      </c>
      <c r="F257" s="80">
        <f>'DATA B1'!E258</f>
        <v>524526</v>
      </c>
      <c r="G257" s="80">
        <f t="shared" si="98"/>
        <v>0</v>
      </c>
      <c r="H257" s="28">
        <f t="shared" si="85"/>
        <v>0</v>
      </c>
      <c r="I257" s="45">
        <f>IFERROR((('DATA B1'!G258-'DATA B1'!G257)/('WATER_STEAM RATIO'!D257-'WATER_STEAM RATIO'!D256))*1000,0)</f>
        <v>0</v>
      </c>
      <c r="J257" s="50">
        <f>'DATA B2'!D258</f>
        <v>513368</v>
      </c>
      <c r="K257" s="82">
        <f t="shared" si="99"/>
        <v>10</v>
      </c>
      <c r="L257" s="80">
        <f>'DATA B2'!E258</f>
        <v>570752</v>
      </c>
      <c r="M257" s="80">
        <f t="shared" si="100"/>
        <v>27</v>
      </c>
      <c r="N257" s="28">
        <f t="shared" si="96"/>
        <v>2.7</v>
      </c>
      <c r="O257" s="51">
        <f>IFERROR((('DATA B2'!F258-'DATA B2'!F257)/(K257))*1000,0)</f>
        <v>9.9999999999988987E-3</v>
      </c>
      <c r="P257" s="94">
        <f>'DATA B3'!C258</f>
        <v>221206</v>
      </c>
      <c r="Q257" s="91">
        <f t="shared" si="101"/>
        <v>0</v>
      </c>
      <c r="R257" s="80">
        <f>'DATA B3'!D258</f>
        <v>165812</v>
      </c>
      <c r="S257" s="80">
        <f t="shared" si="102"/>
        <v>0</v>
      </c>
      <c r="T257" s="15">
        <f t="shared" si="97"/>
        <v>0</v>
      </c>
      <c r="U257" s="15">
        <f>IFERROR((('DATA B3'!E258-'DATA B3'!E257)+('DATA B3'!F258-'DATA B3'!F257))/('WATER_STEAM RATIO'!P257-'WATER_STEAM RATIO'!P256),0)</f>
        <v>0</v>
      </c>
    </row>
    <row r="258" spans="2:21">
      <c r="B258" s="292"/>
      <c r="C258" s="97">
        <v>0.83333333333333304</v>
      </c>
      <c r="D258" s="84">
        <f>'DATA B1'!D259</f>
        <v>222134</v>
      </c>
      <c r="E258" s="5">
        <f t="shared" si="103"/>
        <v>0</v>
      </c>
      <c r="F258" s="80">
        <f>'DATA B1'!E259</f>
        <v>524526</v>
      </c>
      <c r="G258" s="80">
        <f t="shared" si="98"/>
        <v>0</v>
      </c>
      <c r="H258" s="28">
        <f t="shared" si="85"/>
        <v>0</v>
      </c>
      <c r="I258" s="45">
        <f>IFERROR((('DATA B1'!G259-'DATA B1'!G258)/('WATER_STEAM RATIO'!D258-'WATER_STEAM RATIO'!D257))*1000,0)</f>
        <v>0</v>
      </c>
      <c r="J258" s="50">
        <f>'DATA B2'!D259</f>
        <v>513377</v>
      </c>
      <c r="K258" s="82">
        <f t="shared" si="99"/>
        <v>9</v>
      </c>
      <c r="L258" s="80">
        <f>'DATA B2'!E259</f>
        <v>570781</v>
      </c>
      <c r="M258" s="80">
        <f t="shared" si="100"/>
        <v>29</v>
      </c>
      <c r="N258" s="28">
        <f t="shared" si="96"/>
        <v>3.2222222222222223</v>
      </c>
      <c r="O258" s="51">
        <f>IFERROR((('DATA B2'!F259-'DATA B2'!F258)/(K258))*1000,0)</f>
        <v>0</v>
      </c>
      <c r="P258" s="94">
        <f>'DATA B3'!C259</f>
        <v>221206</v>
      </c>
      <c r="Q258" s="91">
        <f t="shared" si="101"/>
        <v>0</v>
      </c>
      <c r="R258" s="80">
        <f>'DATA B3'!D259</f>
        <v>165812</v>
      </c>
      <c r="S258" s="80">
        <f t="shared" si="102"/>
        <v>0</v>
      </c>
      <c r="T258" s="15">
        <f t="shared" si="97"/>
        <v>0</v>
      </c>
      <c r="U258" s="15">
        <f>IFERROR((('DATA B3'!E259-'DATA B3'!E258)+('DATA B3'!F259-'DATA B3'!F258))/('WATER_STEAM RATIO'!P258-'WATER_STEAM RATIO'!P257),0)</f>
        <v>0</v>
      </c>
    </row>
    <row r="259" spans="2:21">
      <c r="B259" s="292"/>
      <c r="C259" s="97">
        <v>0.875</v>
      </c>
      <c r="D259" s="84">
        <f>'DATA B1'!D260</f>
        <v>222134</v>
      </c>
      <c r="E259" s="5">
        <f t="shared" si="103"/>
        <v>0</v>
      </c>
      <c r="F259" s="80">
        <f>'DATA B1'!E260</f>
        <v>524526</v>
      </c>
      <c r="G259" s="80">
        <f t="shared" si="98"/>
        <v>0</v>
      </c>
      <c r="H259" s="28">
        <f t="shared" si="85"/>
        <v>0</v>
      </c>
      <c r="I259" s="45">
        <f>IFERROR((('DATA B1'!G260-'DATA B1'!G259)/('WATER_STEAM RATIO'!D259-'WATER_STEAM RATIO'!D258))*1000,0)</f>
        <v>0</v>
      </c>
      <c r="J259" s="50">
        <f>'DATA B2'!D260</f>
        <v>513385</v>
      </c>
      <c r="K259" s="82">
        <f t="shared" si="99"/>
        <v>8</v>
      </c>
      <c r="L259" s="80">
        <f>'DATA B2'!E260</f>
        <v>570801</v>
      </c>
      <c r="M259" s="80">
        <f t="shared" si="100"/>
        <v>20</v>
      </c>
      <c r="N259" s="28">
        <f>IFERROR(M259/K259,0)</f>
        <v>2.5</v>
      </c>
      <c r="O259" s="51">
        <f>IFERROR((('DATA B2'!F260-'DATA B2'!F259)/(K259))*1000,0)</f>
        <v>1.2500000000026379E-2</v>
      </c>
      <c r="P259" s="94">
        <f>'DATA B3'!C260</f>
        <v>221206</v>
      </c>
      <c r="Q259" s="91">
        <f t="shared" si="101"/>
        <v>0</v>
      </c>
      <c r="R259" s="80">
        <f>'DATA B3'!D260</f>
        <v>165812</v>
      </c>
      <c r="S259" s="80">
        <f t="shared" si="102"/>
        <v>0</v>
      </c>
      <c r="T259" s="15">
        <f t="shared" si="97"/>
        <v>0</v>
      </c>
      <c r="U259" s="15">
        <f>IFERROR((('DATA B3'!E260-'DATA B3'!E259)+('DATA B3'!F260-'DATA B3'!F259))/('WATER_STEAM RATIO'!P259-'WATER_STEAM RATIO'!P258),0)</f>
        <v>0</v>
      </c>
    </row>
    <row r="260" spans="2:21">
      <c r="B260" s="292"/>
      <c r="C260" s="97">
        <v>0.91666666666666596</v>
      </c>
      <c r="D260" s="84">
        <f>'DATA B1'!D261</f>
        <v>222134</v>
      </c>
      <c r="E260" s="5">
        <f t="shared" si="103"/>
        <v>0</v>
      </c>
      <c r="F260" s="80">
        <f>'DATA B1'!E261</f>
        <v>524526</v>
      </c>
      <c r="G260" s="80">
        <f t="shared" si="98"/>
        <v>0</v>
      </c>
      <c r="H260" s="28">
        <f t="shared" si="85"/>
        <v>0</v>
      </c>
      <c r="I260" s="45">
        <f>IFERROR((('DATA B1'!G261-'DATA B1'!G260)/('WATER_STEAM RATIO'!D260-'WATER_STEAM RATIO'!D259))*1000,0)</f>
        <v>0</v>
      </c>
      <c r="J260" s="50">
        <f>'DATA B2'!D261</f>
        <v>513393</v>
      </c>
      <c r="K260" s="82">
        <f t="shared" si="99"/>
        <v>8</v>
      </c>
      <c r="L260" s="80">
        <f>'DATA B2'!E261</f>
        <v>570822</v>
      </c>
      <c r="M260" s="80">
        <f t="shared" si="100"/>
        <v>21</v>
      </c>
      <c r="N260" s="28">
        <f t="shared" si="96"/>
        <v>2.625</v>
      </c>
      <c r="O260" s="51">
        <f>IFERROR((('DATA B2'!F261-'DATA B2'!F260)/(K260))*1000,0)</f>
        <v>0</v>
      </c>
      <c r="P260" s="94">
        <f>'DATA B3'!C261</f>
        <v>221206</v>
      </c>
      <c r="Q260" s="91">
        <f t="shared" si="101"/>
        <v>0</v>
      </c>
      <c r="R260" s="80">
        <f>'DATA B3'!D261</f>
        <v>165812</v>
      </c>
      <c r="S260" s="80">
        <f t="shared" si="102"/>
        <v>0</v>
      </c>
      <c r="T260" s="15">
        <f t="shared" si="97"/>
        <v>0</v>
      </c>
      <c r="U260" s="15">
        <f>IFERROR((('DATA B3'!E261-'DATA B3'!E260)+('DATA B3'!F261-'DATA B3'!F260))/('WATER_STEAM RATIO'!P260-'WATER_STEAM RATIO'!P259),0)</f>
        <v>0</v>
      </c>
    </row>
    <row r="261" spans="2:21">
      <c r="B261" s="292"/>
      <c r="C261" s="97">
        <v>0.95833333333333304</v>
      </c>
      <c r="D261" s="84">
        <f>'DATA B1'!D262</f>
        <v>222134</v>
      </c>
      <c r="E261" s="5">
        <f t="shared" si="103"/>
        <v>0</v>
      </c>
      <c r="F261" s="80">
        <f>'DATA B1'!E262</f>
        <v>524526</v>
      </c>
      <c r="G261" s="80">
        <f t="shared" si="98"/>
        <v>0</v>
      </c>
      <c r="H261" s="28">
        <f t="shared" si="85"/>
        <v>0</v>
      </c>
      <c r="I261" s="45">
        <f>IFERROR((('DATA B1'!G262-'DATA B1'!G261)/('WATER_STEAM RATIO'!D261-'WATER_STEAM RATIO'!D260))*1000,0)</f>
        <v>0</v>
      </c>
      <c r="J261" s="50">
        <f>'DATA B2'!D262</f>
        <v>513401</v>
      </c>
      <c r="K261" s="82">
        <f>SUM(J261-J260)</f>
        <v>8</v>
      </c>
      <c r="L261" s="80">
        <f>'DATA B2'!E262</f>
        <v>570843</v>
      </c>
      <c r="M261" s="80">
        <f t="shared" si="100"/>
        <v>21</v>
      </c>
      <c r="N261" s="28">
        <f t="shared" si="96"/>
        <v>2.625</v>
      </c>
      <c r="O261" s="51">
        <f>IFERROR((('DATA B2'!F262-'DATA B2'!F261)/(K261))*1000,0)</f>
        <v>0</v>
      </c>
      <c r="P261" s="94">
        <f>'DATA B3'!C262</f>
        <v>221206</v>
      </c>
      <c r="Q261" s="91">
        <f t="shared" si="101"/>
        <v>0</v>
      </c>
      <c r="R261" s="80">
        <f>'DATA B3'!D262</f>
        <v>165812</v>
      </c>
      <c r="S261" s="80">
        <f t="shared" si="102"/>
        <v>0</v>
      </c>
      <c r="T261" s="15">
        <f t="shared" si="97"/>
        <v>0</v>
      </c>
      <c r="U261" s="15">
        <f>IFERROR((('DATA B3'!E262-'DATA B3'!E261)+('DATA B3'!F262-'DATA B3'!F261))/('WATER_STEAM RATIO'!P261-'WATER_STEAM RATIO'!P260),0)</f>
        <v>0</v>
      </c>
    </row>
    <row r="262" spans="2:21">
      <c r="B262" s="292"/>
      <c r="C262" s="97">
        <v>1</v>
      </c>
      <c r="D262" s="84">
        <f>'DATA B1'!D263</f>
        <v>222134</v>
      </c>
      <c r="E262" s="5">
        <f t="shared" si="103"/>
        <v>0</v>
      </c>
      <c r="F262" s="80">
        <f>'DATA B1'!E263</f>
        <v>524526</v>
      </c>
      <c r="G262" s="80">
        <f t="shared" si="98"/>
        <v>0</v>
      </c>
      <c r="H262" s="28">
        <f t="shared" si="85"/>
        <v>0</v>
      </c>
      <c r="I262" s="45">
        <f>IFERROR((('DATA B1'!G263-'DATA B1'!G262)/('WATER_STEAM RATIO'!D262-'WATER_STEAM RATIO'!D261))*1000,0)</f>
        <v>0</v>
      </c>
      <c r="J262" s="50">
        <f>'DATA B2'!D263</f>
        <v>513408</v>
      </c>
      <c r="K262" s="82">
        <f t="shared" si="99"/>
        <v>7</v>
      </c>
      <c r="L262" s="80">
        <f>'DATA B2'!E263</f>
        <v>570863</v>
      </c>
      <c r="M262" s="80">
        <f t="shared" si="100"/>
        <v>20</v>
      </c>
      <c r="N262" s="28">
        <f t="shared" si="96"/>
        <v>2.8571428571428572</v>
      </c>
      <c r="O262" s="51">
        <f>IFERROR((('DATA B2'!F263-'DATA B2'!F262)/(K262))*1000,0)</f>
        <v>0</v>
      </c>
      <c r="P262" s="94">
        <f>'DATA B3'!C263</f>
        <v>221206</v>
      </c>
      <c r="Q262" s="91">
        <f t="shared" si="101"/>
        <v>0</v>
      </c>
      <c r="R262" s="80">
        <f>'DATA B3'!D263</f>
        <v>165812</v>
      </c>
      <c r="S262" s="80">
        <f t="shared" si="102"/>
        <v>0</v>
      </c>
      <c r="T262" s="15">
        <f t="shared" si="97"/>
        <v>0</v>
      </c>
      <c r="U262" s="15">
        <f>IFERROR((('DATA B3'!E263-'DATA B3'!E262)+('DATA B3'!F263-'DATA B3'!F262))/('WATER_STEAM RATIO'!P262-'WATER_STEAM RATIO'!P261),0)</f>
        <v>0</v>
      </c>
    </row>
    <row r="263" spans="2:21">
      <c r="B263" s="292"/>
      <c r="C263" s="97">
        <v>1.0416666666666701</v>
      </c>
      <c r="D263" s="84">
        <f>'DATA B1'!D264</f>
        <v>222134</v>
      </c>
      <c r="E263" s="5">
        <f t="shared" si="103"/>
        <v>0</v>
      </c>
      <c r="F263" s="80">
        <f>'DATA B1'!E264</f>
        <v>524526</v>
      </c>
      <c r="G263" s="80">
        <f t="shared" si="98"/>
        <v>0</v>
      </c>
      <c r="H263" s="28">
        <f t="shared" si="85"/>
        <v>0</v>
      </c>
      <c r="I263" s="45">
        <f>IFERROR((('DATA B1'!G264-'DATA B1'!G263)/('WATER_STEAM RATIO'!D263-'WATER_STEAM RATIO'!D262))*1000,0)</f>
        <v>0</v>
      </c>
      <c r="J263" s="50">
        <f>'DATA B2'!D264</f>
        <v>513415</v>
      </c>
      <c r="K263" s="82">
        <f t="shared" si="99"/>
        <v>7</v>
      </c>
      <c r="L263" s="80">
        <f>'DATA B2'!E264</f>
        <v>570883</v>
      </c>
      <c r="M263" s="80">
        <f t="shared" si="100"/>
        <v>20</v>
      </c>
      <c r="N263" s="28">
        <f t="shared" si="96"/>
        <v>2.8571428571428572</v>
      </c>
      <c r="O263" s="51">
        <f>IFERROR((('DATA B2'!F264-'DATA B2'!F263)/(K263))*1000,0)</f>
        <v>0</v>
      </c>
      <c r="P263" s="94">
        <f>'DATA B3'!C264</f>
        <v>221206</v>
      </c>
      <c r="Q263" s="91">
        <f t="shared" si="101"/>
        <v>0</v>
      </c>
      <c r="R263" s="80">
        <f>'DATA B3'!D264</f>
        <v>165812</v>
      </c>
      <c r="S263" s="80">
        <f t="shared" si="102"/>
        <v>0</v>
      </c>
      <c r="T263" s="15">
        <f t="shared" si="97"/>
        <v>0</v>
      </c>
      <c r="U263" s="15">
        <f>IFERROR((('DATA B3'!E264-'DATA B3'!E263)+('DATA B3'!F264-'DATA B3'!F263))/('WATER_STEAM RATIO'!P263-'WATER_STEAM RATIO'!P262),0)</f>
        <v>0</v>
      </c>
    </row>
    <row r="264" spans="2:21">
      <c r="B264" s="292"/>
      <c r="C264" s="97">
        <v>1.0833333333333399</v>
      </c>
      <c r="D264" s="84">
        <f>'DATA B1'!D265</f>
        <v>222134</v>
      </c>
      <c r="E264" s="5">
        <f>SUM(D264-D263)</f>
        <v>0</v>
      </c>
      <c r="F264" s="80">
        <f>'DATA B1'!E265</f>
        <v>524526</v>
      </c>
      <c r="G264" s="80">
        <f t="shared" si="98"/>
        <v>0</v>
      </c>
      <c r="H264" s="28">
        <f t="shared" si="85"/>
        <v>0</v>
      </c>
      <c r="I264" s="45">
        <f>IFERROR((('DATA B1'!G265-'DATA B1'!G264)/('WATER_STEAM RATIO'!D264-'WATER_STEAM RATIO'!D263))*1000,0)</f>
        <v>0</v>
      </c>
      <c r="J264" s="50">
        <f>'DATA B2'!D265</f>
        <v>513422</v>
      </c>
      <c r="K264" s="82">
        <f t="shared" si="99"/>
        <v>7</v>
      </c>
      <c r="L264" s="80">
        <f>'DATA B2'!E265</f>
        <v>570903</v>
      </c>
      <c r="M264" s="80">
        <f t="shared" si="100"/>
        <v>20</v>
      </c>
      <c r="N264" s="28">
        <f t="shared" si="96"/>
        <v>2.8571428571428572</v>
      </c>
      <c r="O264" s="51">
        <f>IFERROR((('DATA B2'!F265-'DATA B2'!F264)/(K264))*1000,0)</f>
        <v>0</v>
      </c>
      <c r="P264" s="94">
        <f>'DATA B3'!C265</f>
        <v>221206</v>
      </c>
      <c r="Q264" s="91">
        <f>SUM(P264-P263)</f>
        <v>0</v>
      </c>
      <c r="R264" s="80">
        <f>'DATA B3'!D265</f>
        <v>165812</v>
      </c>
      <c r="S264" s="80">
        <f t="shared" si="102"/>
        <v>0</v>
      </c>
      <c r="T264" s="15">
        <f t="shared" si="97"/>
        <v>0</v>
      </c>
      <c r="U264" s="15">
        <f>IFERROR((('DATA B3'!E265-'DATA B3'!E264)+('DATA B3'!F265-'DATA B3'!F264))/('WATER_STEAM RATIO'!P264-'WATER_STEAM RATIO'!P263),0)</f>
        <v>0</v>
      </c>
    </row>
    <row r="265" spans="2:21">
      <c r="B265" s="292"/>
      <c r="C265" s="97">
        <v>1.125</v>
      </c>
      <c r="D265" s="84">
        <f>'DATA B1'!D266</f>
        <v>222134</v>
      </c>
      <c r="E265" s="5">
        <f t="shared" si="103"/>
        <v>0</v>
      </c>
      <c r="F265" s="80">
        <f>'DATA B1'!E266</f>
        <v>524526</v>
      </c>
      <c r="G265" s="80">
        <f t="shared" si="98"/>
        <v>0</v>
      </c>
      <c r="H265" s="28">
        <f t="shared" si="85"/>
        <v>0</v>
      </c>
      <c r="I265" s="45">
        <f>IFERROR((('DATA B1'!G266-'DATA B1'!G265)/('WATER_STEAM RATIO'!D265-'WATER_STEAM RATIO'!D264))*1000,0)</f>
        <v>0</v>
      </c>
      <c r="J265" s="50">
        <f>'DATA B2'!D266</f>
        <v>513430</v>
      </c>
      <c r="K265" s="82">
        <f t="shared" si="99"/>
        <v>8</v>
      </c>
      <c r="L265" s="80">
        <f>'DATA B2'!E266</f>
        <v>570925</v>
      </c>
      <c r="M265" s="80">
        <f t="shared" si="100"/>
        <v>22</v>
      </c>
      <c r="N265" s="28">
        <f t="shared" si="96"/>
        <v>2.75</v>
      </c>
      <c r="O265" s="51">
        <f>IFERROR((('DATA B2'!F266-'DATA B2'!F265)/(K265))*1000,0)</f>
        <v>0</v>
      </c>
      <c r="P265" s="94">
        <f>'DATA B3'!C266</f>
        <v>221206</v>
      </c>
      <c r="Q265" s="91">
        <f t="shared" si="101"/>
        <v>0</v>
      </c>
      <c r="R265" s="80">
        <f>'DATA B3'!D266</f>
        <v>165812</v>
      </c>
      <c r="S265" s="80">
        <f t="shared" si="102"/>
        <v>0</v>
      </c>
      <c r="T265" s="15">
        <f t="shared" si="97"/>
        <v>0</v>
      </c>
      <c r="U265" s="15">
        <f>IFERROR((('DATA B3'!E266-'DATA B3'!E265)+('DATA B3'!F266-'DATA B3'!F265))/('WATER_STEAM RATIO'!P265-'WATER_STEAM RATIO'!P264),0)</f>
        <v>0</v>
      </c>
    </row>
    <row r="266" spans="2:21">
      <c r="B266" s="292"/>
      <c r="C266" s="97">
        <v>1.1666666666666701</v>
      </c>
      <c r="D266" s="84">
        <f>'DATA B1'!D267</f>
        <v>222134</v>
      </c>
      <c r="E266" s="5">
        <f t="shared" si="103"/>
        <v>0</v>
      </c>
      <c r="F266" s="80">
        <f>'DATA B1'!E267</f>
        <v>524526</v>
      </c>
      <c r="G266" s="80">
        <f t="shared" si="98"/>
        <v>0</v>
      </c>
      <c r="H266" s="28">
        <f t="shared" si="85"/>
        <v>0</v>
      </c>
      <c r="I266" s="45">
        <f>IFERROR((('DATA B1'!G267-'DATA B1'!G266)/('WATER_STEAM RATIO'!D266-'WATER_STEAM RATIO'!D265))*1000,0)</f>
        <v>0</v>
      </c>
      <c r="J266" s="50">
        <f>'DATA B2'!D267</f>
        <v>513439</v>
      </c>
      <c r="K266" s="82">
        <f t="shared" si="99"/>
        <v>9</v>
      </c>
      <c r="L266" s="80">
        <f>'DATA B2'!E267</f>
        <v>570946</v>
      </c>
      <c r="M266" s="80">
        <f t="shared" si="100"/>
        <v>21</v>
      </c>
      <c r="N266" s="28">
        <f t="shared" si="96"/>
        <v>2.3333333333333335</v>
      </c>
      <c r="O266" s="51">
        <f>IFERROR((('DATA B2'!F267-'DATA B2'!F266)/(K266))*1000,0)</f>
        <v>0</v>
      </c>
      <c r="P266" s="94">
        <f>'DATA B3'!C267</f>
        <v>221206</v>
      </c>
      <c r="Q266" s="91">
        <f t="shared" si="101"/>
        <v>0</v>
      </c>
      <c r="R266" s="80">
        <f>'DATA B3'!D267</f>
        <v>165812</v>
      </c>
      <c r="S266" s="80">
        <f t="shared" si="102"/>
        <v>0</v>
      </c>
      <c r="T266" s="15">
        <f t="shared" si="97"/>
        <v>0</v>
      </c>
      <c r="U266" s="15">
        <f>IFERROR((('DATA B3'!E267-'DATA B3'!E266)+('DATA B3'!F267-'DATA B3'!F266))/('WATER_STEAM RATIO'!P266-'WATER_STEAM RATIO'!P265),0)</f>
        <v>0</v>
      </c>
    </row>
    <row r="267" spans="2:21">
      <c r="B267" s="292"/>
      <c r="C267" s="97">
        <v>1.2083333333333399</v>
      </c>
      <c r="D267" s="84">
        <f>'DATA B1'!D268</f>
        <v>222134</v>
      </c>
      <c r="E267" s="5">
        <f t="shared" si="103"/>
        <v>0</v>
      </c>
      <c r="F267" s="80">
        <f>'DATA B1'!E268</f>
        <v>524526</v>
      </c>
      <c r="G267" s="80">
        <f t="shared" si="98"/>
        <v>0</v>
      </c>
      <c r="H267" s="28">
        <f t="shared" si="85"/>
        <v>0</v>
      </c>
      <c r="I267" s="45">
        <f>IFERROR((('DATA B1'!G268-'DATA B1'!G267)/('WATER_STEAM RATIO'!D267-'WATER_STEAM RATIO'!D266))*1000,0)</f>
        <v>0</v>
      </c>
      <c r="J267" s="50">
        <f>'DATA B2'!D268</f>
        <v>513449</v>
      </c>
      <c r="K267" s="82">
        <f t="shared" si="99"/>
        <v>10</v>
      </c>
      <c r="L267" s="80">
        <f>'DATA B2'!E268</f>
        <v>570968</v>
      </c>
      <c r="M267" s="80">
        <f t="shared" si="100"/>
        <v>22</v>
      </c>
      <c r="N267" s="28">
        <f t="shared" si="96"/>
        <v>2.2000000000000002</v>
      </c>
      <c r="O267" s="51">
        <f>IFERROR((('DATA B2'!F268-'DATA B2'!F267)/(K267))*1000,0)</f>
        <v>0</v>
      </c>
      <c r="P267" s="94">
        <f>'DATA B3'!C268</f>
        <v>221206</v>
      </c>
      <c r="Q267" s="91">
        <f t="shared" si="101"/>
        <v>0</v>
      </c>
      <c r="R267" s="80">
        <f>'DATA B3'!D268</f>
        <v>165812</v>
      </c>
      <c r="S267" s="80">
        <f t="shared" si="102"/>
        <v>0</v>
      </c>
      <c r="T267" s="15">
        <f t="shared" si="97"/>
        <v>0</v>
      </c>
      <c r="U267" s="15">
        <f>IFERROR((('DATA B3'!E268-'DATA B3'!E267)+('DATA B3'!F268-'DATA B3'!F267))/('WATER_STEAM RATIO'!P267-'WATER_STEAM RATIO'!P266),0)</f>
        <v>0</v>
      </c>
    </row>
    <row r="268" spans="2:21">
      <c r="B268" s="292"/>
      <c r="C268" s="97">
        <v>1.25</v>
      </c>
      <c r="D268" s="84">
        <f>'DATA B1'!D269</f>
        <v>222134</v>
      </c>
      <c r="E268" s="5">
        <f t="shared" si="103"/>
        <v>0</v>
      </c>
      <c r="F268" s="80">
        <f>'DATA B1'!E269</f>
        <v>524526</v>
      </c>
      <c r="G268" s="80">
        <f t="shared" si="98"/>
        <v>0</v>
      </c>
      <c r="H268" s="28">
        <f t="shared" si="85"/>
        <v>0</v>
      </c>
      <c r="I268" s="45">
        <f>IFERROR((('DATA B1'!G269-'DATA B1'!G268)/('WATER_STEAM RATIO'!D268-'WATER_STEAM RATIO'!D267))*1000,0)</f>
        <v>0</v>
      </c>
      <c r="J268" s="50">
        <f>'DATA B2'!D269</f>
        <v>513459</v>
      </c>
      <c r="K268" s="82">
        <f t="shared" si="99"/>
        <v>10</v>
      </c>
      <c r="L268" s="80">
        <f>'DATA B2'!E269</f>
        <v>570990</v>
      </c>
      <c r="M268" s="80">
        <f t="shared" si="100"/>
        <v>22</v>
      </c>
      <c r="N268" s="28">
        <f t="shared" si="96"/>
        <v>2.2000000000000002</v>
      </c>
      <c r="O268" s="51">
        <f>IFERROR((('DATA B2'!F269-'DATA B2'!F268)/(K268))*1000,0)</f>
        <v>0</v>
      </c>
      <c r="P268" s="94">
        <f>'DATA B3'!C269</f>
        <v>221206</v>
      </c>
      <c r="Q268" s="91">
        <f t="shared" si="101"/>
        <v>0</v>
      </c>
      <c r="R268" s="80">
        <f>'DATA B3'!D269</f>
        <v>165812</v>
      </c>
      <c r="S268" s="80">
        <f t="shared" si="102"/>
        <v>0</v>
      </c>
      <c r="T268" s="15">
        <f t="shared" si="97"/>
        <v>0</v>
      </c>
      <c r="U268" s="15">
        <f>IFERROR((('DATA B3'!E269-'DATA B3'!E268)+('DATA B3'!F269-'DATA B3'!F268))/('WATER_STEAM RATIO'!P268-'WATER_STEAM RATIO'!P267),0)</f>
        <v>0</v>
      </c>
    </row>
    <row r="269" spans="2:21">
      <c r="B269" s="292"/>
      <c r="C269" s="97">
        <v>1.2916666666666701</v>
      </c>
      <c r="D269" s="84">
        <f>'DATA B1'!D270</f>
        <v>222134</v>
      </c>
      <c r="E269" s="5">
        <f t="shared" si="103"/>
        <v>0</v>
      </c>
      <c r="F269" s="80">
        <f>'DATA B1'!E270</f>
        <v>524526</v>
      </c>
      <c r="G269" s="80">
        <f t="shared" si="98"/>
        <v>0</v>
      </c>
      <c r="H269" s="28">
        <f t="shared" si="85"/>
        <v>0</v>
      </c>
      <c r="I269" s="45">
        <f>IFERROR((('DATA B1'!G270-'DATA B1'!G269)/('WATER_STEAM RATIO'!D269-'WATER_STEAM RATIO'!D268))*1000,0)</f>
        <v>0</v>
      </c>
      <c r="J269" s="50">
        <f>'DATA B2'!D270</f>
        <v>513469</v>
      </c>
      <c r="K269" s="82">
        <f>SUM(J269-J268)</f>
        <v>10</v>
      </c>
      <c r="L269" s="80">
        <f>'DATA B2'!E270</f>
        <v>571012</v>
      </c>
      <c r="M269" s="80">
        <f t="shared" si="100"/>
        <v>22</v>
      </c>
      <c r="N269" s="28">
        <f t="shared" si="96"/>
        <v>2.2000000000000002</v>
      </c>
      <c r="O269" s="51">
        <f>IFERROR((('DATA B2'!F270-'DATA B2'!F269)/(K269))*1000,0)</f>
        <v>0</v>
      </c>
      <c r="P269" s="94">
        <f>'DATA B3'!C270</f>
        <v>221206</v>
      </c>
      <c r="Q269" s="91">
        <f t="shared" si="101"/>
        <v>0</v>
      </c>
      <c r="R269" s="80">
        <f>'DATA B3'!D270</f>
        <v>165812</v>
      </c>
      <c r="S269" s="80">
        <f t="shared" si="102"/>
        <v>0</v>
      </c>
      <c r="T269" s="15">
        <f t="shared" si="97"/>
        <v>0</v>
      </c>
      <c r="U269" s="15">
        <f>IFERROR((('DATA B3'!E270-'DATA B3'!E269)+('DATA B3'!F270-'DATA B3'!F269))/('WATER_STEAM RATIO'!P269-'WATER_STEAM RATIO'!P268),0)</f>
        <v>0</v>
      </c>
    </row>
    <row r="270" spans="2:21" ht="15.75" thickBot="1">
      <c r="B270" s="293"/>
      <c r="C270" s="235"/>
      <c r="D270" s="224" cm="1">
        <f t="array" ref="D270">IFERROR(LOOKUP(2,1/(D245:D269&gt;0),D245:D269-D245),0)</f>
        <v>0</v>
      </c>
      <c r="E270" s="223">
        <f>SUMIF(E246:E269,"&gt;=0",E246:E269)</f>
        <v>0</v>
      </c>
      <c r="F270" s="224" cm="1">
        <f t="array" ref="F270">IFERROR(LOOKUP(2,1/(F245:F269&gt;0),F245:F269-F245),0)</f>
        <v>0</v>
      </c>
      <c r="G270" s="223">
        <f>SUMIF(G246:G269,"&gt;=0",G246:G269)</f>
        <v>0</v>
      </c>
      <c r="H270" s="225">
        <f t="shared" ref="H270" si="104" xml:space="preserve"> IFERROR(G270/E270,0)</f>
        <v>0</v>
      </c>
      <c r="I270" s="236">
        <f>IFERROR((('DATA B1'!H271)/(E270))*1000,0)</f>
        <v>0</v>
      </c>
      <c r="J270" s="222" cm="1">
        <f t="array" ref="J270">IFERROR(LOOKUP(2,1/(J245:J269&gt;0),J245:J269-J245),0)</f>
        <v>191</v>
      </c>
      <c r="K270" s="223">
        <f>SUMIF(K246:K269,"&gt;=0",K246:K269)</f>
        <v>191</v>
      </c>
      <c r="L270" s="224" cm="1">
        <f t="array" ref="L270">IFERROR(LOOKUP(2,1/(L245:L269&gt;0),L245:L269-L245),0)</f>
        <v>542</v>
      </c>
      <c r="M270" s="223">
        <f>SUMIF(M246:M269,"&gt;=0",M246:M269)</f>
        <v>542</v>
      </c>
      <c r="N270" s="225">
        <f>IFERROR(M270/K270,0)</f>
        <v>2.837696335078534</v>
      </c>
      <c r="O270" s="226">
        <f>IFERROR((('DATA B2'!H271)/(K270))*1000,0)</f>
        <v>5.7591623036654495E-3</v>
      </c>
      <c r="P270" s="224" cm="1">
        <f t="array" ref="P270">IFERROR(LOOKUP(2,1/(P245:P269&gt;0),P245:P269-P245),0)</f>
        <v>0</v>
      </c>
      <c r="Q270" s="223">
        <f>SUMIF(Q246:Q269,"&gt;=0",Q246:Q269)</f>
        <v>0</v>
      </c>
      <c r="R270" s="224" cm="1">
        <f t="array" ref="R270">IFERROR(LOOKUP(2,1/(R245:R269&gt;0),R245:R269-R245),0)</f>
        <v>0</v>
      </c>
      <c r="S270" s="223">
        <f>SUMIF(S246:S269,"&gt;=0",S246:S269)</f>
        <v>0</v>
      </c>
      <c r="T270" s="237">
        <f t="shared" si="97"/>
        <v>0</v>
      </c>
      <c r="U270" s="226">
        <f>IFERROR(('DATA B3'!E271+'DATA B3'!F271)/Q270*1000,0)</f>
        <v>0</v>
      </c>
    </row>
    <row r="271" spans="2:21" ht="15" customHeight="1">
      <c r="B271" s="291">
        <f>SUM('DATA B1'!B272:B297)</f>
        <v>46033</v>
      </c>
      <c r="C271" s="97">
        <v>0.29166666666666669</v>
      </c>
      <c r="D271" s="84">
        <f>'DATA B1'!D272</f>
        <v>222134</v>
      </c>
      <c r="E271" s="5">
        <f>SUM(E269)</f>
        <v>0</v>
      </c>
      <c r="F271" s="80">
        <f>'DATA B1'!E272</f>
        <v>524526</v>
      </c>
      <c r="G271" s="80">
        <f>SUM(G269)</f>
        <v>0</v>
      </c>
      <c r="H271" s="28">
        <f t="shared" ref="H271:H333" si="105" xml:space="preserve"> IFERROR(G271/E271,0)</f>
        <v>0</v>
      </c>
      <c r="I271" s="45"/>
      <c r="J271" s="50">
        <f>'DATA B2'!D272</f>
        <v>513469</v>
      </c>
      <c r="K271" s="82">
        <f>SUM(K269)</f>
        <v>10</v>
      </c>
      <c r="L271" s="80">
        <f>'DATA B2'!E272</f>
        <v>571012</v>
      </c>
      <c r="M271" s="80">
        <f>SUM(M269)</f>
        <v>22</v>
      </c>
      <c r="N271" s="28">
        <f>IFERROR(M271/K271,0)</f>
        <v>2.2000000000000002</v>
      </c>
      <c r="O271" s="103"/>
      <c r="P271" s="94">
        <f>'DATA B3'!C272</f>
        <v>221206</v>
      </c>
      <c r="Q271" s="91">
        <f>SUM(Q269)</f>
        <v>0</v>
      </c>
      <c r="R271" s="80">
        <f>'DATA B3'!D272</f>
        <v>165812</v>
      </c>
      <c r="S271" s="80">
        <f>SUM(S269)</f>
        <v>0</v>
      </c>
      <c r="T271" s="15">
        <f>IFERROR(S271/Q271,0)</f>
        <v>0</v>
      </c>
      <c r="U271" s="15"/>
    </row>
    <row r="272" spans="2:21">
      <c r="B272" s="292"/>
      <c r="C272" s="97">
        <v>0.33333333333333298</v>
      </c>
      <c r="D272" s="84">
        <f>'DATA B1'!D273</f>
        <v>222134</v>
      </c>
      <c r="E272" s="5">
        <f t="shared" ref="E272:E278" si="106">SUM(D272-D271)</f>
        <v>0</v>
      </c>
      <c r="F272" s="80">
        <f>'DATA B1'!E273</f>
        <v>524526</v>
      </c>
      <c r="G272" s="80">
        <f>SUM(F272-F271)</f>
        <v>0</v>
      </c>
      <c r="H272" s="28">
        <f t="shared" si="105"/>
        <v>0</v>
      </c>
      <c r="I272" s="45">
        <f>IFERROR((('DATA B1'!G273-'DATA B1'!G272)/('WATER_STEAM RATIO'!D272-'WATER_STEAM RATIO'!D271))*1000,0)</f>
        <v>0</v>
      </c>
      <c r="J272" s="50">
        <f>'DATA B2'!D273</f>
        <v>513480</v>
      </c>
      <c r="K272" s="82">
        <f>SUM(J272-J271)</f>
        <v>11</v>
      </c>
      <c r="L272" s="80">
        <f>'DATA B2'!E273</f>
        <v>571039</v>
      </c>
      <c r="M272" s="80">
        <f>SUM(L272-L271)</f>
        <v>27</v>
      </c>
      <c r="N272" s="28">
        <f t="shared" ref="N272:N295" si="107">IFERROR(M272/K272,0)</f>
        <v>2.4545454545454546</v>
      </c>
      <c r="O272" s="51">
        <f>IFERROR((('DATA B2'!F273-'DATA B2'!F272)/(K272))*1000,0)</f>
        <v>9.0909090909080895E-3</v>
      </c>
      <c r="P272" s="94">
        <f>'DATA B3'!C273</f>
        <v>221206</v>
      </c>
      <c r="Q272" s="91">
        <f>SUM(P272-P271)</f>
        <v>0</v>
      </c>
      <c r="R272" s="80">
        <f>'DATA B3'!D273</f>
        <v>165812</v>
      </c>
      <c r="S272" s="80">
        <f>SUM(R272-R271)</f>
        <v>0</v>
      </c>
      <c r="T272" s="15">
        <f t="shared" ref="T272:T296" si="108">IFERROR(S272/Q272,0)</f>
        <v>0</v>
      </c>
      <c r="U272" s="15">
        <f>IFERROR((('DATA B3'!E273-'DATA B3'!E272)+('DATA B3'!F273-'DATA B3'!F272))/('WATER_STEAM RATIO'!P272-'WATER_STEAM RATIO'!P271),0)</f>
        <v>0</v>
      </c>
    </row>
    <row r="273" spans="2:21">
      <c r="B273" s="292"/>
      <c r="C273" s="97">
        <v>0.375</v>
      </c>
      <c r="D273" s="84">
        <f>'DATA B1'!D274</f>
        <v>222134</v>
      </c>
      <c r="E273" s="5">
        <f t="shared" si="106"/>
        <v>0</v>
      </c>
      <c r="F273" s="80">
        <f>'DATA B1'!E274</f>
        <v>524526</v>
      </c>
      <c r="G273" s="80">
        <f t="shared" ref="G273:G295" si="109">SUM(F273-F272)</f>
        <v>0</v>
      </c>
      <c r="H273" s="28">
        <f t="shared" si="105"/>
        <v>0</v>
      </c>
      <c r="I273" s="45">
        <f>IFERROR((('DATA B1'!G274-'DATA B1'!G273)/('WATER_STEAM RATIO'!D273-'WATER_STEAM RATIO'!D272))*1000,0)</f>
        <v>0</v>
      </c>
      <c r="J273" s="50">
        <f>'DATA B2'!D274</f>
        <v>513488</v>
      </c>
      <c r="K273" s="82">
        <f t="shared" ref="K273:K294" si="110">SUM(J273-J272)</f>
        <v>8</v>
      </c>
      <c r="L273" s="80">
        <f>'DATA B2'!E274</f>
        <v>571059</v>
      </c>
      <c r="M273" s="80">
        <f t="shared" ref="M273:M295" si="111">SUM(L273-L272)</f>
        <v>20</v>
      </c>
      <c r="N273" s="28">
        <f t="shared" si="107"/>
        <v>2.5</v>
      </c>
      <c r="O273" s="51">
        <f>IFERROR((('DATA B2'!F274-'DATA B2'!F273)/(K273))*1000,0)</f>
        <v>0</v>
      </c>
      <c r="P273" s="94">
        <f>'DATA B3'!C274</f>
        <v>221206</v>
      </c>
      <c r="Q273" s="91">
        <f t="shared" ref="Q273:Q295" si="112">SUM(P273-P272)</f>
        <v>0</v>
      </c>
      <c r="R273" s="80">
        <f>'DATA B3'!D274</f>
        <v>165812</v>
      </c>
      <c r="S273" s="80">
        <f t="shared" ref="S273:S295" si="113">SUM(R273-R272)</f>
        <v>0</v>
      </c>
      <c r="T273" s="15">
        <f t="shared" si="108"/>
        <v>0</v>
      </c>
      <c r="U273" s="15">
        <f>IFERROR((('DATA B3'!E274-'DATA B3'!E273)+('DATA B3'!F274-'DATA B3'!F273))/('WATER_STEAM RATIO'!P273-'WATER_STEAM RATIO'!P272),0)</f>
        <v>0</v>
      </c>
    </row>
    <row r="274" spans="2:21">
      <c r="B274" s="292"/>
      <c r="C274" s="97">
        <v>0.41666666666666702</v>
      </c>
      <c r="D274" s="84">
        <f>'DATA B1'!D275</f>
        <v>222134</v>
      </c>
      <c r="E274" s="5">
        <f t="shared" si="106"/>
        <v>0</v>
      </c>
      <c r="F274" s="80">
        <f>'DATA B1'!E275</f>
        <v>524526</v>
      </c>
      <c r="G274" s="80">
        <f t="shared" si="109"/>
        <v>0</v>
      </c>
      <c r="H274" s="28">
        <f t="shared" si="105"/>
        <v>0</v>
      </c>
      <c r="I274" s="45">
        <f>IFERROR((('DATA B1'!G275-'DATA B1'!G274)/('WATER_STEAM RATIO'!D274-'WATER_STEAM RATIO'!D273))*1000,0)</f>
        <v>0</v>
      </c>
      <c r="J274" s="50">
        <f>'DATA B2'!D275</f>
        <v>513496</v>
      </c>
      <c r="K274" s="82">
        <f t="shared" si="110"/>
        <v>8</v>
      </c>
      <c r="L274" s="80">
        <f>'DATA B2'!E275</f>
        <v>571079</v>
      </c>
      <c r="M274" s="80">
        <f t="shared" si="111"/>
        <v>20</v>
      </c>
      <c r="N274" s="28">
        <f t="shared" si="107"/>
        <v>2.5</v>
      </c>
      <c r="O274" s="51">
        <f>IFERROR((('DATA B2'!F275-'DATA B2'!F274)/(K274))*1000,0)</f>
        <v>0</v>
      </c>
      <c r="P274" s="94">
        <f>'DATA B3'!C275</f>
        <v>221206</v>
      </c>
      <c r="Q274" s="91">
        <f t="shared" si="112"/>
        <v>0</v>
      </c>
      <c r="R274" s="80">
        <f>'DATA B3'!D275</f>
        <v>165812</v>
      </c>
      <c r="S274" s="80">
        <f t="shared" si="113"/>
        <v>0</v>
      </c>
      <c r="T274" s="15">
        <f t="shared" si="108"/>
        <v>0</v>
      </c>
      <c r="U274" s="15">
        <f>IFERROR((('DATA B3'!E275-'DATA B3'!E274)+('DATA B3'!F275-'DATA B3'!F274))/('WATER_STEAM RATIO'!P274-'WATER_STEAM RATIO'!P273),0)</f>
        <v>0</v>
      </c>
    </row>
    <row r="275" spans="2:21">
      <c r="B275" s="292"/>
      <c r="C275" s="97">
        <v>0.45833333333333298</v>
      </c>
      <c r="D275" s="84">
        <f>'DATA B1'!D276</f>
        <v>222134</v>
      </c>
      <c r="E275" s="5">
        <f t="shared" si="106"/>
        <v>0</v>
      </c>
      <c r="F275" s="80">
        <f>'DATA B1'!E276</f>
        <v>524526</v>
      </c>
      <c r="G275" s="80">
        <f t="shared" si="109"/>
        <v>0</v>
      </c>
      <c r="H275" s="28">
        <f t="shared" si="105"/>
        <v>0</v>
      </c>
      <c r="I275" s="45">
        <f>IFERROR((('DATA B1'!G276-'DATA B1'!G275)/('WATER_STEAM RATIO'!D275-'WATER_STEAM RATIO'!D274))*1000,0)</f>
        <v>0</v>
      </c>
      <c r="J275" s="50">
        <f>'DATA B2'!D276</f>
        <v>513504</v>
      </c>
      <c r="K275" s="82">
        <f t="shared" si="110"/>
        <v>8</v>
      </c>
      <c r="L275" s="80">
        <f>'DATA B2'!E276</f>
        <v>571099</v>
      </c>
      <c r="M275" s="80">
        <f t="shared" si="111"/>
        <v>20</v>
      </c>
      <c r="N275" s="28">
        <f t="shared" si="107"/>
        <v>2.5</v>
      </c>
      <c r="O275" s="51">
        <f>IFERROR((('DATA B2'!F276-'DATA B2'!F275)/(K275))*1000,0)</f>
        <v>1.2499999999998623E-2</v>
      </c>
      <c r="P275" s="94">
        <f>'DATA B3'!C276</f>
        <v>221206</v>
      </c>
      <c r="Q275" s="91">
        <f t="shared" si="112"/>
        <v>0</v>
      </c>
      <c r="R275" s="80">
        <f>'DATA B3'!D276</f>
        <v>165812</v>
      </c>
      <c r="S275" s="80">
        <f t="shared" si="113"/>
        <v>0</v>
      </c>
      <c r="T275" s="15">
        <f t="shared" si="108"/>
        <v>0</v>
      </c>
      <c r="U275" s="15">
        <f>IFERROR((('DATA B3'!E276-'DATA B3'!E275)+('DATA B3'!F276-'DATA B3'!F275))/('WATER_STEAM RATIO'!P275-'WATER_STEAM RATIO'!P274),0)</f>
        <v>0</v>
      </c>
    </row>
    <row r="276" spans="2:21">
      <c r="B276" s="292"/>
      <c r="C276" s="97">
        <v>0.5</v>
      </c>
      <c r="D276" s="84">
        <f>'DATA B1'!D277</f>
        <v>222134</v>
      </c>
      <c r="E276" s="5">
        <f t="shared" si="106"/>
        <v>0</v>
      </c>
      <c r="F276" s="80">
        <f>'DATA B1'!E277</f>
        <v>524526</v>
      </c>
      <c r="G276" s="80">
        <f t="shared" si="109"/>
        <v>0</v>
      </c>
      <c r="H276" s="28">
        <f t="shared" si="105"/>
        <v>0</v>
      </c>
      <c r="I276" s="45">
        <f>IFERROR((('DATA B1'!G277-'DATA B1'!G276)/('WATER_STEAM RATIO'!D276-'WATER_STEAM RATIO'!D275))*1000,0)</f>
        <v>0</v>
      </c>
      <c r="J276" s="50">
        <f>'DATA B2'!D277</f>
        <v>513513</v>
      </c>
      <c r="K276" s="82">
        <f t="shared" si="110"/>
        <v>9</v>
      </c>
      <c r="L276" s="80">
        <f>'DATA B2'!E277</f>
        <v>571125</v>
      </c>
      <c r="M276" s="80">
        <f t="shared" si="111"/>
        <v>26</v>
      </c>
      <c r="N276" s="28">
        <f t="shared" si="107"/>
        <v>2.8888888888888888</v>
      </c>
      <c r="O276" s="51">
        <f>IFERROR((('DATA B2'!F277-'DATA B2'!F276)/(K276))*1000,0)</f>
        <v>0</v>
      </c>
      <c r="P276" s="94">
        <f>'DATA B3'!C277</f>
        <v>221206</v>
      </c>
      <c r="Q276" s="91">
        <f t="shared" si="112"/>
        <v>0</v>
      </c>
      <c r="R276" s="80">
        <f>'DATA B3'!D277</f>
        <v>165812</v>
      </c>
      <c r="S276" s="80">
        <f t="shared" si="113"/>
        <v>0</v>
      </c>
      <c r="T276" s="15">
        <f t="shared" si="108"/>
        <v>0</v>
      </c>
      <c r="U276" s="15">
        <f>IFERROR((('DATA B3'!E277-'DATA B3'!E276)+('DATA B3'!F277-'DATA B3'!F276))/('WATER_STEAM RATIO'!P276-'WATER_STEAM RATIO'!P275),0)</f>
        <v>0</v>
      </c>
    </row>
    <row r="277" spans="2:21">
      <c r="B277" s="292"/>
      <c r="C277" s="97">
        <v>0.54166666666666696</v>
      </c>
      <c r="D277" s="84">
        <f>'DATA B1'!D278</f>
        <v>222134</v>
      </c>
      <c r="E277" s="5">
        <f t="shared" si="106"/>
        <v>0</v>
      </c>
      <c r="F277" s="80">
        <f>'DATA B1'!E278</f>
        <v>524526</v>
      </c>
      <c r="G277" s="80">
        <f t="shared" si="109"/>
        <v>0</v>
      </c>
      <c r="H277" s="28">
        <f t="shared" si="105"/>
        <v>0</v>
      </c>
      <c r="I277" s="45">
        <f>IFERROR((('DATA B1'!G278-'DATA B1'!G277)/('WATER_STEAM RATIO'!D277-'WATER_STEAM RATIO'!D276))*1000,0)</f>
        <v>0</v>
      </c>
      <c r="J277" s="50">
        <f>'DATA B2'!D278</f>
        <v>513522</v>
      </c>
      <c r="K277" s="82">
        <f t="shared" si="110"/>
        <v>9</v>
      </c>
      <c r="L277" s="80">
        <f>'DATA B2'!E278</f>
        <v>571151</v>
      </c>
      <c r="M277" s="80">
        <f t="shared" si="111"/>
        <v>26</v>
      </c>
      <c r="N277" s="28">
        <f t="shared" si="107"/>
        <v>2.8888888888888888</v>
      </c>
      <c r="O277" s="51">
        <f>IFERROR((('DATA B2'!F278-'DATA B2'!F277)/(K277))*1000,0)</f>
        <v>0</v>
      </c>
      <c r="P277" s="94">
        <f>'DATA B3'!C278</f>
        <v>221206</v>
      </c>
      <c r="Q277" s="91">
        <f t="shared" si="112"/>
        <v>0</v>
      </c>
      <c r="R277" s="80">
        <f>'DATA B3'!D278</f>
        <v>165812</v>
      </c>
      <c r="S277" s="80">
        <f t="shared" si="113"/>
        <v>0</v>
      </c>
      <c r="T277" s="15">
        <f t="shared" si="108"/>
        <v>0</v>
      </c>
      <c r="U277" s="15">
        <f>IFERROR((('DATA B3'!E278-'DATA B3'!E277)+('DATA B3'!F278-'DATA B3'!F277))/('WATER_STEAM RATIO'!P277-'WATER_STEAM RATIO'!P276),0)</f>
        <v>0</v>
      </c>
    </row>
    <row r="278" spans="2:21">
      <c r="B278" s="292"/>
      <c r="C278" s="97">
        <v>0.58333333333333304</v>
      </c>
      <c r="D278" s="84">
        <f>'DATA B1'!D279</f>
        <v>222134</v>
      </c>
      <c r="E278" s="5">
        <f t="shared" si="106"/>
        <v>0</v>
      </c>
      <c r="F278" s="80">
        <f>'DATA B1'!E279</f>
        <v>524526</v>
      </c>
      <c r="G278" s="80">
        <f t="shared" si="109"/>
        <v>0</v>
      </c>
      <c r="H278" s="28">
        <f t="shared" si="105"/>
        <v>0</v>
      </c>
      <c r="I278" s="45">
        <f>IFERROR((('DATA B1'!G279-'DATA B1'!G278)/('WATER_STEAM RATIO'!D278-'WATER_STEAM RATIO'!D277))*1000,0)</f>
        <v>0</v>
      </c>
      <c r="J278" s="50">
        <f>'DATA B2'!D279</f>
        <v>513532</v>
      </c>
      <c r="K278" s="82">
        <f t="shared" si="110"/>
        <v>10</v>
      </c>
      <c r="L278" s="80">
        <f>'DATA B2'!E279</f>
        <v>571177</v>
      </c>
      <c r="M278" s="80">
        <f t="shared" si="111"/>
        <v>26</v>
      </c>
      <c r="N278" s="28">
        <f t="shared" si="107"/>
        <v>2.6</v>
      </c>
      <c r="O278" s="51">
        <f>IFERROR((('DATA B2'!F279-'DATA B2'!F278)/(K278))*1000,0)</f>
        <v>9.9999999999988987E-3</v>
      </c>
      <c r="P278" s="94">
        <f>'DATA B3'!C279</f>
        <v>221206</v>
      </c>
      <c r="Q278" s="91">
        <f t="shared" si="112"/>
        <v>0</v>
      </c>
      <c r="R278" s="80">
        <f>'DATA B3'!D279</f>
        <v>165812</v>
      </c>
      <c r="S278" s="80">
        <f t="shared" si="113"/>
        <v>0</v>
      </c>
      <c r="T278" s="15">
        <f t="shared" si="108"/>
        <v>0</v>
      </c>
      <c r="U278" s="15">
        <f>IFERROR((('DATA B3'!E279-'DATA B3'!E278)+('DATA B3'!F279-'DATA B3'!F278))/('WATER_STEAM RATIO'!P278-'WATER_STEAM RATIO'!P277),0)</f>
        <v>0</v>
      </c>
    </row>
    <row r="279" spans="2:21">
      <c r="B279" s="292"/>
      <c r="C279" s="97">
        <v>0.625</v>
      </c>
      <c r="D279" s="84">
        <f>'DATA B1'!D280</f>
        <v>222134</v>
      </c>
      <c r="E279" s="5">
        <f t="shared" ref="E279:E295" si="114">SUM(D279-D278)</f>
        <v>0</v>
      </c>
      <c r="F279" s="80">
        <f>'DATA B1'!E280</f>
        <v>524526</v>
      </c>
      <c r="G279" s="80">
        <f t="shared" si="109"/>
        <v>0</v>
      </c>
      <c r="H279" s="28">
        <f t="shared" si="105"/>
        <v>0</v>
      </c>
      <c r="I279" s="45">
        <f>IFERROR((('DATA B1'!G280-'DATA B1'!G279)/('WATER_STEAM RATIO'!D279-'WATER_STEAM RATIO'!D278))*1000,0)</f>
        <v>0</v>
      </c>
      <c r="J279" s="50">
        <f>'DATA B2'!D280</f>
        <v>513542</v>
      </c>
      <c r="K279" s="82">
        <f t="shared" si="110"/>
        <v>10</v>
      </c>
      <c r="L279" s="80">
        <f>'DATA B2'!E280</f>
        <v>571203</v>
      </c>
      <c r="M279" s="80">
        <f t="shared" si="111"/>
        <v>26</v>
      </c>
      <c r="N279" s="28">
        <f t="shared" si="107"/>
        <v>2.6</v>
      </c>
      <c r="O279" s="51">
        <f>IFERROR((('DATA B2'!F280-'DATA B2'!F279)/(K279))*1000,0)</f>
        <v>0</v>
      </c>
      <c r="P279" s="94">
        <f>'DATA B3'!C280</f>
        <v>221206</v>
      </c>
      <c r="Q279" s="91">
        <f t="shared" si="112"/>
        <v>0</v>
      </c>
      <c r="R279" s="80">
        <f>'DATA B3'!D280</f>
        <v>165812</v>
      </c>
      <c r="S279" s="80">
        <f t="shared" si="113"/>
        <v>0</v>
      </c>
      <c r="T279" s="15">
        <f t="shared" si="108"/>
        <v>0</v>
      </c>
      <c r="U279" s="15">
        <f>IFERROR((('DATA B3'!E280-'DATA B3'!E279)+('DATA B3'!F280-'DATA B3'!F279))/('WATER_STEAM RATIO'!P279-'WATER_STEAM RATIO'!P278),0)</f>
        <v>0</v>
      </c>
    </row>
    <row r="280" spans="2:21">
      <c r="B280" s="292"/>
      <c r="C280" s="97">
        <v>0.66666666666666596</v>
      </c>
      <c r="D280" s="84">
        <f>'DATA B1'!D281</f>
        <v>222134</v>
      </c>
      <c r="E280" s="5">
        <f t="shared" si="114"/>
        <v>0</v>
      </c>
      <c r="F280" s="80">
        <f>'DATA B1'!E281</f>
        <v>524526</v>
      </c>
      <c r="G280" s="80">
        <f t="shared" si="109"/>
        <v>0</v>
      </c>
      <c r="H280" s="28">
        <f t="shared" si="105"/>
        <v>0</v>
      </c>
      <c r="I280" s="45">
        <f>IFERROR((('DATA B1'!G281-'DATA B1'!G280)/('WATER_STEAM RATIO'!D280-'WATER_STEAM RATIO'!D279))*1000,0)</f>
        <v>0</v>
      </c>
      <c r="J280" s="50">
        <f>'DATA B2'!D281</f>
        <v>513550</v>
      </c>
      <c r="K280" s="82">
        <f>SUM(J280-J279)</f>
        <v>8</v>
      </c>
      <c r="L280" s="80">
        <f>'DATA B2'!E281</f>
        <v>571225</v>
      </c>
      <c r="M280" s="80">
        <f t="shared" si="111"/>
        <v>22</v>
      </c>
      <c r="N280" s="28">
        <f t="shared" si="107"/>
        <v>2.75</v>
      </c>
      <c r="O280" s="51">
        <f>IFERROR((('DATA B2'!F281-'DATA B2'!F280)/(K280))*1000,0)</f>
        <v>0</v>
      </c>
      <c r="P280" s="94">
        <f>'DATA B3'!C281</f>
        <v>221206</v>
      </c>
      <c r="Q280" s="91">
        <f t="shared" si="112"/>
        <v>0</v>
      </c>
      <c r="R280" s="80">
        <f>'DATA B3'!D281</f>
        <v>165812</v>
      </c>
      <c r="S280" s="80">
        <f t="shared" si="113"/>
        <v>0</v>
      </c>
      <c r="T280" s="15">
        <f t="shared" si="108"/>
        <v>0</v>
      </c>
      <c r="U280" s="15">
        <f>IFERROR((('DATA B3'!E281-'DATA B3'!E280)+('DATA B3'!F281-'DATA B3'!F280))/('WATER_STEAM RATIO'!P280-'WATER_STEAM RATIO'!P279),0)</f>
        <v>0</v>
      </c>
    </row>
    <row r="281" spans="2:21">
      <c r="B281" s="292"/>
      <c r="C281" s="97">
        <v>0.70833333333333304</v>
      </c>
      <c r="D281" s="84">
        <f>'DATA B1'!D282</f>
        <v>222134</v>
      </c>
      <c r="E281" s="5">
        <f t="shared" si="114"/>
        <v>0</v>
      </c>
      <c r="F281" s="80">
        <f>'DATA B1'!E282</f>
        <v>524526</v>
      </c>
      <c r="G281" s="80">
        <f t="shared" si="109"/>
        <v>0</v>
      </c>
      <c r="H281" s="28">
        <f t="shared" si="105"/>
        <v>0</v>
      </c>
      <c r="I281" s="45">
        <f>IFERROR((('DATA B1'!G282-'DATA B1'!G281)/('WATER_STEAM RATIO'!D281-'WATER_STEAM RATIO'!D280))*1000,0)</f>
        <v>0</v>
      </c>
      <c r="J281" s="50">
        <f>'DATA B2'!D282</f>
        <v>513558</v>
      </c>
      <c r="K281" s="82">
        <f t="shared" si="110"/>
        <v>8</v>
      </c>
      <c r="L281" s="80">
        <f>'DATA B2'!E282</f>
        <v>571247</v>
      </c>
      <c r="M281" s="80">
        <f t="shared" si="111"/>
        <v>22</v>
      </c>
      <c r="N281" s="28">
        <f t="shared" si="107"/>
        <v>2.75</v>
      </c>
      <c r="O281" s="51">
        <f>IFERROR((('DATA B2'!F282-'DATA B2'!F281)/(K281))*1000,0)</f>
        <v>1.2499999999998623E-2</v>
      </c>
      <c r="P281" s="94">
        <f>'DATA B3'!C282</f>
        <v>221206</v>
      </c>
      <c r="Q281" s="91">
        <f t="shared" si="112"/>
        <v>0</v>
      </c>
      <c r="R281" s="80">
        <f>'DATA B3'!D282</f>
        <v>165812</v>
      </c>
      <c r="S281" s="80">
        <f t="shared" si="113"/>
        <v>0</v>
      </c>
      <c r="T281" s="15">
        <f t="shared" si="108"/>
        <v>0</v>
      </c>
      <c r="U281" s="15">
        <f>IFERROR((('DATA B3'!E282-'DATA B3'!E281)+('DATA B3'!F282-'DATA B3'!F281))/('WATER_STEAM RATIO'!P281-'WATER_STEAM RATIO'!P280),0)</f>
        <v>0</v>
      </c>
    </row>
    <row r="282" spans="2:21">
      <c r="B282" s="292"/>
      <c r="C282" s="97">
        <v>0.75</v>
      </c>
      <c r="D282" s="84">
        <f>'DATA B1'!D283</f>
        <v>222134</v>
      </c>
      <c r="E282" s="5">
        <f t="shared" si="114"/>
        <v>0</v>
      </c>
      <c r="F282" s="80">
        <f>'DATA B1'!E283</f>
        <v>524526</v>
      </c>
      <c r="G282" s="80">
        <f t="shared" si="109"/>
        <v>0</v>
      </c>
      <c r="H282" s="28">
        <f t="shared" si="105"/>
        <v>0</v>
      </c>
      <c r="I282" s="45">
        <f>IFERROR((('DATA B1'!G283-'DATA B1'!G282)/('WATER_STEAM RATIO'!D282-'WATER_STEAM RATIO'!D281))*1000,0)</f>
        <v>0</v>
      </c>
      <c r="J282" s="50">
        <f>'DATA B2'!D283</f>
        <v>513566</v>
      </c>
      <c r="K282" s="82">
        <f t="shared" si="110"/>
        <v>8</v>
      </c>
      <c r="L282" s="80">
        <f>'DATA B2'!E283</f>
        <v>571269</v>
      </c>
      <c r="M282" s="80">
        <f t="shared" si="111"/>
        <v>22</v>
      </c>
      <c r="N282" s="28">
        <f t="shared" si="107"/>
        <v>2.75</v>
      </c>
      <c r="O282" s="51">
        <f>IFERROR((('DATA B2'!F283-'DATA B2'!F282)/(K282))*1000,0)</f>
        <v>0</v>
      </c>
      <c r="P282" s="94">
        <f>'DATA B3'!C283</f>
        <v>221206</v>
      </c>
      <c r="Q282" s="91">
        <f t="shared" si="112"/>
        <v>0</v>
      </c>
      <c r="R282" s="80">
        <f>'DATA B3'!D283</f>
        <v>165812</v>
      </c>
      <c r="S282" s="80">
        <f t="shared" si="113"/>
        <v>0</v>
      </c>
      <c r="T282" s="15">
        <f t="shared" si="108"/>
        <v>0</v>
      </c>
      <c r="U282" s="15">
        <f>IFERROR((('DATA B3'!E283-'DATA B3'!E282)+('DATA B3'!F283-'DATA B3'!F282))/('WATER_STEAM RATIO'!P282-'WATER_STEAM RATIO'!P281),0)</f>
        <v>0</v>
      </c>
    </row>
    <row r="283" spans="2:21">
      <c r="B283" s="292"/>
      <c r="C283" s="97">
        <v>0.79166666666666596</v>
      </c>
      <c r="D283" s="84">
        <f>'DATA B1'!D284</f>
        <v>222134</v>
      </c>
      <c r="E283" s="5">
        <f t="shared" si="114"/>
        <v>0</v>
      </c>
      <c r="F283" s="80">
        <f>'DATA B1'!E284</f>
        <v>524526</v>
      </c>
      <c r="G283" s="80">
        <f t="shared" si="109"/>
        <v>0</v>
      </c>
      <c r="H283" s="28">
        <f t="shared" si="105"/>
        <v>0</v>
      </c>
      <c r="I283" s="45">
        <f>IFERROR((('DATA B1'!G284-'DATA B1'!G283)/('WATER_STEAM RATIO'!D283-'WATER_STEAM RATIO'!D282))*1000,0)</f>
        <v>0</v>
      </c>
      <c r="J283" s="50">
        <f>'DATA B2'!D284</f>
        <v>513575</v>
      </c>
      <c r="K283" s="82">
        <f t="shared" si="110"/>
        <v>9</v>
      </c>
      <c r="L283" s="80">
        <f>'DATA B2'!E284</f>
        <v>571291</v>
      </c>
      <c r="M283" s="80">
        <f t="shared" si="111"/>
        <v>22</v>
      </c>
      <c r="N283" s="28">
        <f t="shared" si="107"/>
        <v>2.4444444444444446</v>
      </c>
      <c r="O283" s="51">
        <f>IFERROR((('DATA B2'!F284-'DATA B2'!F283)/(K283))*1000,0)</f>
        <v>1.1111111111109887E-2</v>
      </c>
      <c r="P283" s="94">
        <f>'DATA B3'!C284</f>
        <v>221206</v>
      </c>
      <c r="Q283" s="91">
        <f t="shared" si="112"/>
        <v>0</v>
      </c>
      <c r="R283" s="80">
        <f>'DATA B3'!D284</f>
        <v>165812</v>
      </c>
      <c r="S283" s="80">
        <f t="shared" si="113"/>
        <v>0</v>
      </c>
      <c r="T283" s="15">
        <f t="shared" si="108"/>
        <v>0</v>
      </c>
      <c r="U283" s="15">
        <f>IFERROR((('DATA B3'!E284-'DATA B3'!E283)+('DATA B3'!F284-'DATA B3'!F283))/('WATER_STEAM RATIO'!P283-'WATER_STEAM RATIO'!P282),0)</f>
        <v>0</v>
      </c>
    </row>
    <row r="284" spans="2:21">
      <c r="B284" s="292"/>
      <c r="C284" s="97">
        <v>0.83333333333333304</v>
      </c>
      <c r="D284" s="84">
        <f>'DATA B1'!D285</f>
        <v>222134</v>
      </c>
      <c r="E284" s="5">
        <f t="shared" si="114"/>
        <v>0</v>
      </c>
      <c r="F284" s="80">
        <f>'DATA B1'!E285</f>
        <v>524526</v>
      </c>
      <c r="G284" s="80">
        <f t="shared" si="109"/>
        <v>0</v>
      </c>
      <c r="H284" s="28">
        <f t="shared" si="105"/>
        <v>0</v>
      </c>
      <c r="I284" s="45">
        <f>IFERROR((('DATA B1'!G285-'DATA B1'!G284)/('WATER_STEAM RATIO'!D284-'WATER_STEAM RATIO'!D283))*1000,0)</f>
        <v>0</v>
      </c>
      <c r="J284" s="50">
        <f>'DATA B2'!D285</f>
        <v>513585</v>
      </c>
      <c r="K284" s="82">
        <f t="shared" si="110"/>
        <v>10</v>
      </c>
      <c r="L284" s="80">
        <f>'DATA B2'!E285</f>
        <v>571323</v>
      </c>
      <c r="M284" s="80">
        <f t="shared" si="111"/>
        <v>32</v>
      </c>
      <c r="N284" s="28">
        <f t="shared" si="107"/>
        <v>3.2</v>
      </c>
      <c r="O284" s="51">
        <f>IFERROR((('DATA B2'!F285-'DATA B2'!F284)/(K284))*1000,0)</f>
        <v>0</v>
      </c>
      <c r="P284" s="94">
        <f>'DATA B3'!C285</f>
        <v>221206</v>
      </c>
      <c r="Q284" s="91">
        <f t="shared" si="112"/>
        <v>0</v>
      </c>
      <c r="R284" s="80">
        <f>'DATA B3'!D285</f>
        <v>165812</v>
      </c>
      <c r="S284" s="80">
        <f t="shared" si="113"/>
        <v>0</v>
      </c>
      <c r="T284" s="15">
        <f t="shared" si="108"/>
        <v>0</v>
      </c>
      <c r="U284" s="15">
        <f>IFERROR((('DATA B3'!E285-'DATA B3'!E284)+('DATA B3'!F285-'DATA B3'!F284))/('WATER_STEAM RATIO'!P284-'WATER_STEAM RATIO'!P283),0)</f>
        <v>0</v>
      </c>
    </row>
    <row r="285" spans="2:21">
      <c r="B285" s="292"/>
      <c r="C285" s="97">
        <v>0.875</v>
      </c>
      <c r="D285" s="84">
        <f>'DATA B1'!D286</f>
        <v>222134</v>
      </c>
      <c r="E285" s="5">
        <f t="shared" si="114"/>
        <v>0</v>
      </c>
      <c r="F285" s="80">
        <f>'DATA B1'!E286</f>
        <v>524526</v>
      </c>
      <c r="G285" s="80">
        <f t="shared" si="109"/>
        <v>0</v>
      </c>
      <c r="H285" s="28">
        <f t="shared" si="105"/>
        <v>0</v>
      </c>
      <c r="I285" s="45">
        <f>IFERROR((('DATA B1'!G286-'DATA B1'!G285)/('WATER_STEAM RATIO'!D285-'WATER_STEAM RATIO'!D284))*1000,0)</f>
        <v>0</v>
      </c>
      <c r="J285" s="50">
        <f>'DATA B2'!D286</f>
        <v>513591</v>
      </c>
      <c r="K285" s="82">
        <f t="shared" si="110"/>
        <v>6</v>
      </c>
      <c r="L285" s="80">
        <f>'DATA B2'!E286</f>
        <v>571344</v>
      </c>
      <c r="M285" s="80">
        <f t="shared" si="111"/>
        <v>21</v>
      </c>
      <c r="N285" s="28">
        <f>IFERROR(M285/K285,0)</f>
        <v>3.5</v>
      </c>
      <c r="O285" s="51">
        <f>IFERROR((('DATA B2'!F286-'DATA B2'!F285)/(K285))*1000,0)</f>
        <v>0</v>
      </c>
      <c r="P285" s="94">
        <f>'DATA B3'!C286</f>
        <v>221206</v>
      </c>
      <c r="Q285" s="91">
        <f t="shared" si="112"/>
        <v>0</v>
      </c>
      <c r="R285" s="80">
        <f>'DATA B3'!D286</f>
        <v>165812</v>
      </c>
      <c r="S285" s="80">
        <f t="shared" si="113"/>
        <v>0</v>
      </c>
      <c r="T285" s="15">
        <f t="shared" si="108"/>
        <v>0</v>
      </c>
      <c r="U285" s="15">
        <f>IFERROR((('DATA B3'!E286-'DATA B3'!E285)+('DATA B3'!F286-'DATA B3'!F285))/('WATER_STEAM RATIO'!P285-'WATER_STEAM RATIO'!P284),0)</f>
        <v>0</v>
      </c>
    </row>
    <row r="286" spans="2:21">
      <c r="B286" s="292"/>
      <c r="C286" s="97">
        <v>0.91666666666666596</v>
      </c>
      <c r="D286" s="84">
        <f>'DATA B1'!D287</f>
        <v>222134</v>
      </c>
      <c r="E286" s="5">
        <f t="shared" si="114"/>
        <v>0</v>
      </c>
      <c r="F286" s="80">
        <f>'DATA B1'!E287</f>
        <v>524526</v>
      </c>
      <c r="G286" s="80">
        <f t="shared" si="109"/>
        <v>0</v>
      </c>
      <c r="H286" s="28">
        <f t="shared" si="105"/>
        <v>0</v>
      </c>
      <c r="I286" s="45">
        <f>IFERROR((('DATA B1'!G287-'DATA B1'!G286)/('WATER_STEAM RATIO'!D286-'WATER_STEAM RATIO'!D285))*1000,0)</f>
        <v>0</v>
      </c>
      <c r="J286" s="50">
        <f>'DATA B2'!D287</f>
        <v>513597</v>
      </c>
      <c r="K286" s="82">
        <f t="shared" si="110"/>
        <v>6</v>
      </c>
      <c r="L286" s="80">
        <f>'DATA B2'!E287</f>
        <v>571366</v>
      </c>
      <c r="M286" s="80">
        <f t="shared" si="111"/>
        <v>22</v>
      </c>
      <c r="N286" s="28">
        <f t="shared" si="107"/>
        <v>3.6666666666666665</v>
      </c>
      <c r="O286" s="51">
        <f>IFERROR((('DATA B2'!F287-'DATA B2'!F286)/(K286))*1000,0)</f>
        <v>1.6666666666664831E-2</v>
      </c>
      <c r="P286" s="94">
        <f>'DATA B3'!C287</f>
        <v>221206</v>
      </c>
      <c r="Q286" s="91">
        <f t="shared" si="112"/>
        <v>0</v>
      </c>
      <c r="R286" s="80">
        <f>'DATA B3'!D287</f>
        <v>165812</v>
      </c>
      <c r="S286" s="80">
        <f t="shared" si="113"/>
        <v>0</v>
      </c>
      <c r="T286" s="15">
        <f t="shared" si="108"/>
        <v>0</v>
      </c>
      <c r="U286" s="15">
        <f>IFERROR((('DATA B3'!E287-'DATA B3'!E286)+('DATA B3'!F287-'DATA B3'!F286))/('WATER_STEAM RATIO'!P286-'WATER_STEAM RATIO'!P285),0)</f>
        <v>0</v>
      </c>
    </row>
    <row r="287" spans="2:21">
      <c r="B287" s="292"/>
      <c r="C287" s="97">
        <v>0.95833333333333304</v>
      </c>
      <c r="D287" s="84">
        <f>'DATA B1'!D288</f>
        <v>222134</v>
      </c>
      <c r="E287" s="5">
        <f t="shared" si="114"/>
        <v>0</v>
      </c>
      <c r="F287" s="80">
        <f>'DATA B1'!E288</f>
        <v>524526</v>
      </c>
      <c r="G287" s="80">
        <f t="shared" si="109"/>
        <v>0</v>
      </c>
      <c r="H287" s="28">
        <f t="shared" si="105"/>
        <v>0</v>
      </c>
      <c r="I287" s="45">
        <f>IFERROR((('DATA B1'!G288-'DATA B1'!G287)/('WATER_STEAM RATIO'!D287-'WATER_STEAM RATIO'!D286))*1000,0)</f>
        <v>0</v>
      </c>
      <c r="J287" s="50">
        <f>'DATA B2'!D288</f>
        <v>513603</v>
      </c>
      <c r="K287" s="82">
        <f>SUM(J287-J286)</f>
        <v>6</v>
      </c>
      <c r="L287" s="80">
        <f>'DATA B2'!E288</f>
        <v>571388</v>
      </c>
      <c r="M287" s="80">
        <f t="shared" si="111"/>
        <v>22</v>
      </c>
      <c r="N287" s="28">
        <f t="shared" si="107"/>
        <v>3.6666666666666665</v>
      </c>
      <c r="O287" s="51">
        <f>IFERROR((('DATA B2'!F288-'DATA B2'!F287)/(K287))*1000,0)</f>
        <v>0</v>
      </c>
      <c r="P287" s="94">
        <f>'DATA B3'!C288</f>
        <v>221206</v>
      </c>
      <c r="Q287" s="91">
        <f t="shared" si="112"/>
        <v>0</v>
      </c>
      <c r="R287" s="80">
        <f>'DATA B3'!D288</f>
        <v>165812</v>
      </c>
      <c r="S287" s="80">
        <f t="shared" si="113"/>
        <v>0</v>
      </c>
      <c r="T287" s="15">
        <f t="shared" si="108"/>
        <v>0</v>
      </c>
      <c r="U287" s="15">
        <f>IFERROR((('DATA B3'!E288-'DATA B3'!E287)+('DATA B3'!F288-'DATA B3'!F287))/('WATER_STEAM RATIO'!P287-'WATER_STEAM RATIO'!P286),0)</f>
        <v>0</v>
      </c>
    </row>
    <row r="288" spans="2:21">
      <c r="B288" s="292"/>
      <c r="C288" s="97">
        <v>1</v>
      </c>
      <c r="D288" s="84">
        <f>'DATA B1'!D289</f>
        <v>222134</v>
      </c>
      <c r="E288" s="5">
        <f t="shared" si="114"/>
        <v>0</v>
      </c>
      <c r="F288" s="80">
        <f>'DATA B1'!E289</f>
        <v>524526</v>
      </c>
      <c r="G288" s="80">
        <f t="shared" si="109"/>
        <v>0</v>
      </c>
      <c r="H288" s="28">
        <f t="shared" si="105"/>
        <v>0</v>
      </c>
      <c r="I288" s="45">
        <f>IFERROR((('DATA B1'!G289-'DATA B1'!G288)/('WATER_STEAM RATIO'!D288-'WATER_STEAM RATIO'!D287))*1000,0)</f>
        <v>0</v>
      </c>
      <c r="J288" s="50">
        <f>'DATA B2'!D289</f>
        <v>513609</v>
      </c>
      <c r="K288" s="82">
        <f t="shared" si="110"/>
        <v>6</v>
      </c>
      <c r="L288" s="80">
        <f>'DATA B2'!E289</f>
        <v>571411</v>
      </c>
      <c r="M288" s="80">
        <f t="shared" si="111"/>
        <v>23</v>
      </c>
      <c r="N288" s="28">
        <f t="shared" si="107"/>
        <v>3.8333333333333335</v>
      </c>
      <c r="O288" s="51">
        <f>IFERROR((('DATA B2'!F289-'DATA B2'!F288)/(K288))*1000,0)</f>
        <v>0</v>
      </c>
      <c r="P288" s="94">
        <f>'DATA B3'!C289</f>
        <v>221206</v>
      </c>
      <c r="Q288" s="91">
        <f t="shared" si="112"/>
        <v>0</v>
      </c>
      <c r="R288" s="80">
        <f>'DATA B3'!D289</f>
        <v>165812</v>
      </c>
      <c r="S288" s="80">
        <f t="shared" si="113"/>
        <v>0</v>
      </c>
      <c r="T288" s="15">
        <f t="shared" si="108"/>
        <v>0</v>
      </c>
      <c r="U288" s="15">
        <f>IFERROR((('DATA B3'!E289-'DATA B3'!E288)+('DATA B3'!F289-'DATA B3'!F288))/('WATER_STEAM RATIO'!P288-'WATER_STEAM RATIO'!P287),0)</f>
        <v>0</v>
      </c>
    </row>
    <row r="289" spans="2:21">
      <c r="B289" s="292"/>
      <c r="C289" s="97">
        <v>1.0416666666666701</v>
      </c>
      <c r="D289" s="84">
        <f>'DATA B1'!D290</f>
        <v>222134</v>
      </c>
      <c r="E289" s="5">
        <f t="shared" si="114"/>
        <v>0</v>
      </c>
      <c r="F289" s="80">
        <f>'DATA B1'!E290</f>
        <v>524526</v>
      </c>
      <c r="G289" s="80">
        <f t="shared" si="109"/>
        <v>0</v>
      </c>
      <c r="H289" s="28">
        <f t="shared" si="105"/>
        <v>0</v>
      </c>
      <c r="I289" s="45">
        <f>IFERROR((('DATA B1'!G290-'DATA B1'!G289)/('WATER_STEAM RATIO'!D289-'WATER_STEAM RATIO'!D288))*1000,0)</f>
        <v>0</v>
      </c>
      <c r="J289" s="50">
        <f>'DATA B2'!D290</f>
        <v>513615</v>
      </c>
      <c r="K289" s="82">
        <f t="shared" si="110"/>
        <v>6</v>
      </c>
      <c r="L289" s="80">
        <f>'DATA B2'!E290</f>
        <v>571434</v>
      </c>
      <c r="M289" s="80">
        <f t="shared" si="111"/>
        <v>23</v>
      </c>
      <c r="N289" s="28">
        <f t="shared" si="107"/>
        <v>3.8333333333333335</v>
      </c>
      <c r="O289" s="51">
        <f>IFERROR((('DATA B2'!F290-'DATA B2'!F289)/(K289))*1000,0)</f>
        <v>0</v>
      </c>
      <c r="P289" s="94">
        <f>'DATA B3'!C290</f>
        <v>221206</v>
      </c>
      <c r="Q289" s="91">
        <f t="shared" si="112"/>
        <v>0</v>
      </c>
      <c r="R289" s="80">
        <f>'DATA B3'!D290</f>
        <v>165812</v>
      </c>
      <c r="S289" s="80">
        <f t="shared" si="113"/>
        <v>0</v>
      </c>
      <c r="T289" s="15">
        <f t="shared" si="108"/>
        <v>0</v>
      </c>
      <c r="U289" s="15">
        <f>IFERROR((('DATA B3'!E290-'DATA B3'!E289)+('DATA B3'!F290-'DATA B3'!F289))/('WATER_STEAM RATIO'!P289-'WATER_STEAM RATIO'!P288),0)</f>
        <v>0</v>
      </c>
    </row>
    <row r="290" spans="2:21">
      <c r="B290" s="292"/>
      <c r="C290" s="97">
        <v>1.0833333333333399</v>
      </c>
      <c r="D290" s="84">
        <f>'DATA B1'!D291</f>
        <v>222134</v>
      </c>
      <c r="E290" s="5">
        <f>SUM(D290-D289)</f>
        <v>0</v>
      </c>
      <c r="F290" s="80">
        <f>'DATA B1'!E291</f>
        <v>524526</v>
      </c>
      <c r="G290" s="80">
        <f t="shared" si="109"/>
        <v>0</v>
      </c>
      <c r="H290" s="28">
        <f t="shared" si="105"/>
        <v>0</v>
      </c>
      <c r="I290" s="45">
        <f>IFERROR((('DATA B1'!G291-'DATA B1'!G290)/('WATER_STEAM RATIO'!D290-'WATER_STEAM RATIO'!D289))*1000,0)</f>
        <v>0</v>
      </c>
      <c r="J290" s="50">
        <f>'DATA B2'!D291</f>
        <v>513622</v>
      </c>
      <c r="K290" s="82">
        <f t="shared" si="110"/>
        <v>7</v>
      </c>
      <c r="L290" s="80">
        <f>'DATA B2'!E291</f>
        <v>571457</v>
      </c>
      <c r="M290" s="80">
        <f t="shared" si="111"/>
        <v>23</v>
      </c>
      <c r="N290" s="28">
        <f t="shared" si="107"/>
        <v>3.2857142857142856</v>
      </c>
      <c r="O290" s="51">
        <f>IFERROR((('DATA B2'!F291-'DATA B2'!F290)/(K290))*1000,0)</f>
        <v>0</v>
      </c>
      <c r="P290" s="94">
        <f>'DATA B3'!C291</f>
        <v>221206</v>
      </c>
      <c r="Q290" s="91">
        <f>SUM(P290-P289)</f>
        <v>0</v>
      </c>
      <c r="R290" s="80">
        <f>'DATA B3'!D291</f>
        <v>165812</v>
      </c>
      <c r="S290" s="80">
        <f t="shared" si="113"/>
        <v>0</v>
      </c>
      <c r="T290" s="15">
        <f t="shared" si="108"/>
        <v>0</v>
      </c>
      <c r="U290" s="15">
        <f>IFERROR((('DATA B3'!E291-'DATA B3'!E290)+('DATA B3'!F291-'DATA B3'!F290))/('WATER_STEAM RATIO'!P290-'WATER_STEAM RATIO'!P289),0)</f>
        <v>0</v>
      </c>
    </row>
    <row r="291" spans="2:21">
      <c r="B291" s="292"/>
      <c r="C291" s="97">
        <v>1.125</v>
      </c>
      <c r="D291" s="84">
        <f>'DATA B1'!D292</f>
        <v>222134</v>
      </c>
      <c r="E291" s="5">
        <f t="shared" si="114"/>
        <v>0</v>
      </c>
      <c r="F291" s="80">
        <f>'DATA B1'!E292</f>
        <v>524526</v>
      </c>
      <c r="G291" s="80">
        <f t="shared" si="109"/>
        <v>0</v>
      </c>
      <c r="H291" s="28">
        <f t="shared" si="105"/>
        <v>0</v>
      </c>
      <c r="I291" s="45">
        <f>IFERROR((('DATA B1'!G292-'DATA B1'!G291)/('WATER_STEAM RATIO'!D291-'WATER_STEAM RATIO'!D290))*1000,0)</f>
        <v>0</v>
      </c>
      <c r="J291" s="50">
        <f>'DATA B2'!D292</f>
        <v>513630</v>
      </c>
      <c r="K291" s="82">
        <f t="shared" si="110"/>
        <v>8</v>
      </c>
      <c r="L291" s="80">
        <f>'DATA B2'!E292</f>
        <v>571482</v>
      </c>
      <c r="M291" s="80">
        <f t="shared" si="111"/>
        <v>25</v>
      </c>
      <c r="N291" s="28">
        <f t="shared" si="107"/>
        <v>3.125</v>
      </c>
      <c r="O291" s="51">
        <f>IFERROR((('DATA B2'!F292-'DATA B2'!F291)/(K291))*1000,0)</f>
        <v>0</v>
      </c>
      <c r="P291" s="94">
        <f>'DATA B3'!C292</f>
        <v>221206</v>
      </c>
      <c r="Q291" s="91">
        <f t="shared" si="112"/>
        <v>0</v>
      </c>
      <c r="R291" s="80">
        <f>'DATA B3'!D292</f>
        <v>165812</v>
      </c>
      <c r="S291" s="80">
        <f t="shared" si="113"/>
        <v>0</v>
      </c>
      <c r="T291" s="15">
        <f t="shared" si="108"/>
        <v>0</v>
      </c>
      <c r="U291" s="15">
        <f>IFERROR((('DATA B3'!E292-'DATA B3'!E291)+('DATA B3'!F292-'DATA B3'!F291))/('WATER_STEAM RATIO'!P291-'WATER_STEAM RATIO'!P290),0)</f>
        <v>0</v>
      </c>
    </row>
    <row r="292" spans="2:21">
      <c r="B292" s="292"/>
      <c r="C292" s="97">
        <v>1.1666666666666701</v>
      </c>
      <c r="D292" s="84">
        <f>'DATA B1'!D293</f>
        <v>222134</v>
      </c>
      <c r="E292" s="5">
        <f t="shared" si="114"/>
        <v>0</v>
      </c>
      <c r="F292" s="80">
        <f>'DATA B1'!E293</f>
        <v>524526</v>
      </c>
      <c r="G292" s="80">
        <f t="shared" si="109"/>
        <v>0</v>
      </c>
      <c r="H292" s="28">
        <f t="shared" si="105"/>
        <v>0</v>
      </c>
      <c r="I292" s="45">
        <f>IFERROR((('DATA B1'!G293-'DATA B1'!G292)/('WATER_STEAM RATIO'!D292-'WATER_STEAM RATIO'!D291))*1000,0)</f>
        <v>0</v>
      </c>
      <c r="J292" s="50">
        <f>'DATA B2'!D293</f>
        <v>513637</v>
      </c>
      <c r="K292" s="82">
        <f t="shared" si="110"/>
        <v>7</v>
      </c>
      <c r="L292" s="80">
        <f>'DATA B2'!E293</f>
        <v>571499</v>
      </c>
      <c r="M292" s="80">
        <f t="shared" si="111"/>
        <v>17</v>
      </c>
      <c r="N292" s="28">
        <f t="shared" si="107"/>
        <v>2.4285714285714284</v>
      </c>
      <c r="O292" s="51">
        <f>IFERROR((('DATA B2'!F293-'DATA B2'!F292)/(K292))*1000,0)</f>
        <v>0</v>
      </c>
      <c r="P292" s="94">
        <f>'DATA B3'!C293</f>
        <v>221206</v>
      </c>
      <c r="Q292" s="91">
        <f t="shared" si="112"/>
        <v>0</v>
      </c>
      <c r="R292" s="80">
        <f>'DATA B3'!D293</f>
        <v>165812</v>
      </c>
      <c r="S292" s="80">
        <f t="shared" si="113"/>
        <v>0</v>
      </c>
      <c r="T292" s="15">
        <f t="shared" si="108"/>
        <v>0</v>
      </c>
      <c r="U292" s="15">
        <f>IFERROR((('DATA B3'!E293-'DATA B3'!E292)+('DATA B3'!F293-'DATA B3'!F292))/('WATER_STEAM RATIO'!P292-'WATER_STEAM RATIO'!P291),0)</f>
        <v>0</v>
      </c>
    </row>
    <row r="293" spans="2:21">
      <c r="B293" s="292"/>
      <c r="C293" s="97">
        <v>1.2083333333333399</v>
      </c>
      <c r="D293" s="84">
        <f>'DATA B1'!D294</f>
        <v>222134</v>
      </c>
      <c r="E293" s="5">
        <f t="shared" si="114"/>
        <v>0</v>
      </c>
      <c r="F293" s="80">
        <f>'DATA B1'!E294</f>
        <v>524526</v>
      </c>
      <c r="G293" s="80">
        <f t="shared" si="109"/>
        <v>0</v>
      </c>
      <c r="H293" s="28">
        <f t="shared" si="105"/>
        <v>0</v>
      </c>
      <c r="I293" s="45">
        <f>IFERROR((('DATA B1'!G294-'DATA B1'!G293)/('WATER_STEAM RATIO'!D293-'WATER_STEAM RATIO'!D292))*1000,0)</f>
        <v>0</v>
      </c>
      <c r="J293" s="50">
        <f>'DATA B2'!D294</f>
        <v>513645</v>
      </c>
      <c r="K293" s="82">
        <f t="shared" si="110"/>
        <v>8</v>
      </c>
      <c r="L293" s="80">
        <f>'DATA B2'!E294</f>
        <v>571517</v>
      </c>
      <c r="M293" s="80">
        <f t="shared" si="111"/>
        <v>18</v>
      </c>
      <c r="N293" s="28">
        <f t="shared" si="107"/>
        <v>2.25</v>
      </c>
      <c r="O293" s="51">
        <f>IFERROR((('DATA B2'!F294-'DATA B2'!F293)/(K293))*1000,0)</f>
        <v>0</v>
      </c>
      <c r="P293" s="94">
        <f>'DATA B3'!C294</f>
        <v>221206</v>
      </c>
      <c r="Q293" s="91">
        <f t="shared" si="112"/>
        <v>0</v>
      </c>
      <c r="R293" s="80">
        <f>'DATA B3'!D294</f>
        <v>165812</v>
      </c>
      <c r="S293" s="80">
        <f t="shared" si="113"/>
        <v>0</v>
      </c>
      <c r="T293" s="15">
        <f t="shared" si="108"/>
        <v>0</v>
      </c>
      <c r="U293" s="15">
        <f>IFERROR((('DATA B3'!E294-'DATA B3'!E293)+('DATA B3'!F294-'DATA B3'!F293))/('WATER_STEAM RATIO'!P293-'WATER_STEAM RATIO'!P292),0)</f>
        <v>0</v>
      </c>
    </row>
    <row r="294" spans="2:21">
      <c r="B294" s="292"/>
      <c r="C294" s="97">
        <v>1.25</v>
      </c>
      <c r="D294" s="84">
        <f>'DATA B1'!D295</f>
        <v>222134</v>
      </c>
      <c r="E294" s="5">
        <f t="shared" si="114"/>
        <v>0</v>
      </c>
      <c r="F294" s="80">
        <f>'DATA B1'!E295</f>
        <v>524526</v>
      </c>
      <c r="G294" s="80">
        <f t="shared" si="109"/>
        <v>0</v>
      </c>
      <c r="H294" s="28">
        <f t="shared" si="105"/>
        <v>0</v>
      </c>
      <c r="I294" s="45">
        <f>IFERROR((('DATA B1'!G295-'DATA B1'!G294)/('WATER_STEAM RATIO'!D294-'WATER_STEAM RATIO'!D293))*1000,0)</f>
        <v>0</v>
      </c>
      <c r="J294" s="50">
        <f>'DATA B2'!D295</f>
        <v>513653</v>
      </c>
      <c r="K294" s="82">
        <f t="shared" si="110"/>
        <v>8</v>
      </c>
      <c r="L294" s="80">
        <f>'DATA B2'!E295</f>
        <v>571535</v>
      </c>
      <c r="M294" s="80">
        <f t="shared" si="111"/>
        <v>18</v>
      </c>
      <c r="N294" s="28">
        <f t="shared" si="107"/>
        <v>2.25</v>
      </c>
      <c r="O294" s="51">
        <f>IFERROR((('DATA B2'!F295-'DATA B2'!F294)/(K294))*1000,0)</f>
        <v>0</v>
      </c>
      <c r="P294" s="94">
        <f>'DATA B3'!C295</f>
        <v>221206</v>
      </c>
      <c r="Q294" s="91">
        <f t="shared" si="112"/>
        <v>0</v>
      </c>
      <c r="R294" s="80">
        <f>'DATA B3'!D295</f>
        <v>165812</v>
      </c>
      <c r="S294" s="80">
        <f t="shared" si="113"/>
        <v>0</v>
      </c>
      <c r="T294" s="15">
        <f t="shared" si="108"/>
        <v>0</v>
      </c>
      <c r="U294" s="15">
        <f>IFERROR((('DATA B3'!E295-'DATA B3'!E294)+('DATA B3'!F295-'DATA B3'!F294))/('WATER_STEAM RATIO'!P294-'WATER_STEAM RATIO'!P293),0)</f>
        <v>0</v>
      </c>
    </row>
    <row r="295" spans="2:21">
      <c r="B295" s="292"/>
      <c r="C295" s="97">
        <v>1.2916666666666701</v>
      </c>
      <c r="D295" s="84">
        <f>'DATA B1'!D296</f>
        <v>222134</v>
      </c>
      <c r="E295" s="5">
        <f t="shared" si="114"/>
        <v>0</v>
      </c>
      <c r="F295" s="80">
        <f>'DATA B1'!E296</f>
        <v>524526</v>
      </c>
      <c r="G295" s="80">
        <f t="shared" si="109"/>
        <v>0</v>
      </c>
      <c r="H295" s="28">
        <f t="shared" si="105"/>
        <v>0</v>
      </c>
      <c r="I295" s="45">
        <f>IFERROR((('DATA B1'!G296-'DATA B1'!G295)/('WATER_STEAM RATIO'!D295-'WATER_STEAM RATIO'!D294))*1000,0)</f>
        <v>0</v>
      </c>
      <c r="J295" s="50">
        <f>'DATA B2'!D296</f>
        <v>513661</v>
      </c>
      <c r="K295" s="82">
        <f>SUM(J295-J294)</f>
        <v>8</v>
      </c>
      <c r="L295" s="80">
        <f>'DATA B2'!E296</f>
        <v>571553</v>
      </c>
      <c r="M295" s="80">
        <f t="shared" si="111"/>
        <v>18</v>
      </c>
      <c r="N295" s="28">
        <f t="shared" si="107"/>
        <v>2.25</v>
      </c>
      <c r="O295" s="51">
        <f>IFERROR((('DATA B2'!F296-'DATA B2'!F295)/(K295))*1000,0)</f>
        <v>0</v>
      </c>
      <c r="P295" s="94">
        <f>'DATA B3'!C296</f>
        <v>221206</v>
      </c>
      <c r="Q295" s="91">
        <f t="shared" si="112"/>
        <v>0</v>
      </c>
      <c r="R295" s="80">
        <f>'DATA B3'!D296</f>
        <v>165812</v>
      </c>
      <c r="S295" s="80">
        <f t="shared" si="113"/>
        <v>0</v>
      </c>
      <c r="T295" s="15">
        <f t="shared" si="108"/>
        <v>0</v>
      </c>
      <c r="U295" s="15">
        <f>IFERROR((('DATA B3'!E296-'DATA B3'!E295)+('DATA B3'!F296-'DATA B3'!F295))/('WATER_STEAM RATIO'!P295-'WATER_STEAM RATIO'!P294),0)</f>
        <v>0</v>
      </c>
    </row>
    <row r="296" spans="2:21" ht="15.75" thickBot="1">
      <c r="B296" s="293"/>
      <c r="C296" s="235"/>
      <c r="D296" s="224" cm="1">
        <f t="array" ref="D296">IFERROR(LOOKUP(2,1/(D271:D295&gt;0),D271:D295-D271),0)</f>
        <v>0</v>
      </c>
      <c r="E296" s="223">
        <f>SUMIF(E272:E295,"&gt;=0",E272:E295)</f>
        <v>0</v>
      </c>
      <c r="F296" s="224" cm="1">
        <f t="array" ref="F296">IFERROR(LOOKUP(2,1/(F271:F295&gt;0),F271:F295-F271),0)</f>
        <v>0</v>
      </c>
      <c r="G296" s="223">
        <f>SUMIF(G272:G295,"&gt;=0",G272:G295)</f>
        <v>0</v>
      </c>
      <c r="H296" s="225">
        <f t="shared" si="105"/>
        <v>0</v>
      </c>
      <c r="I296" s="236">
        <f>IFERROR((('DATA B1'!H297)/(E296))*1000,0)</f>
        <v>0</v>
      </c>
      <c r="J296" s="222" cm="1">
        <f t="array" ref="J296">IFERROR(LOOKUP(2,1/(J271:J295&gt;0),J271:J295-J271),0)</f>
        <v>192</v>
      </c>
      <c r="K296" s="223">
        <f>SUMIF(K272:K295,"&gt;=0",K272:K295)</f>
        <v>192</v>
      </c>
      <c r="L296" s="224" cm="1">
        <f t="array" ref="L296">IFERROR(LOOKUP(2,1/(L271:L295&gt;0),L271:L295-L271),0)</f>
        <v>541</v>
      </c>
      <c r="M296" s="223">
        <f>SUMIF(M272:M295,"&gt;=0",M272:M295)</f>
        <v>541</v>
      </c>
      <c r="N296" s="225">
        <f>IFERROR(M296/K296,0)</f>
        <v>2.8177083333333335</v>
      </c>
      <c r="O296" s="226">
        <f>IFERROR((('DATA B2'!H297)/(K296))*1000,0)</f>
        <v>4.6874999999994837E-3</v>
      </c>
      <c r="P296" s="224" cm="1">
        <f t="array" ref="P296">IFERROR(LOOKUP(2,1/(P271:P295&gt;0),P271:P295-P271),0)</f>
        <v>0</v>
      </c>
      <c r="Q296" s="223">
        <f>SUMIF(Q272:Q295,"&gt;=0",Q272:Q295)</f>
        <v>0</v>
      </c>
      <c r="R296" s="224" cm="1">
        <f t="array" ref="R296">IFERROR(LOOKUP(2,1/(R271:R295&gt;0),R271:R295-R271),0)</f>
        <v>0</v>
      </c>
      <c r="S296" s="223">
        <f>SUMIF(S272:S295,"&gt;=0",S272:S295)</f>
        <v>0</v>
      </c>
      <c r="T296" s="237">
        <f t="shared" si="108"/>
        <v>0</v>
      </c>
      <c r="U296" s="226">
        <f>IFERROR(('DATA B3'!E297+'DATA B3'!F297)/Q296*1000,0)</f>
        <v>0</v>
      </c>
    </row>
    <row r="297" spans="2:21" ht="15" customHeight="1">
      <c r="B297" s="291">
        <f>SUM('DATA B1'!B298:B323)</f>
        <v>46034</v>
      </c>
      <c r="C297" s="97">
        <v>0.29166666666666669</v>
      </c>
      <c r="D297" s="84">
        <f>'DATA B1'!D298</f>
        <v>222134</v>
      </c>
      <c r="E297" s="5">
        <f>SUM(E295)</f>
        <v>0</v>
      </c>
      <c r="F297" s="80">
        <f>'DATA B1'!E298</f>
        <v>524526</v>
      </c>
      <c r="G297" s="80">
        <f>SUM(G295)</f>
        <v>0</v>
      </c>
      <c r="H297" s="28">
        <f t="shared" si="105"/>
        <v>0</v>
      </c>
      <c r="I297" s="45"/>
      <c r="J297" s="50">
        <f>'DATA B2'!D298</f>
        <v>513661</v>
      </c>
      <c r="K297" s="82">
        <f>SUM(K295)</f>
        <v>8</v>
      </c>
      <c r="L297" s="80">
        <f>'DATA B2'!E298</f>
        <v>571553</v>
      </c>
      <c r="M297" s="80">
        <f>SUM(M295)</f>
        <v>18</v>
      </c>
      <c r="N297" s="28">
        <f>IFERROR(M297/K297,0)</f>
        <v>2.25</v>
      </c>
      <c r="O297" s="103"/>
      <c r="P297" s="94">
        <f>'DATA B3'!C298</f>
        <v>221206</v>
      </c>
      <c r="Q297" s="91">
        <f>SUM(Q295)</f>
        <v>0</v>
      </c>
      <c r="R297" s="80">
        <f>'DATA B3'!D298</f>
        <v>165812</v>
      </c>
      <c r="S297" s="80">
        <f>SUM(S295)</f>
        <v>0</v>
      </c>
      <c r="T297" s="15">
        <f>IFERROR(S297/Q297,0)</f>
        <v>0</v>
      </c>
      <c r="U297" s="15"/>
    </row>
    <row r="298" spans="2:21">
      <c r="B298" s="292"/>
      <c r="C298" s="97">
        <v>0.33333333333333298</v>
      </c>
      <c r="D298" s="84">
        <f>'DATA B1'!D299</f>
        <v>222134</v>
      </c>
      <c r="E298" s="5">
        <f t="shared" ref="E298:E304" si="115">SUM(D298-D297)</f>
        <v>0</v>
      </c>
      <c r="F298" s="80">
        <f>'DATA B1'!E299</f>
        <v>524526</v>
      </c>
      <c r="G298" s="80">
        <f>SUM(F298-F297)</f>
        <v>0</v>
      </c>
      <c r="H298" s="28">
        <f t="shared" si="105"/>
        <v>0</v>
      </c>
      <c r="I298" s="45">
        <f>IFERROR((('DATA B1'!G299-'DATA B1'!G298)/('WATER_STEAM RATIO'!D298-'WATER_STEAM RATIO'!D297))*1000,0)</f>
        <v>0</v>
      </c>
      <c r="J298" s="50">
        <f>'DATA B2'!D299</f>
        <v>513673</v>
      </c>
      <c r="K298" s="82">
        <f>SUM(J298-J297)</f>
        <v>12</v>
      </c>
      <c r="L298" s="80">
        <f>'DATA B2'!E299</f>
        <v>571582</v>
      </c>
      <c r="M298" s="80">
        <f>SUM(L298-L297)</f>
        <v>29</v>
      </c>
      <c r="N298" s="28">
        <f t="shared" ref="N298:N321" si="116">IFERROR(M298/K298,0)</f>
        <v>2.4166666666666665</v>
      </c>
      <c r="O298" s="51">
        <f>IFERROR((('DATA B2'!F299-'DATA B2'!F298)/(K298))*1000,0)</f>
        <v>0</v>
      </c>
      <c r="P298" s="94">
        <f>'DATA B3'!C299</f>
        <v>221206</v>
      </c>
      <c r="Q298" s="91">
        <f>SUM(P298-P297)</f>
        <v>0</v>
      </c>
      <c r="R298" s="80">
        <f>'DATA B3'!D299</f>
        <v>165812</v>
      </c>
      <c r="S298" s="80">
        <f>SUM(R298-R297)</f>
        <v>0</v>
      </c>
      <c r="T298" s="15">
        <f t="shared" ref="T298:T322" si="117">IFERROR(S298/Q298,0)</f>
        <v>0</v>
      </c>
      <c r="U298" s="15">
        <f>IFERROR((('DATA B3'!E299-'DATA B3'!E298)+('DATA B3'!F299-'DATA B3'!F298))/('WATER_STEAM RATIO'!P298-'WATER_STEAM RATIO'!P297),0)</f>
        <v>0</v>
      </c>
    </row>
    <row r="299" spans="2:21">
      <c r="B299" s="292"/>
      <c r="C299" s="97">
        <v>0.375</v>
      </c>
      <c r="D299" s="84">
        <f>'DATA B1'!D300</f>
        <v>222134</v>
      </c>
      <c r="E299" s="5">
        <f t="shared" si="115"/>
        <v>0</v>
      </c>
      <c r="F299" s="80">
        <f>'DATA B1'!E300</f>
        <v>524526</v>
      </c>
      <c r="G299" s="80">
        <f t="shared" ref="G299:G321" si="118">SUM(F299-F298)</f>
        <v>0</v>
      </c>
      <c r="H299" s="28">
        <f t="shared" si="105"/>
        <v>0</v>
      </c>
      <c r="I299" s="45">
        <f>IFERROR((('DATA B1'!G300-'DATA B1'!G299)/('WATER_STEAM RATIO'!D299-'WATER_STEAM RATIO'!D298))*1000,0)</f>
        <v>0</v>
      </c>
      <c r="J299" s="50">
        <f>'DATA B2'!D300</f>
        <v>513680</v>
      </c>
      <c r="K299" s="82">
        <f t="shared" ref="K299:K320" si="119">SUM(J299-J298)</f>
        <v>7</v>
      </c>
      <c r="L299" s="80">
        <f>'DATA B2'!E300</f>
        <v>571598</v>
      </c>
      <c r="M299" s="80">
        <f t="shared" ref="M299:M321" si="120">SUM(L299-L298)</f>
        <v>16</v>
      </c>
      <c r="N299" s="28">
        <f t="shared" si="116"/>
        <v>2.2857142857142856</v>
      </c>
      <c r="O299" s="51">
        <f>IFERROR((('DATA B2'!F300-'DATA B2'!F299)/(K299))*1000,0)</f>
        <v>1.4285714285712712E-2</v>
      </c>
      <c r="P299" s="94">
        <f>'DATA B3'!C300</f>
        <v>221206</v>
      </c>
      <c r="Q299" s="91">
        <f t="shared" ref="Q299:Q321" si="121">SUM(P299-P298)</f>
        <v>0</v>
      </c>
      <c r="R299" s="80">
        <f>'DATA B3'!D300</f>
        <v>165812</v>
      </c>
      <c r="S299" s="80">
        <f t="shared" ref="S299:S321" si="122">SUM(R299-R298)</f>
        <v>0</v>
      </c>
      <c r="T299" s="15">
        <f t="shared" si="117"/>
        <v>0</v>
      </c>
      <c r="U299" s="15">
        <f>IFERROR((('DATA B3'!E300-'DATA B3'!E299)+('DATA B3'!F300-'DATA B3'!F299))/('WATER_STEAM RATIO'!P299-'WATER_STEAM RATIO'!P298),0)</f>
        <v>0</v>
      </c>
    </row>
    <row r="300" spans="2:21">
      <c r="B300" s="292"/>
      <c r="C300" s="97">
        <v>0.41666666666666702</v>
      </c>
      <c r="D300" s="84">
        <f>'DATA B1'!D301</f>
        <v>222134</v>
      </c>
      <c r="E300" s="5">
        <f t="shared" si="115"/>
        <v>0</v>
      </c>
      <c r="F300" s="80">
        <f>'DATA B1'!E301</f>
        <v>524526</v>
      </c>
      <c r="G300" s="80">
        <f t="shared" si="118"/>
        <v>0</v>
      </c>
      <c r="H300" s="28">
        <f t="shared" si="105"/>
        <v>0</v>
      </c>
      <c r="I300" s="45">
        <f>IFERROR((('DATA B1'!G301-'DATA B1'!G300)/('WATER_STEAM RATIO'!D300-'WATER_STEAM RATIO'!D299))*1000,0)</f>
        <v>0</v>
      </c>
      <c r="J300" s="50">
        <f>'DATA B2'!D301</f>
        <v>513687</v>
      </c>
      <c r="K300" s="82">
        <f t="shared" si="119"/>
        <v>7</v>
      </c>
      <c r="L300" s="80">
        <f>'DATA B2'!E301</f>
        <v>571614</v>
      </c>
      <c r="M300" s="80">
        <f t="shared" si="120"/>
        <v>16</v>
      </c>
      <c r="N300" s="28">
        <f t="shared" si="116"/>
        <v>2.2857142857142856</v>
      </c>
      <c r="O300" s="51">
        <f>IFERROR((('DATA B2'!F301-'DATA B2'!F300)/(K300))*1000,0)</f>
        <v>0</v>
      </c>
      <c r="P300" s="94">
        <f>'DATA B3'!C301</f>
        <v>221206</v>
      </c>
      <c r="Q300" s="91">
        <f t="shared" si="121"/>
        <v>0</v>
      </c>
      <c r="R300" s="80">
        <f>'DATA B3'!D301</f>
        <v>165812</v>
      </c>
      <c r="S300" s="80">
        <f t="shared" si="122"/>
        <v>0</v>
      </c>
      <c r="T300" s="15">
        <f t="shared" si="117"/>
        <v>0</v>
      </c>
      <c r="U300" s="15">
        <f>IFERROR((('DATA B3'!E301-'DATA B3'!E300)+('DATA B3'!F301-'DATA B3'!F300))/('WATER_STEAM RATIO'!P300-'WATER_STEAM RATIO'!P299),0)</f>
        <v>0</v>
      </c>
    </row>
    <row r="301" spans="2:21">
      <c r="B301" s="292"/>
      <c r="C301" s="97">
        <v>0.45833333333333298</v>
      </c>
      <c r="D301" s="84">
        <f>'DATA B1'!D302</f>
        <v>222134</v>
      </c>
      <c r="E301" s="5">
        <f t="shared" si="115"/>
        <v>0</v>
      </c>
      <c r="F301" s="80">
        <f>'DATA B1'!E302</f>
        <v>524526</v>
      </c>
      <c r="G301" s="80">
        <f t="shared" si="118"/>
        <v>0</v>
      </c>
      <c r="H301" s="28">
        <f t="shared" si="105"/>
        <v>0</v>
      </c>
      <c r="I301" s="45">
        <f>IFERROR((('DATA B1'!G302-'DATA B1'!G301)/('WATER_STEAM RATIO'!D301-'WATER_STEAM RATIO'!D300))*1000,0)</f>
        <v>0</v>
      </c>
      <c r="J301" s="50">
        <f>'DATA B2'!D302</f>
        <v>513695</v>
      </c>
      <c r="K301" s="82">
        <f t="shared" si="119"/>
        <v>8</v>
      </c>
      <c r="L301" s="80">
        <f>'DATA B2'!E302</f>
        <v>571632</v>
      </c>
      <c r="M301" s="80">
        <f t="shared" si="120"/>
        <v>18</v>
      </c>
      <c r="N301" s="28">
        <f t="shared" si="116"/>
        <v>2.25</v>
      </c>
      <c r="O301" s="51">
        <f>IFERROR((('DATA B2'!F302-'DATA B2'!F301)/(K301))*1000,0)</f>
        <v>0</v>
      </c>
      <c r="P301" s="94">
        <f>'DATA B3'!C302</f>
        <v>221206</v>
      </c>
      <c r="Q301" s="91">
        <f t="shared" si="121"/>
        <v>0</v>
      </c>
      <c r="R301" s="80">
        <f>'DATA B3'!D302</f>
        <v>165812</v>
      </c>
      <c r="S301" s="80">
        <f t="shared" si="122"/>
        <v>0</v>
      </c>
      <c r="T301" s="15">
        <f t="shared" si="117"/>
        <v>0</v>
      </c>
      <c r="U301" s="15">
        <f>IFERROR((('DATA B3'!E302-'DATA B3'!E301)+('DATA B3'!F302-'DATA B3'!F301))/('WATER_STEAM RATIO'!P301-'WATER_STEAM RATIO'!P300),0)</f>
        <v>0</v>
      </c>
    </row>
    <row r="302" spans="2:21">
      <c r="B302" s="292"/>
      <c r="C302" s="97">
        <v>0.5</v>
      </c>
      <c r="D302" s="84">
        <f>'DATA B1'!D303</f>
        <v>222134</v>
      </c>
      <c r="E302" s="5">
        <f t="shared" si="115"/>
        <v>0</v>
      </c>
      <c r="F302" s="80">
        <f>'DATA B1'!E303</f>
        <v>524526</v>
      </c>
      <c r="G302" s="80">
        <f t="shared" si="118"/>
        <v>0</v>
      </c>
      <c r="H302" s="28">
        <f t="shared" si="105"/>
        <v>0</v>
      </c>
      <c r="I302" s="45">
        <f>IFERROR((('DATA B1'!G303-'DATA B1'!G302)/('WATER_STEAM RATIO'!D302-'WATER_STEAM RATIO'!D301))*1000,0)</f>
        <v>0</v>
      </c>
      <c r="J302" s="50">
        <f>'DATA B2'!D303</f>
        <v>513705</v>
      </c>
      <c r="K302" s="82">
        <f t="shared" si="119"/>
        <v>10</v>
      </c>
      <c r="L302" s="80">
        <f>'DATA B2'!E303</f>
        <v>571659</v>
      </c>
      <c r="M302" s="80">
        <f t="shared" si="120"/>
        <v>27</v>
      </c>
      <c r="N302" s="28">
        <f t="shared" si="116"/>
        <v>2.7</v>
      </c>
      <c r="O302" s="51">
        <f>IFERROR((('DATA B2'!F303-'DATA B2'!F302)/(K302))*1000,0)</f>
        <v>9.9999999999988987E-3</v>
      </c>
      <c r="P302" s="94">
        <f>'DATA B3'!C303</f>
        <v>221206</v>
      </c>
      <c r="Q302" s="91">
        <f t="shared" si="121"/>
        <v>0</v>
      </c>
      <c r="R302" s="80">
        <f>'DATA B3'!D303</f>
        <v>165812</v>
      </c>
      <c r="S302" s="80">
        <f t="shared" si="122"/>
        <v>0</v>
      </c>
      <c r="T302" s="15">
        <f t="shared" si="117"/>
        <v>0</v>
      </c>
      <c r="U302" s="15">
        <f>IFERROR((('DATA B3'!E303-'DATA B3'!E302)+('DATA B3'!F303-'DATA B3'!F302))/('WATER_STEAM RATIO'!P302-'WATER_STEAM RATIO'!P301),0)</f>
        <v>0</v>
      </c>
    </row>
    <row r="303" spans="2:21">
      <c r="B303" s="292"/>
      <c r="C303" s="97">
        <v>0.54166666666666696</v>
      </c>
      <c r="D303" s="84">
        <f>'DATA B1'!D304</f>
        <v>222134</v>
      </c>
      <c r="E303" s="5">
        <f t="shared" si="115"/>
        <v>0</v>
      </c>
      <c r="F303" s="80">
        <f>'DATA B1'!E304</f>
        <v>524526</v>
      </c>
      <c r="G303" s="80">
        <f t="shared" si="118"/>
        <v>0</v>
      </c>
      <c r="H303" s="28">
        <f t="shared" si="105"/>
        <v>0</v>
      </c>
      <c r="I303" s="45">
        <f>IFERROR((('DATA B1'!G304-'DATA B1'!G303)/('WATER_STEAM RATIO'!D303-'WATER_STEAM RATIO'!D302))*1000,0)</f>
        <v>0</v>
      </c>
      <c r="J303" s="50">
        <f>'DATA B2'!D304</f>
        <v>513715</v>
      </c>
      <c r="K303" s="82">
        <f t="shared" si="119"/>
        <v>10</v>
      </c>
      <c r="L303" s="80">
        <f>'DATA B2'!E304</f>
        <v>571686</v>
      </c>
      <c r="M303" s="80">
        <f t="shared" si="120"/>
        <v>27</v>
      </c>
      <c r="N303" s="28">
        <f t="shared" si="116"/>
        <v>2.7</v>
      </c>
      <c r="O303" s="51">
        <f>IFERROR((('DATA B2'!F304-'DATA B2'!F303)/(K303))*1000,0)</f>
        <v>0</v>
      </c>
      <c r="P303" s="94">
        <f>'DATA B3'!C304</f>
        <v>221206</v>
      </c>
      <c r="Q303" s="91">
        <f t="shared" si="121"/>
        <v>0</v>
      </c>
      <c r="R303" s="80">
        <f>'DATA B3'!D304</f>
        <v>165812</v>
      </c>
      <c r="S303" s="80">
        <f t="shared" si="122"/>
        <v>0</v>
      </c>
      <c r="T303" s="15">
        <f t="shared" si="117"/>
        <v>0</v>
      </c>
      <c r="U303" s="15">
        <f>IFERROR((('DATA B3'!E304-'DATA B3'!E303)+('DATA B3'!F304-'DATA B3'!F303))/('WATER_STEAM RATIO'!P303-'WATER_STEAM RATIO'!P302),0)</f>
        <v>0</v>
      </c>
    </row>
    <row r="304" spans="2:21">
      <c r="B304" s="292"/>
      <c r="C304" s="97">
        <v>0.58333333333333304</v>
      </c>
      <c r="D304" s="84">
        <f>'DATA B1'!D305</f>
        <v>222134</v>
      </c>
      <c r="E304" s="5">
        <f t="shared" si="115"/>
        <v>0</v>
      </c>
      <c r="F304" s="80">
        <f>'DATA B1'!E305</f>
        <v>524526</v>
      </c>
      <c r="G304" s="80">
        <f t="shared" si="118"/>
        <v>0</v>
      </c>
      <c r="H304" s="28">
        <f t="shared" si="105"/>
        <v>0</v>
      </c>
      <c r="I304" s="45">
        <f>IFERROR((('DATA B1'!G305-'DATA B1'!G304)/('WATER_STEAM RATIO'!D304-'WATER_STEAM RATIO'!D303))*1000,0)</f>
        <v>0</v>
      </c>
      <c r="J304" s="50">
        <f>'DATA B2'!D305</f>
        <v>513726</v>
      </c>
      <c r="K304" s="82">
        <f t="shared" si="119"/>
        <v>11</v>
      </c>
      <c r="L304" s="80">
        <f>'DATA B2'!E305</f>
        <v>571713</v>
      </c>
      <c r="M304" s="80">
        <f t="shared" si="120"/>
        <v>27</v>
      </c>
      <c r="N304" s="28">
        <f t="shared" si="116"/>
        <v>2.4545454545454546</v>
      </c>
      <c r="O304" s="51">
        <f>IFERROR((('DATA B2'!F305-'DATA B2'!F304)/(K304))*1000,0)</f>
        <v>0</v>
      </c>
      <c r="P304" s="94">
        <f>'DATA B3'!C305</f>
        <v>221206</v>
      </c>
      <c r="Q304" s="91">
        <f t="shared" si="121"/>
        <v>0</v>
      </c>
      <c r="R304" s="80">
        <f>'DATA B3'!D305</f>
        <v>165812</v>
      </c>
      <c r="S304" s="80">
        <f t="shared" si="122"/>
        <v>0</v>
      </c>
      <c r="T304" s="15">
        <f t="shared" si="117"/>
        <v>0</v>
      </c>
      <c r="U304" s="15">
        <f>IFERROR((('DATA B3'!E305-'DATA B3'!E304)+('DATA B3'!F305-'DATA B3'!F304))/('WATER_STEAM RATIO'!P304-'WATER_STEAM RATIO'!P303),0)</f>
        <v>0</v>
      </c>
    </row>
    <row r="305" spans="2:21">
      <c r="B305" s="292"/>
      <c r="C305" s="97">
        <v>0.625</v>
      </c>
      <c r="D305" s="84">
        <f>'DATA B1'!D306</f>
        <v>222134</v>
      </c>
      <c r="E305" s="5">
        <f t="shared" ref="E305:E321" si="123">SUM(D305-D304)</f>
        <v>0</v>
      </c>
      <c r="F305" s="80">
        <f>'DATA B1'!E306</f>
        <v>524526</v>
      </c>
      <c r="G305" s="80">
        <f t="shared" si="118"/>
        <v>0</v>
      </c>
      <c r="H305" s="28">
        <f t="shared" si="105"/>
        <v>0</v>
      </c>
      <c r="I305" s="45">
        <f>IFERROR((('DATA B1'!G306-'DATA B1'!G305)/('WATER_STEAM RATIO'!D305-'WATER_STEAM RATIO'!D304))*1000,0)</f>
        <v>0</v>
      </c>
      <c r="J305" s="50">
        <f>'DATA B2'!D306</f>
        <v>513737</v>
      </c>
      <c r="K305" s="82">
        <f t="shared" si="119"/>
        <v>11</v>
      </c>
      <c r="L305" s="80">
        <f>'DATA B2'!E306</f>
        <v>571736</v>
      </c>
      <c r="M305" s="80">
        <f t="shared" si="120"/>
        <v>23</v>
      </c>
      <c r="N305" s="28">
        <f t="shared" si="116"/>
        <v>2.0909090909090908</v>
      </c>
      <c r="O305" s="51">
        <f>IFERROR((('DATA B2'!F306-'DATA B2'!F305)/(K305))*1000,0)</f>
        <v>9.0909090909080895E-3</v>
      </c>
      <c r="P305" s="94">
        <f>'DATA B3'!C306</f>
        <v>221206</v>
      </c>
      <c r="Q305" s="91">
        <f t="shared" si="121"/>
        <v>0</v>
      </c>
      <c r="R305" s="80">
        <f>'DATA B3'!D306</f>
        <v>165812</v>
      </c>
      <c r="S305" s="80">
        <f t="shared" si="122"/>
        <v>0</v>
      </c>
      <c r="T305" s="15">
        <f t="shared" si="117"/>
        <v>0</v>
      </c>
      <c r="U305" s="15">
        <f>IFERROR((('DATA B3'!E306-'DATA B3'!E305)+('DATA B3'!F306-'DATA B3'!F305))/('WATER_STEAM RATIO'!P305-'WATER_STEAM RATIO'!P304),0)</f>
        <v>0</v>
      </c>
    </row>
    <row r="306" spans="2:21">
      <c r="B306" s="292"/>
      <c r="C306" s="97">
        <v>0.66666666666666596</v>
      </c>
      <c r="D306" s="84">
        <f>'DATA B1'!D307</f>
        <v>222134</v>
      </c>
      <c r="E306" s="5">
        <f t="shared" si="123"/>
        <v>0</v>
      </c>
      <c r="F306" s="80">
        <f>'DATA B1'!E307</f>
        <v>524526</v>
      </c>
      <c r="G306" s="80">
        <f t="shared" si="118"/>
        <v>0</v>
      </c>
      <c r="H306" s="28">
        <f t="shared" si="105"/>
        <v>0</v>
      </c>
      <c r="I306" s="45">
        <f>IFERROR((('DATA B1'!G307-'DATA B1'!G306)/('WATER_STEAM RATIO'!D306-'WATER_STEAM RATIO'!D305))*1000,0)</f>
        <v>0</v>
      </c>
      <c r="J306" s="50">
        <f>'DATA B2'!D307</f>
        <v>513747</v>
      </c>
      <c r="K306" s="82">
        <f>SUM(J306-J305)</f>
        <v>10</v>
      </c>
      <c r="L306" s="80">
        <f>'DATA B2'!E307</f>
        <v>571760</v>
      </c>
      <c r="M306" s="80">
        <f t="shared" si="120"/>
        <v>24</v>
      </c>
      <c r="N306" s="28">
        <f t="shared" si="116"/>
        <v>2.4</v>
      </c>
      <c r="O306" s="51">
        <f>IFERROR((('DATA B2'!F307-'DATA B2'!F306)/(K306))*1000,0)</f>
        <v>0</v>
      </c>
      <c r="P306" s="94">
        <f>'DATA B3'!C307</f>
        <v>221206</v>
      </c>
      <c r="Q306" s="91">
        <f t="shared" si="121"/>
        <v>0</v>
      </c>
      <c r="R306" s="80">
        <f>'DATA B3'!D307</f>
        <v>165812</v>
      </c>
      <c r="S306" s="80">
        <f t="shared" si="122"/>
        <v>0</v>
      </c>
      <c r="T306" s="15">
        <f t="shared" si="117"/>
        <v>0</v>
      </c>
      <c r="U306" s="15">
        <f>IFERROR((('DATA B3'!E307-'DATA B3'!E306)+('DATA B3'!F307-'DATA B3'!F306))/('WATER_STEAM RATIO'!P306-'WATER_STEAM RATIO'!P305),0)</f>
        <v>0</v>
      </c>
    </row>
    <row r="307" spans="2:21">
      <c r="B307" s="292"/>
      <c r="C307" s="97">
        <v>0.70833333333333304</v>
      </c>
      <c r="D307" s="84">
        <f>'DATA B1'!D308</f>
        <v>222134</v>
      </c>
      <c r="E307" s="5">
        <f t="shared" si="123"/>
        <v>0</v>
      </c>
      <c r="F307" s="80">
        <f>'DATA B1'!E308</f>
        <v>524526</v>
      </c>
      <c r="G307" s="80">
        <f t="shared" si="118"/>
        <v>0</v>
      </c>
      <c r="H307" s="28">
        <f t="shared" si="105"/>
        <v>0</v>
      </c>
      <c r="I307" s="45">
        <f>IFERROR((('DATA B1'!G308-'DATA B1'!G307)/('WATER_STEAM RATIO'!D307-'WATER_STEAM RATIO'!D306))*1000,0)</f>
        <v>0</v>
      </c>
      <c r="J307" s="50">
        <f>'DATA B2'!D308</f>
        <v>513758</v>
      </c>
      <c r="K307" s="82">
        <f t="shared" si="119"/>
        <v>11</v>
      </c>
      <c r="L307" s="80">
        <f>'DATA B2'!E308</f>
        <v>571784</v>
      </c>
      <c r="M307" s="80">
        <f t="shared" si="120"/>
        <v>24</v>
      </c>
      <c r="N307" s="28">
        <f t="shared" si="116"/>
        <v>2.1818181818181817</v>
      </c>
      <c r="O307" s="51">
        <f>IFERROR((('DATA B2'!F308-'DATA B2'!F307)/(K307))*1000,0)</f>
        <v>0</v>
      </c>
      <c r="P307" s="94">
        <f>'DATA B3'!C308</f>
        <v>221206</v>
      </c>
      <c r="Q307" s="91">
        <f t="shared" si="121"/>
        <v>0</v>
      </c>
      <c r="R307" s="80">
        <f>'DATA B3'!D308</f>
        <v>165812</v>
      </c>
      <c r="S307" s="80">
        <f t="shared" si="122"/>
        <v>0</v>
      </c>
      <c r="T307" s="15">
        <f t="shared" si="117"/>
        <v>0</v>
      </c>
      <c r="U307" s="15">
        <f>IFERROR((('DATA B3'!E308-'DATA B3'!E307)+('DATA B3'!F308-'DATA B3'!F307))/('WATER_STEAM RATIO'!P307-'WATER_STEAM RATIO'!P306),0)</f>
        <v>0</v>
      </c>
    </row>
    <row r="308" spans="2:21">
      <c r="B308" s="292"/>
      <c r="C308" s="97">
        <v>0.75</v>
      </c>
      <c r="D308" s="84">
        <f>'DATA B1'!D309</f>
        <v>222134</v>
      </c>
      <c r="E308" s="5">
        <f t="shared" si="123"/>
        <v>0</v>
      </c>
      <c r="F308" s="80">
        <f>'DATA B1'!E309</f>
        <v>524526</v>
      </c>
      <c r="G308" s="80">
        <f t="shared" si="118"/>
        <v>0</v>
      </c>
      <c r="H308" s="28">
        <f t="shared" si="105"/>
        <v>0</v>
      </c>
      <c r="I308" s="45">
        <f>IFERROR((('DATA B1'!G309-'DATA B1'!G308)/('WATER_STEAM RATIO'!D308-'WATER_STEAM RATIO'!D307))*1000,0)</f>
        <v>0</v>
      </c>
      <c r="J308" s="50">
        <f>'DATA B2'!D309</f>
        <v>513769</v>
      </c>
      <c r="K308" s="82">
        <f t="shared" si="119"/>
        <v>11</v>
      </c>
      <c r="L308" s="80">
        <f>'DATA B2'!E309</f>
        <v>571808</v>
      </c>
      <c r="M308" s="80">
        <f t="shared" si="120"/>
        <v>24</v>
      </c>
      <c r="N308" s="28">
        <f t="shared" si="116"/>
        <v>2.1818181818181817</v>
      </c>
      <c r="O308" s="51">
        <f>IFERROR((('DATA B2'!F309-'DATA B2'!F308)/(K308))*1000,0)</f>
        <v>9.0909090909080895E-3</v>
      </c>
      <c r="P308" s="94">
        <f>'DATA B3'!C309</f>
        <v>221206</v>
      </c>
      <c r="Q308" s="91">
        <f t="shared" si="121"/>
        <v>0</v>
      </c>
      <c r="R308" s="80">
        <f>'DATA B3'!D309</f>
        <v>165812</v>
      </c>
      <c r="S308" s="80">
        <f t="shared" si="122"/>
        <v>0</v>
      </c>
      <c r="T308" s="15">
        <f t="shared" si="117"/>
        <v>0</v>
      </c>
      <c r="U308" s="15">
        <f>IFERROR((('DATA B3'!E309-'DATA B3'!E308)+('DATA B3'!F309-'DATA B3'!F308))/('WATER_STEAM RATIO'!P308-'WATER_STEAM RATIO'!P307),0)</f>
        <v>0</v>
      </c>
    </row>
    <row r="309" spans="2:21">
      <c r="B309" s="292"/>
      <c r="C309" s="97">
        <v>0.79166666666666596</v>
      </c>
      <c r="D309" s="84">
        <f>'DATA B1'!D310</f>
        <v>222134</v>
      </c>
      <c r="E309" s="5">
        <f t="shared" si="123"/>
        <v>0</v>
      </c>
      <c r="F309" s="80">
        <f>'DATA B1'!E310</f>
        <v>524526</v>
      </c>
      <c r="G309" s="80">
        <f t="shared" si="118"/>
        <v>0</v>
      </c>
      <c r="H309" s="28">
        <f t="shared" si="105"/>
        <v>0</v>
      </c>
      <c r="I309" s="45">
        <f>IFERROR((('DATA B1'!G310-'DATA B1'!G309)/('WATER_STEAM RATIO'!D309-'WATER_STEAM RATIO'!D308))*1000,0)</f>
        <v>0</v>
      </c>
      <c r="J309" s="50">
        <f>'DATA B2'!D310</f>
        <v>513780</v>
      </c>
      <c r="K309" s="82">
        <f t="shared" si="119"/>
        <v>11</v>
      </c>
      <c r="L309" s="80">
        <f>'DATA B2'!E310</f>
        <v>571834</v>
      </c>
      <c r="M309" s="80">
        <f t="shared" si="120"/>
        <v>26</v>
      </c>
      <c r="N309" s="28">
        <f t="shared" si="116"/>
        <v>2.3636363636363638</v>
      </c>
      <c r="O309" s="51">
        <f>IFERROR((('DATA B2'!F310-'DATA B2'!F309)/(K309))*1000,0)</f>
        <v>0</v>
      </c>
      <c r="P309" s="94">
        <f>'DATA B3'!C310</f>
        <v>221206</v>
      </c>
      <c r="Q309" s="91">
        <f t="shared" si="121"/>
        <v>0</v>
      </c>
      <c r="R309" s="80">
        <f>'DATA B3'!D310</f>
        <v>165812</v>
      </c>
      <c r="S309" s="80">
        <f t="shared" si="122"/>
        <v>0</v>
      </c>
      <c r="T309" s="15">
        <f t="shared" si="117"/>
        <v>0</v>
      </c>
      <c r="U309" s="15">
        <f>IFERROR((('DATA B3'!E310-'DATA B3'!E309)+('DATA B3'!F310-'DATA B3'!F309))/('WATER_STEAM RATIO'!P309-'WATER_STEAM RATIO'!P308),0)</f>
        <v>0</v>
      </c>
    </row>
    <row r="310" spans="2:21">
      <c r="B310" s="292"/>
      <c r="C310" s="97">
        <v>0.83333333333333304</v>
      </c>
      <c r="D310" s="84">
        <f>'DATA B1'!D311</f>
        <v>222134</v>
      </c>
      <c r="E310" s="5">
        <f t="shared" si="123"/>
        <v>0</v>
      </c>
      <c r="F310" s="80">
        <f>'DATA B1'!E311</f>
        <v>524526</v>
      </c>
      <c r="G310" s="80">
        <f t="shared" si="118"/>
        <v>0</v>
      </c>
      <c r="H310" s="28">
        <f t="shared" si="105"/>
        <v>0</v>
      </c>
      <c r="I310" s="45">
        <f>IFERROR((('DATA B1'!G311-'DATA B1'!G310)/('WATER_STEAM RATIO'!D310-'WATER_STEAM RATIO'!D309))*1000,0)</f>
        <v>0</v>
      </c>
      <c r="J310" s="50">
        <f>'DATA B2'!D311</f>
        <v>513788</v>
      </c>
      <c r="K310" s="82">
        <f t="shared" si="119"/>
        <v>8</v>
      </c>
      <c r="L310" s="80">
        <f>'DATA B2'!E311</f>
        <v>571860</v>
      </c>
      <c r="M310" s="80">
        <f t="shared" si="120"/>
        <v>26</v>
      </c>
      <c r="N310" s="28">
        <f t="shared" si="116"/>
        <v>3.25</v>
      </c>
      <c r="O310" s="51">
        <f>IFERROR((('DATA B2'!F311-'DATA B2'!F310)/(K310))*1000,0)</f>
        <v>2.4999999999997247E-2</v>
      </c>
      <c r="P310" s="94">
        <f>'DATA B3'!C311</f>
        <v>221206</v>
      </c>
      <c r="Q310" s="91">
        <f t="shared" si="121"/>
        <v>0</v>
      </c>
      <c r="R310" s="80">
        <f>'DATA B3'!D311</f>
        <v>165812</v>
      </c>
      <c r="S310" s="80">
        <f t="shared" si="122"/>
        <v>0</v>
      </c>
      <c r="T310" s="15">
        <f t="shared" si="117"/>
        <v>0</v>
      </c>
      <c r="U310" s="15">
        <f>IFERROR((('DATA B3'!E311-'DATA B3'!E310)+('DATA B3'!F311-'DATA B3'!F310))/('WATER_STEAM RATIO'!P310-'WATER_STEAM RATIO'!P309),0)</f>
        <v>0</v>
      </c>
    </row>
    <row r="311" spans="2:21">
      <c r="B311" s="292"/>
      <c r="C311" s="97">
        <v>0.875</v>
      </c>
      <c r="D311" s="84">
        <f>'DATA B1'!D312</f>
        <v>222134</v>
      </c>
      <c r="E311" s="5">
        <f t="shared" si="123"/>
        <v>0</v>
      </c>
      <c r="F311" s="80">
        <f>'DATA B1'!E312</f>
        <v>524526</v>
      </c>
      <c r="G311" s="80">
        <f t="shared" si="118"/>
        <v>0</v>
      </c>
      <c r="H311" s="28">
        <f t="shared" si="105"/>
        <v>0</v>
      </c>
      <c r="I311" s="45">
        <f>IFERROR((('DATA B1'!G312-'DATA B1'!G311)/('WATER_STEAM RATIO'!D311-'WATER_STEAM RATIO'!D310))*1000,0)</f>
        <v>0</v>
      </c>
      <c r="J311" s="50">
        <f>'DATA B2'!D312</f>
        <v>513795</v>
      </c>
      <c r="K311" s="82">
        <f t="shared" si="119"/>
        <v>7</v>
      </c>
      <c r="L311" s="80">
        <f>'DATA B2'!E312</f>
        <v>571879</v>
      </c>
      <c r="M311" s="80">
        <f t="shared" si="120"/>
        <v>19</v>
      </c>
      <c r="N311" s="28">
        <f>IFERROR(M311/K311,0)</f>
        <v>2.7142857142857144</v>
      </c>
      <c r="O311" s="51">
        <f>IFERROR((('DATA B2'!F312-'DATA B2'!F311)/(K311))*1000,0)</f>
        <v>0</v>
      </c>
      <c r="P311" s="94">
        <f>'DATA B3'!C312</f>
        <v>221206</v>
      </c>
      <c r="Q311" s="91">
        <f t="shared" si="121"/>
        <v>0</v>
      </c>
      <c r="R311" s="80">
        <f>'DATA B3'!D312</f>
        <v>165812</v>
      </c>
      <c r="S311" s="80">
        <f t="shared" si="122"/>
        <v>0</v>
      </c>
      <c r="T311" s="15">
        <f t="shared" si="117"/>
        <v>0</v>
      </c>
      <c r="U311" s="15">
        <f>IFERROR((('DATA B3'!E312-'DATA B3'!E311)+('DATA B3'!F312-'DATA B3'!F311))/('WATER_STEAM RATIO'!P311-'WATER_STEAM RATIO'!P310),0)</f>
        <v>0</v>
      </c>
    </row>
    <row r="312" spans="2:21">
      <c r="B312" s="292"/>
      <c r="C312" s="97">
        <v>0.91666666666666596</v>
      </c>
      <c r="D312" s="84">
        <f>'DATA B1'!D313</f>
        <v>222134</v>
      </c>
      <c r="E312" s="5">
        <f t="shared" si="123"/>
        <v>0</v>
      </c>
      <c r="F312" s="80">
        <f>'DATA B1'!E313</f>
        <v>524526</v>
      </c>
      <c r="G312" s="80">
        <f t="shared" si="118"/>
        <v>0</v>
      </c>
      <c r="H312" s="28">
        <f t="shared" si="105"/>
        <v>0</v>
      </c>
      <c r="I312" s="45">
        <f>IFERROR((('DATA B1'!G313-'DATA B1'!G312)/('WATER_STEAM RATIO'!D312-'WATER_STEAM RATIO'!D311))*1000,0)</f>
        <v>0</v>
      </c>
      <c r="J312" s="50">
        <f>'DATA B2'!D313</f>
        <v>513803</v>
      </c>
      <c r="K312" s="82">
        <f t="shared" si="119"/>
        <v>8</v>
      </c>
      <c r="L312" s="80">
        <f>'DATA B2'!E313</f>
        <v>571899</v>
      </c>
      <c r="M312" s="80">
        <f t="shared" si="120"/>
        <v>20</v>
      </c>
      <c r="N312" s="28">
        <f t="shared" si="116"/>
        <v>2.5</v>
      </c>
      <c r="O312" s="51">
        <f>IFERROR((('DATA B2'!F313-'DATA B2'!F312)/(K312))*1000,0)</f>
        <v>0</v>
      </c>
      <c r="P312" s="94">
        <f>'DATA B3'!C313</f>
        <v>221206</v>
      </c>
      <c r="Q312" s="91">
        <f t="shared" si="121"/>
        <v>0</v>
      </c>
      <c r="R312" s="80">
        <f>'DATA B3'!D313</f>
        <v>165812</v>
      </c>
      <c r="S312" s="80">
        <f t="shared" si="122"/>
        <v>0</v>
      </c>
      <c r="T312" s="15">
        <f t="shared" si="117"/>
        <v>0</v>
      </c>
      <c r="U312" s="15">
        <f>IFERROR((('DATA B3'!E313-'DATA B3'!E312)+('DATA B3'!F313-'DATA B3'!F312))/('WATER_STEAM RATIO'!P312-'WATER_STEAM RATIO'!P311),0)</f>
        <v>0</v>
      </c>
    </row>
    <row r="313" spans="2:21">
      <c r="B313" s="292"/>
      <c r="C313" s="97">
        <v>0.95833333333333304</v>
      </c>
      <c r="D313" s="84">
        <f>'DATA B1'!D314</f>
        <v>222134</v>
      </c>
      <c r="E313" s="5">
        <f t="shared" si="123"/>
        <v>0</v>
      </c>
      <c r="F313" s="80">
        <f>'DATA B1'!E314</f>
        <v>524526</v>
      </c>
      <c r="G313" s="80">
        <f t="shared" si="118"/>
        <v>0</v>
      </c>
      <c r="H313" s="28">
        <f t="shared" si="105"/>
        <v>0</v>
      </c>
      <c r="I313" s="45">
        <f>IFERROR((('DATA B1'!G314-'DATA B1'!G313)/('WATER_STEAM RATIO'!D313-'WATER_STEAM RATIO'!D312))*1000,0)</f>
        <v>0</v>
      </c>
      <c r="J313" s="50">
        <f>'DATA B2'!D314</f>
        <v>513811</v>
      </c>
      <c r="K313" s="82">
        <f>SUM(J313-J312)</f>
        <v>8</v>
      </c>
      <c r="L313" s="80">
        <f>'DATA B2'!E314</f>
        <v>571919</v>
      </c>
      <c r="M313" s="80">
        <f t="shared" si="120"/>
        <v>20</v>
      </c>
      <c r="N313" s="28">
        <f t="shared" si="116"/>
        <v>2.5</v>
      </c>
      <c r="O313" s="51">
        <f>IFERROR((('DATA B2'!F314-'DATA B2'!F313)/(K313))*1000,0)</f>
        <v>0</v>
      </c>
      <c r="P313" s="94">
        <f>'DATA B3'!C314</f>
        <v>221206</v>
      </c>
      <c r="Q313" s="91">
        <f t="shared" si="121"/>
        <v>0</v>
      </c>
      <c r="R313" s="80">
        <f>'DATA B3'!D314</f>
        <v>165812</v>
      </c>
      <c r="S313" s="80">
        <f t="shared" si="122"/>
        <v>0</v>
      </c>
      <c r="T313" s="15">
        <f t="shared" si="117"/>
        <v>0</v>
      </c>
      <c r="U313" s="15">
        <f>IFERROR((('DATA B3'!E314-'DATA B3'!E313)+('DATA B3'!F314-'DATA B3'!F313))/('WATER_STEAM RATIO'!P313-'WATER_STEAM RATIO'!P312),0)</f>
        <v>0</v>
      </c>
    </row>
    <row r="314" spans="2:21">
      <c r="B314" s="292"/>
      <c r="C314" s="97">
        <v>1</v>
      </c>
      <c r="D314" s="84">
        <f>'DATA B1'!D315</f>
        <v>222134</v>
      </c>
      <c r="E314" s="5">
        <f t="shared" si="123"/>
        <v>0</v>
      </c>
      <c r="F314" s="80">
        <f>'DATA B1'!E315</f>
        <v>524526</v>
      </c>
      <c r="G314" s="80">
        <f t="shared" si="118"/>
        <v>0</v>
      </c>
      <c r="H314" s="28">
        <f t="shared" si="105"/>
        <v>0</v>
      </c>
      <c r="I314" s="45">
        <f>IFERROR((('DATA B1'!G315-'DATA B1'!G314)/('WATER_STEAM RATIO'!D314-'WATER_STEAM RATIO'!D313))*1000,0)</f>
        <v>0</v>
      </c>
      <c r="J314" s="50">
        <f>'DATA B2'!D315</f>
        <v>513820</v>
      </c>
      <c r="K314" s="82">
        <f t="shared" si="119"/>
        <v>9</v>
      </c>
      <c r="L314" s="80">
        <f>'DATA B2'!E315</f>
        <v>571940</v>
      </c>
      <c r="M314" s="80">
        <f t="shared" si="120"/>
        <v>21</v>
      </c>
      <c r="N314" s="28">
        <f t="shared" si="116"/>
        <v>2.3333333333333335</v>
      </c>
      <c r="O314" s="51">
        <f>IFERROR((('DATA B2'!F315-'DATA B2'!F314)/(K314))*1000,0)</f>
        <v>0</v>
      </c>
      <c r="P314" s="94">
        <f>'DATA B3'!C315</f>
        <v>221206</v>
      </c>
      <c r="Q314" s="91">
        <f t="shared" si="121"/>
        <v>0</v>
      </c>
      <c r="R314" s="80">
        <f>'DATA B3'!D315</f>
        <v>165812</v>
      </c>
      <c r="S314" s="80">
        <f t="shared" si="122"/>
        <v>0</v>
      </c>
      <c r="T314" s="15">
        <f t="shared" si="117"/>
        <v>0</v>
      </c>
      <c r="U314" s="15">
        <f>IFERROR((('DATA B3'!E315-'DATA B3'!E314)+('DATA B3'!F315-'DATA B3'!F314))/('WATER_STEAM RATIO'!P314-'WATER_STEAM RATIO'!P313),0)</f>
        <v>0</v>
      </c>
    </row>
    <row r="315" spans="2:21">
      <c r="B315" s="292"/>
      <c r="C315" s="97">
        <v>1.0416666666666701</v>
      </c>
      <c r="D315" s="84">
        <f>'DATA B1'!D316</f>
        <v>222134</v>
      </c>
      <c r="E315" s="5">
        <f t="shared" si="123"/>
        <v>0</v>
      </c>
      <c r="F315" s="80">
        <f>'DATA B1'!E316</f>
        <v>524526</v>
      </c>
      <c r="G315" s="80">
        <f t="shared" si="118"/>
        <v>0</v>
      </c>
      <c r="H315" s="28">
        <f t="shared" si="105"/>
        <v>0</v>
      </c>
      <c r="I315" s="45">
        <f>IFERROR((('DATA B1'!G316-'DATA B1'!G315)/('WATER_STEAM RATIO'!D315-'WATER_STEAM RATIO'!D314))*1000,0)</f>
        <v>0</v>
      </c>
      <c r="J315" s="50">
        <f>'DATA B2'!D316</f>
        <v>513829</v>
      </c>
      <c r="K315" s="82">
        <f t="shared" si="119"/>
        <v>9</v>
      </c>
      <c r="L315" s="80">
        <f>'DATA B2'!E316</f>
        <v>571961</v>
      </c>
      <c r="M315" s="80">
        <f t="shared" si="120"/>
        <v>21</v>
      </c>
      <c r="N315" s="28">
        <f t="shared" si="116"/>
        <v>2.3333333333333335</v>
      </c>
      <c r="O315" s="51">
        <f>IFERROR((('DATA B2'!F316-'DATA B2'!F315)/(K315))*1000,0)</f>
        <v>0</v>
      </c>
      <c r="P315" s="94">
        <f>'DATA B3'!C316</f>
        <v>221206</v>
      </c>
      <c r="Q315" s="91">
        <f t="shared" si="121"/>
        <v>0</v>
      </c>
      <c r="R315" s="80">
        <f>'DATA B3'!D316</f>
        <v>165812</v>
      </c>
      <c r="S315" s="80">
        <f t="shared" si="122"/>
        <v>0</v>
      </c>
      <c r="T315" s="15">
        <f t="shared" si="117"/>
        <v>0</v>
      </c>
      <c r="U315" s="15">
        <f>IFERROR((('DATA B3'!E316-'DATA B3'!E315)+('DATA B3'!F316-'DATA B3'!F315))/('WATER_STEAM RATIO'!P315-'WATER_STEAM RATIO'!P314),0)</f>
        <v>0</v>
      </c>
    </row>
    <row r="316" spans="2:21">
      <c r="B316" s="292"/>
      <c r="C316" s="97">
        <v>1.0833333333333399</v>
      </c>
      <c r="D316" s="84">
        <f>'DATA B1'!D317</f>
        <v>222134</v>
      </c>
      <c r="E316" s="5">
        <f>SUM(D316-D315)</f>
        <v>0</v>
      </c>
      <c r="F316" s="80">
        <f>'DATA B1'!E317</f>
        <v>524526</v>
      </c>
      <c r="G316" s="80">
        <f t="shared" si="118"/>
        <v>0</v>
      </c>
      <c r="H316" s="28">
        <f t="shared" si="105"/>
        <v>0</v>
      </c>
      <c r="I316" s="45">
        <f>IFERROR((('DATA B1'!G317-'DATA B1'!G316)/('WATER_STEAM RATIO'!D316-'WATER_STEAM RATIO'!D315))*1000,0)</f>
        <v>0</v>
      </c>
      <c r="J316" s="50">
        <f>'DATA B2'!D317</f>
        <v>513839</v>
      </c>
      <c r="K316" s="82">
        <f t="shared" si="119"/>
        <v>10</v>
      </c>
      <c r="L316" s="80">
        <f>'DATA B2'!E317</f>
        <v>571982</v>
      </c>
      <c r="M316" s="80">
        <f t="shared" si="120"/>
        <v>21</v>
      </c>
      <c r="N316" s="28">
        <f t="shared" si="116"/>
        <v>2.1</v>
      </c>
      <c r="O316" s="51">
        <f>IFERROR((('DATA B2'!F317-'DATA B2'!F316)/(K316))*1000,0)</f>
        <v>0</v>
      </c>
      <c r="P316" s="94">
        <f>'DATA B3'!C317</f>
        <v>221206</v>
      </c>
      <c r="Q316" s="91">
        <f>SUM(P316-P315)</f>
        <v>0</v>
      </c>
      <c r="R316" s="80">
        <f>'DATA B3'!D317</f>
        <v>165812</v>
      </c>
      <c r="S316" s="80">
        <f t="shared" si="122"/>
        <v>0</v>
      </c>
      <c r="T316" s="15">
        <f t="shared" si="117"/>
        <v>0</v>
      </c>
      <c r="U316" s="15">
        <f>IFERROR((('DATA B3'!E317-'DATA B3'!E316)+('DATA B3'!F317-'DATA B3'!F316))/('WATER_STEAM RATIO'!P316-'WATER_STEAM RATIO'!P315),0)</f>
        <v>0</v>
      </c>
    </row>
    <row r="317" spans="2:21">
      <c r="B317" s="292"/>
      <c r="C317" s="97">
        <v>1.125</v>
      </c>
      <c r="D317" s="84">
        <f>'DATA B1'!D318</f>
        <v>222134</v>
      </c>
      <c r="E317" s="5">
        <f t="shared" si="123"/>
        <v>0</v>
      </c>
      <c r="F317" s="80">
        <f>'DATA B1'!E318</f>
        <v>524526</v>
      </c>
      <c r="G317" s="80">
        <f t="shared" si="118"/>
        <v>0</v>
      </c>
      <c r="H317" s="28">
        <f t="shared" si="105"/>
        <v>0</v>
      </c>
      <c r="I317" s="45">
        <f>IFERROR((('DATA B1'!G318-'DATA B1'!G317)/('WATER_STEAM RATIO'!D317-'WATER_STEAM RATIO'!D316))*1000,0)</f>
        <v>0</v>
      </c>
      <c r="J317" s="50">
        <f>'DATA B2'!D318</f>
        <v>513849</v>
      </c>
      <c r="K317" s="82">
        <f t="shared" si="119"/>
        <v>10</v>
      </c>
      <c r="L317" s="80">
        <f>'DATA B2'!E318</f>
        <v>572004</v>
      </c>
      <c r="M317" s="80">
        <f t="shared" si="120"/>
        <v>22</v>
      </c>
      <c r="N317" s="28">
        <f t="shared" si="116"/>
        <v>2.2000000000000002</v>
      </c>
      <c r="O317" s="51">
        <f>IFERROR((('DATA B2'!F318-'DATA B2'!F317)/(K317))*1000,0)</f>
        <v>0</v>
      </c>
      <c r="P317" s="94">
        <f>'DATA B3'!C318</f>
        <v>221206</v>
      </c>
      <c r="Q317" s="91">
        <f t="shared" si="121"/>
        <v>0</v>
      </c>
      <c r="R317" s="80">
        <f>'DATA B3'!D318</f>
        <v>165812</v>
      </c>
      <c r="S317" s="80">
        <f t="shared" si="122"/>
        <v>0</v>
      </c>
      <c r="T317" s="15">
        <f t="shared" si="117"/>
        <v>0</v>
      </c>
      <c r="U317" s="15">
        <f>IFERROR((('DATA B3'!E318-'DATA B3'!E317)+('DATA B3'!F318-'DATA B3'!F317))/('WATER_STEAM RATIO'!P317-'WATER_STEAM RATIO'!P316),0)</f>
        <v>0</v>
      </c>
    </row>
    <row r="318" spans="2:21">
      <c r="B318" s="292"/>
      <c r="C318" s="97">
        <v>1.1666666666666701</v>
      </c>
      <c r="D318" s="84">
        <f>'DATA B1'!D319</f>
        <v>222134</v>
      </c>
      <c r="E318" s="5">
        <f t="shared" si="123"/>
        <v>0</v>
      </c>
      <c r="F318" s="80">
        <f>'DATA B1'!E319</f>
        <v>524526</v>
      </c>
      <c r="G318" s="80">
        <f t="shared" si="118"/>
        <v>0</v>
      </c>
      <c r="H318" s="28">
        <f t="shared" si="105"/>
        <v>0</v>
      </c>
      <c r="I318" s="45">
        <f>IFERROR((('DATA B1'!G319-'DATA B1'!G318)/('WATER_STEAM RATIO'!D318-'WATER_STEAM RATIO'!D317))*1000,0)</f>
        <v>0</v>
      </c>
      <c r="J318" s="50">
        <f>'DATA B2'!D319</f>
        <v>513858</v>
      </c>
      <c r="K318" s="82">
        <f t="shared" si="119"/>
        <v>9</v>
      </c>
      <c r="L318" s="80">
        <f>'DATA B2'!E319</f>
        <v>572023</v>
      </c>
      <c r="M318" s="80">
        <f t="shared" si="120"/>
        <v>19</v>
      </c>
      <c r="N318" s="28">
        <f t="shared" si="116"/>
        <v>2.1111111111111112</v>
      </c>
      <c r="O318" s="51">
        <f>IFERROR((('DATA B2'!F319-'DATA B2'!F318)/(K318))*1000,0)</f>
        <v>0</v>
      </c>
      <c r="P318" s="94">
        <f>'DATA B3'!C319</f>
        <v>221206</v>
      </c>
      <c r="Q318" s="91">
        <f t="shared" si="121"/>
        <v>0</v>
      </c>
      <c r="R318" s="80">
        <f>'DATA B3'!D319</f>
        <v>165812</v>
      </c>
      <c r="S318" s="80">
        <f t="shared" si="122"/>
        <v>0</v>
      </c>
      <c r="T318" s="15">
        <f t="shared" si="117"/>
        <v>0</v>
      </c>
      <c r="U318" s="15">
        <f>IFERROR((('DATA B3'!E319-'DATA B3'!E318)+('DATA B3'!F319-'DATA B3'!F318))/('WATER_STEAM RATIO'!P318-'WATER_STEAM RATIO'!P317),0)</f>
        <v>0</v>
      </c>
    </row>
    <row r="319" spans="2:21">
      <c r="B319" s="292"/>
      <c r="C319" s="97">
        <v>1.2083333333333399</v>
      </c>
      <c r="D319" s="84">
        <f>'DATA B1'!D320</f>
        <v>222134</v>
      </c>
      <c r="E319" s="5">
        <f t="shared" si="123"/>
        <v>0</v>
      </c>
      <c r="F319" s="80">
        <f>'DATA B1'!E320</f>
        <v>524526</v>
      </c>
      <c r="G319" s="80">
        <f t="shared" si="118"/>
        <v>0</v>
      </c>
      <c r="H319" s="28">
        <f t="shared" si="105"/>
        <v>0</v>
      </c>
      <c r="I319" s="45">
        <f>IFERROR((('DATA B1'!G320-'DATA B1'!G319)/('WATER_STEAM RATIO'!D319-'WATER_STEAM RATIO'!D318))*1000,0)</f>
        <v>0</v>
      </c>
      <c r="J319" s="50">
        <f>'DATA B2'!D320</f>
        <v>513867</v>
      </c>
      <c r="K319" s="82">
        <f t="shared" si="119"/>
        <v>9</v>
      </c>
      <c r="L319" s="80">
        <f>'DATA B2'!E320</f>
        <v>572042</v>
      </c>
      <c r="M319" s="80">
        <f t="shared" si="120"/>
        <v>19</v>
      </c>
      <c r="N319" s="28">
        <f t="shared" si="116"/>
        <v>2.1111111111111112</v>
      </c>
      <c r="O319" s="51">
        <f>IFERROR((('DATA B2'!F320-'DATA B2'!F319)/(K319))*1000,0)</f>
        <v>0</v>
      </c>
      <c r="P319" s="94">
        <f>'DATA B3'!C320</f>
        <v>221206</v>
      </c>
      <c r="Q319" s="91">
        <f t="shared" si="121"/>
        <v>0</v>
      </c>
      <c r="R319" s="80">
        <f>'DATA B3'!D320</f>
        <v>165812</v>
      </c>
      <c r="S319" s="80">
        <f t="shared" si="122"/>
        <v>0</v>
      </c>
      <c r="T319" s="15">
        <f t="shared" si="117"/>
        <v>0</v>
      </c>
      <c r="U319" s="15">
        <f>IFERROR((('DATA B3'!E320-'DATA B3'!E319)+('DATA B3'!F320-'DATA B3'!F319))/('WATER_STEAM RATIO'!P319-'WATER_STEAM RATIO'!P318),0)</f>
        <v>0</v>
      </c>
    </row>
    <row r="320" spans="2:21">
      <c r="B320" s="292"/>
      <c r="C320" s="97">
        <v>1.25</v>
      </c>
      <c r="D320" s="84">
        <f>'DATA B1'!D321</f>
        <v>222134</v>
      </c>
      <c r="E320" s="5">
        <f t="shared" si="123"/>
        <v>0</v>
      </c>
      <c r="F320" s="80">
        <f>'DATA B1'!E321</f>
        <v>524526</v>
      </c>
      <c r="G320" s="80">
        <f t="shared" si="118"/>
        <v>0</v>
      </c>
      <c r="H320" s="28">
        <f t="shared" si="105"/>
        <v>0</v>
      </c>
      <c r="I320" s="45">
        <f>IFERROR((('DATA B1'!G321-'DATA B1'!G320)/('WATER_STEAM RATIO'!D320-'WATER_STEAM RATIO'!D319))*1000,0)</f>
        <v>0</v>
      </c>
      <c r="J320" s="50">
        <f>'DATA B2'!D321</f>
        <v>513876</v>
      </c>
      <c r="K320" s="82">
        <f t="shared" si="119"/>
        <v>9</v>
      </c>
      <c r="L320" s="80">
        <f>'DATA B2'!E321</f>
        <v>572061</v>
      </c>
      <c r="M320" s="80">
        <f t="shared" si="120"/>
        <v>19</v>
      </c>
      <c r="N320" s="28">
        <f t="shared" si="116"/>
        <v>2.1111111111111112</v>
      </c>
      <c r="O320" s="51">
        <f>IFERROR((('DATA B2'!F321-'DATA B2'!F320)/(K320))*1000,0)</f>
        <v>0</v>
      </c>
      <c r="P320" s="94">
        <f>'DATA B3'!C321</f>
        <v>221206</v>
      </c>
      <c r="Q320" s="91">
        <f t="shared" si="121"/>
        <v>0</v>
      </c>
      <c r="R320" s="80">
        <f>'DATA B3'!D321</f>
        <v>165812</v>
      </c>
      <c r="S320" s="80">
        <f t="shared" si="122"/>
        <v>0</v>
      </c>
      <c r="T320" s="15">
        <f t="shared" si="117"/>
        <v>0</v>
      </c>
      <c r="U320" s="15">
        <f>IFERROR((('DATA B3'!E321-'DATA B3'!E320)+('DATA B3'!F321-'DATA B3'!F320))/('WATER_STEAM RATIO'!P320-'WATER_STEAM RATIO'!P319),0)</f>
        <v>0</v>
      </c>
    </row>
    <row r="321" spans="2:21">
      <c r="B321" s="292"/>
      <c r="C321" s="97">
        <v>1.2916666666666701</v>
      </c>
      <c r="D321" s="84">
        <f>'DATA B1'!D322</f>
        <v>222134</v>
      </c>
      <c r="E321" s="5">
        <f t="shared" si="123"/>
        <v>0</v>
      </c>
      <c r="F321" s="80">
        <f>'DATA B1'!E322</f>
        <v>524526</v>
      </c>
      <c r="G321" s="80">
        <f t="shared" si="118"/>
        <v>0</v>
      </c>
      <c r="H321" s="28">
        <f t="shared" si="105"/>
        <v>0</v>
      </c>
      <c r="I321" s="45">
        <f>IFERROR((('DATA B1'!G322-'DATA B1'!G321)/('WATER_STEAM RATIO'!D321-'WATER_STEAM RATIO'!D320))*1000,0)</f>
        <v>0</v>
      </c>
      <c r="J321" s="50">
        <f>'DATA B2'!D322</f>
        <v>513885</v>
      </c>
      <c r="K321" s="82">
        <f>SUM(J321-J320)</f>
        <v>9</v>
      </c>
      <c r="L321" s="80">
        <f>'DATA B2'!E322</f>
        <v>572080</v>
      </c>
      <c r="M321" s="80">
        <f t="shared" si="120"/>
        <v>19</v>
      </c>
      <c r="N321" s="28">
        <f t="shared" si="116"/>
        <v>2.1111111111111112</v>
      </c>
      <c r="O321" s="51">
        <f>IFERROR((('DATA B2'!F322-'DATA B2'!F321)/(K321))*1000,0)</f>
        <v>0</v>
      </c>
      <c r="P321" s="94">
        <f>'DATA B3'!C322</f>
        <v>221206</v>
      </c>
      <c r="Q321" s="91">
        <f t="shared" si="121"/>
        <v>0</v>
      </c>
      <c r="R321" s="80">
        <f>'DATA B3'!D322</f>
        <v>165812</v>
      </c>
      <c r="S321" s="80">
        <f t="shared" si="122"/>
        <v>0</v>
      </c>
      <c r="T321" s="15">
        <f t="shared" si="117"/>
        <v>0</v>
      </c>
      <c r="U321" s="15">
        <f>IFERROR((('DATA B3'!E322-'DATA B3'!E321)+('DATA B3'!F322-'DATA B3'!F321))/('WATER_STEAM RATIO'!P321-'WATER_STEAM RATIO'!P320),0)</f>
        <v>0</v>
      </c>
    </row>
    <row r="322" spans="2:21" ht="15.75" thickBot="1">
      <c r="B322" s="293"/>
      <c r="C322" s="235"/>
      <c r="D322" s="224" cm="1">
        <f t="array" ref="D322">IFERROR(LOOKUP(2,1/(D297:D321&gt;0),D297:D321-D297),0)</f>
        <v>0</v>
      </c>
      <c r="E322" s="223">
        <f>SUMIF(E298:E321,"&gt;=0",E298:E321)</f>
        <v>0</v>
      </c>
      <c r="F322" s="224" cm="1">
        <f t="array" ref="F322">IFERROR(LOOKUP(2,1/(F297:F321&gt;0),F297:F321-F297),0)</f>
        <v>0</v>
      </c>
      <c r="G322" s="223">
        <f>SUMIF(G298:G321,"&gt;=0",G298:G321)</f>
        <v>0</v>
      </c>
      <c r="H322" s="225">
        <f t="shared" si="105"/>
        <v>0</v>
      </c>
      <c r="I322" s="236">
        <f>IFERROR((('DATA B1'!H323)/(E322))*1000,0)</f>
        <v>0</v>
      </c>
      <c r="J322" s="222" cm="1">
        <f t="array" ref="J322">IFERROR(LOOKUP(2,1/(J297:J321&gt;0),J297:J321-J297),0)</f>
        <v>224</v>
      </c>
      <c r="K322" s="223">
        <f>SUMIF(K298:K321,"&gt;=0",K298:K321)</f>
        <v>224</v>
      </c>
      <c r="L322" s="224" cm="1">
        <f t="array" ref="L322">IFERROR(LOOKUP(2,1/(L297:L321&gt;0),L297:L321-L297),0)</f>
        <v>527</v>
      </c>
      <c r="M322" s="223">
        <f>SUMIF(M298:M321,"&gt;=0",M298:M321)</f>
        <v>527</v>
      </c>
      <c r="N322" s="225">
        <f>IFERROR(M322/K322,0)</f>
        <v>2.3526785714285716</v>
      </c>
      <c r="O322" s="226">
        <f>IFERROR((('DATA B2'!H323)/(K322))*1000,0)</f>
        <v>4.9107142857147358E-3</v>
      </c>
      <c r="P322" s="224" cm="1">
        <f t="array" ref="P322">IFERROR(LOOKUP(2,1/(P297:P321&gt;0),P297:P321-P297),0)</f>
        <v>0</v>
      </c>
      <c r="Q322" s="223">
        <f>SUMIF(Q298:Q321,"&gt;=0",Q298:Q321)</f>
        <v>0</v>
      </c>
      <c r="R322" s="224" cm="1">
        <f t="array" ref="R322">IFERROR(LOOKUP(2,1/(R297:R321&gt;0),R297:R321-R297),0)</f>
        <v>0</v>
      </c>
      <c r="S322" s="223">
        <f>SUMIF(S298:S321,"&gt;=0",S298:S321)</f>
        <v>0</v>
      </c>
      <c r="T322" s="237">
        <f t="shared" si="117"/>
        <v>0</v>
      </c>
      <c r="U322" s="226">
        <f>IFERROR(('DATA B3'!E323+'DATA B3'!F323)/Q322*1000,0)</f>
        <v>0</v>
      </c>
    </row>
    <row r="323" spans="2:21" ht="15" customHeight="1">
      <c r="B323" s="291">
        <f>SUM('DATA B1'!B324:B349)</f>
        <v>46035</v>
      </c>
      <c r="C323" s="97">
        <v>0.29166666666666669</v>
      </c>
      <c r="D323" s="84">
        <f>'DATA B1'!D324</f>
        <v>222134</v>
      </c>
      <c r="E323" s="5">
        <f>SUM(E321)</f>
        <v>0</v>
      </c>
      <c r="F323" s="80">
        <f>'DATA B1'!E324</f>
        <v>524526</v>
      </c>
      <c r="G323" s="80">
        <f>SUM(G321)</f>
        <v>0</v>
      </c>
      <c r="H323" s="28">
        <f t="shared" si="105"/>
        <v>0</v>
      </c>
      <c r="I323" s="45"/>
      <c r="J323" s="50">
        <f>'DATA B2'!D324</f>
        <v>513885</v>
      </c>
      <c r="K323" s="82">
        <f>SUM(K321)</f>
        <v>9</v>
      </c>
      <c r="L323" s="80">
        <f>'DATA B2'!E324</f>
        <v>572080</v>
      </c>
      <c r="M323" s="80">
        <f>SUM(M321)</f>
        <v>19</v>
      </c>
      <c r="N323" s="28">
        <f>IFERROR(M323/K323,0)</f>
        <v>2.1111111111111112</v>
      </c>
      <c r="O323" s="103"/>
      <c r="P323" s="94">
        <f>'DATA B3'!C324</f>
        <v>221206</v>
      </c>
      <c r="Q323" s="91">
        <f>SUM(Q321)</f>
        <v>0</v>
      </c>
      <c r="R323" s="80">
        <f>'DATA B3'!D324</f>
        <v>165812</v>
      </c>
      <c r="S323" s="80">
        <f>SUM(S321)</f>
        <v>0</v>
      </c>
      <c r="T323" s="15">
        <f>IFERROR(S323/Q323,0)</f>
        <v>0</v>
      </c>
      <c r="U323" s="15"/>
    </row>
    <row r="324" spans="2:21">
      <c r="B324" s="292"/>
      <c r="C324" s="97">
        <v>0.33333333333333298</v>
      </c>
      <c r="D324" s="84">
        <f>'DATA B1'!D325</f>
        <v>222134</v>
      </c>
      <c r="E324" s="5">
        <f t="shared" ref="E324:E330" si="124">SUM(D324-D323)</f>
        <v>0</v>
      </c>
      <c r="F324" s="80">
        <f>'DATA B1'!E325</f>
        <v>524526</v>
      </c>
      <c r="G324" s="80">
        <f>SUM(F324-F323)</f>
        <v>0</v>
      </c>
      <c r="H324" s="28">
        <f t="shared" si="105"/>
        <v>0</v>
      </c>
      <c r="I324" s="45">
        <f>IFERROR((('DATA B1'!G325-'DATA B1'!G324)/('WATER_STEAM RATIO'!D324-'WATER_STEAM RATIO'!D323))*1000,0)</f>
        <v>0</v>
      </c>
      <c r="J324" s="50">
        <f>'DATA B2'!D325</f>
        <v>513898</v>
      </c>
      <c r="K324" s="82">
        <f>SUM(J324-J323)</f>
        <v>13</v>
      </c>
      <c r="L324" s="80">
        <f>'DATA B2'!E325</f>
        <v>572109</v>
      </c>
      <c r="M324" s="80">
        <f>SUM(L324-L323)</f>
        <v>29</v>
      </c>
      <c r="N324" s="28">
        <f t="shared" ref="N324:N347" si="125">IFERROR(M324/K324,0)</f>
        <v>2.2307692307692308</v>
      </c>
      <c r="O324" s="51">
        <f>IFERROR((('DATA B2'!F325-'DATA B2'!F324)/(K324))*1000,0)</f>
        <v>7.6923076923068445E-3</v>
      </c>
      <c r="P324" s="94">
        <f>'DATA B3'!C325</f>
        <v>221206</v>
      </c>
      <c r="Q324" s="91">
        <f>SUM(P324-P323)</f>
        <v>0</v>
      </c>
      <c r="R324" s="80">
        <f>'DATA B3'!D325</f>
        <v>165812</v>
      </c>
      <c r="S324" s="80">
        <f>SUM(R324-R323)</f>
        <v>0</v>
      </c>
      <c r="T324" s="15">
        <f t="shared" ref="T324:T348" si="126">IFERROR(S324/Q324,0)</f>
        <v>0</v>
      </c>
      <c r="U324" s="15">
        <f>IFERROR((('DATA B3'!E325-'DATA B3'!E324)+('DATA B3'!F325-'DATA B3'!F324))/('WATER_STEAM RATIO'!P324-'WATER_STEAM RATIO'!P323),0)</f>
        <v>0</v>
      </c>
    </row>
    <row r="325" spans="2:21">
      <c r="B325" s="292"/>
      <c r="C325" s="97">
        <v>0.375</v>
      </c>
      <c r="D325" s="84">
        <f>'DATA B1'!D326</f>
        <v>222134</v>
      </c>
      <c r="E325" s="5">
        <f t="shared" si="124"/>
        <v>0</v>
      </c>
      <c r="F325" s="80">
        <f>'DATA B1'!E326</f>
        <v>524526</v>
      </c>
      <c r="G325" s="80">
        <f t="shared" ref="G325:G347" si="127">SUM(F325-F324)</f>
        <v>0</v>
      </c>
      <c r="H325" s="28">
        <f t="shared" si="105"/>
        <v>0</v>
      </c>
      <c r="I325" s="45">
        <f>IFERROR((('DATA B1'!G326-'DATA B1'!G325)/('WATER_STEAM RATIO'!D325-'WATER_STEAM RATIO'!D324))*1000,0)</f>
        <v>0</v>
      </c>
      <c r="J325" s="50">
        <f>'DATA B2'!D326</f>
        <v>513906</v>
      </c>
      <c r="K325" s="82">
        <f t="shared" ref="K325:K346" si="128">SUM(J325-J324)</f>
        <v>8</v>
      </c>
      <c r="L325" s="80">
        <f>'DATA B2'!E326</f>
        <v>572128</v>
      </c>
      <c r="M325" s="80">
        <f t="shared" ref="M325:M347" si="129">SUM(L325-L324)</f>
        <v>19</v>
      </c>
      <c r="N325" s="28">
        <f t="shared" si="125"/>
        <v>2.375</v>
      </c>
      <c r="O325" s="51">
        <f>IFERROR((('DATA B2'!F326-'DATA B2'!F325)/(K325))*1000,0)</f>
        <v>1.2499999999998623E-2</v>
      </c>
      <c r="P325" s="94">
        <f>'DATA B3'!C326</f>
        <v>221206</v>
      </c>
      <c r="Q325" s="91">
        <f t="shared" ref="Q325:Q347" si="130">SUM(P325-P324)</f>
        <v>0</v>
      </c>
      <c r="R325" s="80">
        <f>'DATA B3'!D326</f>
        <v>165812</v>
      </c>
      <c r="S325" s="80">
        <f t="shared" ref="S325:S347" si="131">SUM(R325-R324)</f>
        <v>0</v>
      </c>
      <c r="T325" s="15">
        <f t="shared" si="126"/>
        <v>0</v>
      </c>
      <c r="U325" s="15">
        <f>IFERROR((('DATA B3'!E326-'DATA B3'!E325)+('DATA B3'!F326-'DATA B3'!F325))/('WATER_STEAM RATIO'!P325-'WATER_STEAM RATIO'!P324),0)</f>
        <v>0</v>
      </c>
    </row>
    <row r="326" spans="2:21">
      <c r="B326" s="292"/>
      <c r="C326" s="97">
        <v>0.41666666666666702</v>
      </c>
      <c r="D326" s="84">
        <f>'DATA B1'!D327</f>
        <v>222134</v>
      </c>
      <c r="E326" s="5">
        <f t="shared" si="124"/>
        <v>0</v>
      </c>
      <c r="F326" s="80">
        <f>'DATA B1'!E327</f>
        <v>524526</v>
      </c>
      <c r="G326" s="80">
        <f t="shared" si="127"/>
        <v>0</v>
      </c>
      <c r="H326" s="28">
        <f t="shared" si="105"/>
        <v>0</v>
      </c>
      <c r="I326" s="45">
        <f>IFERROR((('DATA B1'!G327-'DATA B1'!G326)/('WATER_STEAM RATIO'!D326-'WATER_STEAM RATIO'!D325))*1000,0)</f>
        <v>0</v>
      </c>
      <c r="J326" s="50">
        <f>'DATA B2'!D327</f>
        <v>513914</v>
      </c>
      <c r="K326" s="82">
        <f t="shared" si="128"/>
        <v>8</v>
      </c>
      <c r="L326" s="80">
        <f>'DATA B2'!E327</f>
        <v>572147</v>
      </c>
      <c r="M326" s="80">
        <f t="shared" si="129"/>
        <v>19</v>
      </c>
      <c r="N326" s="28">
        <f t="shared" si="125"/>
        <v>2.375</v>
      </c>
      <c r="O326" s="51">
        <f>IFERROR((('DATA B2'!F327-'DATA B2'!F326)/(K326))*1000,0)</f>
        <v>0</v>
      </c>
      <c r="P326" s="94">
        <f>'DATA B3'!C327</f>
        <v>221206</v>
      </c>
      <c r="Q326" s="91">
        <f t="shared" si="130"/>
        <v>0</v>
      </c>
      <c r="R326" s="80">
        <f>'DATA B3'!D327</f>
        <v>165812</v>
      </c>
      <c r="S326" s="80">
        <f t="shared" si="131"/>
        <v>0</v>
      </c>
      <c r="T326" s="15">
        <f t="shared" si="126"/>
        <v>0</v>
      </c>
      <c r="U326" s="15">
        <f>IFERROR((('DATA B3'!E327-'DATA B3'!E326)+('DATA B3'!F327-'DATA B3'!F326))/('WATER_STEAM RATIO'!P326-'WATER_STEAM RATIO'!P325),0)</f>
        <v>0</v>
      </c>
    </row>
    <row r="327" spans="2:21">
      <c r="B327" s="292"/>
      <c r="C327" s="97">
        <v>0.45833333333333298</v>
      </c>
      <c r="D327" s="84">
        <f>'DATA B1'!D328</f>
        <v>222134</v>
      </c>
      <c r="E327" s="5">
        <f t="shared" si="124"/>
        <v>0</v>
      </c>
      <c r="F327" s="80">
        <f>'DATA B1'!E328</f>
        <v>524526</v>
      </c>
      <c r="G327" s="80">
        <f t="shared" si="127"/>
        <v>0</v>
      </c>
      <c r="H327" s="28">
        <f t="shared" si="105"/>
        <v>0</v>
      </c>
      <c r="I327" s="45">
        <f>IFERROR((('DATA B1'!G328-'DATA B1'!G327)/('WATER_STEAM RATIO'!D327-'WATER_STEAM RATIO'!D326))*1000,0)</f>
        <v>0</v>
      </c>
      <c r="J327" s="50">
        <f>'DATA B2'!D328</f>
        <v>513923</v>
      </c>
      <c r="K327" s="82">
        <f t="shared" si="128"/>
        <v>9</v>
      </c>
      <c r="L327" s="80">
        <f>'DATA B2'!E328</f>
        <v>572167</v>
      </c>
      <c r="M327" s="80">
        <f t="shared" si="129"/>
        <v>20</v>
      </c>
      <c r="N327" s="28">
        <f t="shared" si="125"/>
        <v>2.2222222222222223</v>
      </c>
      <c r="O327" s="51">
        <f>IFERROR((('DATA B2'!F328-'DATA B2'!F327)/(K327))*1000,0)</f>
        <v>1.1111111111109887E-2</v>
      </c>
      <c r="P327" s="94">
        <f>'DATA B3'!C328</f>
        <v>221206</v>
      </c>
      <c r="Q327" s="91">
        <f t="shared" si="130"/>
        <v>0</v>
      </c>
      <c r="R327" s="80">
        <f>'DATA B3'!D328</f>
        <v>165812</v>
      </c>
      <c r="S327" s="80">
        <f t="shared" si="131"/>
        <v>0</v>
      </c>
      <c r="T327" s="15">
        <f t="shared" si="126"/>
        <v>0</v>
      </c>
      <c r="U327" s="15">
        <f>IFERROR((('DATA B3'!E328-'DATA B3'!E327)+('DATA B3'!F328-'DATA B3'!F327))/('WATER_STEAM RATIO'!P327-'WATER_STEAM RATIO'!P326),0)</f>
        <v>0</v>
      </c>
    </row>
    <row r="328" spans="2:21">
      <c r="B328" s="292"/>
      <c r="C328" s="97">
        <v>0.5</v>
      </c>
      <c r="D328" s="84">
        <f>'DATA B1'!D329</f>
        <v>222134</v>
      </c>
      <c r="E328" s="5">
        <f t="shared" si="124"/>
        <v>0</v>
      </c>
      <c r="F328" s="80">
        <f>'DATA B1'!E329</f>
        <v>524526</v>
      </c>
      <c r="G328" s="80">
        <f t="shared" si="127"/>
        <v>0</v>
      </c>
      <c r="H328" s="28">
        <f t="shared" si="105"/>
        <v>0</v>
      </c>
      <c r="I328" s="45">
        <f>IFERROR((('DATA B1'!G329-'DATA B1'!G328)/('WATER_STEAM RATIO'!D328-'WATER_STEAM RATIO'!D327))*1000,0)</f>
        <v>0</v>
      </c>
      <c r="J328" s="50">
        <f>'DATA B2'!D329</f>
        <v>513932</v>
      </c>
      <c r="K328" s="82">
        <f t="shared" si="128"/>
        <v>9</v>
      </c>
      <c r="L328" s="80">
        <f>'DATA B2'!E329</f>
        <v>572188</v>
      </c>
      <c r="M328" s="80">
        <f t="shared" si="129"/>
        <v>21</v>
      </c>
      <c r="N328" s="28">
        <f t="shared" si="125"/>
        <v>2.3333333333333335</v>
      </c>
      <c r="O328" s="51">
        <f>IFERROR((('DATA B2'!F329-'DATA B2'!F328)/(K328))*1000,0)</f>
        <v>0</v>
      </c>
      <c r="P328" s="94">
        <f>'DATA B3'!C329</f>
        <v>221206</v>
      </c>
      <c r="Q328" s="91">
        <f t="shared" si="130"/>
        <v>0</v>
      </c>
      <c r="R328" s="80">
        <f>'DATA B3'!D329</f>
        <v>165812</v>
      </c>
      <c r="S328" s="80">
        <f t="shared" si="131"/>
        <v>0</v>
      </c>
      <c r="T328" s="15">
        <f t="shared" si="126"/>
        <v>0</v>
      </c>
      <c r="U328" s="15">
        <f>IFERROR((('DATA B3'!E329-'DATA B3'!E328)+('DATA B3'!F329-'DATA B3'!F328))/('WATER_STEAM RATIO'!P328-'WATER_STEAM RATIO'!P327),0)</f>
        <v>0</v>
      </c>
    </row>
    <row r="329" spans="2:21">
      <c r="B329" s="292"/>
      <c r="C329" s="97">
        <v>0.54166666666666696</v>
      </c>
      <c r="D329" s="84">
        <f>'DATA B1'!D330</f>
        <v>222134</v>
      </c>
      <c r="E329" s="5">
        <f t="shared" si="124"/>
        <v>0</v>
      </c>
      <c r="F329" s="80">
        <f>'DATA B1'!E330</f>
        <v>524526</v>
      </c>
      <c r="G329" s="80">
        <f t="shared" si="127"/>
        <v>0</v>
      </c>
      <c r="H329" s="28">
        <f t="shared" si="105"/>
        <v>0</v>
      </c>
      <c r="I329" s="45">
        <f>IFERROR((('DATA B1'!G330-'DATA B1'!G329)/('WATER_STEAM RATIO'!D329-'WATER_STEAM RATIO'!D328))*1000,0)</f>
        <v>0</v>
      </c>
      <c r="J329" s="50">
        <f>'DATA B2'!D330</f>
        <v>513941</v>
      </c>
      <c r="K329" s="82">
        <f t="shared" si="128"/>
        <v>9</v>
      </c>
      <c r="L329" s="80">
        <f>'DATA B2'!E330</f>
        <v>572209</v>
      </c>
      <c r="M329" s="80">
        <f t="shared" si="129"/>
        <v>21</v>
      </c>
      <c r="N329" s="28">
        <f t="shared" si="125"/>
        <v>2.3333333333333335</v>
      </c>
      <c r="O329" s="51">
        <f>IFERROR((('DATA B2'!F330-'DATA B2'!F329)/(K329))*1000,0)</f>
        <v>0</v>
      </c>
      <c r="P329" s="94">
        <f>'DATA B3'!C330</f>
        <v>221206</v>
      </c>
      <c r="Q329" s="91">
        <f t="shared" si="130"/>
        <v>0</v>
      </c>
      <c r="R329" s="80">
        <f>'DATA B3'!D330</f>
        <v>165812</v>
      </c>
      <c r="S329" s="80">
        <f t="shared" si="131"/>
        <v>0</v>
      </c>
      <c r="T329" s="15">
        <f t="shared" si="126"/>
        <v>0</v>
      </c>
      <c r="U329" s="15">
        <f>IFERROR((('DATA B3'!E330-'DATA B3'!E329)+('DATA B3'!F330-'DATA B3'!F329))/('WATER_STEAM RATIO'!P329-'WATER_STEAM RATIO'!P328),0)</f>
        <v>0</v>
      </c>
    </row>
    <row r="330" spans="2:21">
      <c r="B330" s="292"/>
      <c r="C330" s="97">
        <v>0.58333333333333304</v>
      </c>
      <c r="D330" s="84">
        <f>'DATA B1'!D331</f>
        <v>222134</v>
      </c>
      <c r="E330" s="5">
        <f t="shared" si="124"/>
        <v>0</v>
      </c>
      <c r="F330" s="80">
        <f>'DATA B1'!E331</f>
        <v>524526</v>
      </c>
      <c r="G330" s="80">
        <f t="shared" si="127"/>
        <v>0</v>
      </c>
      <c r="H330" s="28">
        <f t="shared" si="105"/>
        <v>0</v>
      </c>
      <c r="I330" s="45">
        <f>IFERROR((('DATA B1'!G331-'DATA B1'!G330)/('WATER_STEAM RATIO'!D330-'WATER_STEAM RATIO'!D329))*1000,0)</f>
        <v>0</v>
      </c>
      <c r="J330" s="50">
        <f>'DATA B2'!D331</f>
        <v>513950</v>
      </c>
      <c r="K330" s="82">
        <f t="shared" si="128"/>
        <v>9</v>
      </c>
      <c r="L330" s="80">
        <f>'DATA B2'!E331</f>
        <v>572230</v>
      </c>
      <c r="M330" s="80">
        <f t="shared" si="129"/>
        <v>21</v>
      </c>
      <c r="N330" s="28">
        <f t="shared" si="125"/>
        <v>2.3333333333333335</v>
      </c>
      <c r="O330" s="51">
        <f>IFERROR((('DATA B2'!F331-'DATA B2'!F330)/(K330))*1000,0)</f>
        <v>1.1111111111109887E-2</v>
      </c>
      <c r="P330" s="94">
        <f>'DATA B3'!C331</f>
        <v>221206</v>
      </c>
      <c r="Q330" s="91">
        <f t="shared" si="130"/>
        <v>0</v>
      </c>
      <c r="R330" s="80">
        <f>'DATA B3'!D331</f>
        <v>165812</v>
      </c>
      <c r="S330" s="80">
        <f t="shared" si="131"/>
        <v>0</v>
      </c>
      <c r="T330" s="15">
        <f t="shared" si="126"/>
        <v>0</v>
      </c>
      <c r="U330" s="15">
        <f>IFERROR((('DATA B3'!E331-'DATA B3'!E330)+('DATA B3'!F331-'DATA B3'!F330))/('WATER_STEAM RATIO'!P330-'WATER_STEAM RATIO'!P329),0)</f>
        <v>0</v>
      </c>
    </row>
    <row r="331" spans="2:21">
      <c r="B331" s="292"/>
      <c r="C331" s="97">
        <v>0.625</v>
      </c>
      <c r="D331" s="84">
        <f>'DATA B1'!D332</f>
        <v>222134</v>
      </c>
      <c r="E331" s="5">
        <f t="shared" ref="E331:E347" si="132">SUM(D331-D330)</f>
        <v>0</v>
      </c>
      <c r="F331" s="80">
        <f>'DATA B1'!E332</f>
        <v>524526</v>
      </c>
      <c r="G331" s="80">
        <f t="shared" si="127"/>
        <v>0</v>
      </c>
      <c r="H331" s="28">
        <f t="shared" si="105"/>
        <v>0</v>
      </c>
      <c r="I331" s="45">
        <f>IFERROR((('DATA B1'!G332-'DATA B1'!G331)/('WATER_STEAM RATIO'!D331-'WATER_STEAM RATIO'!D330))*1000,0)</f>
        <v>0</v>
      </c>
      <c r="J331" s="50">
        <f>'DATA B2'!D332</f>
        <v>513962</v>
      </c>
      <c r="K331" s="82">
        <f t="shared" si="128"/>
        <v>12</v>
      </c>
      <c r="L331" s="80">
        <f>'DATA B2'!E332</f>
        <v>572252</v>
      </c>
      <c r="M331" s="80">
        <f t="shared" si="129"/>
        <v>22</v>
      </c>
      <c r="N331" s="28">
        <f t="shared" si="125"/>
        <v>1.8333333333333333</v>
      </c>
      <c r="O331" s="51">
        <f>IFERROR((('DATA B2'!F332-'DATA B2'!F331)/(K331))*1000,0)</f>
        <v>0</v>
      </c>
      <c r="P331" s="94">
        <f>'DATA B3'!C332</f>
        <v>221206</v>
      </c>
      <c r="Q331" s="91">
        <f t="shared" si="130"/>
        <v>0</v>
      </c>
      <c r="R331" s="80">
        <f>'DATA B3'!D332</f>
        <v>165812</v>
      </c>
      <c r="S331" s="80">
        <f t="shared" si="131"/>
        <v>0</v>
      </c>
      <c r="T331" s="15">
        <f t="shared" si="126"/>
        <v>0</v>
      </c>
      <c r="U331" s="15">
        <f>IFERROR((('DATA B3'!E332-'DATA B3'!E331)+('DATA B3'!F332-'DATA B3'!F331))/('WATER_STEAM RATIO'!P331-'WATER_STEAM RATIO'!P330),0)</f>
        <v>0</v>
      </c>
    </row>
    <row r="332" spans="2:21">
      <c r="B332" s="292"/>
      <c r="C332" s="97">
        <v>0.66666666666666596</v>
      </c>
      <c r="D332" s="84">
        <f>'DATA B1'!D333</f>
        <v>222134</v>
      </c>
      <c r="E332" s="5">
        <f t="shared" si="132"/>
        <v>0</v>
      </c>
      <c r="F332" s="80">
        <f>'DATA B1'!E333</f>
        <v>524526</v>
      </c>
      <c r="G332" s="80">
        <f t="shared" si="127"/>
        <v>0</v>
      </c>
      <c r="H332" s="28">
        <f t="shared" si="105"/>
        <v>0</v>
      </c>
      <c r="I332" s="45">
        <f>IFERROR((('DATA B1'!G333-'DATA B1'!G332)/('WATER_STEAM RATIO'!D332-'WATER_STEAM RATIO'!D331))*1000,0)</f>
        <v>0</v>
      </c>
      <c r="J332" s="50">
        <f>'DATA B2'!D333</f>
        <v>513972</v>
      </c>
      <c r="K332" s="82">
        <f>SUM(J332-J331)</f>
        <v>10</v>
      </c>
      <c r="L332" s="80">
        <f>'DATA B2'!E333</f>
        <v>572274</v>
      </c>
      <c r="M332" s="80">
        <f t="shared" si="129"/>
        <v>22</v>
      </c>
      <c r="N332" s="28">
        <f t="shared" si="125"/>
        <v>2.2000000000000002</v>
      </c>
      <c r="O332" s="51">
        <f>IFERROR((('DATA B2'!F333-'DATA B2'!F332)/(K332))*1000,0)</f>
        <v>9.9999999999988987E-3</v>
      </c>
      <c r="P332" s="94">
        <f>'DATA B3'!C333</f>
        <v>221206</v>
      </c>
      <c r="Q332" s="91">
        <f t="shared" si="130"/>
        <v>0</v>
      </c>
      <c r="R332" s="80">
        <f>'DATA B3'!D333</f>
        <v>165812</v>
      </c>
      <c r="S332" s="80">
        <f t="shared" si="131"/>
        <v>0</v>
      </c>
      <c r="T332" s="15">
        <f t="shared" si="126"/>
        <v>0</v>
      </c>
      <c r="U332" s="15">
        <f>IFERROR((('DATA B3'!E333-'DATA B3'!E332)+('DATA B3'!F333-'DATA B3'!F332))/('WATER_STEAM RATIO'!P332-'WATER_STEAM RATIO'!P331),0)</f>
        <v>0</v>
      </c>
    </row>
    <row r="333" spans="2:21">
      <c r="B333" s="292"/>
      <c r="C333" s="97">
        <v>0.70833333333333304</v>
      </c>
      <c r="D333" s="84">
        <f>'DATA B1'!D334</f>
        <v>222134</v>
      </c>
      <c r="E333" s="5">
        <f t="shared" si="132"/>
        <v>0</v>
      </c>
      <c r="F333" s="80">
        <f>'DATA B1'!E334</f>
        <v>524526</v>
      </c>
      <c r="G333" s="80">
        <f t="shared" si="127"/>
        <v>0</v>
      </c>
      <c r="H333" s="28">
        <f t="shared" si="105"/>
        <v>0</v>
      </c>
      <c r="I333" s="45">
        <f>IFERROR((('DATA B1'!G334-'DATA B1'!G333)/('WATER_STEAM RATIO'!D333-'WATER_STEAM RATIO'!D332))*1000,0)</f>
        <v>0</v>
      </c>
      <c r="J333" s="50">
        <f>'DATA B2'!D334</f>
        <v>513982</v>
      </c>
      <c r="K333" s="82">
        <f t="shared" si="128"/>
        <v>10</v>
      </c>
      <c r="L333" s="80">
        <f>'DATA B2'!E334</f>
        <v>572296</v>
      </c>
      <c r="M333" s="80">
        <f t="shared" si="129"/>
        <v>22</v>
      </c>
      <c r="N333" s="28">
        <f t="shared" si="125"/>
        <v>2.2000000000000002</v>
      </c>
      <c r="O333" s="51">
        <f>IFERROR((('DATA B2'!F334-'DATA B2'!F333)/(K333))*1000,0)</f>
        <v>0</v>
      </c>
      <c r="P333" s="94">
        <f>'DATA B3'!C334</f>
        <v>221206</v>
      </c>
      <c r="Q333" s="91">
        <f t="shared" si="130"/>
        <v>0</v>
      </c>
      <c r="R333" s="80">
        <f>'DATA B3'!D334</f>
        <v>165812</v>
      </c>
      <c r="S333" s="80">
        <f t="shared" si="131"/>
        <v>0</v>
      </c>
      <c r="T333" s="15">
        <f t="shared" si="126"/>
        <v>0</v>
      </c>
      <c r="U333" s="15">
        <f>IFERROR((('DATA B3'!E334-'DATA B3'!E333)+('DATA B3'!F334-'DATA B3'!F333))/('WATER_STEAM RATIO'!P333-'WATER_STEAM RATIO'!P332),0)</f>
        <v>0</v>
      </c>
    </row>
    <row r="334" spans="2:21">
      <c r="B334" s="292"/>
      <c r="C334" s="97">
        <v>0.75</v>
      </c>
      <c r="D334" s="84">
        <f>'DATA B1'!D335</f>
        <v>222134</v>
      </c>
      <c r="E334" s="5">
        <f t="shared" si="132"/>
        <v>0</v>
      </c>
      <c r="F334" s="80">
        <f>'DATA B1'!E335</f>
        <v>524526</v>
      </c>
      <c r="G334" s="80">
        <f t="shared" si="127"/>
        <v>0</v>
      </c>
      <c r="H334" s="28">
        <f t="shared" ref="H334:H397" si="133" xml:space="preserve"> IFERROR(G334/E334,0)</f>
        <v>0</v>
      </c>
      <c r="I334" s="45">
        <f>IFERROR((('DATA B1'!G335-'DATA B1'!G334)/('WATER_STEAM RATIO'!D334-'WATER_STEAM RATIO'!D333))*1000,0)</f>
        <v>0</v>
      </c>
      <c r="J334" s="50">
        <f>'DATA B2'!D335</f>
        <v>513992</v>
      </c>
      <c r="K334" s="82">
        <f t="shared" si="128"/>
        <v>10</v>
      </c>
      <c r="L334" s="80">
        <f>'DATA B2'!E335</f>
        <v>572318</v>
      </c>
      <c r="M334" s="80">
        <f t="shared" si="129"/>
        <v>22</v>
      </c>
      <c r="N334" s="28">
        <f t="shared" si="125"/>
        <v>2.2000000000000002</v>
      </c>
      <c r="O334" s="51">
        <f>IFERROR((('DATA B2'!F335-'DATA B2'!F334)/(K334))*1000,0)</f>
        <v>9.9999999999988987E-3</v>
      </c>
      <c r="P334" s="94">
        <f>'DATA B3'!C335</f>
        <v>221206</v>
      </c>
      <c r="Q334" s="91">
        <f t="shared" si="130"/>
        <v>0</v>
      </c>
      <c r="R334" s="80">
        <f>'DATA B3'!D335</f>
        <v>165812</v>
      </c>
      <c r="S334" s="80">
        <f t="shared" si="131"/>
        <v>0</v>
      </c>
      <c r="T334" s="15">
        <f t="shared" si="126"/>
        <v>0</v>
      </c>
      <c r="U334" s="15">
        <f>IFERROR((('DATA B3'!E335-'DATA B3'!E334)+('DATA B3'!F335-'DATA B3'!F334))/('WATER_STEAM RATIO'!P334-'WATER_STEAM RATIO'!P333),0)</f>
        <v>0</v>
      </c>
    </row>
    <row r="335" spans="2:21">
      <c r="B335" s="292"/>
      <c r="C335" s="97">
        <v>0.79166666666666596</v>
      </c>
      <c r="D335" s="84">
        <f>'DATA B1'!D336</f>
        <v>222134</v>
      </c>
      <c r="E335" s="5">
        <f t="shared" si="132"/>
        <v>0</v>
      </c>
      <c r="F335" s="80">
        <f>'DATA B1'!E336</f>
        <v>524526</v>
      </c>
      <c r="G335" s="80">
        <f t="shared" si="127"/>
        <v>0</v>
      </c>
      <c r="H335" s="28">
        <f t="shared" si="133"/>
        <v>0</v>
      </c>
      <c r="I335" s="45">
        <f>IFERROR((('DATA B1'!G336-'DATA B1'!G335)/('WATER_STEAM RATIO'!D335-'WATER_STEAM RATIO'!D334))*1000,0)</f>
        <v>0</v>
      </c>
      <c r="J335" s="50">
        <f>'DATA B2'!D336</f>
        <v>514005</v>
      </c>
      <c r="K335" s="82">
        <f t="shared" si="128"/>
        <v>13</v>
      </c>
      <c r="L335" s="80">
        <f>'DATA B2'!E336</f>
        <v>572342</v>
      </c>
      <c r="M335" s="80">
        <f t="shared" si="129"/>
        <v>24</v>
      </c>
      <c r="N335" s="28">
        <f t="shared" si="125"/>
        <v>1.8461538461538463</v>
      </c>
      <c r="O335" s="51">
        <f>IFERROR((('DATA B2'!F336-'DATA B2'!F335)/(K335))*1000,0)</f>
        <v>0</v>
      </c>
      <c r="P335" s="94">
        <f>'DATA B3'!C336</f>
        <v>221206</v>
      </c>
      <c r="Q335" s="91">
        <f t="shared" si="130"/>
        <v>0</v>
      </c>
      <c r="R335" s="80">
        <f>'DATA B3'!D336</f>
        <v>165812</v>
      </c>
      <c r="S335" s="80">
        <f t="shared" si="131"/>
        <v>0</v>
      </c>
      <c r="T335" s="15">
        <f t="shared" si="126"/>
        <v>0</v>
      </c>
      <c r="U335" s="15">
        <f>IFERROR((('DATA B3'!E336-'DATA B3'!E335)+('DATA B3'!F336-'DATA B3'!F335))/('WATER_STEAM RATIO'!P335-'WATER_STEAM RATIO'!P334),0)</f>
        <v>0</v>
      </c>
    </row>
    <row r="336" spans="2:21">
      <c r="B336" s="292"/>
      <c r="C336" s="97">
        <v>0.83333333333333304</v>
      </c>
      <c r="D336" s="84">
        <f>'DATA B1'!D337</f>
        <v>222134</v>
      </c>
      <c r="E336" s="5">
        <f t="shared" si="132"/>
        <v>0</v>
      </c>
      <c r="F336" s="80">
        <f>'DATA B1'!E337</f>
        <v>524526</v>
      </c>
      <c r="G336" s="80">
        <f t="shared" si="127"/>
        <v>0</v>
      </c>
      <c r="H336" s="28">
        <f t="shared" si="133"/>
        <v>0</v>
      </c>
      <c r="I336" s="45">
        <f>IFERROR((('DATA B1'!G337-'DATA B1'!G336)/('WATER_STEAM RATIO'!D336-'WATER_STEAM RATIO'!D335))*1000,0)</f>
        <v>0</v>
      </c>
      <c r="J336" s="50">
        <f>'DATA B2'!D337</f>
        <v>514017</v>
      </c>
      <c r="K336" s="82">
        <f t="shared" si="128"/>
        <v>12</v>
      </c>
      <c r="L336" s="80">
        <f>'DATA B2'!E337</f>
        <v>572352</v>
      </c>
      <c r="M336" s="80">
        <f t="shared" si="129"/>
        <v>10</v>
      </c>
      <c r="N336" s="28">
        <f t="shared" si="125"/>
        <v>0.83333333333333337</v>
      </c>
      <c r="O336" s="51">
        <f>IFERROR((('DATA B2'!F337-'DATA B2'!F336)/(K336))*1000,0)</f>
        <v>0</v>
      </c>
      <c r="P336" s="94">
        <f>'DATA B3'!C337</f>
        <v>221206</v>
      </c>
      <c r="Q336" s="91">
        <f t="shared" si="130"/>
        <v>0</v>
      </c>
      <c r="R336" s="80">
        <f>'DATA B3'!D337</f>
        <v>165812</v>
      </c>
      <c r="S336" s="80">
        <f t="shared" si="131"/>
        <v>0</v>
      </c>
      <c r="T336" s="15">
        <f t="shared" si="126"/>
        <v>0</v>
      </c>
      <c r="U336" s="15">
        <f>IFERROR((('DATA B3'!E337-'DATA B3'!E336)+('DATA B3'!F337-'DATA B3'!F336))/('WATER_STEAM RATIO'!P336-'WATER_STEAM RATIO'!P335),0)</f>
        <v>0</v>
      </c>
    </row>
    <row r="337" spans="2:21">
      <c r="B337" s="292"/>
      <c r="C337" s="97">
        <v>0.875</v>
      </c>
      <c r="D337" s="84">
        <f>'DATA B1'!D338</f>
        <v>222134</v>
      </c>
      <c r="E337" s="5">
        <f t="shared" si="132"/>
        <v>0</v>
      </c>
      <c r="F337" s="80">
        <f>'DATA B1'!E338</f>
        <v>524526</v>
      </c>
      <c r="G337" s="80">
        <f t="shared" si="127"/>
        <v>0</v>
      </c>
      <c r="H337" s="28">
        <f t="shared" si="133"/>
        <v>0</v>
      </c>
      <c r="I337" s="45">
        <f>IFERROR((('DATA B1'!G338-'DATA B1'!G337)/('WATER_STEAM RATIO'!D337-'WATER_STEAM RATIO'!D336))*1000,0)</f>
        <v>0</v>
      </c>
      <c r="J337" s="50">
        <f>'DATA B2'!D338</f>
        <v>514026</v>
      </c>
      <c r="K337" s="82">
        <f t="shared" si="128"/>
        <v>9</v>
      </c>
      <c r="L337" s="80">
        <f>'DATA B2'!E338</f>
        <v>572374</v>
      </c>
      <c r="M337" s="80">
        <f t="shared" si="129"/>
        <v>22</v>
      </c>
      <c r="N337" s="28">
        <f>IFERROR(M337/K337,0)</f>
        <v>2.4444444444444446</v>
      </c>
      <c r="O337" s="51">
        <f>IFERROR((('DATA B2'!F338-'DATA B2'!F337)/(K337))*1000,0)</f>
        <v>0</v>
      </c>
      <c r="P337" s="94">
        <f>'DATA B3'!C338</f>
        <v>221206</v>
      </c>
      <c r="Q337" s="91">
        <f t="shared" si="130"/>
        <v>0</v>
      </c>
      <c r="R337" s="80">
        <f>'DATA B3'!D338</f>
        <v>165812</v>
      </c>
      <c r="S337" s="80">
        <f t="shared" si="131"/>
        <v>0</v>
      </c>
      <c r="T337" s="15">
        <f t="shared" si="126"/>
        <v>0</v>
      </c>
      <c r="U337" s="15">
        <f>IFERROR((('DATA B3'!E338-'DATA B3'!E337)+('DATA B3'!F338-'DATA B3'!F337))/('WATER_STEAM RATIO'!P337-'WATER_STEAM RATIO'!P336),0)</f>
        <v>0</v>
      </c>
    </row>
    <row r="338" spans="2:21">
      <c r="B338" s="292"/>
      <c r="C338" s="97">
        <v>0.91666666666666596</v>
      </c>
      <c r="D338" s="84">
        <f>'DATA B1'!D339</f>
        <v>222134</v>
      </c>
      <c r="E338" s="5">
        <f t="shared" si="132"/>
        <v>0</v>
      </c>
      <c r="F338" s="80">
        <f>'DATA B1'!E339</f>
        <v>524526</v>
      </c>
      <c r="G338" s="80">
        <f t="shared" si="127"/>
        <v>0</v>
      </c>
      <c r="H338" s="28">
        <f t="shared" si="133"/>
        <v>0</v>
      </c>
      <c r="I338" s="45">
        <f>IFERROR((('DATA B1'!G339-'DATA B1'!G338)/('WATER_STEAM RATIO'!D338-'WATER_STEAM RATIO'!D337))*1000,0)</f>
        <v>0</v>
      </c>
      <c r="J338" s="50">
        <f>'DATA B2'!D339</f>
        <v>514036</v>
      </c>
      <c r="K338" s="82">
        <f t="shared" si="128"/>
        <v>10</v>
      </c>
      <c r="L338" s="80">
        <f>'DATA B2'!E339</f>
        <v>572396</v>
      </c>
      <c r="M338" s="80">
        <f t="shared" si="129"/>
        <v>22</v>
      </c>
      <c r="N338" s="28">
        <f t="shared" si="125"/>
        <v>2.2000000000000002</v>
      </c>
      <c r="O338" s="51">
        <f>IFERROR((('DATA B2'!F339-'DATA B2'!F338)/(K338))*1000,0)</f>
        <v>0</v>
      </c>
      <c r="P338" s="94">
        <f>'DATA B3'!C339</f>
        <v>221206</v>
      </c>
      <c r="Q338" s="91">
        <f t="shared" si="130"/>
        <v>0</v>
      </c>
      <c r="R338" s="80">
        <f>'DATA B3'!D339</f>
        <v>165812</v>
      </c>
      <c r="S338" s="80">
        <f t="shared" si="131"/>
        <v>0</v>
      </c>
      <c r="T338" s="15">
        <f t="shared" si="126"/>
        <v>0</v>
      </c>
      <c r="U338" s="15">
        <f>IFERROR((('DATA B3'!E339-'DATA B3'!E338)+('DATA B3'!F339-'DATA B3'!F338))/('WATER_STEAM RATIO'!P338-'WATER_STEAM RATIO'!P337),0)</f>
        <v>0</v>
      </c>
    </row>
    <row r="339" spans="2:21">
      <c r="B339" s="292"/>
      <c r="C339" s="97">
        <v>0.95833333333333304</v>
      </c>
      <c r="D339" s="84">
        <f>'DATA B1'!D340</f>
        <v>222134</v>
      </c>
      <c r="E339" s="5">
        <f t="shared" si="132"/>
        <v>0</v>
      </c>
      <c r="F339" s="80">
        <f>'DATA B1'!E340</f>
        <v>524526</v>
      </c>
      <c r="G339" s="80">
        <f t="shared" si="127"/>
        <v>0</v>
      </c>
      <c r="H339" s="28">
        <f t="shared" si="133"/>
        <v>0</v>
      </c>
      <c r="I339" s="45">
        <f>IFERROR((('DATA B1'!G340-'DATA B1'!G339)/('WATER_STEAM RATIO'!D339-'WATER_STEAM RATIO'!D338))*1000,0)</f>
        <v>0</v>
      </c>
      <c r="J339" s="50">
        <f>'DATA B2'!D340</f>
        <v>514046</v>
      </c>
      <c r="K339" s="82">
        <f>SUM(J339-J338)</f>
        <v>10</v>
      </c>
      <c r="L339" s="80">
        <f>'DATA B2'!E340</f>
        <v>572418</v>
      </c>
      <c r="M339" s="80">
        <f t="shared" si="129"/>
        <v>22</v>
      </c>
      <c r="N339" s="28">
        <f t="shared" si="125"/>
        <v>2.2000000000000002</v>
      </c>
      <c r="O339" s="51">
        <f>IFERROR((('DATA B2'!F340-'DATA B2'!F339)/(K339))*1000,0)</f>
        <v>9.9999999999988987E-3</v>
      </c>
      <c r="P339" s="94">
        <f>'DATA B3'!C340</f>
        <v>221206</v>
      </c>
      <c r="Q339" s="91">
        <f t="shared" si="130"/>
        <v>0</v>
      </c>
      <c r="R339" s="80">
        <f>'DATA B3'!D340</f>
        <v>165812</v>
      </c>
      <c r="S339" s="80">
        <f t="shared" si="131"/>
        <v>0</v>
      </c>
      <c r="T339" s="15">
        <f t="shared" si="126"/>
        <v>0</v>
      </c>
      <c r="U339" s="15">
        <f>IFERROR((('DATA B3'!E340-'DATA B3'!E339)+('DATA B3'!F340-'DATA B3'!F339))/('WATER_STEAM RATIO'!P339-'WATER_STEAM RATIO'!P338),0)</f>
        <v>0</v>
      </c>
    </row>
    <row r="340" spans="2:21">
      <c r="B340" s="292"/>
      <c r="C340" s="97">
        <v>1</v>
      </c>
      <c r="D340" s="84">
        <f>'DATA B1'!D341</f>
        <v>222134</v>
      </c>
      <c r="E340" s="5">
        <f t="shared" si="132"/>
        <v>0</v>
      </c>
      <c r="F340" s="80">
        <f>'DATA B1'!E341</f>
        <v>524526</v>
      </c>
      <c r="G340" s="80">
        <f t="shared" si="127"/>
        <v>0</v>
      </c>
      <c r="H340" s="28">
        <f t="shared" si="133"/>
        <v>0</v>
      </c>
      <c r="I340" s="45">
        <f>IFERROR((('DATA B1'!G341-'DATA B1'!G340)/('WATER_STEAM RATIO'!D340-'WATER_STEAM RATIO'!D339))*1000,0)</f>
        <v>0</v>
      </c>
      <c r="J340" s="50">
        <f>'DATA B2'!D341</f>
        <v>514057</v>
      </c>
      <c r="K340" s="82">
        <f t="shared" si="128"/>
        <v>11</v>
      </c>
      <c r="L340" s="80">
        <f>'DATA B2'!E341</f>
        <v>572432</v>
      </c>
      <c r="M340" s="80">
        <f t="shared" si="129"/>
        <v>14</v>
      </c>
      <c r="N340" s="28">
        <f t="shared" si="125"/>
        <v>1.2727272727272727</v>
      </c>
      <c r="O340" s="51">
        <f>IFERROR((('DATA B2'!F341-'DATA B2'!F340)/(K340))*1000,0)</f>
        <v>0</v>
      </c>
      <c r="P340" s="94">
        <f>'DATA B3'!C341</f>
        <v>221206</v>
      </c>
      <c r="Q340" s="91">
        <f t="shared" si="130"/>
        <v>0</v>
      </c>
      <c r="R340" s="80">
        <f>'DATA B3'!D341</f>
        <v>165812</v>
      </c>
      <c r="S340" s="80">
        <f t="shared" si="131"/>
        <v>0</v>
      </c>
      <c r="T340" s="15">
        <f t="shared" si="126"/>
        <v>0</v>
      </c>
      <c r="U340" s="15">
        <f>IFERROR((('DATA B3'!E341-'DATA B3'!E340)+('DATA B3'!F341-'DATA B3'!F340))/('WATER_STEAM RATIO'!P340-'WATER_STEAM RATIO'!P339),0)</f>
        <v>0</v>
      </c>
    </row>
    <row r="341" spans="2:21">
      <c r="B341" s="292"/>
      <c r="C341" s="97">
        <v>1.0416666666666701</v>
      </c>
      <c r="D341" s="84">
        <f>'DATA B1'!D342</f>
        <v>222134</v>
      </c>
      <c r="E341" s="5">
        <f t="shared" si="132"/>
        <v>0</v>
      </c>
      <c r="F341" s="80">
        <f>'DATA B1'!E342</f>
        <v>524526</v>
      </c>
      <c r="G341" s="80">
        <f t="shared" si="127"/>
        <v>0</v>
      </c>
      <c r="H341" s="28">
        <f t="shared" si="133"/>
        <v>0</v>
      </c>
      <c r="I341" s="45">
        <f>IFERROR((('DATA B1'!G342-'DATA B1'!G341)/('WATER_STEAM RATIO'!D341-'WATER_STEAM RATIO'!D340))*1000,0)</f>
        <v>0</v>
      </c>
      <c r="J341" s="50">
        <f>'DATA B2'!D342</f>
        <v>514068</v>
      </c>
      <c r="K341" s="82">
        <f t="shared" si="128"/>
        <v>11</v>
      </c>
      <c r="L341" s="80">
        <f>'DATA B2'!E342</f>
        <v>572446</v>
      </c>
      <c r="M341" s="80">
        <f t="shared" si="129"/>
        <v>14</v>
      </c>
      <c r="N341" s="28">
        <f t="shared" si="125"/>
        <v>1.2727272727272727</v>
      </c>
      <c r="O341" s="51">
        <f>IFERROR((('DATA B2'!F342-'DATA B2'!F341)/(K341))*1000,0)</f>
        <v>0</v>
      </c>
      <c r="P341" s="94">
        <f>'DATA B3'!C342</f>
        <v>221206</v>
      </c>
      <c r="Q341" s="91">
        <f t="shared" si="130"/>
        <v>0</v>
      </c>
      <c r="R341" s="80">
        <f>'DATA B3'!D342</f>
        <v>165812</v>
      </c>
      <c r="S341" s="80">
        <f t="shared" si="131"/>
        <v>0</v>
      </c>
      <c r="T341" s="15">
        <f t="shared" si="126"/>
        <v>0</v>
      </c>
      <c r="U341" s="15">
        <f>IFERROR((('DATA B3'!E342-'DATA B3'!E341)+('DATA B3'!F342-'DATA B3'!F341))/('WATER_STEAM RATIO'!P341-'WATER_STEAM RATIO'!P340),0)</f>
        <v>0</v>
      </c>
    </row>
    <row r="342" spans="2:21">
      <c r="B342" s="292"/>
      <c r="C342" s="97">
        <v>1.0833333333333399</v>
      </c>
      <c r="D342" s="84">
        <f>'DATA B1'!D343</f>
        <v>222134</v>
      </c>
      <c r="E342" s="5">
        <f>SUM(D342-D341)</f>
        <v>0</v>
      </c>
      <c r="F342" s="80">
        <f>'DATA B1'!E343</f>
        <v>524526</v>
      </c>
      <c r="G342" s="80">
        <f t="shared" si="127"/>
        <v>0</v>
      </c>
      <c r="H342" s="28">
        <f t="shared" si="133"/>
        <v>0</v>
      </c>
      <c r="I342" s="45">
        <f>IFERROR((('DATA B1'!G343-'DATA B1'!G342)/('WATER_STEAM RATIO'!D342-'WATER_STEAM RATIO'!D341))*1000,0)</f>
        <v>0</v>
      </c>
      <c r="J342" s="50">
        <f>'DATA B2'!D343</f>
        <v>514080</v>
      </c>
      <c r="K342" s="82">
        <f t="shared" si="128"/>
        <v>12</v>
      </c>
      <c r="L342" s="80">
        <f>'DATA B2'!E343</f>
        <v>572460</v>
      </c>
      <c r="M342" s="80">
        <f t="shared" si="129"/>
        <v>14</v>
      </c>
      <c r="N342" s="28">
        <f t="shared" si="125"/>
        <v>1.1666666666666667</v>
      </c>
      <c r="O342" s="51">
        <f>IFERROR((('DATA B2'!F343-'DATA B2'!F342)/(K342))*1000,0)</f>
        <v>0</v>
      </c>
      <c r="P342" s="94">
        <f>'DATA B3'!C343</f>
        <v>221206</v>
      </c>
      <c r="Q342" s="91">
        <f>SUM(P342-P341)</f>
        <v>0</v>
      </c>
      <c r="R342" s="80">
        <f>'DATA B3'!D343</f>
        <v>165812</v>
      </c>
      <c r="S342" s="80">
        <f t="shared" si="131"/>
        <v>0</v>
      </c>
      <c r="T342" s="15">
        <f t="shared" si="126"/>
        <v>0</v>
      </c>
      <c r="U342" s="15">
        <f>IFERROR((('DATA B3'!E343-'DATA B3'!E342)+('DATA B3'!F343-'DATA B3'!F342))/('WATER_STEAM RATIO'!P342-'WATER_STEAM RATIO'!P341),0)</f>
        <v>0</v>
      </c>
    </row>
    <row r="343" spans="2:21">
      <c r="B343" s="292"/>
      <c r="C343" s="97">
        <v>1.125</v>
      </c>
      <c r="D343" s="84">
        <f>'DATA B1'!D344</f>
        <v>222134</v>
      </c>
      <c r="E343" s="5">
        <f t="shared" si="132"/>
        <v>0</v>
      </c>
      <c r="F343" s="80">
        <f>'DATA B1'!E344</f>
        <v>524526</v>
      </c>
      <c r="G343" s="80">
        <f t="shared" si="127"/>
        <v>0</v>
      </c>
      <c r="H343" s="28">
        <f t="shared" si="133"/>
        <v>0</v>
      </c>
      <c r="I343" s="45">
        <f>IFERROR((('DATA B1'!G344-'DATA B1'!G343)/('WATER_STEAM RATIO'!D343-'WATER_STEAM RATIO'!D342))*1000,0)</f>
        <v>0</v>
      </c>
      <c r="J343" s="50">
        <f>'DATA B2'!D344</f>
        <v>514092</v>
      </c>
      <c r="K343" s="82">
        <f t="shared" si="128"/>
        <v>12</v>
      </c>
      <c r="L343" s="80">
        <f>'DATA B2'!E344</f>
        <v>572474</v>
      </c>
      <c r="M343" s="80">
        <f t="shared" si="129"/>
        <v>14</v>
      </c>
      <c r="N343" s="28">
        <f t="shared" si="125"/>
        <v>1.1666666666666667</v>
      </c>
      <c r="O343" s="51">
        <f>IFERROR((('DATA B2'!F344-'DATA B2'!F343)/(K343))*1000,0)</f>
        <v>0</v>
      </c>
      <c r="P343" s="94">
        <f>'DATA B3'!C344</f>
        <v>221206</v>
      </c>
      <c r="Q343" s="91">
        <f t="shared" si="130"/>
        <v>0</v>
      </c>
      <c r="R343" s="80">
        <f>'DATA B3'!D344</f>
        <v>165812</v>
      </c>
      <c r="S343" s="80">
        <f t="shared" si="131"/>
        <v>0</v>
      </c>
      <c r="T343" s="15">
        <f t="shared" si="126"/>
        <v>0</v>
      </c>
      <c r="U343" s="15">
        <f>IFERROR((('DATA B3'!E344-'DATA B3'!E343)+('DATA B3'!F344-'DATA B3'!F343))/('WATER_STEAM RATIO'!P343-'WATER_STEAM RATIO'!P342),0)</f>
        <v>0</v>
      </c>
    </row>
    <row r="344" spans="2:21">
      <c r="B344" s="292"/>
      <c r="C344" s="97">
        <v>1.1666666666666701</v>
      </c>
      <c r="D344" s="84">
        <f>'DATA B1'!D345</f>
        <v>222134</v>
      </c>
      <c r="E344" s="5">
        <f t="shared" si="132"/>
        <v>0</v>
      </c>
      <c r="F344" s="80">
        <f>'DATA B1'!E345</f>
        <v>524526</v>
      </c>
      <c r="G344" s="80">
        <f t="shared" si="127"/>
        <v>0</v>
      </c>
      <c r="H344" s="28">
        <f t="shared" si="133"/>
        <v>0</v>
      </c>
      <c r="I344" s="45">
        <f>IFERROR((('DATA B1'!G345-'DATA B1'!G344)/('WATER_STEAM RATIO'!D344-'WATER_STEAM RATIO'!D343))*1000,0)</f>
        <v>0</v>
      </c>
      <c r="J344" s="50">
        <f>'DATA B2'!D345</f>
        <v>514102</v>
      </c>
      <c r="K344" s="82">
        <f t="shared" si="128"/>
        <v>10</v>
      </c>
      <c r="L344" s="80">
        <f>'DATA B2'!E345</f>
        <v>572486</v>
      </c>
      <c r="M344" s="80">
        <f t="shared" si="129"/>
        <v>12</v>
      </c>
      <c r="N344" s="28">
        <f t="shared" si="125"/>
        <v>1.2</v>
      </c>
      <c r="O344" s="51">
        <f>IFERROR((('DATA B2'!F345-'DATA B2'!F344)/(K344))*1000,0)</f>
        <v>0</v>
      </c>
      <c r="P344" s="94">
        <f>'DATA B3'!C345</f>
        <v>221206</v>
      </c>
      <c r="Q344" s="91">
        <f t="shared" si="130"/>
        <v>0</v>
      </c>
      <c r="R344" s="80">
        <f>'DATA B3'!D345</f>
        <v>165812</v>
      </c>
      <c r="S344" s="80">
        <f t="shared" si="131"/>
        <v>0</v>
      </c>
      <c r="T344" s="15">
        <f t="shared" si="126"/>
        <v>0</v>
      </c>
      <c r="U344" s="15">
        <f>IFERROR((('DATA B3'!E345-'DATA B3'!E344)+('DATA B3'!F345-'DATA B3'!F344))/('WATER_STEAM RATIO'!P344-'WATER_STEAM RATIO'!P343),0)</f>
        <v>0</v>
      </c>
    </row>
    <row r="345" spans="2:21">
      <c r="B345" s="292"/>
      <c r="C345" s="97">
        <v>1.2083333333333399</v>
      </c>
      <c r="D345" s="84">
        <f>'DATA B1'!D346</f>
        <v>222134</v>
      </c>
      <c r="E345" s="5">
        <f t="shared" si="132"/>
        <v>0</v>
      </c>
      <c r="F345" s="80">
        <f>'DATA B1'!E346</f>
        <v>524526</v>
      </c>
      <c r="G345" s="80">
        <f t="shared" si="127"/>
        <v>0</v>
      </c>
      <c r="H345" s="28">
        <f t="shared" si="133"/>
        <v>0</v>
      </c>
      <c r="I345" s="45">
        <f>IFERROR((('DATA B1'!G346-'DATA B1'!G345)/('WATER_STEAM RATIO'!D345-'WATER_STEAM RATIO'!D344))*1000,0)</f>
        <v>0</v>
      </c>
      <c r="J345" s="50">
        <f>'DATA B2'!D346</f>
        <v>514113</v>
      </c>
      <c r="K345" s="82">
        <f t="shared" si="128"/>
        <v>11</v>
      </c>
      <c r="L345" s="80">
        <f>'DATA B2'!E346</f>
        <v>572498</v>
      </c>
      <c r="M345" s="80">
        <f t="shared" si="129"/>
        <v>12</v>
      </c>
      <c r="N345" s="28">
        <f t="shared" si="125"/>
        <v>1.0909090909090908</v>
      </c>
      <c r="O345" s="51">
        <f>IFERROR((('DATA B2'!F346-'DATA B2'!F345)/(K345))*1000,0)</f>
        <v>0</v>
      </c>
      <c r="P345" s="94">
        <f>'DATA B3'!C346</f>
        <v>221206</v>
      </c>
      <c r="Q345" s="91">
        <f t="shared" si="130"/>
        <v>0</v>
      </c>
      <c r="R345" s="80">
        <f>'DATA B3'!D346</f>
        <v>165812</v>
      </c>
      <c r="S345" s="80">
        <f t="shared" si="131"/>
        <v>0</v>
      </c>
      <c r="T345" s="15">
        <f t="shared" si="126"/>
        <v>0</v>
      </c>
      <c r="U345" s="15">
        <f>IFERROR((('DATA B3'!E346-'DATA B3'!E345)+('DATA B3'!F346-'DATA B3'!F345))/('WATER_STEAM RATIO'!P345-'WATER_STEAM RATIO'!P344),0)</f>
        <v>0</v>
      </c>
    </row>
    <row r="346" spans="2:21">
      <c r="B346" s="292"/>
      <c r="C346" s="97">
        <v>1.25</v>
      </c>
      <c r="D346" s="84">
        <f>'DATA B1'!D347</f>
        <v>222134</v>
      </c>
      <c r="E346" s="5">
        <f t="shared" si="132"/>
        <v>0</v>
      </c>
      <c r="F346" s="80">
        <f>'DATA B1'!E347</f>
        <v>524526</v>
      </c>
      <c r="G346" s="80">
        <f t="shared" si="127"/>
        <v>0</v>
      </c>
      <c r="H346" s="28">
        <f t="shared" si="133"/>
        <v>0</v>
      </c>
      <c r="I346" s="45">
        <f>IFERROR((('DATA B1'!G347-'DATA B1'!G346)/('WATER_STEAM RATIO'!D346-'WATER_STEAM RATIO'!D345))*1000,0)</f>
        <v>0</v>
      </c>
      <c r="J346" s="50">
        <f>'DATA B2'!D347</f>
        <v>514124</v>
      </c>
      <c r="K346" s="82">
        <f t="shared" si="128"/>
        <v>11</v>
      </c>
      <c r="L346" s="80">
        <f>'DATA B2'!E347</f>
        <v>572511</v>
      </c>
      <c r="M346" s="80">
        <f t="shared" si="129"/>
        <v>13</v>
      </c>
      <c r="N346" s="28">
        <f t="shared" si="125"/>
        <v>1.1818181818181819</v>
      </c>
      <c r="O346" s="51">
        <f>IFERROR((('DATA B2'!F347-'DATA B2'!F346)/(K346))*1000,0)</f>
        <v>0</v>
      </c>
      <c r="P346" s="94">
        <f>'DATA B3'!C347</f>
        <v>221206</v>
      </c>
      <c r="Q346" s="91">
        <f t="shared" si="130"/>
        <v>0</v>
      </c>
      <c r="R346" s="80">
        <f>'DATA B3'!D347</f>
        <v>165812</v>
      </c>
      <c r="S346" s="80">
        <f t="shared" si="131"/>
        <v>0</v>
      </c>
      <c r="T346" s="15">
        <f t="shared" si="126"/>
        <v>0</v>
      </c>
      <c r="U346" s="15">
        <f>IFERROR((('DATA B3'!E347-'DATA B3'!E346)+('DATA B3'!F347-'DATA B3'!F346))/('WATER_STEAM RATIO'!P346-'WATER_STEAM RATIO'!P345),0)</f>
        <v>0</v>
      </c>
    </row>
    <row r="347" spans="2:21">
      <c r="B347" s="292"/>
      <c r="C347" s="97">
        <v>1.2916666666666701</v>
      </c>
      <c r="D347" s="84">
        <f>'DATA B1'!D348</f>
        <v>222134</v>
      </c>
      <c r="E347" s="5">
        <f t="shared" si="132"/>
        <v>0</v>
      </c>
      <c r="F347" s="80">
        <f>'DATA B1'!E348</f>
        <v>524526</v>
      </c>
      <c r="G347" s="80">
        <f t="shared" si="127"/>
        <v>0</v>
      </c>
      <c r="H347" s="28">
        <f t="shared" si="133"/>
        <v>0</v>
      </c>
      <c r="I347" s="45">
        <f>IFERROR((('DATA B1'!G348-'DATA B1'!G347)/('WATER_STEAM RATIO'!D347-'WATER_STEAM RATIO'!D346))*1000,0)</f>
        <v>0</v>
      </c>
      <c r="J347" s="50">
        <f>'DATA B2'!D348</f>
        <v>514135</v>
      </c>
      <c r="K347" s="82">
        <f>SUM(J347-J346)</f>
        <v>11</v>
      </c>
      <c r="L347" s="80">
        <f>'DATA B2'!E348</f>
        <v>572524</v>
      </c>
      <c r="M347" s="80">
        <f t="shared" si="129"/>
        <v>13</v>
      </c>
      <c r="N347" s="28">
        <f t="shared" si="125"/>
        <v>1.1818181818181819</v>
      </c>
      <c r="O347" s="51">
        <f>IFERROR((('DATA B2'!F348-'DATA B2'!F347)/(K347))*1000,0)</f>
        <v>0</v>
      </c>
      <c r="P347" s="94">
        <f>'DATA B3'!C348</f>
        <v>221206</v>
      </c>
      <c r="Q347" s="91">
        <f t="shared" si="130"/>
        <v>0</v>
      </c>
      <c r="R347" s="80">
        <f>'DATA B3'!D348</f>
        <v>165812</v>
      </c>
      <c r="S347" s="80">
        <f t="shared" si="131"/>
        <v>0</v>
      </c>
      <c r="T347" s="15">
        <f t="shared" si="126"/>
        <v>0</v>
      </c>
      <c r="U347" s="15">
        <f>IFERROR((('DATA B3'!E348-'DATA B3'!E347)+('DATA B3'!F348-'DATA B3'!F347))/('WATER_STEAM RATIO'!P347-'WATER_STEAM RATIO'!P346),0)</f>
        <v>0</v>
      </c>
    </row>
    <row r="348" spans="2:21" ht="15.75" thickBot="1">
      <c r="B348" s="293"/>
      <c r="C348" s="235"/>
      <c r="D348" s="224" cm="1">
        <f t="array" ref="D348">IFERROR(LOOKUP(2,1/(D323:D347&gt;0),D323:D347-D323),0)</f>
        <v>0</v>
      </c>
      <c r="E348" s="223">
        <f>SUMIF(E324:E347,"&gt;=0",E324:E347)</f>
        <v>0</v>
      </c>
      <c r="F348" s="224" cm="1">
        <f t="array" ref="F348">IFERROR(LOOKUP(2,1/(F323:F347&gt;0),F323:F347-F323),0)</f>
        <v>0</v>
      </c>
      <c r="G348" s="223">
        <f>SUMIF(G324:G347,"&gt;=0",G324:G347)</f>
        <v>0</v>
      </c>
      <c r="H348" s="225">
        <f t="shared" si="133"/>
        <v>0</v>
      </c>
      <c r="I348" s="236">
        <f>IFERROR((('DATA B1'!H349)/(E348))*1000,0)</f>
        <v>0</v>
      </c>
      <c r="J348" s="222" cm="1">
        <f t="array" ref="J348">IFERROR(LOOKUP(2,1/(J323:J347&gt;0),J323:J347-J323),0)</f>
        <v>250</v>
      </c>
      <c r="K348" s="223">
        <f>SUMIF(K324:K347,"&gt;=0",K324:K347)</f>
        <v>250</v>
      </c>
      <c r="L348" s="224" cm="1">
        <f t="array" ref="L348">IFERROR(LOOKUP(2,1/(L323:L347&gt;0),L323:L347-L323),0)</f>
        <v>444</v>
      </c>
      <c r="M348" s="223">
        <f>SUMIF(M324:M347,"&gt;=0",M324:M347)</f>
        <v>444</v>
      </c>
      <c r="N348" s="225">
        <f>IFERROR(M348/K348,0)</f>
        <v>1.776</v>
      </c>
      <c r="O348" s="226">
        <f>IFERROR((('DATA B2'!H349)/(K348))*1000,0)</f>
        <v>4.7999999999994714E-3</v>
      </c>
      <c r="P348" s="224" cm="1">
        <f t="array" ref="P348">IFERROR(LOOKUP(2,1/(P323:P347&gt;0),P323:P347-P323),0)</f>
        <v>0</v>
      </c>
      <c r="Q348" s="223">
        <f>SUMIF(Q324:Q347,"&gt;=0",Q324:Q347)</f>
        <v>0</v>
      </c>
      <c r="R348" s="224" cm="1">
        <f t="array" ref="R348">IFERROR(LOOKUP(2,1/(R323:R347&gt;0),R323:R347-R323),0)</f>
        <v>0</v>
      </c>
      <c r="S348" s="223">
        <f>SUMIF(S324:S347,"&gt;=0",S324:S347)</f>
        <v>0</v>
      </c>
      <c r="T348" s="237">
        <f t="shared" si="126"/>
        <v>0</v>
      </c>
      <c r="U348" s="226">
        <f>IFERROR(('DATA B3'!E349+'DATA B3'!F349)/Q348*1000,0)</f>
        <v>0</v>
      </c>
    </row>
    <row r="349" spans="2:21" ht="15" customHeight="1">
      <c r="B349" s="291">
        <f>SUM('DATA B1'!B350:B375)</f>
        <v>46036</v>
      </c>
      <c r="C349" s="97">
        <v>0.29166666666666669</v>
      </c>
      <c r="D349" s="84">
        <f>'DATA B1'!D350</f>
        <v>222134</v>
      </c>
      <c r="E349" s="5">
        <f>SUM(E347)</f>
        <v>0</v>
      </c>
      <c r="F349" s="80">
        <f>'DATA B1'!E350</f>
        <v>524526</v>
      </c>
      <c r="G349" s="80">
        <f>SUM(G347)</f>
        <v>0</v>
      </c>
      <c r="H349" s="28">
        <f t="shared" si="133"/>
        <v>0</v>
      </c>
      <c r="I349" s="45"/>
      <c r="J349" s="50">
        <f>'DATA B2'!D350</f>
        <v>514135</v>
      </c>
      <c r="K349" s="82">
        <f>SUM(K347)</f>
        <v>11</v>
      </c>
      <c r="L349" s="80">
        <f>'DATA B2'!E350</f>
        <v>572524</v>
      </c>
      <c r="M349" s="80">
        <f>SUM(M347)</f>
        <v>13</v>
      </c>
      <c r="N349" s="28">
        <f>IFERROR(M349/K349,0)</f>
        <v>1.1818181818181819</v>
      </c>
      <c r="O349" s="103"/>
      <c r="P349" s="94">
        <f>'DATA B3'!C350</f>
        <v>221206</v>
      </c>
      <c r="Q349" s="91">
        <f>SUM(Q347)</f>
        <v>0</v>
      </c>
      <c r="R349" s="80">
        <f>'DATA B3'!D350</f>
        <v>165812</v>
      </c>
      <c r="S349" s="80">
        <f>SUM(S347)</f>
        <v>0</v>
      </c>
      <c r="T349" s="15">
        <f>IFERROR(S349/Q349,0)</f>
        <v>0</v>
      </c>
      <c r="U349" s="15"/>
    </row>
    <row r="350" spans="2:21">
      <c r="B350" s="292"/>
      <c r="C350" s="97">
        <v>0.33333333333333298</v>
      </c>
      <c r="D350" s="84">
        <f>'DATA B1'!D351</f>
        <v>222134</v>
      </c>
      <c r="E350" s="5">
        <f t="shared" ref="E350:E356" si="134">SUM(D350-D349)</f>
        <v>0</v>
      </c>
      <c r="F350" s="80">
        <f>'DATA B1'!E351</f>
        <v>524526</v>
      </c>
      <c r="G350" s="80">
        <f>SUM(F350-F349)</f>
        <v>0</v>
      </c>
      <c r="H350" s="28">
        <f t="shared" si="133"/>
        <v>0</v>
      </c>
      <c r="I350" s="45">
        <f>IFERROR((('DATA B1'!G351-'DATA B1'!G350)/('WATER_STEAM RATIO'!D350-'WATER_STEAM RATIO'!D349))*1000,0)</f>
        <v>0</v>
      </c>
      <c r="J350" s="50">
        <f>'DATA B2'!D351</f>
        <v>514151</v>
      </c>
      <c r="K350" s="82">
        <f>SUM(J350-J349)</f>
        <v>16</v>
      </c>
      <c r="L350" s="80">
        <f>'DATA B2'!E351</f>
        <v>572543</v>
      </c>
      <c r="M350" s="80">
        <f>SUM(L350-L349)</f>
        <v>19</v>
      </c>
      <c r="N350" s="28">
        <f t="shared" ref="N350:N373" si="135">IFERROR(M350/K350,0)</f>
        <v>1.1875</v>
      </c>
      <c r="O350" s="51">
        <f>IFERROR((('DATA B2'!F351-'DATA B2'!F350)/(K350))*1000,0)</f>
        <v>0</v>
      </c>
      <c r="P350" s="94">
        <f>'DATA B3'!C351</f>
        <v>221206</v>
      </c>
      <c r="Q350" s="91">
        <f>SUM(P350-P349)</f>
        <v>0</v>
      </c>
      <c r="R350" s="80">
        <f>'DATA B3'!D351</f>
        <v>165812</v>
      </c>
      <c r="S350" s="80">
        <f>SUM(R350-R349)</f>
        <v>0</v>
      </c>
      <c r="T350" s="15">
        <f t="shared" ref="T350:T374" si="136">IFERROR(S350/Q350,0)</f>
        <v>0</v>
      </c>
      <c r="U350" s="15">
        <f>IFERROR((('DATA B3'!E351-'DATA B3'!E350)+('DATA B3'!F351-'DATA B3'!F350))/('WATER_STEAM RATIO'!P350-'WATER_STEAM RATIO'!P349),0)</f>
        <v>0</v>
      </c>
    </row>
    <row r="351" spans="2:21">
      <c r="B351" s="292"/>
      <c r="C351" s="97">
        <v>0.375</v>
      </c>
      <c r="D351" s="84">
        <f>'DATA B1'!D352</f>
        <v>222134</v>
      </c>
      <c r="E351" s="5">
        <f t="shared" si="134"/>
        <v>0</v>
      </c>
      <c r="F351" s="80">
        <f>'DATA B1'!E352</f>
        <v>524526</v>
      </c>
      <c r="G351" s="80">
        <f t="shared" ref="G351:G373" si="137">SUM(F351-F350)</f>
        <v>0</v>
      </c>
      <c r="H351" s="28">
        <f t="shared" si="133"/>
        <v>0</v>
      </c>
      <c r="I351" s="45">
        <f>IFERROR((('DATA B1'!G352-'DATA B1'!G351)/('WATER_STEAM RATIO'!D351-'WATER_STEAM RATIO'!D350))*1000,0)</f>
        <v>0</v>
      </c>
      <c r="J351" s="50">
        <f>'DATA B2'!D352</f>
        <v>514160</v>
      </c>
      <c r="K351" s="82">
        <f t="shared" ref="K351:K372" si="138">SUM(J351-J350)</f>
        <v>9</v>
      </c>
      <c r="L351" s="80">
        <f>'DATA B2'!E352</f>
        <v>572554</v>
      </c>
      <c r="M351" s="80">
        <f t="shared" ref="M351:M373" si="139">SUM(L351-L350)</f>
        <v>11</v>
      </c>
      <c r="N351" s="28">
        <f t="shared" si="135"/>
        <v>1.2222222222222223</v>
      </c>
      <c r="O351" s="51">
        <f>IFERROR((('DATA B2'!F352-'DATA B2'!F351)/(K351))*1000,0)</f>
        <v>1.111111111113456E-2</v>
      </c>
      <c r="P351" s="94">
        <f>'DATA B3'!C352</f>
        <v>221206</v>
      </c>
      <c r="Q351" s="91">
        <f t="shared" ref="Q351:Q373" si="140">SUM(P351-P350)</f>
        <v>0</v>
      </c>
      <c r="R351" s="80">
        <f>'DATA B3'!D352</f>
        <v>165812</v>
      </c>
      <c r="S351" s="80">
        <f t="shared" ref="S351:S373" si="141">SUM(R351-R350)</f>
        <v>0</v>
      </c>
      <c r="T351" s="15">
        <f t="shared" si="136"/>
        <v>0</v>
      </c>
      <c r="U351" s="15">
        <f>IFERROR((('DATA B3'!E352-'DATA B3'!E351)+('DATA B3'!F352-'DATA B3'!F351))/('WATER_STEAM RATIO'!P351-'WATER_STEAM RATIO'!P350),0)</f>
        <v>0</v>
      </c>
    </row>
    <row r="352" spans="2:21">
      <c r="B352" s="292"/>
      <c r="C352" s="97">
        <v>0.41666666666666702</v>
      </c>
      <c r="D352" s="84">
        <f>'DATA B1'!D353</f>
        <v>222134</v>
      </c>
      <c r="E352" s="5">
        <f t="shared" si="134"/>
        <v>0</v>
      </c>
      <c r="F352" s="80">
        <f>'DATA B1'!E353</f>
        <v>524526</v>
      </c>
      <c r="G352" s="80">
        <f t="shared" si="137"/>
        <v>0</v>
      </c>
      <c r="H352" s="28">
        <f t="shared" si="133"/>
        <v>0</v>
      </c>
      <c r="I352" s="45">
        <f>IFERROR((('DATA B1'!G353-'DATA B1'!G352)/('WATER_STEAM RATIO'!D352-'WATER_STEAM RATIO'!D351))*1000,0)</f>
        <v>0</v>
      </c>
      <c r="J352" s="50">
        <f>'DATA B2'!D353</f>
        <v>514169</v>
      </c>
      <c r="K352" s="82">
        <f t="shared" si="138"/>
        <v>9</v>
      </c>
      <c r="L352" s="80">
        <f>'DATA B2'!E353</f>
        <v>572565</v>
      </c>
      <c r="M352" s="80">
        <f t="shared" si="139"/>
        <v>11</v>
      </c>
      <c r="N352" s="28">
        <f t="shared" si="135"/>
        <v>1.2222222222222223</v>
      </c>
      <c r="O352" s="51">
        <f>IFERROR((('DATA B2'!F353-'DATA B2'!F352)/(K352))*1000,0)</f>
        <v>0</v>
      </c>
      <c r="P352" s="94">
        <f>'DATA B3'!C353</f>
        <v>221206</v>
      </c>
      <c r="Q352" s="91">
        <f t="shared" si="140"/>
        <v>0</v>
      </c>
      <c r="R352" s="80">
        <f>'DATA B3'!D353</f>
        <v>165812</v>
      </c>
      <c r="S352" s="80">
        <f t="shared" si="141"/>
        <v>0</v>
      </c>
      <c r="T352" s="15">
        <f t="shared" si="136"/>
        <v>0</v>
      </c>
      <c r="U352" s="15">
        <f>IFERROR((('DATA B3'!E353-'DATA B3'!E352)+('DATA B3'!F353-'DATA B3'!F352))/('WATER_STEAM RATIO'!P352-'WATER_STEAM RATIO'!P351),0)</f>
        <v>0</v>
      </c>
    </row>
    <row r="353" spans="2:21">
      <c r="B353" s="292"/>
      <c r="C353" s="97">
        <v>0.45833333333333298</v>
      </c>
      <c r="D353" s="84">
        <f>'DATA B1'!D354</f>
        <v>222134</v>
      </c>
      <c r="E353" s="5">
        <f t="shared" si="134"/>
        <v>0</v>
      </c>
      <c r="F353" s="80">
        <f>'DATA B1'!E354</f>
        <v>524526</v>
      </c>
      <c r="G353" s="80">
        <f t="shared" si="137"/>
        <v>0</v>
      </c>
      <c r="H353" s="28">
        <f t="shared" si="133"/>
        <v>0</v>
      </c>
      <c r="I353" s="45">
        <f>IFERROR((('DATA B1'!G354-'DATA B1'!G353)/('WATER_STEAM RATIO'!D353-'WATER_STEAM RATIO'!D352))*1000,0)</f>
        <v>0</v>
      </c>
      <c r="J353" s="50">
        <f>'DATA B2'!D354</f>
        <v>514178</v>
      </c>
      <c r="K353" s="82">
        <f t="shared" si="138"/>
        <v>9</v>
      </c>
      <c r="L353" s="80">
        <f>'DATA B2'!E354</f>
        <v>572577</v>
      </c>
      <c r="M353" s="80">
        <f t="shared" si="139"/>
        <v>12</v>
      </c>
      <c r="N353" s="28">
        <f t="shared" si="135"/>
        <v>1.3333333333333333</v>
      </c>
      <c r="O353" s="51">
        <f>IFERROR((('DATA B2'!F354-'DATA B2'!F353)/(K353))*1000,0)</f>
        <v>1.1111111111109887E-2</v>
      </c>
      <c r="P353" s="94">
        <f>'DATA B3'!C354</f>
        <v>221206</v>
      </c>
      <c r="Q353" s="91">
        <f t="shared" si="140"/>
        <v>0</v>
      </c>
      <c r="R353" s="80">
        <f>'DATA B3'!D354</f>
        <v>165812</v>
      </c>
      <c r="S353" s="80">
        <f t="shared" si="141"/>
        <v>0</v>
      </c>
      <c r="T353" s="15">
        <f t="shared" si="136"/>
        <v>0</v>
      </c>
      <c r="U353" s="15">
        <f>IFERROR((('DATA B3'!E354-'DATA B3'!E353)+('DATA B3'!F354-'DATA B3'!F353))/('WATER_STEAM RATIO'!P353-'WATER_STEAM RATIO'!P352),0)</f>
        <v>0</v>
      </c>
    </row>
    <row r="354" spans="2:21">
      <c r="B354" s="292"/>
      <c r="C354" s="97">
        <v>0.5</v>
      </c>
      <c r="D354" s="84">
        <f>'DATA B1'!D355</f>
        <v>222134</v>
      </c>
      <c r="E354" s="5">
        <f t="shared" si="134"/>
        <v>0</v>
      </c>
      <c r="F354" s="80">
        <f>'DATA B1'!E355</f>
        <v>524526</v>
      </c>
      <c r="G354" s="80">
        <f t="shared" si="137"/>
        <v>0</v>
      </c>
      <c r="H354" s="28">
        <f t="shared" si="133"/>
        <v>0</v>
      </c>
      <c r="I354" s="45">
        <f>IFERROR((('DATA B1'!G355-'DATA B1'!G354)/('WATER_STEAM RATIO'!D354-'WATER_STEAM RATIO'!D353))*1000,0)</f>
        <v>0</v>
      </c>
      <c r="J354" s="50">
        <f>'DATA B2'!D355</f>
        <v>514186</v>
      </c>
      <c r="K354" s="82">
        <f t="shared" si="138"/>
        <v>8</v>
      </c>
      <c r="L354" s="80">
        <f>'DATA B2'!E355</f>
        <v>572589</v>
      </c>
      <c r="M354" s="80">
        <f t="shared" si="139"/>
        <v>12</v>
      </c>
      <c r="N354" s="28">
        <f t="shared" si="135"/>
        <v>1.5</v>
      </c>
      <c r="O354" s="51">
        <f>IFERROR((('DATA B2'!F355-'DATA B2'!F354)/(K354))*1000,0)</f>
        <v>0</v>
      </c>
      <c r="P354" s="94">
        <f>'DATA B3'!C355</f>
        <v>221206</v>
      </c>
      <c r="Q354" s="91">
        <f t="shared" si="140"/>
        <v>0</v>
      </c>
      <c r="R354" s="80">
        <f>'DATA B3'!D355</f>
        <v>165812</v>
      </c>
      <c r="S354" s="80">
        <f t="shared" si="141"/>
        <v>0</v>
      </c>
      <c r="T354" s="15">
        <f t="shared" si="136"/>
        <v>0</v>
      </c>
      <c r="U354" s="15">
        <f>IFERROR((('DATA B3'!E355-'DATA B3'!E354)+('DATA B3'!F355-'DATA B3'!F354))/('WATER_STEAM RATIO'!P354-'WATER_STEAM RATIO'!P353),0)</f>
        <v>0</v>
      </c>
    </row>
    <row r="355" spans="2:21">
      <c r="B355" s="292"/>
      <c r="C355" s="97">
        <v>0.54166666666666696</v>
      </c>
      <c r="D355" s="84">
        <f>'DATA B1'!D356</f>
        <v>222134</v>
      </c>
      <c r="E355" s="5">
        <f t="shared" si="134"/>
        <v>0</v>
      </c>
      <c r="F355" s="80">
        <f>'DATA B1'!E356</f>
        <v>524526</v>
      </c>
      <c r="G355" s="80">
        <f t="shared" si="137"/>
        <v>0</v>
      </c>
      <c r="H355" s="28">
        <f t="shared" si="133"/>
        <v>0</v>
      </c>
      <c r="I355" s="45">
        <f>IFERROR((('DATA B1'!G356-'DATA B1'!G355)/('WATER_STEAM RATIO'!D355-'WATER_STEAM RATIO'!D354))*1000,0)</f>
        <v>0</v>
      </c>
      <c r="J355" s="50">
        <f>'DATA B2'!D356</f>
        <v>514196</v>
      </c>
      <c r="K355" s="82">
        <f t="shared" si="138"/>
        <v>10</v>
      </c>
      <c r="L355" s="80">
        <f>'DATA B2'!E356</f>
        <v>572601</v>
      </c>
      <c r="M355" s="80">
        <f t="shared" si="139"/>
        <v>12</v>
      </c>
      <c r="N355" s="28">
        <f t="shared" si="135"/>
        <v>1.2</v>
      </c>
      <c r="O355" s="51">
        <f>IFERROR((('DATA B2'!F356-'DATA B2'!F355)/(K355))*1000,0)</f>
        <v>9.9999999999988987E-3</v>
      </c>
      <c r="P355" s="94">
        <f>'DATA B3'!C356</f>
        <v>221206</v>
      </c>
      <c r="Q355" s="91">
        <f t="shared" si="140"/>
        <v>0</v>
      </c>
      <c r="R355" s="80">
        <f>'DATA B3'!D356</f>
        <v>165812</v>
      </c>
      <c r="S355" s="80">
        <f t="shared" si="141"/>
        <v>0</v>
      </c>
      <c r="T355" s="15">
        <f t="shared" si="136"/>
        <v>0</v>
      </c>
      <c r="U355" s="15">
        <f>IFERROR((('DATA B3'!E356-'DATA B3'!E355)+('DATA B3'!F356-'DATA B3'!F355))/('WATER_STEAM RATIO'!P355-'WATER_STEAM RATIO'!P354),0)</f>
        <v>0</v>
      </c>
    </row>
    <row r="356" spans="2:21">
      <c r="B356" s="292"/>
      <c r="C356" s="97">
        <v>0.58333333333333304</v>
      </c>
      <c r="D356" s="84">
        <f>'DATA B1'!D357</f>
        <v>222134</v>
      </c>
      <c r="E356" s="5">
        <f t="shared" si="134"/>
        <v>0</v>
      </c>
      <c r="F356" s="80">
        <f>'DATA B1'!E357</f>
        <v>524526</v>
      </c>
      <c r="G356" s="80">
        <f t="shared" si="137"/>
        <v>0</v>
      </c>
      <c r="H356" s="28">
        <f t="shared" si="133"/>
        <v>0</v>
      </c>
      <c r="I356" s="45">
        <f>IFERROR((('DATA B1'!G357-'DATA B1'!G356)/('WATER_STEAM RATIO'!D356-'WATER_STEAM RATIO'!D355))*1000,0)</f>
        <v>0</v>
      </c>
      <c r="J356" s="50">
        <f>'DATA B2'!D357</f>
        <v>514205</v>
      </c>
      <c r="K356" s="82">
        <f t="shared" si="138"/>
        <v>9</v>
      </c>
      <c r="L356" s="80">
        <f>'DATA B2'!E357</f>
        <v>572613</v>
      </c>
      <c r="M356" s="80">
        <f t="shared" si="139"/>
        <v>12</v>
      </c>
      <c r="N356" s="28">
        <f t="shared" si="135"/>
        <v>1.3333333333333333</v>
      </c>
      <c r="O356" s="51">
        <f>IFERROR((('DATA B2'!F357-'DATA B2'!F356)/(K356))*1000,0)</f>
        <v>0</v>
      </c>
      <c r="P356" s="94">
        <f>'DATA B3'!C357</f>
        <v>221206</v>
      </c>
      <c r="Q356" s="91">
        <f t="shared" si="140"/>
        <v>0</v>
      </c>
      <c r="R356" s="80">
        <f>'DATA B3'!D357</f>
        <v>165812</v>
      </c>
      <c r="S356" s="80">
        <f t="shared" si="141"/>
        <v>0</v>
      </c>
      <c r="T356" s="15">
        <f t="shared" si="136"/>
        <v>0</v>
      </c>
      <c r="U356" s="15">
        <f>IFERROR((('DATA B3'!E357-'DATA B3'!E356)+('DATA B3'!F357-'DATA B3'!F356))/('WATER_STEAM RATIO'!P356-'WATER_STEAM RATIO'!P355),0)</f>
        <v>0</v>
      </c>
    </row>
    <row r="357" spans="2:21">
      <c r="B357" s="292"/>
      <c r="C357" s="97">
        <v>0.625</v>
      </c>
      <c r="D357" s="84">
        <f>'DATA B1'!D358</f>
        <v>222134</v>
      </c>
      <c r="E357" s="5">
        <f t="shared" ref="E357:E373" si="142">SUM(D357-D356)</f>
        <v>0</v>
      </c>
      <c r="F357" s="80">
        <f>'DATA B1'!E358</f>
        <v>524526</v>
      </c>
      <c r="G357" s="80">
        <f t="shared" si="137"/>
        <v>0</v>
      </c>
      <c r="H357" s="28">
        <f t="shared" si="133"/>
        <v>0</v>
      </c>
      <c r="I357" s="45">
        <f>IFERROR((('DATA B1'!G358-'DATA B1'!G357)/('WATER_STEAM RATIO'!D357-'WATER_STEAM RATIO'!D356))*1000,0)</f>
        <v>0</v>
      </c>
      <c r="J357" s="50">
        <f>'DATA B2'!D358</f>
        <v>514215</v>
      </c>
      <c r="K357" s="82">
        <f t="shared" si="138"/>
        <v>10</v>
      </c>
      <c r="L357" s="80">
        <f>'DATA B2'!E358</f>
        <v>572625</v>
      </c>
      <c r="M357" s="80">
        <f t="shared" si="139"/>
        <v>12</v>
      </c>
      <c r="N357" s="28">
        <f t="shared" si="135"/>
        <v>1.2</v>
      </c>
      <c r="O357" s="51">
        <f>IFERROR((('DATA B2'!F358-'DATA B2'!F357)/(K357))*1000,0)</f>
        <v>9.9999999999988987E-3</v>
      </c>
      <c r="P357" s="94">
        <f>'DATA B3'!C358</f>
        <v>221206</v>
      </c>
      <c r="Q357" s="91">
        <f t="shared" si="140"/>
        <v>0</v>
      </c>
      <c r="R357" s="80">
        <f>'DATA B3'!D358</f>
        <v>165812</v>
      </c>
      <c r="S357" s="80">
        <f t="shared" si="141"/>
        <v>0</v>
      </c>
      <c r="T357" s="15">
        <f t="shared" si="136"/>
        <v>0</v>
      </c>
      <c r="U357" s="15">
        <f>IFERROR((('DATA B3'!E358-'DATA B3'!E357)+('DATA B3'!F358-'DATA B3'!F357))/('WATER_STEAM RATIO'!P357-'WATER_STEAM RATIO'!P356),0)</f>
        <v>0</v>
      </c>
    </row>
    <row r="358" spans="2:21">
      <c r="B358" s="292"/>
      <c r="C358" s="97">
        <v>0.66666666666666596</v>
      </c>
      <c r="D358" s="84">
        <f>'DATA B1'!D359</f>
        <v>222134</v>
      </c>
      <c r="E358" s="5">
        <f t="shared" si="142"/>
        <v>0</v>
      </c>
      <c r="F358" s="80">
        <f>'DATA B1'!E359</f>
        <v>524526</v>
      </c>
      <c r="G358" s="80">
        <f t="shared" si="137"/>
        <v>0</v>
      </c>
      <c r="H358" s="28">
        <f t="shared" si="133"/>
        <v>0</v>
      </c>
      <c r="I358" s="45">
        <f>IFERROR((('DATA B1'!G359-'DATA B1'!G358)/('WATER_STEAM RATIO'!D358-'WATER_STEAM RATIO'!D357))*1000,0)</f>
        <v>0</v>
      </c>
      <c r="J358" s="50">
        <f>'DATA B2'!D359</f>
        <v>514227</v>
      </c>
      <c r="K358" s="82">
        <f>SUM(J358-J357)</f>
        <v>12</v>
      </c>
      <c r="L358" s="80">
        <f>'DATA B2'!E359</f>
        <v>572636</v>
      </c>
      <c r="M358" s="80">
        <f t="shared" si="139"/>
        <v>11</v>
      </c>
      <c r="N358" s="28">
        <f t="shared" si="135"/>
        <v>0.91666666666666663</v>
      </c>
      <c r="O358" s="51">
        <f>IFERROR((('DATA B2'!F359-'DATA B2'!F358)/(K358))*1000,0)</f>
        <v>0</v>
      </c>
      <c r="P358" s="94">
        <f>'DATA B3'!C359</f>
        <v>221206</v>
      </c>
      <c r="Q358" s="91">
        <f t="shared" si="140"/>
        <v>0</v>
      </c>
      <c r="R358" s="80">
        <f>'DATA B3'!D359</f>
        <v>165812</v>
      </c>
      <c r="S358" s="80">
        <f t="shared" si="141"/>
        <v>0</v>
      </c>
      <c r="T358" s="15">
        <f t="shared" si="136"/>
        <v>0</v>
      </c>
      <c r="U358" s="15">
        <f>IFERROR((('DATA B3'!E359-'DATA B3'!E358)+('DATA B3'!F359-'DATA B3'!F358))/('WATER_STEAM RATIO'!P358-'WATER_STEAM RATIO'!P357),0)</f>
        <v>0</v>
      </c>
    </row>
    <row r="359" spans="2:21">
      <c r="B359" s="292"/>
      <c r="C359" s="97">
        <v>0.70833333333333304</v>
      </c>
      <c r="D359" s="84">
        <f>'DATA B1'!D360</f>
        <v>222134</v>
      </c>
      <c r="E359" s="5">
        <f t="shared" si="142"/>
        <v>0</v>
      </c>
      <c r="F359" s="80">
        <f>'DATA B1'!E360</f>
        <v>524526</v>
      </c>
      <c r="G359" s="80">
        <f t="shared" si="137"/>
        <v>0</v>
      </c>
      <c r="H359" s="28">
        <f t="shared" si="133"/>
        <v>0</v>
      </c>
      <c r="I359" s="45">
        <f>IFERROR((('DATA B1'!G360-'DATA B1'!G359)/('WATER_STEAM RATIO'!D359-'WATER_STEAM RATIO'!D358))*1000,0)</f>
        <v>0</v>
      </c>
      <c r="J359" s="50">
        <f>'DATA B2'!D360</f>
        <v>514240</v>
      </c>
      <c r="K359" s="82">
        <f t="shared" si="138"/>
        <v>13</v>
      </c>
      <c r="L359" s="80">
        <f>'DATA B2'!E360</f>
        <v>572647</v>
      </c>
      <c r="M359" s="80">
        <f t="shared" si="139"/>
        <v>11</v>
      </c>
      <c r="N359" s="28">
        <f t="shared" si="135"/>
        <v>0.84615384615384615</v>
      </c>
      <c r="O359" s="51">
        <f>IFERROR((('DATA B2'!F360-'DATA B2'!F359)/(K359))*1000,0)</f>
        <v>7.6923076923068445E-3</v>
      </c>
      <c r="P359" s="94">
        <f>'DATA B3'!C360</f>
        <v>221206</v>
      </c>
      <c r="Q359" s="91">
        <f t="shared" si="140"/>
        <v>0</v>
      </c>
      <c r="R359" s="80">
        <f>'DATA B3'!D360</f>
        <v>165812</v>
      </c>
      <c r="S359" s="80">
        <f t="shared" si="141"/>
        <v>0</v>
      </c>
      <c r="T359" s="15">
        <f t="shared" si="136"/>
        <v>0</v>
      </c>
      <c r="U359" s="15">
        <f>IFERROR((('DATA B3'!E360-'DATA B3'!E359)+('DATA B3'!F360-'DATA B3'!F359))/('WATER_STEAM RATIO'!P359-'WATER_STEAM RATIO'!P358),0)</f>
        <v>0</v>
      </c>
    </row>
    <row r="360" spans="2:21">
      <c r="B360" s="292"/>
      <c r="C360" s="97">
        <v>0.75</v>
      </c>
      <c r="D360" s="84">
        <f>'DATA B1'!D361</f>
        <v>222134</v>
      </c>
      <c r="E360" s="5">
        <f t="shared" si="142"/>
        <v>0</v>
      </c>
      <c r="F360" s="80">
        <f>'DATA B1'!E361</f>
        <v>524526</v>
      </c>
      <c r="G360" s="80">
        <f t="shared" si="137"/>
        <v>0</v>
      </c>
      <c r="H360" s="28">
        <f t="shared" si="133"/>
        <v>0</v>
      </c>
      <c r="I360" s="45">
        <f>IFERROR((('DATA B1'!G361-'DATA B1'!G360)/('WATER_STEAM RATIO'!D360-'WATER_STEAM RATIO'!D359))*1000,0)</f>
        <v>0</v>
      </c>
      <c r="J360" s="50">
        <f>'DATA B2'!D361</f>
        <v>514252</v>
      </c>
      <c r="K360" s="82">
        <f t="shared" si="138"/>
        <v>12</v>
      </c>
      <c r="L360" s="80">
        <f>'DATA B2'!E361</f>
        <v>572658</v>
      </c>
      <c r="M360" s="80">
        <f t="shared" si="139"/>
        <v>11</v>
      </c>
      <c r="N360" s="28">
        <f t="shared" si="135"/>
        <v>0.91666666666666663</v>
      </c>
      <c r="O360" s="51">
        <f>IFERROR((('DATA B2'!F361-'DATA B2'!F360)/(K360))*1000,0)</f>
        <v>0</v>
      </c>
      <c r="P360" s="94">
        <f>'DATA B3'!C361</f>
        <v>221206</v>
      </c>
      <c r="Q360" s="91">
        <f t="shared" si="140"/>
        <v>0</v>
      </c>
      <c r="R360" s="80">
        <f>'DATA B3'!D361</f>
        <v>165812</v>
      </c>
      <c r="S360" s="80">
        <f t="shared" si="141"/>
        <v>0</v>
      </c>
      <c r="T360" s="15">
        <f t="shared" si="136"/>
        <v>0</v>
      </c>
      <c r="U360" s="15">
        <f>IFERROR((('DATA B3'!E361-'DATA B3'!E360)+('DATA B3'!F361-'DATA B3'!F360))/('WATER_STEAM RATIO'!P360-'WATER_STEAM RATIO'!P359),0)</f>
        <v>0</v>
      </c>
    </row>
    <row r="361" spans="2:21">
      <c r="B361" s="292"/>
      <c r="C361" s="97">
        <v>0.79166666666666596</v>
      </c>
      <c r="D361" s="84">
        <f>'DATA B1'!D362</f>
        <v>222134</v>
      </c>
      <c r="E361" s="5">
        <f t="shared" si="142"/>
        <v>0</v>
      </c>
      <c r="F361" s="80">
        <f>'DATA B1'!E362</f>
        <v>524526</v>
      </c>
      <c r="G361" s="80">
        <f t="shared" si="137"/>
        <v>0</v>
      </c>
      <c r="H361" s="28">
        <f t="shared" si="133"/>
        <v>0</v>
      </c>
      <c r="I361" s="45">
        <f>IFERROR((('DATA B1'!G362-'DATA B1'!G361)/('WATER_STEAM RATIO'!D361-'WATER_STEAM RATIO'!D360))*1000,0)</f>
        <v>0</v>
      </c>
      <c r="J361" s="50">
        <f>'DATA B2'!D362</f>
        <v>514265</v>
      </c>
      <c r="K361" s="82">
        <f t="shared" si="138"/>
        <v>13</v>
      </c>
      <c r="L361" s="80">
        <f>'DATA B2'!E362</f>
        <v>572669</v>
      </c>
      <c r="M361" s="80">
        <f t="shared" si="139"/>
        <v>11</v>
      </c>
      <c r="N361" s="28">
        <f t="shared" si="135"/>
        <v>0.84615384615384615</v>
      </c>
      <c r="O361" s="51">
        <f>IFERROR((('DATA B2'!F362-'DATA B2'!F361)/(K361))*1000,0)</f>
        <v>7.6923076923068445E-3</v>
      </c>
      <c r="P361" s="94">
        <f>'DATA B3'!C362</f>
        <v>221206</v>
      </c>
      <c r="Q361" s="91">
        <f t="shared" si="140"/>
        <v>0</v>
      </c>
      <c r="R361" s="80">
        <f>'DATA B3'!D362</f>
        <v>165812</v>
      </c>
      <c r="S361" s="80">
        <f t="shared" si="141"/>
        <v>0</v>
      </c>
      <c r="T361" s="15">
        <f t="shared" si="136"/>
        <v>0</v>
      </c>
      <c r="U361" s="15">
        <f>IFERROR((('DATA B3'!E362-'DATA B3'!E361)+('DATA B3'!F362-'DATA B3'!F361))/('WATER_STEAM RATIO'!P361-'WATER_STEAM RATIO'!P360),0)</f>
        <v>0</v>
      </c>
    </row>
    <row r="362" spans="2:21">
      <c r="B362" s="292"/>
      <c r="C362" s="97">
        <v>0.83333333333333304</v>
      </c>
      <c r="D362" s="84">
        <f>'DATA B1'!D363</f>
        <v>222134</v>
      </c>
      <c r="E362" s="5">
        <f t="shared" si="142"/>
        <v>0</v>
      </c>
      <c r="F362" s="80">
        <f>'DATA B1'!E363</f>
        <v>524526</v>
      </c>
      <c r="G362" s="80">
        <f t="shared" si="137"/>
        <v>0</v>
      </c>
      <c r="H362" s="28">
        <f t="shared" si="133"/>
        <v>0</v>
      </c>
      <c r="I362" s="45">
        <f>IFERROR((('DATA B1'!G363-'DATA B1'!G362)/('WATER_STEAM RATIO'!D362-'WATER_STEAM RATIO'!D361))*1000,0)</f>
        <v>0</v>
      </c>
      <c r="J362" s="50">
        <f>'DATA B2'!D363</f>
        <v>514277</v>
      </c>
      <c r="K362" s="82">
        <f t="shared" si="138"/>
        <v>12</v>
      </c>
      <c r="L362" s="80">
        <f>'DATA B2'!E363</f>
        <v>572683</v>
      </c>
      <c r="M362" s="80">
        <f t="shared" si="139"/>
        <v>14</v>
      </c>
      <c r="N362" s="28">
        <f t="shared" si="135"/>
        <v>1.1666666666666667</v>
      </c>
      <c r="O362" s="51">
        <f>IFERROR((('DATA B2'!F363-'DATA B2'!F362)/(K362))*1000,0)</f>
        <v>0</v>
      </c>
      <c r="P362" s="94">
        <f>'DATA B3'!C363</f>
        <v>221206</v>
      </c>
      <c r="Q362" s="91">
        <f t="shared" si="140"/>
        <v>0</v>
      </c>
      <c r="R362" s="80">
        <f>'DATA B3'!D363</f>
        <v>165812</v>
      </c>
      <c r="S362" s="80">
        <f t="shared" si="141"/>
        <v>0</v>
      </c>
      <c r="T362" s="15">
        <f t="shared" si="136"/>
        <v>0</v>
      </c>
      <c r="U362" s="15">
        <f>IFERROR((('DATA B3'!E363-'DATA B3'!E362)+('DATA B3'!F363-'DATA B3'!F362))/('WATER_STEAM RATIO'!P362-'WATER_STEAM RATIO'!P361),0)</f>
        <v>0</v>
      </c>
    </row>
    <row r="363" spans="2:21">
      <c r="B363" s="292"/>
      <c r="C363" s="97">
        <v>0.875</v>
      </c>
      <c r="D363" s="84">
        <f>'DATA B1'!D364</f>
        <v>222134</v>
      </c>
      <c r="E363" s="5">
        <f t="shared" si="142"/>
        <v>0</v>
      </c>
      <c r="F363" s="80">
        <f>'DATA B1'!E364</f>
        <v>524526</v>
      </c>
      <c r="G363" s="80">
        <f t="shared" si="137"/>
        <v>0</v>
      </c>
      <c r="H363" s="28">
        <f t="shared" si="133"/>
        <v>0</v>
      </c>
      <c r="I363" s="45">
        <f>IFERROR((('DATA B1'!G364-'DATA B1'!G363)/('WATER_STEAM RATIO'!D363-'WATER_STEAM RATIO'!D362))*1000,0)</f>
        <v>0</v>
      </c>
      <c r="J363" s="50">
        <f>'DATA B2'!D364</f>
        <v>514287</v>
      </c>
      <c r="K363" s="82">
        <f t="shared" si="138"/>
        <v>10</v>
      </c>
      <c r="L363" s="80">
        <f>'DATA B2'!E364</f>
        <v>572692</v>
      </c>
      <c r="M363" s="80">
        <f t="shared" si="139"/>
        <v>9</v>
      </c>
      <c r="N363" s="28">
        <f>IFERROR(M363/K363,0)</f>
        <v>0.9</v>
      </c>
      <c r="O363" s="51">
        <f>IFERROR((('DATA B2'!F364-'DATA B2'!F363)/(K363))*1000,0)</f>
        <v>0</v>
      </c>
      <c r="P363" s="94">
        <f>'DATA B3'!C364</f>
        <v>221206</v>
      </c>
      <c r="Q363" s="91">
        <f t="shared" si="140"/>
        <v>0</v>
      </c>
      <c r="R363" s="80">
        <f>'DATA B3'!D364</f>
        <v>165812</v>
      </c>
      <c r="S363" s="80">
        <f t="shared" si="141"/>
        <v>0</v>
      </c>
      <c r="T363" s="15">
        <f t="shared" si="136"/>
        <v>0</v>
      </c>
      <c r="U363" s="15">
        <f>IFERROR((('DATA B3'!E364-'DATA B3'!E363)+('DATA B3'!F364-'DATA B3'!F363))/('WATER_STEAM RATIO'!P363-'WATER_STEAM RATIO'!P362),0)</f>
        <v>0</v>
      </c>
    </row>
    <row r="364" spans="2:21">
      <c r="B364" s="292"/>
      <c r="C364" s="97">
        <v>0.91666666666666596</v>
      </c>
      <c r="D364" s="84">
        <f>'DATA B1'!D365</f>
        <v>222134</v>
      </c>
      <c r="E364" s="5">
        <f t="shared" si="142"/>
        <v>0</v>
      </c>
      <c r="F364" s="80">
        <f>'DATA B1'!E365</f>
        <v>524526</v>
      </c>
      <c r="G364" s="80">
        <f t="shared" si="137"/>
        <v>0</v>
      </c>
      <c r="H364" s="28">
        <f t="shared" si="133"/>
        <v>0</v>
      </c>
      <c r="I364" s="45">
        <f>IFERROR((('DATA B1'!G365-'DATA B1'!G364)/('WATER_STEAM RATIO'!D364-'WATER_STEAM RATIO'!D363))*1000,0)</f>
        <v>0</v>
      </c>
      <c r="J364" s="50">
        <f>'DATA B2'!D365</f>
        <v>514297</v>
      </c>
      <c r="K364" s="82">
        <f t="shared" si="138"/>
        <v>10</v>
      </c>
      <c r="L364" s="80">
        <f>'DATA B2'!E365</f>
        <v>572701</v>
      </c>
      <c r="M364" s="80">
        <f t="shared" si="139"/>
        <v>9</v>
      </c>
      <c r="N364" s="28">
        <f t="shared" si="135"/>
        <v>0.9</v>
      </c>
      <c r="O364" s="51">
        <f>IFERROR((('DATA B2'!F365-'DATA B2'!F364)/(K364))*1000,0)</f>
        <v>0</v>
      </c>
      <c r="P364" s="94">
        <f>'DATA B3'!C365</f>
        <v>221206</v>
      </c>
      <c r="Q364" s="91">
        <f t="shared" si="140"/>
        <v>0</v>
      </c>
      <c r="R364" s="80">
        <f>'DATA B3'!D365</f>
        <v>165812</v>
      </c>
      <c r="S364" s="80">
        <f t="shared" si="141"/>
        <v>0</v>
      </c>
      <c r="T364" s="15">
        <f t="shared" si="136"/>
        <v>0</v>
      </c>
      <c r="U364" s="15">
        <f>IFERROR((('DATA B3'!E365-'DATA B3'!E364)+('DATA B3'!F365-'DATA B3'!F364))/('WATER_STEAM RATIO'!P364-'WATER_STEAM RATIO'!P363),0)</f>
        <v>0</v>
      </c>
    </row>
    <row r="365" spans="2:21">
      <c r="B365" s="292"/>
      <c r="C365" s="97">
        <v>0.95833333333333304</v>
      </c>
      <c r="D365" s="84">
        <f>'DATA B1'!D366</f>
        <v>222134</v>
      </c>
      <c r="E365" s="5">
        <f t="shared" si="142"/>
        <v>0</v>
      </c>
      <c r="F365" s="80">
        <f>'DATA B1'!E366</f>
        <v>524526</v>
      </c>
      <c r="G365" s="80">
        <f t="shared" si="137"/>
        <v>0</v>
      </c>
      <c r="H365" s="28">
        <f t="shared" si="133"/>
        <v>0</v>
      </c>
      <c r="I365" s="45">
        <f>IFERROR((('DATA B1'!G366-'DATA B1'!G365)/('WATER_STEAM RATIO'!D365-'WATER_STEAM RATIO'!D364))*1000,0)</f>
        <v>0</v>
      </c>
      <c r="J365" s="50">
        <f>'DATA B2'!D366</f>
        <v>514307</v>
      </c>
      <c r="K365" s="82">
        <f>SUM(J365-J364)</f>
        <v>10</v>
      </c>
      <c r="L365" s="80">
        <f>'DATA B2'!E366</f>
        <v>572711</v>
      </c>
      <c r="M365" s="80">
        <f t="shared" si="139"/>
        <v>10</v>
      </c>
      <c r="N365" s="28">
        <f t="shared" si="135"/>
        <v>1</v>
      </c>
      <c r="O365" s="51">
        <f>IFERROR((('DATA B2'!F366-'DATA B2'!F365)/(K365))*1000,0)</f>
        <v>9.9999999999988987E-3</v>
      </c>
      <c r="P365" s="94">
        <f>'DATA B3'!C366</f>
        <v>221206</v>
      </c>
      <c r="Q365" s="91">
        <f t="shared" si="140"/>
        <v>0</v>
      </c>
      <c r="R365" s="80">
        <f>'DATA B3'!D366</f>
        <v>165812</v>
      </c>
      <c r="S365" s="80">
        <f t="shared" si="141"/>
        <v>0</v>
      </c>
      <c r="T365" s="15">
        <f t="shared" si="136"/>
        <v>0</v>
      </c>
      <c r="U365" s="15">
        <f>IFERROR((('DATA B3'!E366-'DATA B3'!E365)+('DATA B3'!F366-'DATA B3'!F365))/('WATER_STEAM RATIO'!P365-'WATER_STEAM RATIO'!P364),0)</f>
        <v>0</v>
      </c>
    </row>
    <row r="366" spans="2:21">
      <c r="B366" s="292"/>
      <c r="C366" s="97">
        <v>1</v>
      </c>
      <c r="D366" s="84">
        <f>'DATA B1'!D367</f>
        <v>222134</v>
      </c>
      <c r="E366" s="5">
        <f t="shared" si="142"/>
        <v>0</v>
      </c>
      <c r="F366" s="80">
        <f>'DATA B1'!E367</f>
        <v>524526</v>
      </c>
      <c r="G366" s="80">
        <f t="shared" si="137"/>
        <v>0</v>
      </c>
      <c r="H366" s="28">
        <f t="shared" si="133"/>
        <v>0</v>
      </c>
      <c r="I366" s="45">
        <f>IFERROR((('DATA B1'!G367-'DATA B1'!G366)/('WATER_STEAM RATIO'!D366-'WATER_STEAM RATIO'!D365))*1000,0)</f>
        <v>0</v>
      </c>
      <c r="J366" s="50">
        <f>'DATA B2'!D367</f>
        <v>514319</v>
      </c>
      <c r="K366" s="82">
        <f t="shared" si="138"/>
        <v>12</v>
      </c>
      <c r="L366" s="80">
        <f>'DATA B2'!E367</f>
        <v>572723</v>
      </c>
      <c r="M366" s="80">
        <f t="shared" si="139"/>
        <v>12</v>
      </c>
      <c r="N366" s="28">
        <f t="shared" si="135"/>
        <v>1</v>
      </c>
      <c r="O366" s="51">
        <f>IFERROR((('DATA B2'!F367-'DATA B2'!F366)/(K366))*1000,0)</f>
        <v>0</v>
      </c>
      <c r="P366" s="94">
        <f>'DATA B3'!C367</f>
        <v>221206</v>
      </c>
      <c r="Q366" s="91">
        <f t="shared" si="140"/>
        <v>0</v>
      </c>
      <c r="R366" s="80">
        <f>'DATA B3'!D367</f>
        <v>165812</v>
      </c>
      <c r="S366" s="80">
        <f t="shared" si="141"/>
        <v>0</v>
      </c>
      <c r="T366" s="15">
        <f t="shared" si="136"/>
        <v>0</v>
      </c>
      <c r="U366" s="15">
        <f>IFERROR((('DATA B3'!E367-'DATA B3'!E366)+('DATA B3'!F367-'DATA B3'!F366))/('WATER_STEAM RATIO'!P366-'WATER_STEAM RATIO'!P365),0)</f>
        <v>0</v>
      </c>
    </row>
    <row r="367" spans="2:21">
      <c r="B367" s="292"/>
      <c r="C367" s="97">
        <v>1.0416666666666701</v>
      </c>
      <c r="D367" s="84">
        <f>'DATA B1'!D368</f>
        <v>222134</v>
      </c>
      <c r="E367" s="5">
        <f t="shared" si="142"/>
        <v>0</v>
      </c>
      <c r="F367" s="80">
        <f>'DATA B1'!E368</f>
        <v>524526</v>
      </c>
      <c r="G367" s="80">
        <f t="shared" si="137"/>
        <v>0</v>
      </c>
      <c r="H367" s="28">
        <f t="shared" si="133"/>
        <v>0</v>
      </c>
      <c r="I367" s="45">
        <f>IFERROR((('DATA B1'!G368-'DATA B1'!G367)/('WATER_STEAM RATIO'!D367-'WATER_STEAM RATIO'!D366))*1000,0)</f>
        <v>0</v>
      </c>
      <c r="J367" s="50">
        <f>'DATA B2'!D368</f>
        <v>514331</v>
      </c>
      <c r="K367" s="82">
        <f t="shared" si="138"/>
        <v>12</v>
      </c>
      <c r="L367" s="80">
        <f>'DATA B2'!E368</f>
        <v>572735</v>
      </c>
      <c r="M367" s="80">
        <f t="shared" si="139"/>
        <v>12</v>
      </c>
      <c r="N367" s="28">
        <f t="shared" si="135"/>
        <v>1</v>
      </c>
      <c r="O367" s="51">
        <f>IFERROR((('DATA B2'!F368-'DATA B2'!F367)/(K367))*1000,0)</f>
        <v>0</v>
      </c>
      <c r="P367" s="94">
        <f>'DATA B3'!C368</f>
        <v>221206</v>
      </c>
      <c r="Q367" s="91">
        <f t="shared" si="140"/>
        <v>0</v>
      </c>
      <c r="R367" s="80">
        <f>'DATA B3'!D368</f>
        <v>165812</v>
      </c>
      <c r="S367" s="80">
        <f t="shared" si="141"/>
        <v>0</v>
      </c>
      <c r="T367" s="15">
        <f t="shared" si="136"/>
        <v>0</v>
      </c>
      <c r="U367" s="15">
        <f>IFERROR((('DATA B3'!E368-'DATA B3'!E367)+('DATA B3'!F368-'DATA B3'!F367))/('WATER_STEAM RATIO'!P367-'WATER_STEAM RATIO'!P366),0)</f>
        <v>0</v>
      </c>
    </row>
    <row r="368" spans="2:21">
      <c r="B368" s="292"/>
      <c r="C368" s="97">
        <v>1.0833333333333399</v>
      </c>
      <c r="D368" s="84">
        <f>'DATA B1'!D369</f>
        <v>222134</v>
      </c>
      <c r="E368" s="5">
        <f>SUM(D368-D367)</f>
        <v>0</v>
      </c>
      <c r="F368" s="80">
        <f>'DATA B1'!E369</f>
        <v>524526</v>
      </c>
      <c r="G368" s="80">
        <f t="shared" si="137"/>
        <v>0</v>
      </c>
      <c r="H368" s="28">
        <f t="shared" si="133"/>
        <v>0</v>
      </c>
      <c r="I368" s="45">
        <f>IFERROR((('DATA B1'!G369-'DATA B1'!G368)/('WATER_STEAM RATIO'!D368-'WATER_STEAM RATIO'!D367))*1000,0)</f>
        <v>0</v>
      </c>
      <c r="J368" s="50">
        <f>'DATA B2'!D369</f>
        <v>514343</v>
      </c>
      <c r="K368" s="82">
        <f t="shared" si="138"/>
        <v>12</v>
      </c>
      <c r="L368" s="80">
        <f>'DATA B2'!E369</f>
        <v>572747</v>
      </c>
      <c r="M368" s="80">
        <f t="shared" si="139"/>
        <v>12</v>
      </c>
      <c r="N368" s="28">
        <f t="shared" si="135"/>
        <v>1</v>
      </c>
      <c r="O368" s="51">
        <f>IFERROR((('DATA B2'!F369-'DATA B2'!F368)/(K368))*1000,0)</f>
        <v>0</v>
      </c>
      <c r="P368" s="94">
        <f>'DATA B3'!C369</f>
        <v>221206</v>
      </c>
      <c r="Q368" s="91">
        <f>SUM(P368-P367)</f>
        <v>0</v>
      </c>
      <c r="R368" s="80">
        <f>'DATA B3'!D369</f>
        <v>165812</v>
      </c>
      <c r="S368" s="80">
        <f t="shared" si="141"/>
        <v>0</v>
      </c>
      <c r="T368" s="15">
        <f t="shared" si="136"/>
        <v>0</v>
      </c>
      <c r="U368" s="15">
        <f>IFERROR((('DATA B3'!E369-'DATA B3'!E368)+('DATA B3'!F369-'DATA B3'!F368))/('WATER_STEAM RATIO'!P368-'WATER_STEAM RATIO'!P367),0)</f>
        <v>0</v>
      </c>
    </row>
    <row r="369" spans="2:21">
      <c r="B369" s="292"/>
      <c r="C369" s="97">
        <v>1.125</v>
      </c>
      <c r="D369" s="84">
        <f>'DATA B1'!D370</f>
        <v>222134</v>
      </c>
      <c r="E369" s="5">
        <f t="shared" si="142"/>
        <v>0</v>
      </c>
      <c r="F369" s="80">
        <f>'DATA B1'!E370</f>
        <v>524526</v>
      </c>
      <c r="G369" s="80">
        <f t="shared" si="137"/>
        <v>0</v>
      </c>
      <c r="H369" s="28">
        <f t="shared" si="133"/>
        <v>0</v>
      </c>
      <c r="I369" s="45">
        <f>IFERROR((('DATA B1'!G370-'DATA B1'!G369)/('WATER_STEAM RATIO'!D369-'WATER_STEAM RATIO'!D368))*1000,0)</f>
        <v>0</v>
      </c>
      <c r="J369" s="50">
        <f>'DATA B2'!D370</f>
        <v>514355</v>
      </c>
      <c r="K369" s="82">
        <f t="shared" si="138"/>
        <v>12</v>
      </c>
      <c r="L369" s="80">
        <f>'DATA B2'!E370</f>
        <v>572760</v>
      </c>
      <c r="M369" s="80">
        <f t="shared" si="139"/>
        <v>13</v>
      </c>
      <c r="N369" s="28">
        <f t="shared" si="135"/>
        <v>1.0833333333333333</v>
      </c>
      <c r="O369" s="51">
        <f>IFERROR((('DATA B2'!F370-'DATA B2'!F369)/(K369))*1000,0)</f>
        <v>0</v>
      </c>
      <c r="P369" s="94">
        <f>'DATA B3'!C370</f>
        <v>221206</v>
      </c>
      <c r="Q369" s="91">
        <f t="shared" si="140"/>
        <v>0</v>
      </c>
      <c r="R369" s="80">
        <f>'DATA B3'!D370</f>
        <v>165812</v>
      </c>
      <c r="S369" s="80">
        <f t="shared" si="141"/>
        <v>0</v>
      </c>
      <c r="T369" s="15">
        <f t="shared" si="136"/>
        <v>0</v>
      </c>
      <c r="U369" s="15">
        <f>IFERROR((('DATA B3'!E370-'DATA B3'!E369)+('DATA B3'!F370-'DATA B3'!F369))/('WATER_STEAM RATIO'!P369-'WATER_STEAM RATIO'!P368),0)</f>
        <v>0</v>
      </c>
    </row>
    <row r="370" spans="2:21">
      <c r="B370" s="292"/>
      <c r="C370" s="97">
        <v>1.1666666666666701</v>
      </c>
      <c r="D370" s="84">
        <f>'DATA B1'!D371</f>
        <v>222134</v>
      </c>
      <c r="E370" s="5">
        <f t="shared" si="142"/>
        <v>0</v>
      </c>
      <c r="F370" s="80">
        <f>'DATA B1'!E371</f>
        <v>524526</v>
      </c>
      <c r="G370" s="80">
        <f t="shared" si="137"/>
        <v>0</v>
      </c>
      <c r="H370" s="28">
        <f t="shared" si="133"/>
        <v>0</v>
      </c>
      <c r="I370" s="45">
        <f>IFERROR((('DATA B1'!G371-'DATA B1'!G370)/('WATER_STEAM RATIO'!D370-'WATER_STEAM RATIO'!D369))*1000,0)</f>
        <v>0</v>
      </c>
      <c r="J370" s="50">
        <f>'DATA B2'!D371</f>
        <v>514364</v>
      </c>
      <c r="K370" s="82">
        <f t="shared" si="138"/>
        <v>9</v>
      </c>
      <c r="L370" s="80">
        <f>'DATA B2'!E371</f>
        <v>572770</v>
      </c>
      <c r="M370" s="80">
        <f t="shared" si="139"/>
        <v>10</v>
      </c>
      <c r="N370" s="28">
        <f t="shared" si="135"/>
        <v>1.1111111111111112</v>
      </c>
      <c r="O370" s="51">
        <f>IFERROR((('DATA B2'!F371-'DATA B2'!F370)/(K370))*1000,0)</f>
        <v>0</v>
      </c>
      <c r="P370" s="94">
        <f>'DATA B3'!C371</f>
        <v>221206</v>
      </c>
      <c r="Q370" s="91">
        <f t="shared" si="140"/>
        <v>0</v>
      </c>
      <c r="R370" s="80">
        <f>'DATA B3'!D371</f>
        <v>165812</v>
      </c>
      <c r="S370" s="80">
        <f t="shared" si="141"/>
        <v>0</v>
      </c>
      <c r="T370" s="15">
        <f t="shared" si="136"/>
        <v>0</v>
      </c>
      <c r="U370" s="15">
        <f>IFERROR((('DATA B3'!E371-'DATA B3'!E370)+('DATA B3'!F371-'DATA B3'!F370))/('WATER_STEAM RATIO'!P370-'WATER_STEAM RATIO'!P369),0)</f>
        <v>0</v>
      </c>
    </row>
    <row r="371" spans="2:21">
      <c r="B371" s="292"/>
      <c r="C371" s="97">
        <v>1.2083333333333399</v>
      </c>
      <c r="D371" s="84">
        <f>'DATA B1'!D372</f>
        <v>222134</v>
      </c>
      <c r="E371" s="5">
        <f t="shared" si="142"/>
        <v>0</v>
      </c>
      <c r="F371" s="80">
        <f>'DATA B1'!E372</f>
        <v>524526</v>
      </c>
      <c r="G371" s="80">
        <f t="shared" si="137"/>
        <v>0</v>
      </c>
      <c r="H371" s="28">
        <f t="shared" si="133"/>
        <v>0</v>
      </c>
      <c r="I371" s="45">
        <f>IFERROR((('DATA B1'!G372-'DATA B1'!G371)/('WATER_STEAM RATIO'!D371-'WATER_STEAM RATIO'!D370))*1000,0)</f>
        <v>0</v>
      </c>
      <c r="J371" s="50">
        <f>'DATA B2'!D372</f>
        <v>514374</v>
      </c>
      <c r="K371" s="82">
        <f t="shared" si="138"/>
        <v>10</v>
      </c>
      <c r="L371" s="80">
        <f>'DATA B2'!E372</f>
        <v>572780</v>
      </c>
      <c r="M371" s="80">
        <f t="shared" si="139"/>
        <v>10</v>
      </c>
      <c r="N371" s="28">
        <f t="shared" si="135"/>
        <v>1</v>
      </c>
      <c r="O371" s="51">
        <f>IFERROR((('DATA B2'!F372-'DATA B2'!F371)/(K371))*1000,0)</f>
        <v>0</v>
      </c>
      <c r="P371" s="94">
        <f>'DATA B3'!C372</f>
        <v>221206</v>
      </c>
      <c r="Q371" s="91">
        <f t="shared" si="140"/>
        <v>0</v>
      </c>
      <c r="R371" s="80">
        <f>'DATA B3'!D372</f>
        <v>165812</v>
      </c>
      <c r="S371" s="80">
        <f t="shared" si="141"/>
        <v>0</v>
      </c>
      <c r="T371" s="15">
        <f t="shared" si="136"/>
        <v>0</v>
      </c>
      <c r="U371" s="15">
        <f>IFERROR((('DATA B3'!E372-'DATA B3'!E371)+('DATA B3'!F372-'DATA B3'!F371))/('WATER_STEAM RATIO'!P371-'WATER_STEAM RATIO'!P370),0)</f>
        <v>0</v>
      </c>
    </row>
    <row r="372" spans="2:21">
      <c r="B372" s="292"/>
      <c r="C372" s="97">
        <v>1.25</v>
      </c>
      <c r="D372" s="84">
        <f>'DATA B1'!D373</f>
        <v>222134</v>
      </c>
      <c r="E372" s="5">
        <f t="shared" si="142"/>
        <v>0</v>
      </c>
      <c r="F372" s="80">
        <f>'DATA B1'!E373</f>
        <v>524526</v>
      </c>
      <c r="G372" s="80">
        <f t="shared" si="137"/>
        <v>0</v>
      </c>
      <c r="H372" s="28">
        <f t="shared" si="133"/>
        <v>0</v>
      </c>
      <c r="I372" s="45">
        <f>IFERROR((('DATA B1'!G373-'DATA B1'!G372)/('WATER_STEAM RATIO'!D372-'WATER_STEAM RATIO'!D371))*1000,0)</f>
        <v>0</v>
      </c>
      <c r="J372" s="50">
        <f>'DATA B2'!D373</f>
        <v>514384</v>
      </c>
      <c r="K372" s="82">
        <f t="shared" si="138"/>
        <v>10</v>
      </c>
      <c r="L372" s="80">
        <f>'DATA B2'!E373</f>
        <v>572790</v>
      </c>
      <c r="M372" s="80">
        <f t="shared" si="139"/>
        <v>10</v>
      </c>
      <c r="N372" s="28">
        <f t="shared" si="135"/>
        <v>1</v>
      </c>
      <c r="O372" s="51">
        <f>IFERROR((('DATA B2'!F373-'DATA B2'!F372)/(K372))*1000,0)</f>
        <v>0</v>
      </c>
      <c r="P372" s="94">
        <f>'DATA B3'!C373</f>
        <v>221206</v>
      </c>
      <c r="Q372" s="91">
        <f t="shared" si="140"/>
        <v>0</v>
      </c>
      <c r="R372" s="80">
        <f>'DATA B3'!D373</f>
        <v>165812</v>
      </c>
      <c r="S372" s="80">
        <f t="shared" si="141"/>
        <v>0</v>
      </c>
      <c r="T372" s="15">
        <f t="shared" si="136"/>
        <v>0</v>
      </c>
      <c r="U372" s="15">
        <f>IFERROR((('DATA B3'!E373-'DATA B3'!E372)+('DATA B3'!F373-'DATA B3'!F372))/('WATER_STEAM RATIO'!P372-'WATER_STEAM RATIO'!P371),0)</f>
        <v>0</v>
      </c>
    </row>
    <row r="373" spans="2:21">
      <c r="B373" s="292"/>
      <c r="C373" s="97">
        <v>1.2916666666666701</v>
      </c>
      <c r="D373" s="84">
        <f>'DATA B1'!D374</f>
        <v>222134</v>
      </c>
      <c r="E373" s="5">
        <f t="shared" si="142"/>
        <v>0</v>
      </c>
      <c r="F373" s="80">
        <f>'DATA B1'!E374</f>
        <v>524526</v>
      </c>
      <c r="G373" s="80">
        <f t="shared" si="137"/>
        <v>0</v>
      </c>
      <c r="H373" s="28">
        <f t="shared" si="133"/>
        <v>0</v>
      </c>
      <c r="I373" s="45">
        <f>IFERROR((('DATA B1'!G374-'DATA B1'!G373)/('WATER_STEAM RATIO'!D373-'WATER_STEAM RATIO'!D372))*1000,0)</f>
        <v>0</v>
      </c>
      <c r="J373" s="50">
        <f>'DATA B2'!D374</f>
        <v>514394</v>
      </c>
      <c r="K373" s="82">
        <f>SUM(J373-J372)</f>
        <v>10</v>
      </c>
      <c r="L373" s="80">
        <f>'DATA B2'!E374</f>
        <v>572801</v>
      </c>
      <c r="M373" s="80">
        <f t="shared" si="139"/>
        <v>11</v>
      </c>
      <c r="N373" s="28">
        <f t="shared" si="135"/>
        <v>1.1000000000000001</v>
      </c>
      <c r="O373" s="51">
        <f>IFERROR((('DATA B2'!F374-'DATA B2'!F373)/(K373))*1000,0)</f>
        <v>0</v>
      </c>
      <c r="P373" s="94">
        <f>'DATA B3'!C374</f>
        <v>221206</v>
      </c>
      <c r="Q373" s="91">
        <f t="shared" si="140"/>
        <v>0</v>
      </c>
      <c r="R373" s="80">
        <f>'DATA B3'!D374</f>
        <v>165812</v>
      </c>
      <c r="S373" s="80">
        <f t="shared" si="141"/>
        <v>0</v>
      </c>
      <c r="T373" s="15">
        <f t="shared" si="136"/>
        <v>0</v>
      </c>
      <c r="U373" s="15">
        <f>IFERROR((('DATA B3'!E374-'DATA B3'!E373)+('DATA B3'!F374-'DATA B3'!F373))/('WATER_STEAM RATIO'!P373-'WATER_STEAM RATIO'!P372),0)</f>
        <v>0</v>
      </c>
    </row>
    <row r="374" spans="2:21" ht="15.75" thickBot="1">
      <c r="B374" s="293"/>
      <c r="C374" s="235"/>
      <c r="D374" s="224" cm="1">
        <f t="array" ref="D374">IFERROR(LOOKUP(2,1/(D349:D373&gt;0),D349:D373-D349),0)</f>
        <v>0</v>
      </c>
      <c r="E374" s="223">
        <f>SUMIF(E350:E373,"&gt;=0",E350:E373)</f>
        <v>0</v>
      </c>
      <c r="F374" s="224" cm="1">
        <f t="array" ref="F374">IFERROR(LOOKUP(2,1/(F349:F373&gt;0),F349:F373-F349),0)</f>
        <v>0</v>
      </c>
      <c r="G374" s="223">
        <f>SUMIF(G350:G373,"&gt;=0",G350:G373)</f>
        <v>0</v>
      </c>
      <c r="H374" s="225">
        <f t="shared" si="133"/>
        <v>0</v>
      </c>
      <c r="I374" s="236">
        <f>IFERROR((('DATA B1'!H375)/(E374))*1000,0)</f>
        <v>0</v>
      </c>
      <c r="J374" s="222" cm="1">
        <f t="array" ref="J374">IFERROR(LOOKUP(2,1/(J349:J373&gt;0),J349:J373-J349),0)</f>
        <v>259</v>
      </c>
      <c r="K374" s="223">
        <f>SUMIF(K350:K373,"&gt;=0",K350:K373)</f>
        <v>259</v>
      </c>
      <c r="L374" s="224" cm="1">
        <f t="array" ref="L374">IFERROR(LOOKUP(2,1/(L349:L373&gt;0),L349:L373-L349),0)</f>
        <v>277</v>
      </c>
      <c r="M374" s="223">
        <f>SUMIF(M350:M373,"&gt;=0",M350:M373)</f>
        <v>277</v>
      </c>
      <c r="N374" s="225">
        <f>IFERROR(M374/K374,0)</f>
        <v>1.0694980694980696</v>
      </c>
      <c r="O374" s="226">
        <f>IFERROR((('DATA B2'!H375)/(K374))*1000,0)</f>
        <v>4.6332046332049808E-3</v>
      </c>
      <c r="P374" s="224" cm="1">
        <f t="array" ref="P374">IFERROR(LOOKUP(2,1/(P349:P373&gt;0),P349:P373-P349),0)</f>
        <v>0</v>
      </c>
      <c r="Q374" s="223">
        <f>SUMIF(Q350:Q373,"&gt;=0",Q350:Q373)</f>
        <v>0</v>
      </c>
      <c r="R374" s="224" cm="1">
        <f t="array" ref="R374">IFERROR(LOOKUP(2,1/(R349:R373&gt;0),R349:R373-R349),0)</f>
        <v>0</v>
      </c>
      <c r="S374" s="223">
        <f>SUMIF(S350:S373,"&gt;=0",S350:S373)</f>
        <v>0</v>
      </c>
      <c r="T374" s="237">
        <f t="shared" si="136"/>
        <v>0</v>
      </c>
      <c r="U374" s="226">
        <f>IFERROR(('DATA B3'!E375+'DATA B3'!F375)/Q374*1000,0)</f>
        <v>0</v>
      </c>
    </row>
    <row r="375" spans="2:21" ht="15" customHeight="1">
      <c r="B375" s="291">
        <f>SUM('DATA B1'!B376:B401)</f>
        <v>46037</v>
      </c>
      <c r="C375" s="97">
        <v>0.29166666666666669</v>
      </c>
      <c r="D375" s="84">
        <f>'DATA B1'!D376</f>
        <v>222134</v>
      </c>
      <c r="E375" s="5">
        <f>SUM(E373)</f>
        <v>0</v>
      </c>
      <c r="F375" s="80">
        <f>'DATA B1'!E376</f>
        <v>524526</v>
      </c>
      <c r="G375" s="80">
        <f>SUM(G373)</f>
        <v>0</v>
      </c>
      <c r="H375" s="28">
        <f t="shared" si="133"/>
        <v>0</v>
      </c>
      <c r="I375" s="45"/>
      <c r="J375" s="50">
        <f>'DATA B2'!D376</f>
        <v>514394</v>
      </c>
      <c r="K375" s="82">
        <f>SUM(K373)</f>
        <v>10</v>
      </c>
      <c r="L375" s="80">
        <f>'DATA B2'!E376</f>
        <v>572801</v>
      </c>
      <c r="M375" s="80">
        <f>SUM(M373)</f>
        <v>11</v>
      </c>
      <c r="N375" s="28">
        <f>IFERROR(M375/K375,0)</f>
        <v>1.1000000000000001</v>
      </c>
      <c r="O375" s="103"/>
      <c r="P375" s="94">
        <f>'DATA B3'!C376</f>
        <v>221206</v>
      </c>
      <c r="Q375" s="91">
        <f>SUM(Q373)</f>
        <v>0</v>
      </c>
      <c r="R375" s="80">
        <f>'DATA B3'!D376</f>
        <v>165812</v>
      </c>
      <c r="S375" s="80">
        <f>SUM(S373)</f>
        <v>0</v>
      </c>
      <c r="T375" s="15">
        <f>IFERROR(S375/Q375,0)</f>
        <v>0</v>
      </c>
      <c r="U375" s="15"/>
    </row>
    <row r="376" spans="2:21">
      <c r="B376" s="292"/>
      <c r="C376" s="97">
        <v>0.33333333333333298</v>
      </c>
      <c r="D376" s="84">
        <f>'DATA B1'!D377</f>
        <v>222134</v>
      </c>
      <c r="E376" s="5">
        <f t="shared" ref="E376:E382" si="143">SUM(D376-D375)</f>
        <v>0</v>
      </c>
      <c r="F376" s="80">
        <f>'DATA B1'!E377</f>
        <v>524526</v>
      </c>
      <c r="G376" s="80">
        <f>SUM(F376-F375)</f>
        <v>0</v>
      </c>
      <c r="H376" s="28">
        <f t="shared" si="133"/>
        <v>0</v>
      </c>
      <c r="I376" s="45">
        <f>IFERROR((('DATA B1'!G377-'DATA B1'!G376)/('WATER_STEAM RATIO'!D376-'WATER_STEAM RATIO'!D375))*1000,0)</f>
        <v>0</v>
      </c>
      <c r="J376" s="50">
        <f>'DATA B2'!D377</f>
        <v>514408</v>
      </c>
      <c r="K376" s="82">
        <f>SUM(J376-J375)</f>
        <v>14</v>
      </c>
      <c r="L376" s="80">
        <f>'DATA B2'!E377</f>
        <v>572815</v>
      </c>
      <c r="M376" s="80">
        <f>SUM(L376-L375)</f>
        <v>14</v>
      </c>
      <c r="N376" s="28">
        <f t="shared" ref="N376:N399" si="144">IFERROR(M376/K376,0)</f>
        <v>1</v>
      </c>
      <c r="O376" s="51">
        <f>IFERROR((('DATA B2'!F377-'DATA B2'!F376)/(K376))*1000,0)</f>
        <v>7.1428571428563559E-3</v>
      </c>
      <c r="P376" s="94">
        <f>'DATA B3'!C377</f>
        <v>221206</v>
      </c>
      <c r="Q376" s="91">
        <f>SUM(P376-P375)</f>
        <v>0</v>
      </c>
      <c r="R376" s="80">
        <f>'DATA B3'!D377</f>
        <v>165812</v>
      </c>
      <c r="S376" s="80">
        <f>SUM(R376-R375)</f>
        <v>0</v>
      </c>
      <c r="T376" s="15">
        <f t="shared" ref="T376:T400" si="145">IFERROR(S376/Q376,0)</f>
        <v>0</v>
      </c>
      <c r="U376" s="15">
        <f>IFERROR((('DATA B3'!E377-'DATA B3'!E376)+('DATA B3'!F377-'DATA B3'!F376))/('WATER_STEAM RATIO'!P376-'WATER_STEAM RATIO'!P375),0)</f>
        <v>0</v>
      </c>
    </row>
    <row r="377" spans="2:21">
      <c r="B377" s="292"/>
      <c r="C377" s="97">
        <v>0.375</v>
      </c>
      <c r="D377" s="84">
        <f>'DATA B1'!D378</f>
        <v>222134</v>
      </c>
      <c r="E377" s="5">
        <f t="shared" si="143"/>
        <v>0</v>
      </c>
      <c r="F377" s="80">
        <f>'DATA B1'!E378</f>
        <v>524526</v>
      </c>
      <c r="G377" s="80">
        <f t="shared" ref="G377:G399" si="146">SUM(F377-F376)</f>
        <v>0</v>
      </c>
      <c r="H377" s="28">
        <f t="shared" si="133"/>
        <v>0</v>
      </c>
      <c r="I377" s="45">
        <f>IFERROR((('DATA B1'!G378-'DATA B1'!G377)/('WATER_STEAM RATIO'!D377-'WATER_STEAM RATIO'!D376))*1000,0)</f>
        <v>0</v>
      </c>
      <c r="J377" s="50">
        <f>'DATA B2'!D378</f>
        <v>514417</v>
      </c>
      <c r="K377" s="82">
        <f t="shared" ref="K377:K398" si="147">SUM(J377-J376)</f>
        <v>9</v>
      </c>
      <c r="L377" s="80">
        <f>'DATA B2'!E378</f>
        <v>572826</v>
      </c>
      <c r="M377" s="80">
        <f t="shared" ref="M377:M399" si="148">SUM(L377-L376)</f>
        <v>11</v>
      </c>
      <c r="N377" s="28">
        <f t="shared" si="144"/>
        <v>1.2222222222222223</v>
      </c>
      <c r="O377" s="51">
        <f>IFERROR((('DATA B2'!F378-'DATA B2'!F377)/(K377))*1000,0)</f>
        <v>0</v>
      </c>
      <c r="P377" s="94">
        <f>'DATA B3'!C378</f>
        <v>221206</v>
      </c>
      <c r="Q377" s="91">
        <f t="shared" ref="Q377:Q399" si="149">SUM(P377-P376)</f>
        <v>0</v>
      </c>
      <c r="R377" s="80">
        <f>'DATA B3'!D378</f>
        <v>165812</v>
      </c>
      <c r="S377" s="80">
        <f t="shared" ref="S377:S399" si="150">SUM(R377-R376)</f>
        <v>0</v>
      </c>
      <c r="T377" s="15">
        <f t="shared" si="145"/>
        <v>0</v>
      </c>
      <c r="U377" s="15">
        <f>IFERROR((('DATA B3'!E378-'DATA B3'!E377)+('DATA B3'!F378-'DATA B3'!F377))/('WATER_STEAM RATIO'!P377-'WATER_STEAM RATIO'!P376),0)</f>
        <v>0</v>
      </c>
    </row>
    <row r="378" spans="2:21">
      <c r="B378" s="292"/>
      <c r="C378" s="97">
        <v>0.41666666666666702</v>
      </c>
      <c r="D378" s="84">
        <f>'DATA B1'!D379</f>
        <v>222134</v>
      </c>
      <c r="E378" s="5">
        <f t="shared" si="143"/>
        <v>0</v>
      </c>
      <c r="F378" s="80">
        <f>'DATA B1'!E379</f>
        <v>524526</v>
      </c>
      <c r="G378" s="80">
        <f t="shared" si="146"/>
        <v>0</v>
      </c>
      <c r="H378" s="28">
        <f t="shared" si="133"/>
        <v>0</v>
      </c>
      <c r="I378" s="45">
        <f>IFERROR((('DATA B1'!G379-'DATA B1'!G378)/('WATER_STEAM RATIO'!D378-'WATER_STEAM RATIO'!D377))*1000,0)</f>
        <v>0</v>
      </c>
      <c r="J378" s="50">
        <f>'DATA B2'!D379</f>
        <v>514426</v>
      </c>
      <c r="K378" s="82">
        <f t="shared" si="147"/>
        <v>9</v>
      </c>
      <c r="L378" s="80">
        <f>'DATA B2'!E379</f>
        <v>572837</v>
      </c>
      <c r="M378" s="80">
        <f t="shared" si="148"/>
        <v>11</v>
      </c>
      <c r="N378" s="28">
        <f t="shared" si="144"/>
        <v>1.2222222222222223</v>
      </c>
      <c r="O378" s="51">
        <f>IFERROR((('DATA B2'!F379-'DATA B2'!F378)/(K378))*1000,0)</f>
        <v>1.1111111111109887E-2</v>
      </c>
      <c r="P378" s="94">
        <f>'DATA B3'!C379</f>
        <v>221206</v>
      </c>
      <c r="Q378" s="91">
        <f t="shared" si="149"/>
        <v>0</v>
      </c>
      <c r="R378" s="80">
        <f>'DATA B3'!D379</f>
        <v>165812</v>
      </c>
      <c r="S378" s="80">
        <f t="shared" si="150"/>
        <v>0</v>
      </c>
      <c r="T378" s="15">
        <f t="shared" si="145"/>
        <v>0</v>
      </c>
      <c r="U378" s="15">
        <f>IFERROR((('DATA B3'!E379-'DATA B3'!E378)+('DATA B3'!F379-'DATA B3'!F378))/('WATER_STEAM RATIO'!P378-'WATER_STEAM RATIO'!P377),0)</f>
        <v>0</v>
      </c>
    </row>
    <row r="379" spans="2:21">
      <c r="B379" s="292"/>
      <c r="C379" s="97">
        <v>0.45833333333333298</v>
      </c>
      <c r="D379" s="84">
        <f>'DATA B1'!D380</f>
        <v>222134</v>
      </c>
      <c r="E379" s="5">
        <f t="shared" si="143"/>
        <v>0</v>
      </c>
      <c r="F379" s="80">
        <f>'DATA B1'!E380</f>
        <v>524526</v>
      </c>
      <c r="G379" s="80">
        <f t="shared" si="146"/>
        <v>0</v>
      </c>
      <c r="H379" s="28">
        <f t="shared" si="133"/>
        <v>0</v>
      </c>
      <c r="I379" s="45">
        <f>IFERROR((('DATA B1'!G380-'DATA B1'!G379)/('WATER_STEAM RATIO'!D379-'WATER_STEAM RATIO'!D378))*1000,0)</f>
        <v>0</v>
      </c>
      <c r="J379" s="50">
        <f>'DATA B2'!D380</f>
        <v>514436</v>
      </c>
      <c r="K379" s="82">
        <f t="shared" si="147"/>
        <v>10</v>
      </c>
      <c r="L379" s="80">
        <f>'DATA B2'!E380</f>
        <v>572850</v>
      </c>
      <c r="M379" s="80">
        <f t="shared" si="148"/>
        <v>13</v>
      </c>
      <c r="N379" s="28">
        <f t="shared" si="144"/>
        <v>1.3</v>
      </c>
      <c r="O379" s="51">
        <f>IFERROR((('DATA B2'!F380-'DATA B2'!F379)/(K379))*1000,0)</f>
        <v>0</v>
      </c>
      <c r="P379" s="94">
        <f>'DATA B3'!C380</f>
        <v>221206</v>
      </c>
      <c r="Q379" s="91">
        <f t="shared" si="149"/>
        <v>0</v>
      </c>
      <c r="R379" s="80">
        <f>'DATA B3'!D380</f>
        <v>165812</v>
      </c>
      <c r="S379" s="80">
        <f t="shared" si="150"/>
        <v>0</v>
      </c>
      <c r="T379" s="15">
        <f t="shared" si="145"/>
        <v>0</v>
      </c>
      <c r="U379" s="15">
        <f>IFERROR((('DATA B3'!E380-'DATA B3'!E379)+('DATA B3'!F380-'DATA B3'!F379))/('WATER_STEAM RATIO'!P379-'WATER_STEAM RATIO'!P378),0)</f>
        <v>0</v>
      </c>
    </row>
    <row r="380" spans="2:21">
      <c r="B380" s="292"/>
      <c r="C380" s="97">
        <v>0.5</v>
      </c>
      <c r="D380" s="84">
        <f>'DATA B1'!D381</f>
        <v>222134</v>
      </c>
      <c r="E380" s="5">
        <f t="shared" si="143"/>
        <v>0</v>
      </c>
      <c r="F380" s="80">
        <f>'DATA B1'!E381</f>
        <v>524526</v>
      </c>
      <c r="G380" s="80">
        <f t="shared" si="146"/>
        <v>0</v>
      </c>
      <c r="H380" s="28">
        <f t="shared" si="133"/>
        <v>0</v>
      </c>
      <c r="I380" s="45">
        <f>IFERROR((('DATA B1'!G381-'DATA B1'!G380)/('WATER_STEAM RATIO'!D380-'WATER_STEAM RATIO'!D379))*1000,0)</f>
        <v>0</v>
      </c>
      <c r="J380" s="50">
        <f>'DATA B2'!D381</f>
        <v>514446</v>
      </c>
      <c r="K380" s="82">
        <f t="shared" si="147"/>
        <v>10</v>
      </c>
      <c r="L380" s="80">
        <f>'DATA B2'!E381</f>
        <v>572862</v>
      </c>
      <c r="M380" s="80">
        <f t="shared" si="148"/>
        <v>12</v>
      </c>
      <c r="N380" s="28">
        <f t="shared" si="144"/>
        <v>1.2</v>
      </c>
      <c r="O380" s="51">
        <f>IFERROR((('DATA B2'!F381-'DATA B2'!F380)/(K380))*1000,0)</f>
        <v>9.9999999999988987E-3</v>
      </c>
      <c r="P380" s="94">
        <f>'DATA B3'!C381</f>
        <v>221206</v>
      </c>
      <c r="Q380" s="91">
        <f t="shared" si="149"/>
        <v>0</v>
      </c>
      <c r="R380" s="80">
        <f>'DATA B3'!D381</f>
        <v>165812</v>
      </c>
      <c r="S380" s="80">
        <f t="shared" si="150"/>
        <v>0</v>
      </c>
      <c r="T380" s="15">
        <f t="shared" si="145"/>
        <v>0</v>
      </c>
      <c r="U380" s="15">
        <f>IFERROR((('DATA B3'!E381-'DATA B3'!E380)+('DATA B3'!F381-'DATA B3'!F380))/('WATER_STEAM RATIO'!P380-'WATER_STEAM RATIO'!P379),0)</f>
        <v>0</v>
      </c>
    </row>
    <row r="381" spans="2:21">
      <c r="B381" s="292"/>
      <c r="C381" s="97">
        <v>0.54166666666666696</v>
      </c>
      <c r="D381" s="84">
        <f>'DATA B1'!D382</f>
        <v>222134</v>
      </c>
      <c r="E381" s="5">
        <f t="shared" si="143"/>
        <v>0</v>
      </c>
      <c r="F381" s="80">
        <f>'DATA B1'!E382</f>
        <v>524526</v>
      </c>
      <c r="G381" s="80">
        <f t="shared" si="146"/>
        <v>0</v>
      </c>
      <c r="H381" s="28">
        <f t="shared" si="133"/>
        <v>0</v>
      </c>
      <c r="I381" s="45">
        <f>IFERROR((('DATA B1'!G382-'DATA B1'!G381)/('WATER_STEAM RATIO'!D381-'WATER_STEAM RATIO'!D380))*1000,0)</f>
        <v>0</v>
      </c>
      <c r="J381" s="50">
        <f>'DATA B2'!D382</f>
        <v>514456</v>
      </c>
      <c r="K381" s="82">
        <f t="shared" si="147"/>
        <v>10</v>
      </c>
      <c r="L381" s="80">
        <f>'DATA B2'!E382</f>
        <v>572875</v>
      </c>
      <c r="M381" s="80">
        <f t="shared" si="148"/>
        <v>13</v>
      </c>
      <c r="N381" s="28">
        <f t="shared" si="144"/>
        <v>1.3</v>
      </c>
      <c r="O381" s="51">
        <f>IFERROR((('DATA B2'!F382-'DATA B2'!F381)/(K381))*1000,0)</f>
        <v>0</v>
      </c>
      <c r="P381" s="94">
        <f>'DATA B3'!C382</f>
        <v>221206</v>
      </c>
      <c r="Q381" s="91">
        <f t="shared" si="149"/>
        <v>0</v>
      </c>
      <c r="R381" s="80">
        <f>'DATA B3'!D382</f>
        <v>165812</v>
      </c>
      <c r="S381" s="80">
        <f t="shared" si="150"/>
        <v>0</v>
      </c>
      <c r="T381" s="15">
        <f t="shared" si="145"/>
        <v>0</v>
      </c>
      <c r="U381" s="15">
        <f>IFERROR((('DATA B3'!E382-'DATA B3'!E381)+('DATA B3'!F382-'DATA B3'!F381))/('WATER_STEAM RATIO'!P381-'WATER_STEAM RATIO'!P380),0)</f>
        <v>0</v>
      </c>
    </row>
    <row r="382" spans="2:21">
      <c r="B382" s="292"/>
      <c r="C382" s="97">
        <v>0.58333333333333304</v>
      </c>
      <c r="D382" s="84">
        <f>'DATA B1'!D383</f>
        <v>222134</v>
      </c>
      <c r="E382" s="5">
        <f t="shared" si="143"/>
        <v>0</v>
      </c>
      <c r="F382" s="80">
        <f>'DATA B1'!E383</f>
        <v>524526</v>
      </c>
      <c r="G382" s="80">
        <f t="shared" si="146"/>
        <v>0</v>
      </c>
      <c r="H382" s="28">
        <f t="shared" si="133"/>
        <v>0</v>
      </c>
      <c r="I382" s="45">
        <f>IFERROR((('DATA B1'!G383-'DATA B1'!G382)/('WATER_STEAM RATIO'!D382-'WATER_STEAM RATIO'!D381))*1000,0)</f>
        <v>0</v>
      </c>
      <c r="J382" s="50">
        <f>'DATA B2'!D383</f>
        <v>514466</v>
      </c>
      <c r="K382" s="82">
        <f t="shared" si="147"/>
        <v>10</v>
      </c>
      <c r="L382" s="80">
        <f>'DATA B2'!E383</f>
        <v>572888</v>
      </c>
      <c r="M382" s="80">
        <f t="shared" si="148"/>
        <v>13</v>
      </c>
      <c r="N382" s="28">
        <f t="shared" si="144"/>
        <v>1.3</v>
      </c>
      <c r="O382" s="51">
        <f>IFERROR((('DATA B2'!F383-'DATA B2'!F382)/(K382))*1000,0)</f>
        <v>9.9999999999988987E-3</v>
      </c>
      <c r="P382" s="94">
        <f>'DATA B3'!C383</f>
        <v>221206</v>
      </c>
      <c r="Q382" s="91">
        <f t="shared" si="149"/>
        <v>0</v>
      </c>
      <c r="R382" s="80">
        <f>'DATA B3'!D383</f>
        <v>165812</v>
      </c>
      <c r="S382" s="80">
        <f t="shared" si="150"/>
        <v>0</v>
      </c>
      <c r="T382" s="15">
        <f t="shared" si="145"/>
        <v>0</v>
      </c>
      <c r="U382" s="15">
        <f>IFERROR((('DATA B3'!E383-'DATA B3'!E382)+('DATA B3'!F383-'DATA B3'!F382))/('WATER_STEAM RATIO'!P382-'WATER_STEAM RATIO'!P381),0)</f>
        <v>0</v>
      </c>
    </row>
    <row r="383" spans="2:21">
      <c r="B383" s="292"/>
      <c r="C383" s="97">
        <v>0.625</v>
      </c>
      <c r="D383" s="84">
        <f>'DATA B1'!D384</f>
        <v>222134</v>
      </c>
      <c r="E383" s="5">
        <f t="shared" ref="E383:E399" si="151">SUM(D383-D382)</f>
        <v>0</v>
      </c>
      <c r="F383" s="80">
        <f>'DATA B1'!E384</f>
        <v>524526</v>
      </c>
      <c r="G383" s="80">
        <f t="shared" si="146"/>
        <v>0</v>
      </c>
      <c r="H383" s="28">
        <f t="shared" si="133"/>
        <v>0</v>
      </c>
      <c r="I383" s="45">
        <f>IFERROR((('DATA B1'!G384-'DATA B1'!G383)/('WATER_STEAM RATIO'!D383-'WATER_STEAM RATIO'!D382))*1000,0)</f>
        <v>0</v>
      </c>
      <c r="J383" s="50">
        <f>'DATA B2'!D384</f>
        <v>514477</v>
      </c>
      <c r="K383" s="82">
        <f t="shared" si="147"/>
        <v>11</v>
      </c>
      <c r="L383" s="80">
        <f>'DATA B2'!E384</f>
        <v>572901</v>
      </c>
      <c r="M383" s="80">
        <f t="shared" si="148"/>
        <v>13</v>
      </c>
      <c r="N383" s="28">
        <f t="shared" si="144"/>
        <v>1.1818181818181819</v>
      </c>
      <c r="O383" s="51">
        <f>IFERROR((('DATA B2'!F384-'DATA B2'!F383)/(K383))*1000,0)</f>
        <v>0</v>
      </c>
      <c r="P383" s="94">
        <f>'DATA B3'!C384</f>
        <v>221206</v>
      </c>
      <c r="Q383" s="91">
        <f t="shared" si="149"/>
        <v>0</v>
      </c>
      <c r="R383" s="80">
        <f>'DATA B3'!D384</f>
        <v>165812</v>
      </c>
      <c r="S383" s="80">
        <f t="shared" si="150"/>
        <v>0</v>
      </c>
      <c r="T383" s="15">
        <f t="shared" si="145"/>
        <v>0</v>
      </c>
      <c r="U383" s="15">
        <f>IFERROR((('DATA B3'!E384-'DATA B3'!E383)+('DATA B3'!F384-'DATA B3'!F383))/('WATER_STEAM RATIO'!P383-'WATER_STEAM RATIO'!P382),0)</f>
        <v>0</v>
      </c>
    </row>
    <row r="384" spans="2:21">
      <c r="B384" s="292"/>
      <c r="C384" s="97">
        <v>0.66666666666666596</v>
      </c>
      <c r="D384" s="84">
        <f>'DATA B1'!D385</f>
        <v>222134</v>
      </c>
      <c r="E384" s="5">
        <f t="shared" si="151"/>
        <v>0</v>
      </c>
      <c r="F384" s="80">
        <f>'DATA B1'!E385</f>
        <v>524526</v>
      </c>
      <c r="G384" s="80">
        <f t="shared" si="146"/>
        <v>0</v>
      </c>
      <c r="H384" s="28">
        <f t="shared" si="133"/>
        <v>0</v>
      </c>
      <c r="I384" s="45">
        <f>IFERROR((('DATA B1'!G385-'DATA B1'!G384)/('WATER_STEAM RATIO'!D384-'WATER_STEAM RATIO'!D383))*1000,0)</f>
        <v>0</v>
      </c>
      <c r="J384" s="50">
        <f>'DATA B2'!D385</f>
        <v>514490</v>
      </c>
      <c r="K384" s="82">
        <f>SUM(J384-J383)</f>
        <v>13</v>
      </c>
      <c r="L384" s="80">
        <f>'DATA B2'!E385</f>
        <v>572913</v>
      </c>
      <c r="M384" s="80">
        <f t="shared" si="148"/>
        <v>12</v>
      </c>
      <c r="N384" s="28">
        <f t="shared" si="144"/>
        <v>0.92307692307692313</v>
      </c>
      <c r="O384" s="51">
        <f>IFERROR((('DATA B2'!F385-'DATA B2'!F384)/(K384))*1000,0)</f>
        <v>7.6923076923068445E-3</v>
      </c>
      <c r="P384" s="94">
        <f>'DATA B3'!C385</f>
        <v>221206</v>
      </c>
      <c r="Q384" s="91">
        <f t="shared" si="149"/>
        <v>0</v>
      </c>
      <c r="R384" s="80">
        <f>'DATA B3'!D385</f>
        <v>165812</v>
      </c>
      <c r="S384" s="80">
        <f t="shared" si="150"/>
        <v>0</v>
      </c>
      <c r="T384" s="15">
        <f t="shared" si="145"/>
        <v>0</v>
      </c>
      <c r="U384" s="15">
        <f>IFERROR((('DATA B3'!E385-'DATA B3'!E384)+('DATA B3'!F385-'DATA B3'!F384))/('WATER_STEAM RATIO'!P384-'WATER_STEAM RATIO'!P383),0)</f>
        <v>0</v>
      </c>
    </row>
    <row r="385" spans="2:21">
      <c r="B385" s="292"/>
      <c r="C385" s="97">
        <v>0.70833333333333304</v>
      </c>
      <c r="D385" s="84">
        <f>'DATA B1'!D386</f>
        <v>222134</v>
      </c>
      <c r="E385" s="5">
        <f t="shared" si="151"/>
        <v>0</v>
      </c>
      <c r="F385" s="80">
        <f>'DATA B1'!E386</f>
        <v>524526</v>
      </c>
      <c r="G385" s="80">
        <f t="shared" si="146"/>
        <v>0</v>
      </c>
      <c r="H385" s="28">
        <f t="shared" si="133"/>
        <v>0</v>
      </c>
      <c r="I385" s="45">
        <f>IFERROR((('DATA B1'!G386-'DATA B1'!G385)/('WATER_STEAM RATIO'!D385-'WATER_STEAM RATIO'!D384))*1000,0)</f>
        <v>0</v>
      </c>
      <c r="J385" s="50">
        <f>'DATA B2'!D386</f>
        <v>514503</v>
      </c>
      <c r="K385" s="82">
        <f t="shared" si="147"/>
        <v>13</v>
      </c>
      <c r="L385" s="80">
        <f>'DATA B2'!E386</f>
        <v>572925</v>
      </c>
      <c r="M385" s="80">
        <f t="shared" si="148"/>
        <v>12</v>
      </c>
      <c r="N385" s="28">
        <f t="shared" si="144"/>
        <v>0.92307692307692313</v>
      </c>
      <c r="O385" s="51">
        <f>IFERROR((('DATA B2'!F386-'DATA B2'!F385)/(K385))*1000,0)</f>
        <v>0</v>
      </c>
      <c r="P385" s="94">
        <f>'DATA B3'!C386</f>
        <v>221206</v>
      </c>
      <c r="Q385" s="91">
        <f t="shared" si="149"/>
        <v>0</v>
      </c>
      <c r="R385" s="80">
        <f>'DATA B3'!D386</f>
        <v>165812</v>
      </c>
      <c r="S385" s="80">
        <f t="shared" si="150"/>
        <v>0</v>
      </c>
      <c r="T385" s="15">
        <f t="shared" si="145"/>
        <v>0</v>
      </c>
      <c r="U385" s="15">
        <f>IFERROR((('DATA B3'!E386-'DATA B3'!E385)+('DATA B3'!F386-'DATA B3'!F385))/('WATER_STEAM RATIO'!P385-'WATER_STEAM RATIO'!P384),0)</f>
        <v>0</v>
      </c>
    </row>
    <row r="386" spans="2:21">
      <c r="B386" s="292"/>
      <c r="C386" s="97">
        <v>0.75</v>
      </c>
      <c r="D386" s="84">
        <f>'DATA B1'!D387</f>
        <v>222134</v>
      </c>
      <c r="E386" s="5">
        <f t="shared" si="151"/>
        <v>0</v>
      </c>
      <c r="F386" s="80">
        <f>'DATA B1'!E387</f>
        <v>524526</v>
      </c>
      <c r="G386" s="80">
        <f t="shared" si="146"/>
        <v>0</v>
      </c>
      <c r="H386" s="28">
        <f t="shared" si="133"/>
        <v>0</v>
      </c>
      <c r="I386" s="45">
        <f>IFERROR((('DATA B1'!G387-'DATA B1'!G386)/('WATER_STEAM RATIO'!D386-'WATER_STEAM RATIO'!D385))*1000,0)</f>
        <v>0</v>
      </c>
      <c r="J386" s="50">
        <f>'DATA B2'!D387</f>
        <v>514517</v>
      </c>
      <c r="K386" s="82">
        <f t="shared" si="147"/>
        <v>14</v>
      </c>
      <c r="L386" s="80">
        <f>'DATA B2'!E387</f>
        <v>572937</v>
      </c>
      <c r="M386" s="80">
        <f t="shared" si="148"/>
        <v>12</v>
      </c>
      <c r="N386" s="28">
        <f t="shared" si="144"/>
        <v>0.8571428571428571</v>
      </c>
      <c r="O386" s="51">
        <f>IFERROR((('DATA B2'!F387-'DATA B2'!F386)/(K386))*1000,0)</f>
        <v>7.1428571428563559E-3</v>
      </c>
      <c r="P386" s="94">
        <f>'DATA B3'!C387</f>
        <v>221206</v>
      </c>
      <c r="Q386" s="91">
        <f t="shared" si="149"/>
        <v>0</v>
      </c>
      <c r="R386" s="80">
        <f>'DATA B3'!D387</f>
        <v>165812</v>
      </c>
      <c r="S386" s="80">
        <f t="shared" si="150"/>
        <v>0</v>
      </c>
      <c r="T386" s="15">
        <f t="shared" si="145"/>
        <v>0</v>
      </c>
      <c r="U386" s="15">
        <f>IFERROR((('DATA B3'!E387-'DATA B3'!E386)+('DATA B3'!F387-'DATA B3'!F386))/('WATER_STEAM RATIO'!P386-'WATER_STEAM RATIO'!P385),0)</f>
        <v>0</v>
      </c>
    </row>
    <row r="387" spans="2:21">
      <c r="B387" s="292"/>
      <c r="C387" s="97">
        <v>0.79166666666666596</v>
      </c>
      <c r="D387" s="84">
        <f>'DATA B1'!D388</f>
        <v>222134</v>
      </c>
      <c r="E387" s="5">
        <f t="shared" si="151"/>
        <v>0</v>
      </c>
      <c r="F387" s="80">
        <f>'DATA B1'!E388</f>
        <v>524526</v>
      </c>
      <c r="G387" s="80">
        <f t="shared" si="146"/>
        <v>0</v>
      </c>
      <c r="H387" s="28">
        <f t="shared" si="133"/>
        <v>0</v>
      </c>
      <c r="I387" s="45">
        <f>IFERROR((('DATA B1'!G388-'DATA B1'!G387)/('WATER_STEAM RATIO'!D387-'WATER_STEAM RATIO'!D386))*1000,0)</f>
        <v>0</v>
      </c>
      <c r="J387" s="50">
        <f>'DATA B2'!D388</f>
        <v>514531</v>
      </c>
      <c r="K387" s="82">
        <f t="shared" si="147"/>
        <v>14</v>
      </c>
      <c r="L387" s="80">
        <f>'DATA B2'!E388</f>
        <v>572949</v>
      </c>
      <c r="M387" s="80">
        <f t="shared" si="148"/>
        <v>12</v>
      </c>
      <c r="N387" s="28">
        <f t="shared" si="144"/>
        <v>0.8571428571428571</v>
      </c>
      <c r="O387" s="51">
        <f>IFERROR((('DATA B2'!F388-'DATA B2'!F387)/(K387))*1000,0)</f>
        <v>0</v>
      </c>
      <c r="P387" s="94">
        <f>'DATA B3'!C388</f>
        <v>221206</v>
      </c>
      <c r="Q387" s="91">
        <f t="shared" si="149"/>
        <v>0</v>
      </c>
      <c r="R387" s="80">
        <f>'DATA B3'!D388</f>
        <v>165812</v>
      </c>
      <c r="S387" s="80">
        <f t="shared" si="150"/>
        <v>0</v>
      </c>
      <c r="T387" s="15">
        <f t="shared" si="145"/>
        <v>0</v>
      </c>
      <c r="U387" s="15">
        <f>IFERROR((('DATA B3'!E388-'DATA B3'!E387)+('DATA B3'!F388-'DATA B3'!F387))/('WATER_STEAM RATIO'!P387-'WATER_STEAM RATIO'!P386),0)</f>
        <v>0</v>
      </c>
    </row>
    <row r="388" spans="2:21">
      <c r="B388" s="292"/>
      <c r="C388" s="97">
        <v>0.83333333333333304</v>
      </c>
      <c r="D388" s="84">
        <f>'DATA B1'!D389</f>
        <v>222134</v>
      </c>
      <c r="E388" s="5">
        <f t="shared" si="151"/>
        <v>0</v>
      </c>
      <c r="F388" s="80">
        <f>'DATA B1'!E389</f>
        <v>524526</v>
      </c>
      <c r="G388" s="80">
        <f t="shared" si="146"/>
        <v>0</v>
      </c>
      <c r="H388" s="28">
        <f t="shared" si="133"/>
        <v>0</v>
      </c>
      <c r="I388" s="45">
        <f>IFERROR((('DATA B1'!G389-'DATA B1'!G388)/('WATER_STEAM RATIO'!D388-'WATER_STEAM RATIO'!D387))*1000,0)</f>
        <v>0</v>
      </c>
      <c r="J388" s="50">
        <f>'DATA B2'!D389</f>
        <v>514547</v>
      </c>
      <c r="K388" s="82">
        <f t="shared" si="147"/>
        <v>16</v>
      </c>
      <c r="L388" s="80">
        <f>'DATA B2'!E389</f>
        <v>572963</v>
      </c>
      <c r="M388" s="80">
        <f t="shared" si="148"/>
        <v>14</v>
      </c>
      <c r="N388" s="28">
        <f t="shared" si="144"/>
        <v>0.875</v>
      </c>
      <c r="O388" s="51">
        <f>IFERROR((('DATA B2'!F389-'DATA B2'!F388)/(K388))*1000,0)</f>
        <v>6.2499999999993117E-3</v>
      </c>
      <c r="P388" s="94">
        <f>'DATA B3'!C389</f>
        <v>221206</v>
      </c>
      <c r="Q388" s="91">
        <f t="shared" si="149"/>
        <v>0</v>
      </c>
      <c r="R388" s="80">
        <f>'DATA B3'!D389</f>
        <v>165812</v>
      </c>
      <c r="S388" s="80">
        <f t="shared" si="150"/>
        <v>0</v>
      </c>
      <c r="T388" s="15">
        <f t="shared" si="145"/>
        <v>0</v>
      </c>
      <c r="U388" s="15">
        <f>IFERROR((('DATA B3'!E389-'DATA B3'!E388)+('DATA B3'!F389-'DATA B3'!F388))/('WATER_STEAM RATIO'!P388-'WATER_STEAM RATIO'!P387),0)</f>
        <v>0</v>
      </c>
    </row>
    <row r="389" spans="2:21">
      <c r="B389" s="292"/>
      <c r="C389" s="97">
        <v>0.875</v>
      </c>
      <c r="D389" s="84">
        <f>'DATA B1'!D390</f>
        <v>222134</v>
      </c>
      <c r="E389" s="5">
        <f t="shared" si="151"/>
        <v>0</v>
      </c>
      <c r="F389" s="80">
        <f>'DATA B1'!E390</f>
        <v>524526</v>
      </c>
      <c r="G389" s="80">
        <f t="shared" si="146"/>
        <v>0</v>
      </c>
      <c r="H389" s="28">
        <f t="shared" si="133"/>
        <v>0</v>
      </c>
      <c r="I389" s="45">
        <f>IFERROR((('DATA B1'!G390-'DATA B1'!G389)/('WATER_STEAM RATIO'!D389-'WATER_STEAM RATIO'!D388))*1000,0)</f>
        <v>0</v>
      </c>
      <c r="J389" s="50">
        <f>'DATA B2'!D390</f>
        <v>514557</v>
      </c>
      <c r="K389" s="82">
        <f t="shared" si="147"/>
        <v>10</v>
      </c>
      <c r="L389" s="80">
        <f>'DATA B2'!E390</f>
        <v>572973</v>
      </c>
      <c r="M389" s="80">
        <f t="shared" si="148"/>
        <v>10</v>
      </c>
      <c r="N389" s="28">
        <f>IFERROR(M389/K389,0)</f>
        <v>1</v>
      </c>
      <c r="O389" s="51">
        <f>IFERROR((('DATA B2'!F390-'DATA B2'!F389)/(K389))*1000,0)</f>
        <v>0</v>
      </c>
      <c r="P389" s="94">
        <f>'DATA B3'!C390</f>
        <v>221206</v>
      </c>
      <c r="Q389" s="91">
        <f t="shared" si="149"/>
        <v>0</v>
      </c>
      <c r="R389" s="80">
        <f>'DATA B3'!D390</f>
        <v>165812</v>
      </c>
      <c r="S389" s="80">
        <f t="shared" si="150"/>
        <v>0</v>
      </c>
      <c r="T389" s="15">
        <f t="shared" si="145"/>
        <v>0</v>
      </c>
      <c r="U389" s="15">
        <f>IFERROR((('DATA B3'!E390-'DATA B3'!E389)+('DATA B3'!F390-'DATA B3'!F389))/('WATER_STEAM RATIO'!P389-'WATER_STEAM RATIO'!P388),0)</f>
        <v>0</v>
      </c>
    </row>
    <row r="390" spans="2:21">
      <c r="B390" s="292"/>
      <c r="C390" s="97">
        <v>0.91666666666666596</v>
      </c>
      <c r="D390" s="84">
        <f>'DATA B1'!D391</f>
        <v>222134</v>
      </c>
      <c r="E390" s="5">
        <f t="shared" si="151"/>
        <v>0</v>
      </c>
      <c r="F390" s="80">
        <f>'DATA B1'!E391</f>
        <v>524526</v>
      </c>
      <c r="G390" s="80">
        <f t="shared" si="146"/>
        <v>0</v>
      </c>
      <c r="H390" s="28">
        <f t="shared" si="133"/>
        <v>0</v>
      </c>
      <c r="I390" s="45">
        <f>IFERROR((('DATA B1'!G391-'DATA B1'!G390)/('WATER_STEAM RATIO'!D390-'WATER_STEAM RATIO'!D389))*1000,0)</f>
        <v>0</v>
      </c>
      <c r="J390" s="50">
        <f>'DATA B2'!D391</f>
        <v>514567</v>
      </c>
      <c r="K390" s="82">
        <f t="shared" si="147"/>
        <v>10</v>
      </c>
      <c r="L390" s="80">
        <f>'DATA B2'!E391</f>
        <v>572983</v>
      </c>
      <c r="M390" s="80">
        <f t="shared" si="148"/>
        <v>10</v>
      </c>
      <c r="N390" s="28">
        <f t="shared" si="144"/>
        <v>1</v>
      </c>
      <c r="O390" s="51">
        <f>IFERROR((('DATA B2'!F391-'DATA B2'!F390)/(K390))*1000,0)</f>
        <v>0</v>
      </c>
      <c r="P390" s="94">
        <f>'DATA B3'!C391</f>
        <v>221206</v>
      </c>
      <c r="Q390" s="91">
        <f t="shared" si="149"/>
        <v>0</v>
      </c>
      <c r="R390" s="80">
        <f>'DATA B3'!D391</f>
        <v>165812</v>
      </c>
      <c r="S390" s="80">
        <f t="shared" si="150"/>
        <v>0</v>
      </c>
      <c r="T390" s="15">
        <f t="shared" si="145"/>
        <v>0</v>
      </c>
      <c r="U390" s="15">
        <f>IFERROR((('DATA B3'!E391-'DATA B3'!E390)+('DATA B3'!F391-'DATA B3'!F390))/('WATER_STEAM RATIO'!P390-'WATER_STEAM RATIO'!P389),0)</f>
        <v>0</v>
      </c>
    </row>
    <row r="391" spans="2:21">
      <c r="B391" s="292"/>
      <c r="C391" s="97">
        <v>0.95833333333333304</v>
      </c>
      <c r="D391" s="84">
        <f>'DATA B1'!D392</f>
        <v>222134</v>
      </c>
      <c r="E391" s="5">
        <f t="shared" si="151"/>
        <v>0</v>
      </c>
      <c r="F391" s="80">
        <f>'DATA B1'!E392</f>
        <v>524526</v>
      </c>
      <c r="G391" s="80">
        <f t="shared" si="146"/>
        <v>0</v>
      </c>
      <c r="H391" s="28">
        <f t="shared" si="133"/>
        <v>0</v>
      </c>
      <c r="I391" s="45">
        <f>IFERROR((('DATA B1'!G392-'DATA B1'!G391)/('WATER_STEAM RATIO'!D391-'WATER_STEAM RATIO'!D390))*1000,0)</f>
        <v>0</v>
      </c>
      <c r="J391" s="50">
        <f>'DATA B2'!D392</f>
        <v>514578</v>
      </c>
      <c r="K391" s="82">
        <f>SUM(J391-J390)</f>
        <v>11</v>
      </c>
      <c r="L391" s="80">
        <f>'DATA B2'!E392</f>
        <v>572994</v>
      </c>
      <c r="M391" s="80">
        <f t="shared" si="148"/>
        <v>11</v>
      </c>
      <c r="N391" s="28">
        <f t="shared" si="144"/>
        <v>1</v>
      </c>
      <c r="O391" s="51">
        <f>IFERROR((('DATA B2'!F392-'DATA B2'!F391)/(K391))*1000,0)</f>
        <v>0</v>
      </c>
      <c r="P391" s="94">
        <f>'DATA B3'!C392</f>
        <v>221206</v>
      </c>
      <c r="Q391" s="91">
        <f t="shared" si="149"/>
        <v>0</v>
      </c>
      <c r="R391" s="80">
        <f>'DATA B3'!D392</f>
        <v>165812</v>
      </c>
      <c r="S391" s="80">
        <f t="shared" si="150"/>
        <v>0</v>
      </c>
      <c r="T391" s="15">
        <f t="shared" si="145"/>
        <v>0</v>
      </c>
      <c r="U391" s="15">
        <f>IFERROR((('DATA B3'!E392-'DATA B3'!E391)+('DATA B3'!F392-'DATA B3'!F391))/('WATER_STEAM RATIO'!P391-'WATER_STEAM RATIO'!P390),0)</f>
        <v>0</v>
      </c>
    </row>
    <row r="392" spans="2:21">
      <c r="B392" s="292"/>
      <c r="C392" s="97">
        <v>1</v>
      </c>
      <c r="D392" s="84">
        <f>'DATA B1'!D393</f>
        <v>222134</v>
      </c>
      <c r="E392" s="5">
        <f t="shared" si="151"/>
        <v>0</v>
      </c>
      <c r="F392" s="80">
        <f>'DATA B1'!E393</f>
        <v>524526</v>
      </c>
      <c r="G392" s="80">
        <f t="shared" si="146"/>
        <v>0</v>
      </c>
      <c r="H392" s="28">
        <f t="shared" si="133"/>
        <v>0</v>
      </c>
      <c r="I392" s="45">
        <f>IFERROR((('DATA B1'!G393-'DATA B1'!G392)/('WATER_STEAM RATIO'!D392-'WATER_STEAM RATIO'!D391))*1000,0)</f>
        <v>0</v>
      </c>
      <c r="J392" s="50">
        <f>'DATA B2'!D393</f>
        <v>514589</v>
      </c>
      <c r="K392" s="82">
        <f t="shared" si="147"/>
        <v>11</v>
      </c>
      <c r="L392" s="80">
        <f>'DATA B2'!E393</f>
        <v>573005</v>
      </c>
      <c r="M392" s="80">
        <f t="shared" si="148"/>
        <v>11</v>
      </c>
      <c r="N392" s="28">
        <f t="shared" si="144"/>
        <v>1</v>
      </c>
      <c r="O392" s="51">
        <f>IFERROR((('DATA B2'!F393-'DATA B2'!F392)/(K392))*1000,0)</f>
        <v>0</v>
      </c>
      <c r="P392" s="94">
        <f>'DATA B3'!C393</f>
        <v>221206</v>
      </c>
      <c r="Q392" s="91">
        <f t="shared" si="149"/>
        <v>0</v>
      </c>
      <c r="R392" s="80">
        <f>'DATA B3'!D393</f>
        <v>165812</v>
      </c>
      <c r="S392" s="80">
        <f t="shared" si="150"/>
        <v>0</v>
      </c>
      <c r="T392" s="15">
        <f t="shared" si="145"/>
        <v>0</v>
      </c>
      <c r="U392" s="15">
        <f>IFERROR((('DATA B3'!E393-'DATA B3'!E392)+('DATA B3'!F393-'DATA B3'!F392))/('WATER_STEAM RATIO'!P392-'WATER_STEAM RATIO'!P391),0)</f>
        <v>0</v>
      </c>
    </row>
    <row r="393" spans="2:21">
      <c r="B393" s="292"/>
      <c r="C393" s="97">
        <v>1.0416666666666701</v>
      </c>
      <c r="D393" s="84">
        <f>'DATA B1'!D394</f>
        <v>222134</v>
      </c>
      <c r="E393" s="5">
        <f t="shared" si="151"/>
        <v>0</v>
      </c>
      <c r="F393" s="80">
        <f>'DATA B1'!E394</f>
        <v>524526</v>
      </c>
      <c r="G393" s="80">
        <f t="shared" si="146"/>
        <v>0</v>
      </c>
      <c r="H393" s="28">
        <f t="shared" si="133"/>
        <v>0</v>
      </c>
      <c r="I393" s="45">
        <f>IFERROR((('DATA B1'!G394-'DATA B1'!G393)/('WATER_STEAM RATIO'!D393-'WATER_STEAM RATIO'!D392))*1000,0)</f>
        <v>0</v>
      </c>
      <c r="J393" s="50">
        <f>'DATA B2'!D394</f>
        <v>514600</v>
      </c>
      <c r="K393" s="82">
        <f t="shared" si="147"/>
        <v>11</v>
      </c>
      <c r="L393" s="80">
        <f>'DATA B2'!E394</f>
        <v>573016</v>
      </c>
      <c r="M393" s="80">
        <f t="shared" si="148"/>
        <v>11</v>
      </c>
      <c r="N393" s="28">
        <f t="shared" si="144"/>
        <v>1</v>
      </c>
      <c r="O393" s="51">
        <f>IFERROR((('DATA B2'!F394-'DATA B2'!F393)/(K393))*1000,0)</f>
        <v>0</v>
      </c>
      <c r="P393" s="94">
        <f>'DATA B3'!C394</f>
        <v>221206</v>
      </c>
      <c r="Q393" s="91">
        <f t="shared" si="149"/>
        <v>0</v>
      </c>
      <c r="R393" s="80">
        <f>'DATA B3'!D394</f>
        <v>165812</v>
      </c>
      <c r="S393" s="80">
        <f t="shared" si="150"/>
        <v>0</v>
      </c>
      <c r="T393" s="15">
        <f t="shared" si="145"/>
        <v>0</v>
      </c>
      <c r="U393" s="15">
        <f>IFERROR((('DATA B3'!E394-'DATA B3'!E393)+('DATA B3'!F394-'DATA B3'!F393))/('WATER_STEAM RATIO'!P393-'WATER_STEAM RATIO'!P392),0)</f>
        <v>0</v>
      </c>
    </row>
    <row r="394" spans="2:21">
      <c r="B394" s="292"/>
      <c r="C394" s="97">
        <v>1.0833333333333399</v>
      </c>
      <c r="D394" s="84">
        <f>'DATA B1'!D395</f>
        <v>222134</v>
      </c>
      <c r="E394" s="5">
        <f>SUM(D394-D393)</f>
        <v>0</v>
      </c>
      <c r="F394" s="80">
        <f>'DATA B1'!E395</f>
        <v>524526</v>
      </c>
      <c r="G394" s="80">
        <f t="shared" si="146"/>
        <v>0</v>
      </c>
      <c r="H394" s="28">
        <f t="shared" si="133"/>
        <v>0</v>
      </c>
      <c r="I394" s="45">
        <f>IFERROR((('DATA B1'!G395-'DATA B1'!G394)/('WATER_STEAM RATIO'!D394-'WATER_STEAM RATIO'!D393))*1000,0)</f>
        <v>0</v>
      </c>
      <c r="J394" s="50">
        <f>'DATA B2'!D395</f>
        <v>514612</v>
      </c>
      <c r="K394" s="82">
        <f t="shared" si="147"/>
        <v>12</v>
      </c>
      <c r="L394" s="80">
        <f>'DATA B2'!E395</f>
        <v>573028</v>
      </c>
      <c r="M394" s="80">
        <f t="shared" si="148"/>
        <v>12</v>
      </c>
      <c r="N394" s="28">
        <f t="shared" si="144"/>
        <v>1</v>
      </c>
      <c r="O394" s="51">
        <f>IFERROR((('DATA B2'!F395-'DATA B2'!F394)/(K394))*1000,0)</f>
        <v>0</v>
      </c>
      <c r="P394" s="94">
        <f>'DATA B3'!C395</f>
        <v>221206</v>
      </c>
      <c r="Q394" s="91">
        <f>SUM(P394-P393)</f>
        <v>0</v>
      </c>
      <c r="R394" s="80">
        <f>'DATA B3'!D395</f>
        <v>165812</v>
      </c>
      <c r="S394" s="80">
        <f t="shared" si="150"/>
        <v>0</v>
      </c>
      <c r="T394" s="15">
        <f t="shared" si="145"/>
        <v>0</v>
      </c>
      <c r="U394" s="15">
        <f>IFERROR((('DATA B3'!E395-'DATA B3'!E394)+('DATA B3'!F395-'DATA B3'!F394))/('WATER_STEAM RATIO'!P394-'WATER_STEAM RATIO'!P393),0)</f>
        <v>0</v>
      </c>
    </row>
    <row r="395" spans="2:21">
      <c r="B395" s="292"/>
      <c r="C395" s="97">
        <v>1.125</v>
      </c>
      <c r="D395" s="84">
        <f>'DATA B1'!D396</f>
        <v>222134</v>
      </c>
      <c r="E395" s="5">
        <f t="shared" si="151"/>
        <v>0</v>
      </c>
      <c r="F395" s="80">
        <f>'DATA B1'!E396</f>
        <v>524526</v>
      </c>
      <c r="G395" s="80">
        <f t="shared" si="146"/>
        <v>0</v>
      </c>
      <c r="H395" s="28">
        <f t="shared" si="133"/>
        <v>0</v>
      </c>
      <c r="I395" s="45">
        <f>IFERROR((('DATA B1'!G396-'DATA B1'!G395)/('WATER_STEAM RATIO'!D395-'WATER_STEAM RATIO'!D394))*1000,0)</f>
        <v>0</v>
      </c>
      <c r="J395" s="50">
        <f>'DATA B2'!D396</f>
        <v>514624</v>
      </c>
      <c r="K395" s="82">
        <f t="shared" si="147"/>
        <v>12</v>
      </c>
      <c r="L395" s="80">
        <f>'DATA B2'!E396</f>
        <v>573040</v>
      </c>
      <c r="M395" s="80">
        <f t="shared" si="148"/>
        <v>12</v>
      </c>
      <c r="N395" s="28">
        <f t="shared" si="144"/>
        <v>1</v>
      </c>
      <c r="O395" s="51">
        <f>IFERROR((('DATA B2'!F396-'DATA B2'!F395)/(K395))*1000,0)</f>
        <v>0</v>
      </c>
      <c r="P395" s="94">
        <f>'DATA B3'!C396</f>
        <v>221206</v>
      </c>
      <c r="Q395" s="91">
        <f t="shared" si="149"/>
        <v>0</v>
      </c>
      <c r="R395" s="80">
        <f>'DATA B3'!D396</f>
        <v>165812</v>
      </c>
      <c r="S395" s="80">
        <f t="shared" si="150"/>
        <v>0</v>
      </c>
      <c r="T395" s="15">
        <f t="shared" si="145"/>
        <v>0</v>
      </c>
      <c r="U395" s="15">
        <f>IFERROR((('DATA B3'!E396-'DATA B3'!E395)+('DATA B3'!F396-'DATA B3'!F395))/('WATER_STEAM RATIO'!P395-'WATER_STEAM RATIO'!P394),0)</f>
        <v>0</v>
      </c>
    </row>
    <row r="396" spans="2:21">
      <c r="B396" s="292"/>
      <c r="C396" s="97">
        <v>1.1666666666666701</v>
      </c>
      <c r="D396" s="84">
        <f>'DATA B1'!D397</f>
        <v>222134</v>
      </c>
      <c r="E396" s="5">
        <f t="shared" si="151"/>
        <v>0</v>
      </c>
      <c r="F396" s="80">
        <f>'DATA B1'!E397</f>
        <v>524526</v>
      </c>
      <c r="G396" s="80">
        <f t="shared" si="146"/>
        <v>0</v>
      </c>
      <c r="H396" s="28">
        <f t="shared" si="133"/>
        <v>0</v>
      </c>
      <c r="I396" s="45">
        <f>IFERROR((('DATA B1'!G397-'DATA B1'!G396)/('WATER_STEAM RATIO'!D396-'WATER_STEAM RATIO'!D395))*1000,0)</f>
        <v>0</v>
      </c>
      <c r="J396" s="50">
        <f>'DATA B2'!D397</f>
        <v>514635</v>
      </c>
      <c r="K396" s="82">
        <f t="shared" si="147"/>
        <v>11</v>
      </c>
      <c r="L396" s="80">
        <f>'DATA B2'!E397</f>
        <v>573051</v>
      </c>
      <c r="M396" s="80">
        <f t="shared" si="148"/>
        <v>11</v>
      </c>
      <c r="N396" s="28">
        <f t="shared" si="144"/>
        <v>1</v>
      </c>
      <c r="O396" s="51">
        <f>IFERROR((('DATA B2'!F397-'DATA B2'!F396)/(K396))*1000,0)</f>
        <v>0</v>
      </c>
      <c r="P396" s="94">
        <f>'DATA B3'!C397</f>
        <v>221206</v>
      </c>
      <c r="Q396" s="91">
        <f t="shared" si="149"/>
        <v>0</v>
      </c>
      <c r="R396" s="80">
        <f>'DATA B3'!D397</f>
        <v>165812</v>
      </c>
      <c r="S396" s="80">
        <f t="shared" si="150"/>
        <v>0</v>
      </c>
      <c r="T396" s="15">
        <f t="shared" si="145"/>
        <v>0</v>
      </c>
      <c r="U396" s="15">
        <f>IFERROR((('DATA B3'!E397-'DATA B3'!E396)+('DATA B3'!F397-'DATA B3'!F396))/('WATER_STEAM RATIO'!P396-'WATER_STEAM RATIO'!P395),0)</f>
        <v>0</v>
      </c>
    </row>
    <row r="397" spans="2:21">
      <c r="B397" s="292"/>
      <c r="C397" s="97">
        <v>1.2083333333333399</v>
      </c>
      <c r="D397" s="84">
        <f>'DATA B1'!D398</f>
        <v>222134</v>
      </c>
      <c r="E397" s="5">
        <f t="shared" si="151"/>
        <v>0</v>
      </c>
      <c r="F397" s="80">
        <f>'DATA B1'!E398</f>
        <v>524526</v>
      </c>
      <c r="G397" s="80">
        <f t="shared" si="146"/>
        <v>0</v>
      </c>
      <c r="H397" s="28">
        <f t="shared" si="133"/>
        <v>0</v>
      </c>
      <c r="I397" s="45">
        <f>IFERROR((('DATA B1'!G398-'DATA B1'!G397)/('WATER_STEAM RATIO'!D397-'WATER_STEAM RATIO'!D396))*1000,0)</f>
        <v>0</v>
      </c>
      <c r="J397" s="50">
        <f>'DATA B2'!D398</f>
        <v>514646</v>
      </c>
      <c r="K397" s="82">
        <f t="shared" si="147"/>
        <v>11</v>
      </c>
      <c r="L397" s="80">
        <f>'DATA B2'!E398</f>
        <v>573062</v>
      </c>
      <c r="M397" s="80">
        <f t="shared" si="148"/>
        <v>11</v>
      </c>
      <c r="N397" s="28">
        <f t="shared" si="144"/>
        <v>1</v>
      </c>
      <c r="O397" s="51">
        <f>IFERROR((('DATA B2'!F398-'DATA B2'!F397)/(K397))*1000,0)</f>
        <v>0</v>
      </c>
      <c r="P397" s="94">
        <f>'DATA B3'!C398</f>
        <v>221206</v>
      </c>
      <c r="Q397" s="91">
        <f t="shared" si="149"/>
        <v>0</v>
      </c>
      <c r="R397" s="80">
        <f>'DATA B3'!D398</f>
        <v>165812</v>
      </c>
      <c r="S397" s="80">
        <f t="shared" si="150"/>
        <v>0</v>
      </c>
      <c r="T397" s="15">
        <f t="shared" si="145"/>
        <v>0</v>
      </c>
      <c r="U397" s="15">
        <f>IFERROR((('DATA B3'!E398-'DATA B3'!E397)+('DATA B3'!F398-'DATA B3'!F397))/('WATER_STEAM RATIO'!P397-'WATER_STEAM RATIO'!P396),0)</f>
        <v>0</v>
      </c>
    </row>
    <row r="398" spans="2:21">
      <c r="B398" s="292"/>
      <c r="C398" s="97">
        <v>1.25</v>
      </c>
      <c r="D398" s="84">
        <f>'DATA B1'!D399</f>
        <v>222134</v>
      </c>
      <c r="E398" s="5">
        <f t="shared" si="151"/>
        <v>0</v>
      </c>
      <c r="F398" s="80">
        <f>'DATA B1'!E399</f>
        <v>524526</v>
      </c>
      <c r="G398" s="80">
        <f t="shared" si="146"/>
        <v>0</v>
      </c>
      <c r="H398" s="28">
        <f t="shared" ref="H398:H461" si="152" xml:space="preserve"> IFERROR(G398/E398,0)</f>
        <v>0</v>
      </c>
      <c r="I398" s="45">
        <f>IFERROR((('DATA B1'!G399-'DATA B1'!G398)/('WATER_STEAM RATIO'!D398-'WATER_STEAM RATIO'!D397))*1000,0)</f>
        <v>0</v>
      </c>
      <c r="J398" s="50">
        <f>'DATA B2'!D399</f>
        <v>514657</v>
      </c>
      <c r="K398" s="82">
        <f t="shared" si="147"/>
        <v>11</v>
      </c>
      <c r="L398" s="80">
        <f>'DATA B2'!E399</f>
        <v>573073</v>
      </c>
      <c r="M398" s="80">
        <f t="shared" si="148"/>
        <v>11</v>
      </c>
      <c r="N398" s="28">
        <f t="shared" si="144"/>
        <v>1</v>
      </c>
      <c r="O398" s="51">
        <f>IFERROR((('DATA B2'!F399-'DATA B2'!F398)/(K398))*1000,0)</f>
        <v>0</v>
      </c>
      <c r="P398" s="94">
        <f>'DATA B3'!C399</f>
        <v>221206</v>
      </c>
      <c r="Q398" s="91">
        <f t="shared" si="149"/>
        <v>0</v>
      </c>
      <c r="R398" s="80">
        <f>'DATA B3'!D399</f>
        <v>165812</v>
      </c>
      <c r="S398" s="80">
        <f t="shared" si="150"/>
        <v>0</v>
      </c>
      <c r="T398" s="15">
        <f t="shared" si="145"/>
        <v>0</v>
      </c>
      <c r="U398" s="15">
        <f>IFERROR((('DATA B3'!E399-'DATA B3'!E398)+('DATA B3'!F399-'DATA B3'!F398))/('WATER_STEAM RATIO'!P398-'WATER_STEAM RATIO'!P397),0)</f>
        <v>0</v>
      </c>
    </row>
    <row r="399" spans="2:21">
      <c r="B399" s="292"/>
      <c r="C399" s="97">
        <v>1.2916666666666701</v>
      </c>
      <c r="D399" s="84">
        <f>'DATA B1'!D400</f>
        <v>222134</v>
      </c>
      <c r="E399" s="5">
        <f t="shared" si="151"/>
        <v>0</v>
      </c>
      <c r="F399" s="80">
        <f>'DATA B1'!E400</f>
        <v>524526</v>
      </c>
      <c r="G399" s="80">
        <f t="shared" si="146"/>
        <v>0</v>
      </c>
      <c r="H399" s="28">
        <f t="shared" si="152"/>
        <v>0</v>
      </c>
      <c r="I399" s="45">
        <f>IFERROR((('DATA B1'!G400-'DATA B1'!G399)/('WATER_STEAM RATIO'!D399-'WATER_STEAM RATIO'!D398))*1000,0)</f>
        <v>0</v>
      </c>
      <c r="J399" s="50">
        <f>'DATA B2'!D400</f>
        <v>514668</v>
      </c>
      <c r="K399" s="82">
        <f>SUM(J399-J398)</f>
        <v>11</v>
      </c>
      <c r="L399" s="80">
        <f>'DATA B2'!E400</f>
        <v>573084</v>
      </c>
      <c r="M399" s="80">
        <f t="shared" si="148"/>
        <v>11</v>
      </c>
      <c r="N399" s="28">
        <f t="shared" si="144"/>
        <v>1</v>
      </c>
      <c r="O399" s="51">
        <f>IFERROR((('DATA B2'!F400-'DATA B2'!F399)/(K399))*1000,0)</f>
        <v>0</v>
      </c>
      <c r="P399" s="94">
        <f>'DATA B3'!C400</f>
        <v>221206</v>
      </c>
      <c r="Q399" s="91">
        <f t="shared" si="149"/>
        <v>0</v>
      </c>
      <c r="R399" s="80">
        <f>'DATA B3'!D400</f>
        <v>165812</v>
      </c>
      <c r="S399" s="80">
        <f t="shared" si="150"/>
        <v>0</v>
      </c>
      <c r="T399" s="15">
        <f t="shared" si="145"/>
        <v>0</v>
      </c>
      <c r="U399" s="15">
        <f>IFERROR((('DATA B3'!E400-'DATA B3'!E399)+('DATA B3'!F400-'DATA B3'!F399))/('WATER_STEAM RATIO'!P399-'WATER_STEAM RATIO'!P398),0)</f>
        <v>0</v>
      </c>
    </row>
    <row r="400" spans="2:21" ht="15.75" thickBot="1">
      <c r="B400" s="293"/>
      <c r="C400" s="235"/>
      <c r="D400" s="224" cm="1">
        <f t="array" ref="D400">IFERROR(LOOKUP(2,1/(D375:D399&gt;0),D375:D399-D375),0)</f>
        <v>0</v>
      </c>
      <c r="E400" s="223">
        <f>SUMIF(E376:E399,"&gt;=0",E376:E399)</f>
        <v>0</v>
      </c>
      <c r="F400" s="224" cm="1">
        <f t="array" ref="F400">IFERROR(LOOKUP(2,1/(F375:F399&gt;0),F375:F399-F375),0)</f>
        <v>0</v>
      </c>
      <c r="G400" s="223">
        <f>SUMIF(G376:G399,"&gt;=0",G376:G399)</f>
        <v>0</v>
      </c>
      <c r="H400" s="225">
        <f t="shared" si="152"/>
        <v>0</v>
      </c>
      <c r="I400" s="236">
        <f>IFERROR((('DATA B1'!H401)/(E400))*1000,0)</f>
        <v>0</v>
      </c>
      <c r="J400" s="222" cm="1">
        <f t="array" ref="J400">IFERROR(LOOKUP(2,1/(J375:J399&gt;0),J375:J399-J375),0)</f>
        <v>274</v>
      </c>
      <c r="K400" s="223">
        <f>SUMIF(K376:K399,"&gt;=0",K376:K399)</f>
        <v>274</v>
      </c>
      <c r="L400" s="224" cm="1">
        <f t="array" ref="L400">IFERROR(LOOKUP(2,1/(L375:L399&gt;0),L375:L399-L375),0)</f>
        <v>283</v>
      </c>
      <c r="M400" s="223">
        <f>SUMIF(M376:M399,"&gt;=0",M376:M399)</f>
        <v>283</v>
      </c>
      <c r="N400" s="225">
        <f>IFERROR(M400/K400,0)</f>
        <v>1.0328467153284671</v>
      </c>
      <c r="O400" s="226">
        <f>IFERROR((('DATA B2'!H401)/(K400))*1000,0)</f>
        <v>4.3795620437951377E-3</v>
      </c>
      <c r="P400" s="224" cm="1">
        <f t="array" ref="P400">IFERROR(LOOKUP(2,1/(P375:P399&gt;0),P375:P399-P375),0)</f>
        <v>0</v>
      </c>
      <c r="Q400" s="223">
        <f>SUMIF(Q376:Q399,"&gt;=0",Q376:Q399)</f>
        <v>0</v>
      </c>
      <c r="R400" s="224" cm="1">
        <f t="array" ref="R400">IFERROR(LOOKUP(2,1/(R375:R399&gt;0),R375:R399-R375),0)</f>
        <v>0</v>
      </c>
      <c r="S400" s="223">
        <f>SUMIF(S376:S399,"&gt;=0",S376:S399)</f>
        <v>0</v>
      </c>
      <c r="T400" s="237">
        <f t="shared" si="145"/>
        <v>0</v>
      </c>
      <c r="U400" s="226">
        <f>IFERROR(('DATA B3'!E401+'DATA B3'!F401)/Q400*1000,0)</f>
        <v>0</v>
      </c>
    </row>
    <row r="401" spans="2:21" ht="15" customHeight="1">
      <c r="B401" s="291">
        <f>SUM('DATA B1'!B402:B427)</f>
        <v>46038</v>
      </c>
      <c r="C401" s="97">
        <v>0.29166666666666669</v>
      </c>
      <c r="D401" s="84">
        <f>'DATA B1'!D402</f>
        <v>222134</v>
      </c>
      <c r="E401" s="5">
        <f>SUM(E399)</f>
        <v>0</v>
      </c>
      <c r="F401" s="80">
        <f>'DATA B1'!E402</f>
        <v>524526</v>
      </c>
      <c r="G401" s="80">
        <f>SUM(G399)</f>
        <v>0</v>
      </c>
      <c r="H401" s="28">
        <f t="shared" si="152"/>
        <v>0</v>
      </c>
      <c r="I401" s="45"/>
      <c r="J401" s="50">
        <f>'DATA B2'!D402</f>
        <v>514668</v>
      </c>
      <c r="K401" s="82">
        <f>SUM(K399)</f>
        <v>11</v>
      </c>
      <c r="L401" s="80">
        <f>'DATA B2'!E402</f>
        <v>573084</v>
      </c>
      <c r="M401" s="80">
        <f>SUM(M399)</f>
        <v>11</v>
      </c>
      <c r="N401" s="28">
        <f t="shared" ref="N401:N425" si="153">IFERROR(M401/K401,0)</f>
        <v>1</v>
      </c>
      <c r="O401" s="103"/>
      <c r="P401" s="94">
        <f>'DATA B3'!C402</f>
        <v>221206</v>
      </c>
      <c r="Q401" s="91">
        <f>SUM(Q399)</f>
        <v>0</v>
      </c>
      <c r="R401" s="80">
        <f>'DATA B3'!D402</f>
        <v>165812</v>
      </c>
      <c r="S401" s="80">
        <f>SUM(S399)</f>
        <v>0</v>
      </c>
      <c r="T401" s="15">
        <f>IFERROR(S401/Q401,0)</f>
        <v>0</v>
      </c>
      <c r="U401" s="15"/>
    </row>
    <row r="402" spans="2:21">
      <c r="B402" s="292"/>
      <c r="C402" s="97">
        <v>0.33333333333333298</v>
      </c>
      <c r="D402" s="84">
        <f>'DATA B1'!D403</f>
        <v>222134</v>
      </c>
      <c r="E402" s="5">
        <f t="shared" ref="E402:E408" si="154">SUM(D402-D401)</f>
        <v>0</v>
      </c>
      <c r="F402" s="80">
        <f>'DATA B1'!E403</f>
        <v>524526</v>
      </c>
      <c r="G402" s="80">
        <f>SUM(F402-F401)</f>
        <v>0</v>
      </c>
      <c r="H402" s="28">
        <f t="shared" si="152"/>
        <v>0</v>
      </c>
      <c r="I402" s="45">
        <f>IFERROR((('DATA B1'!G403-'DATA B1'!G402)/('WATER_STEAM RATIO'!D402-'WATER_STEAM RATIO'!D401))*1000,0)</f>
        <v>0</v>
      </c>
      <c r="J402" s="50">
        <f>'DATA B2'!D403</f>
        <v>514684</v>
      </c>
      <c r="K402" s="82">
        <f>SUM(J402-J401)</f>
        <v>16</v>
      </c>
      <c r="L402" s="80">
        <f>'DATA B2'!E403</f>
        <v>573100</v>
      </c>
      <c r="M402" s="80">
        <f>SUM(L402-L401)</f>
        <v>16</v>
      </c>
      <c r="N402" s="28">
        <f t="shared" si="153"/>
        <v>1</v>
      </c>
      <c r="O402" s="51">
        <f>IFERROR((('DATA B2'!F403-'DATA B2'!F402)/(K402))*1000,0)</f>
        <v>-18.743750000000002</v>
      </c>
      <c r="P402" s="94">
        <f>'DATA B3'!C403</f>
        <v>221206</v>
      </c>
      <c r="Q402" s="91">
        <f>SUM(P402-P401)</f>
        <v>0</v>
      </c>
      <c r="R402" s="80">
        <f>'DATA B3'!D403</f>
        <v>165812</v>
      </c>
      <c r="S402" s="80">
        <f>SUM(R402-R401)</f>
        <v>0</v>
      </c>
      <c r="T402" s="15">
        <f t="shared" ref="T402:T426" si="155">IFERROR(S402/Q402,0)</f>
        <v>0</v>
      </c>
      <c r="U402" s="15">
        <f>IFERROR((('DATA B3'!E403-'DATA B3'!E402)+('DATA B3'!F403-'DATA B3'!F402))/('WATER_STEAM RATIO'!P402-'WATER_STEAM RATIO'!P401),0)</f>
        <v>0</v>
      </c>
    </row>
    <row r="403" spans="2:21">
      <c r="B403" s="292"/>
      <c r="C403" s="97">
        <v>0.375</v>
      </c>
      <c r="D403" s="84">
        <f>'DATA B1'!D404</f>
        <v>222134</v>
      </c>
      <c r="E403" s="5">
        <f t="shared" si="154"/>
        <v>0</v>
      </c>
      <c r="F403" s="80">
        <f>'DATA B1'!E404</f>
        <v>524526</v>
      </c>
      <c r="G403" s="80">
        <f t="shared" ref="G403:G425" si="156">SUM(F403-F402)</f>
        <v>0</v>
      </c>
      <c r="H403" s="28">
        <f t="shared" si="152"/>
        <v>0</v>
      </c>
      <c r="I403" s="45">
        <f>IFERROR((('DATA B1'!G404-'DATA B1'!G403)/('WATER_STEAM RATIO'!D403-'WATER_STEAM RATIO'!D402))*1000,0)</f>
        <v>0</v>
      </c>
      <c r="J403" s="50">
        <f>'DATA B2'!D404</f>
        <v>514693</v>
      </c>
      <c r="K403" s="82">
        <f t="shared" ref="K403:K424" si="157">SUM(J403-J402)</f>
        <v>9</v>
      </c>
      <c r="L403" s="80">
        <f>'DATA B2'!E404</f>
        <v>573112</v>
      </c>
      <c r="M403" s="80">
        <f t="shared" ref="M403:M425" si="158">SUM(L403-L402)</f>
        <v>12</v>
      </c>
      <c r="N403" s="28">
        <f t="shared" si="153"/>
        <v>1.3333333333333333</v>
      </c>
      <c r="O403" s="51">
        <f>IFERROR((('DATA B2'!F404-'DATA B2'!F403)/(K403))*1000,0)</f>
        <v>0</v>
      </c>
      <c r="P403" s="94">
        <f>'DATA B3'!C404</f>
        <v>221206</v>
      </c>
      <c r="Q403" s="91">
        <f t="shared" ref="Q403:Q425" si="159">SUM(P403-P402)</f>
        <v>0</v>
      </c>
      <c r="R403" s="80">
        <f>'DATA B3'!D404</f>
        <v>165812</v>
      </c>
      <c r="S403" s="80">
        <f t="shared" ref="S403:S425" si="160">SUM(R403-R402)</f>
        <v>0</v>
      </c>
      <c r="T403" s="15">
        <f t="shared" si="155"/>
        <v>0</v>
      </c>
      <c r="U403" s="15">
        <f>IFERROR((('DATA B3'!E404-'DATA B3'!E403)+('DATA B3'!F404-'DATA B3'!F403))/('WATER_STEAM RATIO'!P403-'WATER_STEAM RATIO'!P402),0)</f>
        <v>0</v>
      </c>
    </row>
    <row r="404" spans="2:21">
      <c r="B404" s="292"/>
      <c r="C404" s="97">
        <v>0.41666666666666702</v>
      </c>
      <c r="D404" s="84">
        <f>'DATA B1'!D405</f>
        <v>222134</v>
      </c>
      <c r="E404" s="5">
        <f t="shared" si="154"/>
        <v>0</v>
      </c>
      <c r="F404" s="80">
        <f>'DATA B1'!E405</f>
        <v>524526</v>
      </c>
      <c r="G404" s="80">
        <f t="shared" si="156"/>
        <v>0</v>
      </c>
      <c r="H404" s="28">
        <f t="shared" si="152"/>
        <v>0</v>
      </c>
      <c r="I404" s="45">
        <f>IFERROR((('DATA B1'!G405-'DATA B1'!G404)/('WATER_STEAM RATIO'!D404-'WATER_STEAM RATIO'!D403))*1000,0)</f>
        <v>0</v>
      </c>
      <c r="J404" s="50">
        <f>'DATA B2'!D405</f>
        <v>514702</v>
      </c>
      <c r="K404" s="82">
        <f t="shared" si="157"/>
        <v>9</v>
      </c>
      <c r="L404" s="80">
        <f>'DATA B2'!E405</f>
        <v>573124</v>
      </c>
      <c r="M404" s="80">
        <f t="shared" si="158"/>
        <v>12</v>
      </c>
      <c r="N404" s="28">
        <f t="shared" si="153"/>
        <v>1.3333333333333333</v>
      </c>
      <c r="O404" s="51">
        <f>IFERROR((('DATA B2'!F405-'DATA B2'!F404)/(K404))*1000,0)</f>
        <v>0</v>
      </c>
      <c r="P404" s="94">
        <f>'DATA B3'!C405</f>
        <v>221206</v>
      </c>
      <c r="Q404" s="91">
        <f t="shared" si="159"/>
        <v>0</v>
      </c>
      <c r="R404" s="80">
        <f>'DATA B3'!D405</f>
        <v>165812</v>
      </c>
      <c r="S404" s="80">
        <f t="shared" si="160"/>
        <v>0</v>
      </c>
      <c r="T404" s="15">
        <f t="shared" si="155"/>
        <v>0</v>
      </c>
      <c r="U404" s="15">
        <f>IFERROR((('DATA B3'!E405-'DATA B3'!E404)+('DATA B3'!F405-'DATA B3'!F404))/('WATER_STEAM RATIO'!P404-'WATER_STEAM RATIO'!P403),0)</f>
        <v>0</v>
      </c>
    </row>
    <row r="405" spans="2:21">
      <c r="B405" s="292"/>
      <c r="C405" s="97">
        <v>0.45833333333333298</v>
      </c>
      <c r="D405" s="84">
        <f>'DATA B1'!D406</f>
        <v>222134</v>
      </c>
      <c r="E405" s="5">
        <f t="shared" si="154"/>
        <v>0</v>
      </c>
      <c r="F405" s="80">
        <f>'DATA B1'!E406</f>
        <v>524526</v>
      </c>
      <c r="G405" s="80">
        <f t="shared" si="156"/>
        <v>0</v>
      </c>
      <c r="H405" s="28">
        <f t="shared" si="152"/>
        <v>0</v>
      </c>
      <c r="I405" s="45">
        <f>IFERROR((('DATA B1'!G406-'DATA B1'!G405)/('WATER_STEAM RATIO'!D405-'WATER_STEAM RATIO'!D404))*1000,0)</f>
        <v>0</v>
      </c>
      <c r="J405" s="50">
        <f>'DATA B2'!D406</f>
        <v>514711</v>
      </c>
      <c r="K405" s="82">
        <f t="shared" si="157"/>
        <v>9</v>
      </c>
      <c r="L405" s="80">
        <f>'DATA B2'!E406</f>
        <v>573136</v>
      </c>
      <c r="M405" s="80">
        <f t="shared" si="158"/>
        <v>12</v>
      </c>
      <c r="N405" s="28">
        <f t="shared" si="153"/>
        <v>1.3333333333333333</v>
      </c>
      <c r="O405" s="51">
        <f>IFERROR((('DATA B2'!F406-'DATA B2'!F405)/(K405))*1000,0)</f>
        <v>1.1111111111109887E-2</v>
      </c>
      <c r="P405" s="94">
        <f>'DATA B3'!C406</f>
        <v>221206</v>
      </c>
      <c r="Q405" s="91">
        <f t="shared" si="159"/>
        <v>0</v>
      </c>
      <c r="R405" s="80">
        <f>'DATA B3'!D406</f>
        <v>165812</v>
      </c>
      <c r="S405" s="80">
        <f t="shared" si="160"/>
        <v>0</v>
      </c>
      <c r="T405" s="15">
        <f t="shared" si="155"/>
        <v>0</v>
      </c>
      <c r="U405" s="15">
        <f>IFERROR((('DATA B3'!E406-'DATA B3'!E405)+('DATA B3'!F406-'DATA B3'!F405))/('WATER_STEAM RATIO'!P405-'WATER_STEAM RATIO'!P404),0)</f>
        <v>0</v>
      </c>
    </row>
    <row r="406" spans="2:21">
      <c r="B406" s="292"/>
      <c r="C406" s="97">
        <v>0.5</v>
      </c>
      <c r="D406" s="84">
        <f>'DATA B1'!D407</f>
        <v>222134</v>
      </c>
      <c r="E406" s="5">
        <f t="shared" si="154"/>
        <v>0</v>
      </c>
      <c r="F406" s="80">
        <f>'DATA B1'!E407</f>
        <v>524526</v>
      </c>
      <c r="G406" s="80">
        <f t="shared" si="156"/>
        <v>0</v>
      </c>
      <c r="H406" s="28">
        <f t="shared" si="152"/>
        <v>0</v>
      </c>
      <c r="I406" s="45">
        <f>IFERROR((('DATA B1'!G407-'DATA B1'!G406)/('WATER_STEAM RATIO'!D406-'WATER_STEAM RATIO'!D405))*1000,0)</f>
        <v>0</v>
      </c>
      <c r="J406" s="50">
        <f>'DATA B2'!D407</f>
        <v>514720</v>
      </c>
      <c r="K406" s="82">
        <f t="shared" si="157"/>
        <v>9</v>
      </c>
      <c r="L406" s="80">
        <f>'DATA B2'!E407</f>
        <v>573146</v>
      </c>
      <c r="M406" s="80">
        <f t="shared" si="158"/>
        <v>10</v>
      </c>
      <c r="N406" s="28">
        <f t="shared" si="153"/>
        <v>1.1111111111111112</v>
      </c>
      <c r="O406" s="51">
        <f>IFERROR((('DATA B2'!F407-'DATA B2'!F406)/(K406))*1000,0)</f>
        <v>0</v>
      </c>
      <c r="P406" s="94">
        <f>'DATA B3'!C407</f>
        <v>221206</v>
      </c>
      <c r="Q406" s="91">
        <f t="shared" si="159"/>
        <v>0</v>
      </c>
      <c r="R406" s="80">
        <f>'DATA B3'!D407</f>
        <v>165812</v>
      </c>
      <c r="S406" s="80">
        <f t="shared" si="160"/>
        <v>0</v>
      </c>
      <c r="T406" s="15">
        <f t="shared" si="155"/>
        <v>0</v>
      </c>
      <c r="U406" s="15">
        <f>IFERROR((('DATA B3'!E407-'DATA B3'!E406)+('DATA B3'!F407-'DATA B3'!F406))/('WATER_STEAM RATIO'!P406-'WATER_STEAM RATIO'!P405),0)</f>
        <v>0</v>
      </c>
    </row>
    <row r="407" spans="2:21">
      <c r="B407" s="292"/>
      <c r="C407" s="97">
        <v>0.54166666666666696</v>
      </c>
      <c r="D407" s="84">
        <f>'DATA B1'!D408</f>
        <v>222134</v>
      </c>
      <c r="E407" s="5">
        <f t="shared" si="154"/>
        <v>0</v>
      </c>
      <c r="F407" s="80">
        <f>'DATA B1'!E408</f>
        <v>524526</v>
      </c>
      <c r="G407" s="80">
        <f t="shared" si="156"/>
        <v>0</v>
      </c>
      <c r="H407" s="28">
        <f t="shared" si="152"/>
        <v>0</v>
      </c>
      <c r="I407" s="45">
        <f>IFERROR((('DATA B1'!G408-'DATA B1'!G407)/('WATER_STEAM RATIO'!D407-'WATER_STEAM RATIO'!D406))*1000,0)</f>
        <v>0</v>
      </c>
      <c r="J407" s="50">
        <f>'DATA B2'!D408</f>
        <v>514729</v>
      </c>
      <c r="K407" s="82">
        <f t="shared" si="157"/>
        <v>9</v>
      </c>
      <c r="L407" s="80">
        <f>'DATA B2'!E408</f>
        <v>573156</v>
      </c>
      <c r="M407" s="80">
        <f t="shared" si="158"/>
        <v>10</v>
      </c>
      <c r="N407" s="28">
        <f t="shared" si="153"/>
        <v>1.1111111111111112</v>
      </c>
      <c r="O407" s="51">
        <f>IFERROR((('DATA B2'!F408-'DATA B2'!F407)/(K407))*1000,0)</f>
        <v>1.111111111113456E-2</v>
      </c>
      <c r="P407" s="94">
        <f>'DATA B3'!C408</f>
        <v>221206</v>
      </c>
      <c r="Q407" s="91">
        <f t="shared" si="159"/>
        <v>0</v>
      </c>
      <c r="R407" s="80">
        <f>'DATA B3'!D408</f>
        <v>165812</v>
      </c>
      <c r="S407" s="80">
        <f t="shared" si="160"/>
        <v>0</v>
      </c>
      <c r="T407" s="15">
        <f t="shared" si="155"/>
        <v>0</v>
      </c>
      <c r="U407" s="15">
        <f>IFERROR((('DATA B3'!E408-'DATA B3'!E407)+('DATA B3'!F408-'DATA B3'!F407))/('WATER_STEAM RATIO'!P407-'WATER_STEAM RATIO'!P406),0)</f>
        <v>0</v>
      </c>
    </row>
    <row r="408" spans="2:21">
      <c r="B408" s="292"/>
      <c r="C408" s="97">
        <v>0.58333333333333304</v>
      </c>
      <c r="D408" s="84">
        <f>'DATA B1'!D409</f>
        <v>222134</v>
      </c>
      <c r="E408" s="5">
        <f t="shared" si="154"/>
        <v>0</v>
      </c>
      <c r="F408" s="80">
        <f>'DATA B1'!E409</f>
        <v>524526</v>
      </c>
      <c r="G408" s="80">
        <f t="shared" si="156"/>
        <v>0</v>
      </c>
      <c r="H408" s="28">
        <f t="shared" si="152"/>
        <v>0</v>
      </c>
      <c r="I408" s="45">
        <f>IFERROR((('DATA B1'!G409-'DATA B1'!G408)/('WATER_STEAM RATIO'!D408-'WATER_STEAM RATIO'!D407))*1000,0)</f>
        <v>0</v>
      </c>
      <c r="J408" s="50">
        <f>'DATA B2'!D409</f>
        <v>514739</v>
      </c>
      <c r="K408" s="82">
        <f t="shared" si="157"/>
        <v>10</v>
      </c>
      <c r="L408" s="80">
        <f>'DATA B2'!E409</f>
        <v>573167</v>
      </c>
      <c r="M408" s="80">
        <f t="shared" si="158"/>
        <v>11</v>
      </c>
      <c r="N408" s="28">
        <f t="shared" si="153"/>
        <v>1.1000000000000001</v>
      </c>
      <c r="O408" s="51">
        <f>IFERROR((('DATA B2'!F409-'DATA B2'!F408)/(K408))*1000,0)</f>
        <v>0</v>
      </c>
      <c r="P408" s="94">
        <f>'DATA B3'!C409</f>
        <v>221206</v>
      </c>
      <c r="Q408" s="91">
        <f t="shared" si="159"/>
        <v>0</v>
      </c>
      <c r="R408" s="80">
        <f>'DATA B3'!D409</f>
        <v>165812</v>
      </c>
      <c r="S408" s="80">
        <f t="shared" si="160"/>
        <v>0</v>
      </c>
      <c r="T408" s="15">
        <f t="shared" si="155"/>
        <v>0</v>
      </c>
      <c r="U408" s="15">
        <f>IFERROR((('DATA B3'!E409-'DATA B3'!E408)+('DATA B3'!F409-'DATA B3'!F408))/('WATER_STEAM RATIO'!P408-'WATER_STEAM RATIO'!P407),0)</f>
        <v>0</v>
      </c>
    </row>
    <row r="409" spans="2:21">
      <c r="B409" s="292"/>
      <c r="C409" s="97">
        <v>0.625</v>
      </c>
      <c r="D409" s="84">
        <f>'DATA B1'!D410</f>
        <v>222134</v>
      </c>
      <c r="E409" s="5">
        <f t="shared" ref="E409:E425" si="161">SUM(D409-D408)</f>
        <v>0</v>
      </c>
      <c r="F409" s="80">
        <f>'DATA B1'!E410</f>
        <v>524526</v>
      </c>
      <c r="G409" s="80">
        <f t="shared" si="156"/>
        <v>0</v>
      </c>
      <c r="H409" s="28">
        <f t="shared" si="152"/>
        <v>0</v>
      </c>
      <c r="I409" s="45">
        <f>IFERROR((('DATA B1'!G410-'DATA B1'!G409)/('WATER_STEAM RATIO'!D409-'WATER_STEAM RATIO'!D408))*1000,0)</f>
        <v>0</v>
      </c>
      <c r="J409" s="50">
        <f>'DATA B2'!D410</f>
        <v>514749</v>
      </c>
      <c r="K409" s="82">
        <f t="shared" si="157"/>
        <v>10</v>
      </c>
      <c r="L409" s="80">
        <f>'DATA B2'!E410</f>
        <v>573178</v>
      </c>
      <c r="M409" s="80">
        <f t="shared" si="158"/>
        <v>11</v>
      </c>
      <c r="N409" s="28">
        <f t="shared" si="153"/>
        <v>1.1000000000000001</v>
      </c>
      <c r="O409" s="51">
        <f>IFERROR((('DATA B2'!F410-'DATA B2'!F409)/(K409))*1000,0)</f>
        <v>9.9999999999988987E-3</v>
      </c>
      <c r="P409" s="94">
        <f>'DATA B3'!C410</f>
        <v>221206</v>
      </c>
      <c r="Q409" s="91">
        <f t="shared" si="159"/>
        <v>0</v>
      </c>
      <c r="R409" s="80">
        <f>'DATA B3'!D410</f>
        <v>165812</v>
      </c>
      <c r="S409" s="80">
        <f t="shared" si="160"/>
        <v>0</v>
      </c>
      <c r="T409" s="15">
        <f t="shared" si="155"/>
        <v>0</v>
      </c>
      <c r="U409" s="15">
        <f>IFERROR((('DATA B3'!E410-'DATA B3'!E409)+('DATA B3'!F410-'DATA B3'!F409))/('WATER_STEAM RATIO'!P409-'WATER_STEAM RATIO'!P408),0)</f>
        <v>0</v>
      </c>
    </row>
    <row r="410" spans="2:21">
      <c r="B410" s="292"/>
      <c r="C410" s="97">
        <v>0.66666666666666596</v>
      </c>
      <c r="D410" s="84">
        <f>'DATA B1'!D411</f>
        <v>222134</v>
      </c>
      <c r="E410" s="5">
        <f t="shared" si="161"/>
        <v>0</v>
      </c>
      <c r="F410" s="80">
        <f>'DATA B1'!E411</f>
        <v>524526</v>
      </c>
      <c r="G410" s="80">
        <f t="shared" si="156"/>
        <v>0</v>
      </c>
      <c r="H410" s="28">
        <f t="shared" si="152"/>
        <v>0</v>
      </c>
      <c r="I410" s="45">
        <f>IFERROR((('DATA B1'!G411-'DATA B1'!G410)/('WATER_STEAM RATIO'!D410-'WATER_STEAM RATIO'!D409))*1000,0)</f>
        <v>0</v>
      </c>
      <c r="J410" s="50">
        <f>'DATA B2'!D411</f>
        <v>514760</v>
      </c>
      <c r="K410" s="82">
        <f>SUM(J410-J409)</f>
        <v>11</v>
      </c>
      <c r="L410" s="80">
        <f>'DATA B2'!E411</f>
        <v>573189</v>
      </c>
      <c r="M410" s="80">
        <f t="shared" si="158"/>
        <v>11</v>
      </c>
      <c r="N410" s="28">
        <f t="shared" si="153"/>
        <v>1</v>
      </c>
      <c r="O410" s="51">
        <f>IFERROR((('DATA B2'!F411-'DATA B2'!F410)/(K410))*1000,0)</f>
        <v>0</v>
      </c>
      <c r="P410" s="94">
        <f>'DATA B3'!C411</f>
        <v>221206</v>
      </c>
      <c r="Q410" s="91">
        <f t="shared" si="159"/>
        <v>0</v>
      </c>
      <c r="R410" s="80">
        <f>'DATA B3'!D411</f>
        <v>165812</v>
      </c>
      <c r="S410" s="80">
        <f t="shared" si="160"/>
        <v>0</v>
      </c>
      <c r="T410" s="15">
        <f t="shared" si="155"/>
        <v>0</v>
      </c>
      <c r="U410" s="15">
        <f>IFERROR((('DATA B3'!E411-'DATA B3'!E410)+('DATA B3'!F411-'DATA B3'!F410))/('WATER_STEAM RATIO'!P410-'WATER_STEAM RATIO'!P409),0)</f>
        <v>0</v>
      </c>
    </row>
    <row r="411" spans="2:21">
      <c r="B411" s="292"/>
      <c r="C411" s="97">
        <v>0.70833333333333304</v>
      </c>
      <c r="D411" s="84">
        <f>'DATA B1'!D412</f>
        <v>222134</v>
      </c>
      <c r="E411" s="5">
        <f t="shared" si="161"/>
        <v>0</v>
      </c>
      <c r="F411" s="80">
        <f>'DATA B1'!E412</f>
        <v>524526</v>
      </c>
      <c r="G411" s="80">
        <f t="shared" si="156"/>
        <v>0</v>
      </c>
      <c r="H411" s="28">
        <f t="shared" si="152"/>
        <v>0</v>
      </c>
      <c r="I411" s="45">
        <f>IFERROR((('DATA B1'!G412-'DATA B1'!G411)/('WATER_STEAM RATIO'!D411-'WATER_STEAM RATIO'!D410))*1000,0)</f>
        <v>0</v>
      </c>
      <c r="J411" s="50">
        <f>'DATA B2'!D412</f>
        <v>514772</v>
      </c>
      <c r="K411" s="82">
        <f t="shared" si="157"/>
        <v>12</v>
      </c>
      <c r="L411" s="80">
        <f>'DATA B2'!E412</f>
        <v>573200</v>
      </c>
      <c r="M411" s="80">
        <f t="shared" si="158"/>
        <v>11</v>
      </c>
      <c r="N411" s="28">
        <f t="shared" si="153"/>
        <v>0.91666666666666663</v>
      </c>
      <c r="O411" s="51">
        <f>IFERROR((('DATA B2'!F412-'DATA B2'!F411)/(K411))*1000,0)</f>
        <v>8.3333333333324155E-3</v>
      </c>
      <c r="P411" s="94">
        <f>'DATA B3'!C412</f>
        <v>221206</v>
      </c>
      <c r="Q411" s="91">
        <f t="shared" si="159"/>
        <v>0</v>
      </c>
      <c r="R411" s="80">
        <f>'DATA B3'!D412</f>
        <v>165812</v>
      </c>
      <c r="S411" s="80">
        <f t="shared" si="160"/>
        <v>0</v>
      </c>
      <c r="T411" s="15">
        <f t="shared" si="155"/>
        <v>0</v>
      </c>
      <c r="U411" s="15">
        <f>IFERROR((('DATA B3'!E412-'DATA B3'!E411)+('DATA B3'!F412-'DATA B3'!F411))/('WATER_STEAM RATIO'!P411-'WATER_STEAM RATIO'!P410),0)</f>
        <v>0</v>
      </c>
    </row>
    <row r="412" spans="2:21">
      <c r="B412" s="292"/>
      <c r="C412" s="97">
        <v>0.75</v>
      </c>
      <c r="D412" s="84">
        <f>'DATA B1'!D413</f>
        <v>222134</v>
      </c>
      <c r="E412" s="5">
        <f t="shared" si="161"/>
        <v>0</v>
      </c>
      <c r="F412" s="80">
        <f>'DATA B1'!E413</f>
        <v>524526</v>
      </c>
      <c r="G412" s="80">
        <f t="shared" si="156"/>
        <v>0</v>
      </c>
      <c r="H412" s="28">
        <f t="shared" si="152"/>
        <v>0</v>
      </c>
      <c r="I412" s="45">
        <f>IFERROR((('DATA B1'!G413-'DATA B1'!G412)/('WATER_STEAM RATIO'!D412-'WATER_STEAM RATIO'!D411))*1000,0)</f>
        <v>0</v>
      </c>
      <c r="J412" s="50">
        <f>'DATA B2'!D413</f>
        <v>514784</v>
      </c>
      <c r="K412" s="82">
        <f t="shared" si="157"/>
        <v>12</v>
      </c>
      <c r="L412" s="80">
        <f>'DATA B2'!E413</f>
        <v>573212</v>
      </c>
      <c r="M412" s="80">
        <f t="shared" si="158"/>
        <v>12</v>
      </c>
      <c r="N412" s="28">
        <f t="shared" si="153"/>
        <v>1</v>
      </c>
      <c r="O412" s="51">
        <f>IFERROR((('DATA B2'!F413-'DATA B2'!F412)/(K412))*1000,0)</f>
        <v>0</v>
      </c>
      <c r="P412" s="94">
        <f>'DATA B3'!C413</f>
        <v>221206</v>
      </c>
      <c r="Q412" s="91">
        <f t="shared" si="159"/>
        <v>0</v>
      </c>
      <c r="R412" s="80">
        <f>'DATA B3'!D413</f>
        <v>165812</v>
      </c>
      <c r="S412" s="80">
        <f t="shared" si="160"/>
        <v>0</v>
      </c>
      <c r="T412" s="15">
        <f t="shared" si="155"/>
        <v>0</v>
      </c>
      <c r="U412" s="15">
        <f>IFERROR((('DATA B3'!E413-'DATA B3'!E412)+('DATA B3'!F413-'DATA B3'!F412))/('WATER_STEAM RATIO'!P412-'WATER_STEAM RATIO'!P411),0)</f>
        <v>0</v>
      </c>
    </row>
    <row r="413" spans="2:21">
      <c r="B413" s="292"/>
      <c r="C413" s="97">
        <v>0.79166666666666596</v>
      </c>
      <c r="D413" s="84">
        <f>'DATA B1'!D414</f>
        <v>222134</v>
      </c>
      <c r="E413" s="5">
        <f t="shared" si="161"/>
        <v>0</v>
      </c>
      <c r="F413" s="80">
        <f>'DATA B1'!E414</f>
        <v>524526</v>
      </c>
      <c r="G413" s="80">
        <f t="shared" si="156"/>
        <v>0</v>
      </c>
      <c r="H413" s="28">
        <f t="shared" si="152"/>
        <v>0</v>
      </c>
      <c r="I413" s="45">
        <f>IFERROR((('DATA B1'!G414-'DATA B1'!G413)/('WATER_STEAM RATIO'!D413-'WATER_STEAM RATIO'!D412))*1000,0)</f>
        <v>0</v>
      </c>
      <c r="J413" s="50">
        <f>'DATA B2'!D414</f>
        <v>514796</v>
      </c>
      <c r="K413" s="82">
        <f t="shared" si="157"/>
        <v>12</v>
      </c>
      <c r="L413" s="80">
        <f>'DATA B2'!E414</f>
        <v>573224</v>
      </c>
      <c r="M413" s="80">
        <f t="shared" si="158"/>
        <v>12</v>
      </c>
      <c r="N413" s="28">
        <f t="shared" si="153"/>
        <v>1</v>
      </c>
      <c r="O413" s="51">
        <f>IFERROR((('DATA B2'!F414-'DATA B2'!F413)/(K413))*1000,0)</f>
        <v>25.008333333333315</v>
      </c>
      <c r="P413" s="94">
        <f>'DATA B3'!C414</f>
        <v>221206</v>
      </c>
      <c r="Q413" s="91">
        <f t="shared" si="159"/>
        <v>0</v>
      </c>
      <c r="R413" s="80">
        <f>'DATA B3'!D414</f>
        <v>165812</v>
      </c>
      <c r="S413" s="80">
        <f t="shared" si="160"/>
        <v>0</v>
      </c>
      <c r="T413" s="15">
        <f t="shared" si="155"/>
        <v>0</v>
      </c>
      <c r="U413" s="15">
        <f>IFERROR((('DATA B3'!E414-'DATA B3'!E413)+('DATA B3'!F414-'DATA B3'!F413))/('WATER_STEAM RATIO'!P413-'WATER_STEAM RATIO'!P412),0)</f>
        <v>0</v>
      </c>
    </row>
    <row r="414" spans="2:21">
      <c r="B414" s="292"/>
      <c r="C414" s="97">
        <v>0.83333333333333304</v>
      </c>
      <c r="D414" s="84">
        <f>'DATA B1'!D415</f>
        <v>222134</v>
      </c>
      <c r="E414" s="5">
        <f t="shared" si="161"/>
        <v>0</v>
      </c>
      <c r="F414" s="80">
        <f>'DATA B1'!E415</f>
        <v>524526</v>
      </c>
      <c r="G414" s="80">
        <f t="shared" si="156"/>
        <v>0</v>
      </c>
      <c r="H414" s="28">
        <f t="shared" si="152"/>
        <v>0</v>
      </c>
      <c r="I414" s="45">
        <f>IFERROR((('DATA B1'!G415-'DATA B1'!G414)/('WATER_STEAM RATIO'!D414-'WATER_STEAM RATIO'!D413))*1000,0)</f>
        <v>0</v>
      </c>
      <c r="J414" s="50">
        <f>'DATA B2'!D415</f>
        <v>514809</v>
      </c>
      <c r="K414" s="82">
        <f t="shared" si="157"/>
        <v>13</v>
      </c>
      <c r="L414" s="80">
        <f>'DATA B2'!E415</f>
        <v>573238</v>
      </c>
      <c r="M414" s="80">
        <f t="shared" si="158"/>
        <v>14</v>
      </c>
      <c r="N414" s="28">
        <f t="shared" si="153"/>
        <v>1.0769230769230769</v>
      </c>
      <c r="O414" s="51">
        <f>IFERROR((('DATA B2'!F415-'DATA B2'!F414)/(K414))*1000,0)</f>
        <v>7.6923076923239263E-3</v>
      </c>
      <c r="P414" s="94">
        <f>'DATA B3'!C415</f>
        <v>221206</v>
      </c>
      <c r="Q414" s="91">
        <f t="shared" si="159"/>
        <v>0</v>
      </c>
      <c r="R414" s="80">
        <f>'DATA B3'!D415</f>
        <v>165812</v>
      </c>
      <c r="S414" s="80">
        <f t="shared" si="160"/>
        <v>0</v>
      </c>
      <c r="T414" s="15">
        <f t="shared" si="155"/>
        <v>0</v>
      </c>
      <c r="U414" s="15">
        <f>IFERROR((('DATA B3'!E415-'DATA B3'!E414)+('DATA B3'!F415-'DATA B3'!F414))/('WATER_STEAM RATIO'!P414-'WATER_STEAM RATIO'!P413),0)</f>
        <v>0</v>
      </c>
    </row>
    <row r="415" spans="2:21">
      <c r="B415" s="292"/>
      <c r="C415" s="97">
        <v>0.875</v>
      </c>
      <c r="D415" s="84">
        <f>'DATA B1'!D416</f>
        <v>222134</v>
      </c>
      <c r="E415" s="5">
        <f t="shared" si="161"/>
        <v>0</v>
      </c>
      <c r="F415" s="80">
        <f>'DATA B1'!E416</f>
        <v>524526</v>
      </c>
      <c r="G415" s="80">
        <f t="shared" si="156"/>
        <v>0</v>
      </c>
      <c r="H415" s="28">
        <f t="shared" si="152"/>
        <v>0</v>
      </c>
      <c r="I415" s="45">
        <f>IFERROR((('DATA B1'!G416-'DATA B1'!G415)/('WATER_STEAM RATIO'!D415-'WATER_STEAM RATIO'!D414))*1000,0)</f>
        <v>0</v>
      </c>
      <c r="J415" s="50">
        <f>'DATA B2'!D416</f>
        <v>514819</v>
      </c>
      <c r="K415" s="82">
        <f t="shared" si="157"/>
        <v>10</v>
      </c>
      <c r="L415" s="80">
        <f>'DATA B2'!E416</f>
        <v>573249</v>
      </c>
      <c r="M415" s="80">
        <f t="shared" si="158"/>
        <v>11</v>
      </c>
      <c r="N415" s="28">
        <f t="shared" si="153"/>
        <v>1.1000000000000001</v>
      </c>
      <c r="O415" s="51">
        <f>IFERROR((('DATA B2'!F416-'DATA B2'!F415)/(K415))*1000,0)</f>
        <v>0</v>
      </c>
      <c r="P415" s="94">
        <f>'DATA B3'!C416</f>
        <v>221206</v>
      </c>
      <c r="Q415" s="91">
        <f t="shared" si="159"/>
        <v>0</v>
      </c>
      <c r="R415" s="80">
        <f>'DATA B3'!D416</f>
        <v>165812</v>
      </c>
      <c r="S415" s="80">
        <f t="shared" si="160"/>
        <v>0</v>
      </c>
      <c r="T415" s="15">
        <f t="shared" si="155"/>
        <v>0</v>
      </c>
      <c r="U415" s="15">
        <f>IFERROR((('DATA B3'!E416-'DATA B3'!E415)+('DATA B3'!F416-'DATA B3'!F415))/('WATER_STEAM RATIO'!P415-'WATER_STEAM RATIO'!P414),0)</f>
        <v>0</v>
      </c>
    </row>
    <row r="416" spans="2:21">
      <c r="B416" s="292"/>
      <c r="C416" s="97">
        <v>0.91666666666666596</v>
      </c>
      <c r="D416" s="84">
        <f>'DATA B1'!D417</f>
        <v>222134</v>
      </c>
      <c r="E416" s="5">
        <f t="shared" si="161"/>
        <v>0</v>
      </c>
      <c r="F416" s="80">
        <f>'DATA B1'!E417</f>
        <v>524526</v>
      </c>
      <c r="G416" s="80">
        <f t="shared" si="156"/>
        <v>0</v>
      </c>
      <c r="H416" s="28">
        <f t="shared" si="152"/>
        <v>0</v>
      </c>
      <c r="I416" s="45">
        <f>IFERROR((('DATA B1'!G417-'DATA B1'!G416)/('WATER_STEAM RATIO'!D416-'WATER_STEAM RATIO'!D415))*1000,0)</f>
        <v>0</v>
      </c>
      <c r="J416" s="50">
        <f>'DATA B2'!D417</f>
        <v>514830</v>
      </c>
      <c r="K416" s="82">
        <f t="shared" si="157"/>
        <v>11</v>
      </c>
      <c r="L416" s="80">
        <f>'DATA B2'!E417</f>
        <v>573260</v>
      </c>
      <c r="M416" s="80">
        <f t="shared" si="158"/>
        <v>11</v>
      </c>
      <c r="N416" s="28">
        <f t="shared" si="153"/>
        <v>1</v>
      </c>
      <c r="O416" s="51">
        <f>IFERROR((('DATA B2'!F417-'DATA B2'!F416)/(K416))*1000,0)</f>
        <v>0</v>
      </c>
      <c r="P416" s="94">
        <f>'DATA B3'!C417</f>
        <v>221206</v>
      </c>
      <c r="Q416" s="91">
        <f t="shared" si="159"/>
        <v>0</v>
      </c>
      <c r="R416" s="80">
        <f>'DATA B3'!D417</f>
        <v>165812</v>
      </c>
      <c r="S416" s="80">
        <f t="shared" si="160"/>
        <v>0</v>
      </c>
      <c r="T416" s="15">
        <f t="shared" si="155"/>
        <v>0</v>
      </c>
      <c r="U416" s="15">
        <f>IFERROR((('DATA B3'!E417-'DATA B3'!E416)+('DATA B3'!F417-'DATA B3'!F416))/('WATER_STEAM RATIO'!P416-'WATER_STEAM RATIO'!P415),0)</f>
        <v>0</v>
      </c>
    </row>
    <row r="417" spans="2:21">
      <c r="B417" s="292"/>
      <c r="C417" s="97">
        <v>0.95833333333333304</v>
      </c>
      <c r="D417" s="84">
        <f>'DATA B1'!D418</f>
        <v>222134</v>
      </c>
      <c r="E417" s="5">
        <f t="shared" si="161"/>
        <v>0</v>
      </c>
      <c r="F417" s="80">
        <f>'DATA B1'!E418</f>
        <v>524526</v>
      </c>
      <c r="G417" s="80">
        <f t="shared" si="156"/>
        <v>0</v>
      </c>
      <c r="H417" s="28">
        <f t="shared" si="152"/>
        <v>0</v>
      </c>
      <c r="I417" s="45">
        <f>IFERROR((('DATA B1'!G418-'DATA B1'!G417)/('WATER_STEAM RATIO'!D417-'WATER_STEAM RATIO'!D416))*1000,0)</f>
        <v>0</v>
      </c>
      <c r="J417" s="50">
        <f>'DATA B2'!D418</f>
        <v>514841</v>
      </c>
      <c r="K417" s="82">
        <f>SUM(J417-J416)</f>
        <v>11</v>
      </c>
      <c r="L417" s="80">
        <f>'DATA B2'!E418</f>
        <v>573272</v>
      </c>
      <c r="M417" s="80">
        <f t="shared" si="158"/>
        <v>12</v>
      </c>
      <c r="N417" s="28">
        <f t="shared" si="153"/>
        <v>1.0909090909090908</v>
      </c>
      <c r="O417" s="51">
        <f>IFERROR((('DATA B2'!F418-'DATA B2'!F417)/(K417))*1000,0)</f>
        <v>0</v>
      </c>
      <c r="P417" s="94">
        <f>'DATA B3'!C418</f>
        <v>221206</v>
      </c>
      <c r="Q417" s="91">
        <f t="shared" si="159"/>
        <v>0</v>
      </c>
      <c r="R417" s="80">
        <f>'DATA B3'!D418</f>
        <v>165812</v>
      </c>
      <c r="S417" s="80">
        <f t="shared" si="160"/>
        <v>0</v>
      </c>
      <c r="T417" s="15">
        <f t="shared" si="155"/>
        <v>0</v>
      </c>
      <c r="U417" s="15">
        <f>IFERROR((('DATA B3'!E418-'DATA B3'!E417)+('DATA B3'!F418-'DATA B3'!F417))/('WATER_STEAM RATIO'!P417-'WATER_STEAM RATIO'!P416),0)</f>
        <v>0</v>
      </c>
    </row>
    <row r="418" spans="2:21">
      <c r="B418" s="292"/>
      <c r="C418" s="97">
        <v>1</v>
      </c>
      <c r="D418" s="84">
        <f>'DATA B1'!D419</f>
        <v>222134</v>
      </c>
      <c r="E418" s="5">
        <f t="shared" si="161"/>
        <v>0</v>
      </c>
      <c r="F418" s="80">
        <f>'DATA B1'!E419</f>
        <v>524526</v>
      </c>
      <c r="G418" s="80">
        <f t="shared" si="156"/>
        <v>0</v>
      </c>
      <c r="H418" s="28">
        <f t="shared" si="152"/>
        <v>0</v>
      </c>
      <c r="I418" s="45">
        <f>IFERROR((('DATA B1'!G419-'DATA B1'!G418)/('WATER_STEAM RATIO'!D418-'WATER_STEAM RATIO'!D417))*1000,0)</f>
        <v>0</v>
      </c>
      <c r="J418" s="50">
        <f>'DATA B2'!D419</f>
        <v>514852</v>
      </c>
      <c r="K418" s="82">
        <f t="shared" si="157"/>
        <v>11</v>
      </c>
      <c r="L418" s="80">
        <f>'DATA B2'!E419</f>
        <v>573283</v>
      </c>
      <c r="M418" s="80">
        <f t="shared" si="158"/>
        <v>11</v>
      </c>
      <c r="N418" s="28">
        <f t="shared" si="153"/>
        <v>1</v>
      </c>
      <c r="O418" s="51">
        <f>IFERROR((('DATA B2'!F419-'DATA B2'!F418)/(K418))*1000,0)</f>
        <v>0</v>
      </c>
      <c r="P418" s="94">
        <f>'DATA B3'!C419</f>
        <v>221206</v>
      </c>
      <c r="Q418" s="91">
        <f t="shared" si="159"/>
        <v>0</v>
      </c>
      <c r="R418" s="80">
        <f>'DATA B3'!D419</f>
        <v>165812</v>
      </c>
      <c r="S418" s="80">
        <f t="shared" si="160"/>
        <v>0</v>
      </c>
      <c r="T418" s="15">
        <f t="shared" si="155"/>
        <v>0</v>
      </c>
      <c r="U418" s="15">
        <f>IFERROR((('DATA B3'!E419-'DATA B3'!E418)+('DATA B3'!F419-'DATA B3'!F418))/('WATER_STEAM RATIO'!P418-'WATER_STEAM RATIO'!P417),0)</f>
        <v>0</v>
      </c>
    </row>
    <row r="419" spans="2:21">
      <c r="B419" s="292"/>
      <c r="C419" s="97">
        <v>1.0416666666666701</v>
      </c>
      <c r="D419" s="84">
        <f>'DATA B1'!D420</f>
        <v>222134</v>
      </c>
      <c r="E419" s="5">
        <f t="shared" si="161"/>
        <v>0</v>
      </c>
      <c r="F419" s="80">
        <f>'DATA B1'!E420</f>
        <v>524526</v>
      </c>
      <c r="G419" s="80">
        <f t="shared" si="156"/>
        <v>0</v>
      </c>
      <c r="H419" s="28">
        <f t="shared" si="152"/>
        <v>0</v>
      </c>
      <c r="I419" s="45">
        <f>IFERROR((('DATA B1'!G420-'DATA B1'!G419)/('WATER_STEAM RATIO'!D419-'WATER_STEAM RATIO'!D418))*1000,0)</f>
        <v>0</v>
      </c>
      <c r="J419" s="50">
        <f>'DATA B2'!D420</f>
        <v>514863</v>
      </c>
      <c r="K419" s="82">
        <f t="shared" si="157"/>
        <v>11</v>
      </c>
      <c r="L419" s="80">
        <f>'DATA B2'!E420</f>
        <v>573294</v>
      </c>
      <c r="M419" s="80">
        <f t="shared" si="158"/>
        <v>11</v>
      </c>
      <c r="N419" s="28">
        <f t="shared" si="153"/>
        <v>1</v>
      </c>
      <c r="O419" s="51">
        <f>IFERROR((('DATA B2'!F420-'DATA B2'!F419)/(K419))*1000,0)</f>
        <v>0</v>
      </c>
      <c r="P419" s="94">
        <f>'DATA B3'!C420</f>
        <v>221206</v>
      </c>
      <c r="Q419" s="91">
        <f t="shared" si="159"/>
        <v>0</v>
      </c>
      <c r="R419" s="80">
        <f>'DATA B3'!D420</f>
        <v>165812</v>
      </c>
      <c r="S419" s="80">
        <f t="shared" si="160"/>
        <v>0</v>
      </c>
      <c r="T419" s="15">
        <f t="shared" si="155"/>
        <v>0</v>
      </c>
      <c r="U419" s="15">
        <f>IFERROR((('DATA B3'!E420-'DATA B3'!E419)+('DATA B3'!F420-'DATA B3'!F419))/('WATER_STEAM RATIO'!P419-'WATER_STEAM RATIO'!P418),0)</f>
        <v>0</v>
      </c>
    </row>
    <row r="420" spans="2:21">
      <c r="B420" s="292"/>
      <c r="C420" s="97">
        <v>1.0833333333333399</v>
      </c>
      <c r="D420" s="84">
        <f>'DATA B1'!D421</f>
        <v>222134</v>
      </c>
      <c r="E420" s="5">
        <f>SUM(D420-D419)</f>
        <v>0</v>
      </c>
      <c r="F420" s="80">
        <f>'DATA B1'!E421</f>
        <v>524526</v>
      </c>
      <c r="G420" s="80">
        <f t="shared" si="156"/>
        <v>0</v>
      </c>
      <c r="H420" s="28">
        <f t="shared" si="152"/>
        <v>0</v>
      </c>
      <c r="I420" s="45">
        <f>IFERROR((('DATA B1'!G421-'DATA B1'!G420)/('WATER_STEAM RATIO'!D420-'WATER_STEAM RATIO'!D419))*1000,0)</f>
        <v>0</v>
      </c>
      <c r="J420" s="50">
        <f>'DATA B2'!D421</f>
        <v>514874</v>
      </c>
      <c r="K420" s="82">
        <f t="shared" si="157"/>
        <v>11</v>
      </c>
      <c r="L420" s="80">
        <f>'DATA B2'!E421</f>
        <v>573305</v>
      </c>
      <c r="M420" s="80">
        <f t="shared" si="158"/>
        <v>11</v>
      </c>
      <c r="N420" s="28">
        <f t="shared" si="153"/>
        <v>1</v>
      </c>
      <c r="O420" s="51">
        <f>IFERROR((('DATA B2'!F421-'DATA B2'!F420)/(K420))*1000,0)</f>
        <v>0</v>
      </c>
      <c r="P420" s="94">
        <f>'DATA B3'!C421</f>
        <v>221206</v>
      </c>
      <c r="Q420" s="91">
        <f>SUM(P420-P419)</f>
        <v>0</v>
      </c>
      <c r="R420" s="80">
        <f>'DATA B3'!D421</f>
        <v>165812</v>
      </c>
      <c r="S420" s="80">
        <f t="shared" si="160"/>
        <v>0</v>
      </c>
      <c r="T420" s="15">
        <f t="shared" si="155"/>
        <v>0</v>
      </c>
      <c r="U420" s="15">
        <f>IFERROR((('DATA B3'!E421-'DATA B3'!E420)+('DATA B3'!F421-'DATA B3'!F420))/('WATER_STEAM RATIO'!P420-'WATER_STEAM RATIO'!P419),0)</f>
        <v>0</v>
      </c>
    </row>
    <row r="421" spans="2:21">
      <c r="B421" s="292"/>
      <c r="C421" s="97">
        <v>1.125</v>
      </c>
      <c r="D421" s="84">
        <f>'DATA B1'!D422</f>
        <v>222134</v>
      </c>
      <c r="E421" s="5">
        <f t="shared" si="161"/>
        <v>0</v>
      </c>
      <c r="F421" s="80">
        <f>'DATA B1'!E422</f>
        <v>524526</v>
      </c>
      <c r="G421" s="80">
        <f t="shared" si="156"/>
        <v>0</v>
      </c>
      <c r="H421" s="28">
        <f t="shared" si="152"/>
        <v>0</v>
      </c>
      <c r="I421" s="45">
        <f>IFERROR((('DATA B1'!G422-'DATA B1'!G421)/('WATER_STEAM RATIO'!D421-'WATER_STEAM RATIO'!D420))*1000,0)</f>
        <v>0</v>
      </c>
      <c r="J421" s="50">
        <f>'DATA B2'!D422</f>
        <v>514886</v>
      </c>
      <c r="K421" s="82">
        <f t="shared" si="157"/>
        <v>12</v>
      </c>
      <c r="L421" s="80">
        <f>'DATA B2'!E422</f>
        <v>573317</v>
      </c>
      <c r="M421" s="80">
        <f t="shared" si="158"/>
        <v>12</v>
      </c>
      <c r="N421" s="28">
        <f t="shared" si="153"/>
        <v>1</v>
      </c>
      <c r="O421" s="51">
        <f>IFERROR((('DATA B2'!F422-'DATA B2'!F421)/(K421))*1000,0)</f>
        <v>0</v>
      </c>
      <c r="P421" s="94">
        <f>'DATA B3'!C422</f>
        <v>221206</v>
      </c>
      <c r="Q421" s="91">
        <f t="shared" si="159"/>
        <v>0</v>
      </c>
      <c r="R421" s="80">
        <f>'DATA B3'!D422</f>
        <v>165812</v>
      </c>
      <c r="S421" s="80">
        <f t="shared" si="160"/>
        <v>0</v>
      </c>
      <c r="T421" s="15">
        <f t="shared" si="155"/>
        <v>0</v>
      </c>
      <c r="U421" s="15">
        <f>IFERROR((('DATA B3'!E422-'DATA B3'!E421)+('DATA B3'!F422-'DATA B3'!F421))/('WATER_STEAM RATIO'!P421-'WATER_STEAM RATIO'!P420),0)</f>
        <v>0</v>
      </c>
    </row>
    <row r="422" spans="2:21">
      <c r="B422" s="292"/>
      <c r="C422" s="97">
        <v>1.1666666666666701</v>
      </c>
      <c r="D422" s="84">
        <f>'DATA B1'!D423</f>
        <v>222134</v>
      </c>
      <c r="E422" s="5">
        <f t="shared" si="161"/>
        <v>0</v>
      </c>
      <c r="F422" s="80">
        <f>'DATA B1'!E423</f>
        <v>524526</v>
      </c>
      <c r="G422" s="80">
        <f t="shared" si="156"/>
        <v>0</v>
      </c>
      <c r="H422" s="28">
        <f t="shared" si="152"/>
        <v>0</v>
      </c>
      <c r="I422" s="45">
        <f>IFERROR((('DATA B1'!G423-'DATA B1'!G422)/('WATER_STEAM RATIO'!D422-'WATER_STEAM RATIO'!D421))*1000,0)</f>
        <v>0</v>
      </c>
      <c r="J422" s="50">
        <f>'DATA B2'!D423</f>
        <v>514896</v>
      </c>
      <c r="K422" s="82">
        <f t="shared" si="157"/>
        <v>10</v>
      </c>
      <c r="L422" s="80">
        <f>'DATA B2'!E423</f>
        <v>573329</v>
      </c>
      <c r="M422" s="80">
        <f t="shared" si="158"/>
        <v>12</v>
      </c>
      <c r="N422" s="28">
        <f t="shared" si="153"/>
        <v>1.2</v>
      </c>
      <c r="O422" s="51">
        <f>IFERROR((('DATA B2'!F423-'DATA B2'!F422)/(K422))*1000,0)</f>
        <v>0</v>
      </c>
      <c r="P422" s="94">
        <f>'DATA B3'!C423</f>
        <v>221206</v>
      </c>
      <c r="Q422" s="91">
        <f t="shared" si="159"/>
        <v>0</v>
      </c>
      <c r="R422" s="80">
        <f>'DATA B3'!D423</f>
        <v>165812</v>
      </c>
      <c r="S422" s="80">
        <f t="shared" si="160"/>
        <v>0</v>
      </c>
      <c r="T422" s="15">
        <f t="shared" si="155"/>
        <v>0</v>
      </c>
      <c r="U422" s="15">
        <f>IFERROR((('DATA B3'!E423-'DATA B3'!E422)+('DATA B3'!F423-'DATA B3'!F422))/('WATER_STEAM RATIO'!P422-'WATER_STEAM RATIO'!P421),0)</f>
        <v>0</v>
      </c>
    </row>
    <row r="423" spans="2:21">
      <c r="B423" s="292"/>
      <c r="C423" s="97">
        <v>1.2083333333333399</v>
      </c>
      <c r="D423" s="84">
        <f>'DATA B1'!D424</f>
        <v>222134</v>
      </c>
      <c r="E423" s="5">
        <f t="shared" si="161"/>
        <v>0</v>
      </c>
      <c r="F423" s="80">
        <f>'DATA B1'!E424</f>
        <v>524526</v>
      </c>
      <c r="G423" s="80">
        <f t="shared" si="156"/>
        <v>0</v>
      </c>
      <c r="H423" s="28">
        <f t="shared" si="152"/>
        <v>0</v>
      </c>
      <c r="I423" s="45">
        <f>IFERROR((('DATA B1'!G424-'DATA B1'!G423)/('WATER_STEAM RATIO'!D423-'WATER_STEAM RATIO'!D422))*1000,0)</f>
        <v>0</v>
      </c>
      <c r="J423" s="50">
        <f>'DATA B2'!D424</f>
        <v>514906</v>
      </c>
      <c r="K423" s="82">
        <f t="shared" si="157"/>
        <v>10</v>
      </c>
      <c r="L423" s="80">
        <f>'DATA B2'!E424</f>
        <v>573341</v>
      </c>
      <c r="M423" s="80">
        <f t="shared" si="158"/>
        <v>12</v>
      </c>
      <c r="N423" s="28">
        <f t="shared" si="153"/>
        <v>1.2</v>
      </c>
      <c r="O423" s="51">
        <f>IFERROR((('DATA B2'!F424-'DATA B2'!F423)/(K423))*1000,0)</f>
        <v>0</v>
      </c>
      <c r="P423" s="94">
        <f>'DATA B3'!C424</f>
        <v>221206</v>
      </c>
      <c r="Q423" s="91">
        <f t="shared" si="159"/>
        <v>0</v>
      </c>
      <c r="R423" s="80">
        <f>'DATA B3'!D424</f>
        <v>165812</v>
      </c>
      <c r="S423" s="80">
        <f t="shared" si="160"/>
        <v>0</v>
      </c>
      <c r="T423" s="15">
        <f t="shared" si="155"/>
        <v>0</v>
      </c>
      <c r="U423" s="15">
        <f>IFERROR((('DATA B3'!E424-'DATA B3'!E423)+('DATA B3'!F424-'DATA B3'!F423))/('WATER_STEAM RATIO'!P423-'WATER_STEAM RATIO'!P422),0)</f>
        <v>0</v>
      </c>
    </row>
    <row r="424" spans="2:21">
      <c r="B424" s="292"/>
      <c r="C424" s="97">
        <v>1.25</v>
      </c>
      <c r="D424" s="84">
        <f>'DATA B1'!D425</f>
        <v>222134</v>
      </c>
      <c r="E424" s="5">
        <f t="shared" si="161"/>
        <v>0</v>
      </c>
      <c r="F424" s="80">
        <f>'DATA B1'!E425</f>
        <v>524526</v>
      </c>
      <c r="G424" s="80">
        <f t="shared" si="156"/>
        <v>0</v>
      </c>
      <c r="H424" s="28">
        <f t="shared" si="152"/>
        <v>0</v>
      </c>
      <c r="I424" s="45">
        <f>IFERROR((('DATA B1'!G425-'DATA B1'!G424)/('WATER_STEAM RATIO'!D424-'WATER_STEAM RATIO'!D423))*1000,0)</f>
        <v>0</v>
      </c>
      <c r="J424" s="50">
        <f>'DATA B2'!D425</f>
        <v>514917</v>
      </c>
      <c r="K424" s="82">
        <f t="shared" si="157"/>
        <v>11</v>
      </c>
      <c r="L424" s="80">
        <f>'DATA B2'!E425</f>
        <v>573354</v>
      </c>
      <c r="M424" s="80">
        <f t="shared" si="158"/>
        <v>13</v>
      </c>
      <c r="N424" s="28">
        <f t="shared" si="153"/>
        <v>1.1818181818181819</v>
      </c>
      <c r="O424" s="51">
        <f>IFERROR((('DATA B2'!F425-'DATA B2'!F424)/(K424))*1000,0)</f>
        <v>0</v>
      </c>
      <c r="P424" s="94">
        <f>'DATA B3'!C425</f>
        <v>221206</v>
      </c>
      <c r="Q424" s="91">
        <f t="shared" si="159"/>
        <v>0</v>
      </c>
      <c r="R424" s="80">
        <f>'DATA B3'!D425</f>
        <v>165812</v>
      </c>
      <c r="S424" s="80">
        <f t="shared" si="160"/>
        <v>0</v>
      </c>
      <c r="T424" s="15">
        <f t="shared" si="155"/>
        <v>0</v>
      </c>
      <c r="U424" s="15">
        <f>IFERROR((('DATA B3'!E425-'DATA B3'!E424)+('DATA B3'!F425-'DATA B3'!F424))/('WATER_STEAM RATIO'!P424-'WATER_STEAM RATIO'!P423),0)</f>
        <v>0</v>
      </c>
    </row>
    <row r="425" spans="2:21">
      <c r="B425" s="292"/>
      <c r="C425" s="97">
        <v>1.2916666666666701</v>
      </c>
      <c r="D425" s="84">
        <f>'DATA B1'!D426</f>
        <v>222134</v>
      </c>
      <c r="E425" s="5">
        <f t="shared" si="161"/>
        <v>0</v>
      </c>
      <c r="F425" s="80">
        <f>'DATA B1'!E426</f>
        <v>524526</v>
      </c>
      <c r="G425" s="80">
        <f t="shared" si="156"/>
        <v>0</v>
      </c>
      <c r="H425" s="28">
        <f t="shared" si="152"/>
        <v>0</v>
      </c>
      <c r="I425" s="45">
        <f>IFERROR((('DATA B1'!G426-'DATA B1'!G425)/('WATER_STEAM RATIO'!D425-'WATER_STEAM RATIO'!D424))*1000,0)</f>
        <v>0</v>
      </c>
      <c r="J425" s="50">
        <f>'DATA B2'!D426</f>
        <v>514928</v>
      </c>
      <c r="K425" s="82">
        <f>SUM(J425-J424)</f>
        <v>11</v>
      </c>
      <c r="L425" s="80">
        <f>'DATA B2'!E426</f>
        <v>573368</v>
      </c>
      <c r="M425" s="80">
        <f t="shared" si="158"/>
        <v>14</v>
      </c>
      <c r="N425" s="28">
        <f t="shared" si="153"/>
        <v>1.2727272727272727</v>
      </c>
      <c r="O425" s="51">
        <f>IFERROR((('DATA B2'!F426-'DATA B2'!F425)/(K425))*1000,0)</f>
        <v>0</v>
      </c>
      <c r="P425" s="94">
        <f>'DATA B3'!C426</f>
        <v>221206</v>
      </c>
      <c r="Q425" s="91">
        <f t="shared" si="159"/>
        <v>0</v>
      </c>
      <c r="R425" s="80">
        <f>'DATA B3'!D426</f>
        <v>165812</v>
      </c>
      <c r="S425" s="80">
        <f t="shared" si="160"/>
        <v>0</v>
      </c>
      <c r="T425" s="15">
        <f t="shared" si="155"/>
        <v>0</v>
      </c>
      <c r="U425" s="15">
        <f>IFERROR((('DATA B3'!E426-'DATA B3'!E425)+('DATA B3'!F426-'DATA B3'!F425))/('WATER_STEAM RATIO'!P425-'WATER_STEAM RATIO'!P424),0)</f>
        <v>0</v>
      </c>
    </row>
    <row r="426" spans="2:21" ht="15.75" thickBot="1">
      <c r="B426" s="293"/>
      <c r="C426" s="235"/>
      <c r="D426" s="224" cm="1">
        <f t="array" ref="D426">IFERROR(LOOKUP(2,1/(D401:D425&gt;0),D401:D425-D401),0)</f>
        <v>0</v>
      </c>
      <c r="E426" s="223">
        <f>SUMIF(E402:E425,"&gt;=0",E402:E425)</f>
        <v>0</v>
      </c>
      <c r="F426" s="224" cm="1">
        <f t="array" ref="F426">IFERROR(LOOKUP(2,1/(F401:F425&gt;0),F401:F425-F401),0)</f>
        <v>0</v>
      </c>
      <c r="G426" s="223">
        <f>SUMIF(G402:G425,"&gt;=0",G402:G425)</f>
        <v>0</v>
      </c>
      <c r="H426" s="225">
        <f t="shared" si="152"/>
        <v>0</v>
      </c>
      <c r="I426" s="236">
        <f>IFERROR((('DATA B1'!H427)/(E426))*1000,0)</f>
        <v>0</v>
      </c>
      <c r="J426" s="222" cm="1">
        <f t="array" ref="J426">IFERROR(LOOKUP(2,1/(J401:J425&gt;0),J401:J425-J401),0)</f>
        <v>260</v>
      </c>
      <c r="K426" s="223">
        <f>SUMIF(K402:K425,"&gt;=0",K402:K425)</f>
        <v>260</v>
      </c>
      <c r="L426" s="224" cm="1">
        <f t="array" ref="L426">IFERROR(LOOKUP(2,1/(L401:L425&gt;0),L401:L425-L401),0)</f>
        <v>284</v>
      </c>
      <c r="M426" s="223">
        <f>SUMIF(M402:M425,"&gt;=0",M402:M425)</f>
        <v>284</v>
      </c>
      <c r="N426" s="225">
        <f>IFERROR(M426/K426,0)</f>
        <v>1.0923076923076922</v>
      </c>
      <c r="O426" s="226">
        <f>IFERROR((('DATA B2'!H427)/(K426))*1000,0)</f>
        <v>4.6153846153858145E-3</v>
      </c>
      <c r="P426" s="224" cm="1">
        <f t="array" ref="P426">IFERROR(LOOKUP(2,1/(P401:P425&gt;0),P401:P425-P401),0)</f>
        <v>0</v>
      </c>
      <c r="Q426" s="223">
        <f>SUMIF(Q402:Q425,"&gt;=0",Q402:Q425)</f>
        <v>0</v>
      </c>
      <c r="R426" s="224" cm="1">
        <f t="array" ref="R426">IFERROR(LOOKUP(2,1/(R401:R425&gt;0),R401:R425-R401),0)</f>
        <v>0</v>
      </c>
      <c r="S426" s="223">
        <f>SUMIF(S402:S425,"&gt;=0",S402:S425)</f>
        <v>0</v>
      </c>
      <c r="T426" s="237">
        <f t="shared" si="155"/>
        <v>0</v>
      </c>
      <c r="U426" s="226">
        <f>IFERROR(('DATA B3'!E427+'DATA B3'!F427)/Q426*1000,0)</f>
        <v>0</v>
      </c>
    </row>
    <row r="427" spans="2:21" ht="15" customHeight="1">
      <c r="B427" s="291">
        <f>SUM('DATA B1'!B428:B453)</f>
        <v>46039</v>
      </c>
      <c r="C427" s="97">
        <v>0.29166666666666669</v>
      </c>
      <c r="D427" s="84">
        <f>'DATA B1'!D428</f>
        <v>222134</v>
      </c>
      <c r="E427" s="5">
        <f>SUM(E425)</f>
        <v>0</v>
      </c>
      <c r="F427" s="80">
        <f>'DATA B1'!E428</f>
        <v>524526</v>
      </c>
      <c r="G427" s="80">
        <f>SUM(G425)</f>
        <v>0</v>
      </c>
      <c r="H427" s="28">
        <f t="shared" si="152"/>
        <v>0</v>
      </c>
      <c r="I427" s="45"/>
      <c r="J427" s="50">
        <f>'DATA B2'!D428</f>
        <v>514928</v>
      </c>
      <c r="K427" s="82">
        <f>SUM(K425)</f>
        <v>11</v>
      </c>
      <c r="L427" s="80">
        <f>'DATA B2'!E428</f>
        <v>573368</v>
      </c>
      <c r="M427" s="80">
        <f>SUM(M425)</f>
        <v>14</v>
      </c>
      <c r="N427" s="28">
        <f>IFERROR(M427/K427,0)</f>
        <v>1.2727272727272727</v>
      </c>
      <c r="O427" s="103"/>
      <c r="P427" s="94">
        <f>'DATA B3'!C428</f>
        <v>221206</v>
      </c>
      <c r="Q427" s="91">
        <f>SUM(Q425)</f>
        <v>0</v>
      </c>
      <c r="R427" s="80">
        <f>'DATA B3'!D428</f>
        <v>165812</v>
      </c>
      <c r="S427" s="80">
        <f>SUM(S425)</f>
        <v>0</v>
      </c>
      <c r="T427" s="15">
        <f>IFERROR(S427/Q427,0)</f>
        <v>0</v>
      </c>
      <c r="U427" s="15"/>
    </row>
    <row r="428" spans="2:21">
      <c r="B428" s="292"/>
      <c r="C428" s="97">
        <v>0.33333333333333298</v>
      </c>
      <c r="D428" s="84">
        <f>'DATA B1'!D429</f>
        <v>222134</v>
      </c>
      <c r="E428" s="5">
        <f t="shared" ref="E428:E434" si="162">SUM(D428-D427)</f>
        <v>0</v>
      </c>
      <c r="F428" s="80">
        <f>'DATA B1'!E429</f>
        <v>524526</v>
      </c>
      <c r="G428" s="80">
        <f>SUM(F428-F427)</f>
        <v>0</v>
      </c>
      <c r="H428" s="28">
        <f t="shared" si="152"/>
        <v>0</v>
      </c>
      <c r="I428" s="45">
        <f>IFERROR((('DATA B1'!G429-'DATA B1'!G428)/('WATER_STEAM RATIO'!D428-'WATER_STEAM RATIO'!D427))*1000,0)</f>
        <v>0</v>
      </c>
      <c r="J428" s="50">
        <f>'DATA B2'!D429</f>
        <v>514941</v>
      </c>
      <c r="K428" s="82">
        <f>SUM(J428-J427)</f>
        <v>13</v>
      </c>
      <c r="L428" s="80">
        <f>'DATA B2'!E429</f>
        <v>573380</v>
      </c>
      <c r="M428" s="80">
        <f>SUM(L428-L427)</f>
        <v>12</v>
      </c>
      <c r="N428" s="28">
        <f t="shared" ref="N428:N451" si="163">IFERROR(M428/K428,0)</f>
        <v>0.92307692307692313</v>
      </c>
      <c r="O428" s="51">
        <f>IFERROR((('DATA B2'!F429-'DATA B2'!F428)/(K428))*1000,0)</f>
        <v>0</v>
      </c>
      <c r="P428" s="94">
        <f>'DATA B3'!C429</f>
        <v>221206</v>
      </c>
      <c r="Q428" s="91">
        <f>SUM(P428-P427)</f>
        <v>0</v>
      </c>
      <c r="R428" s="80">
        <f>'DATA B3'!D429</f>
        <v>165812</v>
      </c>
      <c r="S428" s="80">
        <f>SUM(R428-R427)</f>
        <v>0</v>
      </c>
      <c r="T428" s="15">
        <f t="shared" ref="T428:T452" si="164">IFERROR(S428/Q428,0)</f>
        <v>0</v>
      </c>
      <c r="U428" s="15">
        <f>IFERROR((('DATA B3'!E429-'DATA B3'!E428)+('DATA B3'!F429-'DATA B3'!F428))/('WATER_STEAM RATIO'!P428-'WATER_STEAM RATIO'!P427),0)</f>
        <v>0</v>
      </c>
    </row>
    <row r="429" spans="2:21">
      <c r="B429" s="292"/>
      <c r="C429" s="97">
        <v>0.375</v>
      </c>
      <c r="D429" s="84">
        <f>'DATA B1'!D430</f>
        <v>222134</v>
      </c>
      <c r="E429" s="5">
        <f t="shared" si="162"/>
        <v>0</v>
      </c>
      <c r="F429" s="80">
        <f>'DATA B1'!E430</f>
        <v>524526</v>
      </c>
      <c r="G429" s="80">
        <f t="shared" ref="G429:G451" si="165">SUM(F429-F428)</f>
        <v>0</v>
      </c>
      <c r="H429" s="28">
        <f t="shared" si="152"/>
        <v>0</v>
      </c>
      <c r="I429" s="45">
        <f>IFERROR((('DATA B1'!G430-'DATA B1'!G429)/('WATER_STEAM RATIO'!D429-'WATER_STEAM RATIO'!D428))*1000,0)</f>
        <v>0</v>
      </c>
      <c r="J429" s="50">
        <f>'DATA B2'!D430</f>
        <v>514951</v>
      </c>
      <c r="K429" s="82">
        <f t="shared" ref="K429:K450" si="166">SUM(J429-J428)</f>
        <v>10</v>
      </c>
      <c r="L429" s="80">
        <f>'DATA B2'!E430</f>
        <v>573389</v>
      </c>
      <c r="M429" s="80">
        <f t="shared" ref="M429:M451" si="167">SUM(L429-L428)</f>
        <v>9</v>
      </c>
      <c r="N429" s="28">
        <f t="shared" si="163"/>
        <v>0.9</v>
      </c>
      <c r="O429" s="51">
        <f>IFERROR((('DATA B2'!F430-'DATA B2'!F429)/(K429))*1000,0)</f>
        <v>9.9999999999988987E-3</v>
      </c>
      <c r="P429" s="94">
        <f>'DATA B3'!C430</f>
        <v>221206</v>
      </c>
      <c r="Q429" s="91">
        <f t="shared" ref="Q429:Q451" si="168">SUM(P429-P428)</f>
        <v>0</v>
      </c>
      <c r="R429" s="80">
        <f>'DATA B3'!D430</f>
        <v>165812</v>
      </c>
      <c r="S429" s="80">
        <f t="shared" ref="S429:S451" si="169">SUM(R429-R428)</f>
        <v>0</v>
      </c>
      <c r="T429" s="15">
        <f t="shared" si="164"/>
        <v>0</v>
      </c>
      <c r="U429" s="15">
        <f>IFERROR((('DATA B3'!E430-'DATA B3'!E429)+('DATA B3'!F430-'DATA B3'!F429))/('WATER_STEAM RATIO'!P429-'WATER_STEAM RATIO'!P428),0)</f>
        <v>0</v>
      </c>
    </row>
    <row r="430" spans="2:21">
      <c r="B430" s="292"/>
      <c r="C430" s="97">
        <v>0.41666666666666702</v>
      </c>
      <c r="D430" s="84">
        <f>'DATA B1'!D431</f>
        <v>222134</v>
      </c>
      <c r="E430" s="5">
        <f t="shared" si="162"/>
        <v>0</v>
      </c>
      <c r="F430" s="80">
        <f>'DATA B1'!E431</f>
        <v>524526</v>
      </c>
      <c r="G430" s="80">
        <f t="shared" si="165"/>
        <v>0</v>
      </c>
      <c r="H430" s="28">
        <f t="shared" si="152"/>
        <v>0</v>
      </c>
      <c r="I430" s="45">
        <f>IFERROR((('DATA B1'!G431-'DATA B1'!G430)/('WATER_STEAM RATIO'!D430-'WATER_STEAM RATIO'!D429))*1000,0)</f>
        <v>0</v>
      </c>
      <c r="J430" s="50">
        <f>'DATA B2'!D431</f>
        <v>514961</v>
      </c>
      <c r="K430" s="82">
        <f t="shared" si="166"/>
        <v>10</v>
      </c>
      <c r="L430" s="80">
        <f>'DATA B2'!E431</f>
        <v>573399</v>
      </c>
      <c r="M430" s="80">
        <f t="shared" si="167"/>
        <v>10</v>
      </c>
      <c r="N430" s="28">
        <f t="shared" si="163"/>
        <v>1</v>
      </c>
      <c r="O430" s="51">
        <f>IFERROR((('DATA B2'!F431-'DATA B2'!F430)/(K430))*1000,0)</f>
        <v>0</v>
      </c>
      <c r="P430" s="94">
        <f>'DATA B3'!C431</f>
        <v>221206</v>
      </c>
      <c r="Q430" s="91">
        <f t="shared" si="168"/>
        <v>0</v>
      </c>
      <c r="R430" s="80">
        <f>'DATA B3'!D431</f>
        <v>165812</v>
      </c>
      <c r="S430" s="80">
        <f t="shared" si="169"/>
        <v>0</v>
      </c>
      <c r="T430" s="15">
        <f t="shared" si="164"/>
        <v>0</v>
      </c>
      <c r="U430" s="15">
        <f>IFERROR((('DATA B3'!E431-'DATA B3'!E430)+('DATA B3'!F431-'DATA B3'!F430))/('WATER_STEAM RATIO'!P430-'WATER_STEAM RATIO'!P429),0)</f>
        <v>0</v>
      </c>
    </row>
    <row r="431" spans="2:21">
      <c r="B431" s="292"/>
      <c r="C431" s="97">
        <v>0.45833333333333298</v>
      </c>
      <c r="D431" s="84">
        <f>'DATA B1'!D432</f>
        <v>222134</v>
      </c>
      <c r="E431" s="5">
        <f t="shared" si="162"/>
        <v>0</v>
      </c>
      <c r="F431" s="80">
        <f>'DATA B1'!E432</f>
        <v>524526</v>
      </c>
      <c r="G431" s="80">
        <f t="shared" si="165"/>
        <v>0</v>
      </c>
      <c r="H431" s="28">
        <f t="shared" si="152"/>
        <v>0</v>
      </c>
      <c r="I431" s="45">
        <f>IFERROR((('DATA B1'!G432-'DATA B1'!G431)/('WATER_STEAM RATIO'!D431-'WATER_STEAM RATIO'!D430))*1000,0)</f>
        <v>0</v>
      </c>
      <c r="J431" s="50">
        <f>'DATA B2'!D432</f>
        <v>514971</v>
      </c>
      <c r="K431" s="82">
        <f t="shared" si="166"/>
        <v>10</v>
      </c>
      <c r="L431" s="80">
        <f>'DATA B2'!E432</f>
        <v>573409</v>
      </c>
      <c r="M431" s="80">
        <f t="shared" si="167"/>
        <v>10</v>
      </c>
      <c r="N431" s="28">
        <f t="shared" si="163"/>
        <v>1</v>
      </c>
      <c r="O431" s="51">
        <f>IFERROR((('DATA B2'!F432-'DATA B2'!F431)/(K431))*1000,0)</f>
        <v>9.9999999999988987E-3</v>
      </c>
      <c r="P431" s="94">
        <f>'DATA B3'!C432</f>
        <v>221206</v>
      </c>
      <c r="Q431" s="91">
        <f t="shared" si="168"/>
        <v>0</v>
      </c>
      <c r="R431" s="80">
        <f>'DATA B3'!D432</f>
        <v>165812</v>
      </c>
      <c r="S431" s="80">
        <f t="shared" si="169"/>
        <v>0</v>
      </c>
      <c r="T431" s="15">
        <f t="shared" si="164"/>
        <v>0</v>
      </c>
      <c r="U431" s="15">
        <f>IFERROR((('DATA B3'!E432-'DATA B3'!E431)+('DATA B3'!F432-'DATA B3'!F431))/('WATER_STEAM RATIO'!P431-'WATER_STEAM RATIO'!P430),0)</f>
        <v>0</v>
      </c>
    </row>
    <row r="432" spans="2:21">
      <c r="B432" s="292"/>
      <c r="C432" s="97">
        <v>0.5</v>
      </c>
      <c r="D432" s="84">
        <f>'DATA B1'!D433</f>
        <v>222134</v>
      </c>
      <c r="E432" s="5">
        <f t="shared" si="162"/>
        <v>0</v>
      </c>
      <c r="F432" s="80">
        <f>'DATA B1'!E433</f>
        <v>524526</v>
      </c>
      <c r="G432" s="80">
        <f t="shared" si="165"/>
        <v>0</v>
      </c>
      <c r="H432" s="28">
        <f t="shared" si="152"/>
        <v>0</v>
      </c>
      <c r="I432" s="45">
        <f>IFERROR((('DATA B1'!G433-'DATA B1'!G432)/('WATER_STEAM RATIO'!D432-'WATER_STEAM RATIO'!D431))*1000,0)</f>
        <v>0</v>
      </c>
      <c r="J432" s="50">
        <f>'DATA B2'!D433</f>
        <v>514981</v>
      </c>
      <c r="K432" s="82">
        <f t="shared" si="166"/>
        <v>10</v>
      </c>
      <c r="L432" s="80">
        <f>'DATA B2'!E433</f>
        <v>573418</v>
      </c>
      <c r="M432" s="80">
        <f t="shared" si="167"/>
        <v>9</v>
      </c>
      <c r="N432" s="28">
        <f t="shared" si="163"/>
        <v>0.9</v>
      </c>
      <c r="O432" s="51">
        <f>IFERROR((('DATA B2'!F433-'DATA B2'!F432)/(K432))*1000,0)</f>
        <v>0</v>
      </c>
      <c r="P432" s="94">
        <f>'DATA B3'!C433</f>
        <v>221206</v>
      </c>
      <c r="Q432" s="91">
        <f t="shared" si="168"/>
        <v>0</v>
      </c>
      <c r="R432" s="80">
        <f>'DATA B3'!D433</f>
        <v>165812</v>
      </c>
      <c r="S432" s="80">
        <f t="shared" si="169"/>
        <v>0</v>
      </c>
      <c r="T432" s="15">
        <f t="shared" si="164"/>
        <v>0</v>
      </c>
      <c r="U432" s="15">
        <f>IFERROR((('DATA B3'!E433-'DATA B3'!E432)+('DATA B3'!F433-'DATA B3'!F432))/('WATER_STEAM RATIO'!P432-'WATER_STEAM RATIO'!P431),0)</f>
        <v>0</v>
      </c>
    </row>
    <row r="433" spans="2:21">
      <c r="B433" s="292"/>
      <c r="C433" s="97">
        <v>0.54166666666666696</v>
      </c>
      <c r="D433" s="84">
        <f>'DATA B1'!D434</f>
        <v>222134</v>
      </c>
      <c r="E433" s="5">
        <f t="shared" si="162"/>
        <v>0</v>
      </c>
      <c r="F433" s="80">
        <f>'DATA B1'!E434</f>
        <v>524526</v>
      </c>
      <c r="G433" s="80">
        <f t="shared" si="165"/>
        <v>0</v>
      </c>
      <c r="H433" s="28">
        <f t="shared" si="152"/>
        <v>0</v>
      </c>
      <c r="I433" s="45">
        <f>IFERROR((('DATA B1'!G434-'DATA B1'!G433)/('WATER_STEAM RATIO'!D433-'WATER_STEAM RATIO'!D432))*1000,0)</f>
        <v>0</v>
      </c>
      <c r="J433" s="50">
        <f>'DATA B2'!D434</f>
        <v>514991</v>
      </c>
      <c r="K433" s="82">
        <f t="shared" si="166"/>
        <v>10</v>
      </c>
      <c r="L433" s="80">
        <f>'DATA B2'!E434</f>
        <v>573427</v>
      </c>
      <c r="M433" s="80">
        <f t="shared" si="167"/>
        <v>9</v>
      </c>
      <c r="N433" s="28">
        <f t="shared" si="163"/>
        <v>0.9</v>
      </c>
      <c r="O433" s="51">
        <f>IFERROR((('DATA B2'!F434-'DATA B2'!F433)/(K433))*1000,0)</f>
        <v>0</v>
      </c>
      <c r="P433" s="94">
        <f>'DATA B3'!C434</f>
        <v>221206</v>
      </c>
      <c r="Q433" s="91">
        <f t="shared" si="168"/>
        <v>0</v>
      </c>
      <c r="R433" s="80">
        <f>'DATA B3'!D434</f>
        <v>165812</v>
      </c>
      <c r="S433" s="80">
        <f t="shared" si="169"/>
        <v>0</v>
      </c>
      <c r="T433" s="15">
        <f t="shared" si="164"/>
        <v>0</v>
      </c>
      <c r="U433" s="15">
        <f>IFERROR((('DATA B3'!E434-'DATA B3'!E433)+('DATA B3'!F434-'DATA B3'!F433))/('WATER_STEAM RATIO'!P433-'WATER_STEAM RATIO'!P432),0)</f>
        <v>0</v>
      </c>
    </row>
    <row r="434" spans="2:21">
      <c r="B434" s="292"/>
      <c r="C434" s="97">
        <v>0.58333333333333304</v>
      </c>
      <c r="D434" s="84">
        <f>'DATA B1'!D435</f>
        <v>222134</v>
      </c>
      <c r="E434" s="5">
        <f t="shared" si="162"/>
        <v>0</v>
      </c>
      <c r="F434" s="80">
        <f>'DATA B1'!E435</f>
        <v>524526</v>
      </c>
      <c r="G434" s="80">
        <f t="shared" si="165"/>
        <v>0</v>
      </c>
      <c r="H434" s="28">
        <f t="shared" si="152"/>
        <v>0</v>
      </c>
      <c r="I434" s="45">
        <f>IFERROR((('DATA B1'!G435-'DATA B1'!G434)/('WATER_STEAM RATIO'!D434-'WATER_STEAM RATIO'!D433))*1000,0)</f>
        <v>0</v>
      </c>
      <c r="J434" s="50">
        <f>'DATA B2'!D435</f>
        <v>515002</v>
      </c>
      <c r="K434" s="82">
        <f t="shared" si="166"/>
        <v>11</v>
      </c>
      <c r="L434" s="80">
        <f>'DATA B2'!E435</f>
        <v>573436</v>
      </c>
      <c r="M434" s="80">
        <f t="shared" si="167"/>
        <v>9</v>
      </c>
      <c r="N434" s="28">
        <f t="shared" si="163"/>
        <v>0.81818181818181823</v>
      </c>
      <c r="O434" s="51">
        <f>IFERROR((('DATA B2'!F435-'DATA B2'!F434)/(K434))*1000,0)</f>
        <v>9.0909090909080895E-3</v>
      </c>
      <c r="P434" s="94">
        <f>'DATA B3'!C435</f>
        <v>221206</v>
      </c>
      <c r="Q434" s="91">
        <f t="shared" si="168"/>
        <v>0</v>
      </c>
      <c r="R434" s="80">
        <f>'DATA B3'!D435</f>
        <v>165812</v>
      </c>
      <c r="S434" s="80">
        <f t="shared" si="169"/>
        <v>0</v>
      </c>
      <c r="T434" s="15">
        <f t="shared" si="164"/>
        <v>0</v>
      </c>
      <c r="U434" s="15">
        <f>IFERROR((('DATA B3'!E435-'DATA B3'!E434)+('DATA B3'!F435-'DATA B3'!F434))/('WATER_STEAM RATIO'!P434-'WATER_STEAM RATIO'!P433),0)</f>
        <v>0</v>
      </c>
    </row>
    <row r="435" spans="2:21">
      <c r="B435" s="292"/>
      <c r="C435" s="97">
        <v>0.625</v>
      </c>
      <c r="D435" s="84">
        <f>'DATA B1'!D436</f>
        <v>222134</v>
      </c>
      <c r="E435" s="5">
        <f t="shared" ref="E435:E451" si="170">SUM(D435-D434)</f>
        <v>0</v>
      </c>
      <c r="F435" s="80">
        <f>'DATA B1'!E436</f>
        <v>524526</v>
      </c>
      <c r="G435" s="80">
        <f t="shared" si="165"/>
        <v>0</v>
      </c>
      <c r="H435" s="28">
        <f t="shared" si="152"/>
        <v>0</v>
      </c>
      <c r="I435" s="45">
        <f>IFERROR((('DATA B1'!G436-'DATA B1'!G435)/('WATER_STEAM RATIO'!D435-'WATER_STEAM RATIO'!D434))*1000,0)</f>
        <v>0</v>
      </c>
      <c r="J435" s="50">
        <f>'DATA B2'!D436</f>
        <v>515013</v>
      </c>
      <c r="K435" s="82">
        <f t="shared" si="166"/>
        <v>11</v>
      </c>
      <c r="L435" s="80">
        <f>'DATA B2'!E436</f>
        <v>573445</v>
      </c>
      <c r="M435" s="80">
        <f t="shared" si="167"/>
        <v>9</v>
      </c>
      <c r="N435" s="28">
        <f t="shared" si="163"/>
        <v>0.81818181818181823</v>
      </c>
      <c r="O435" s="51">
        <f>IFERROR((('DATA B2'!F436-'DATA B2'!F435)/(K435))*1000,0)</f>
        <v>9.0909090909080895E-3</v>
      </c>
      <c r="P435" s="94">
        <f>'DATA B3'!C436</f>
        <v>221206</v>
      </c>
      <c r="Q435" s="91">
        <f t="shared" si="168"/>
        <v>0</v>
      </c>
      <c r="R435" s="80">
        <f>'DATA B3'!D436</f>
        <v>165812</v>
      </c>
      <c r="S435" s="80">
        <f t="shared" si="169"/>
        <v>0</v>
      </c>
      <c r="T435" s="15">
        <f t="shared" si="164"/>
        <v>0</v>
      </c>
      <c r="U435" s="15">
        <f>IFERROR((('DATA B3'!E436-'DATA B3'!E435)+('DATA B3'!F436-'DATA B3'!F435))/('WATER_STEAM RATIO'!P435-'WATER_STEAM RATIO'!P434),0)</f>
        <v>0</v>
      </c>
    </row>
    <row r="436" spans="2:21">
      <c r="B436" s="292"/>
      <c r="C436" s="97">
        <v>0.66666666666666596</v>
      </c>
      <c r="D436" s="84">
        <f>'DATA B1'!D437</f>
        <v>222134</v>
      </c>
      <c r="E436" s="5">
        <f t="shared" si="170"/>
        <v>0</v>
      </c>
      <c r="F436" s="80">
        <f>'DATA B1'!E437</f>
        <v>524526</v>
      </c>
      <c r="G436" s="80">
        <f t="shared" si="165"/>
        <v>0</v>
      </c>
      <c r="H436" s="28">
        <f t="shared" si="152"/>
        <v>0</v>
      </c>
      <c r="I436" s="45">
        <f>IFERROR((('DATA B1'!G437-'DATA B1'!G436)/('WATER_STEAM RATIO'!D436-'WATER_STEAM RATIO'!D435))*1000,0)</f>
        <v>0</v>
      </c>
      <c r="J436" s="50">
        <f>'DATA B2'!D437</f>
        <v>515023</v>
      </c>
      <c r="K436" s="82">
        <f>SUM(J436-J435)</f>
        <v>10</v>
      </c>
      <c r="L436" s="80">
        <f>'DATA B2'!E437</f>
        <v>573454</v>
      </c>
      <c r="M436" s="80">
        <f t="shared" si="167"/>
        <v>9</v>
      </c>
      <c r="N436" s="28">
        <f t="shared" si="163"/>
        <v>0.9</v>
      </c>
      <c r="O436" s="51">
        <f>IFERROR((('DATA B2'!F437-'DATA B2'!F436)/(K436))*1000,0)</f>
        <v>9.9999999999988987E-3</v>
      </c>
      <c r="P436" s="94">
        <f>'DATA B3'!C437</f>
        <v>221206</v>
      </c>
      <c r="Q436" s="91">
        <f t="shared" si="168"/>
        <v>0</v>
      </c>
      <c r="R436" s="80">
        <f>'DATA B3'!D437</f>
        <v>165812</v>
      </c>
      <c r="S436" s="80">
        <f t="shared" si="169"/>
        <v>0</v>
      </c>
      <c r="T436" s="15">
        <f t="shared" si="164"/>
        <v>0</v>
      </c>
      <c r="U436" s="15">
        <f>IFERROR((('DATA B3'!E437-'DATA B3'!E436)+('DATA B3'!F437-'DATA B3'!F436))/('WATER_STEAM RATIO'!P436-'WATER_STEAM RATIO'!P435),0)</f>
        <v>0</v>
      </c>
    </row>
    <row r="437" spans="2:21">
      <c r="B437" s="292"/>
      <c r="C437" s="97">
        <v>0.70833333333333304</v>
      </c>
      <c r="D437" s="84">
        <f>'DATA B1'!D438</f>
        <v>222134</v>
      </c>
      <c r="E437" s="5">
        <f t="shared" si="170"/>
        <v>0</v>
      </c>
      <c r="F437" s="80">
        <f>'DATA B1'!E438</f>
        <v>524526</v>
      </c>
      <c r="G437" s="80">
        <f t="shared" si="165"/>
        <v>0</v>
      </c>
      <c r="H437" s="28">
        <f t="shared" si="152"/>
        <v>0</v>
      </c>
      <c r="I437" s="45">
        <f>IFERROR((('DATA B1'!G438-'DATA B1'!G437)/('WATER_STEAM RATIO'!D437-'WATER_STEAM RATIO'!D436))*1000,0)</f>
        <v>0</v>
      </c>
      <c r="J437" s="50">
        <f>'DATA B2'!D438</f>
        <v>515033</v>
      </c>
      <c r="K437" s="82">
        <f t="shared" si="166"/>
        <v>10</v>
      </c>
      <c r="L437" s="80">
        <f>'DATA B2'!E438</f>
        <v>573463</v>
      </c>
      <c r="M437" s="80">
        <f t="shared" si="167"/>
        <v>9</v>
      </c>
      <c r="N437" s="28">
        <f t="shared" si="163"/>
        <v>0.9</v>
      </c>
      <c r="O437" s="51">
        <f>IFERROR((('DATA B2'!F438-'DATA B2'!F437)/(K437))*1000,0)</f>
        <v>0</v>
      </c>
      <c r="P437" s="94">
        <f>'DATA B3'!C438</f>
        <v>221206</v>
      </c>
      <c r="Q437" s="91">
        <f t="shared" si="168"/>
        <v>0</v>
      </c>
      <c r="R437" s="80">
        <f>'DATA B3'!D438</f>
        <v>165812</v>
      </c>
      <c r="S437" s="80">
        <f t="shared" si="169"/>
        <v>0</v>
      </c>
      <c r="T437" s="15">
        <f t="shared" si="164"/>
        <v>0</v>
      </c>
      <c r="U437" s="15">
        <f>IFERROR((('DATA B3'!E438-'DATA B3'!E437)+('DATA B3'!F438-'DATA B3'!F437))/('WATER_STEAM RATIO'!P437-'WATER_STEAM RATIO'!P436),0)</f>
        <v>0</v>
      </c>
    </row>
    <row r="438" spans="2:21">
      <c r="B438" s="292"/>
      <c r="C438" s="97">
        <v>0.75</v>
      </c>
      <c r="D438" s="84">
        <f>'DATA B1'!D439</f>
        <v>222134</v>
      </c>
      <c r="E438" s="5">
        <f t="shared" si="170"/>
        <v>0</v>
      </c>
      <c r="F438" s="80">
        <f>'DATA B1'!E439</f>
        <v>524526</v>
      </c>
      <c r="G438" s="80">
        <f t="shared" si="165"/>
        <v>0</v>
      </c>
      <c r="H438" s="28">
        <f t="shared" si="152"/>
        <v>0</v>
      </c>
      <c r="I438" s="45">
        <f>IFERROR((('DATA B1'!G439-'DATA B1'!G438)/('WATER_STEAM RATIO'!D438-'WATER_STEAM RATIO'!D437))*1000,0)</f>
        <v>0</v>
      </c>
      <c r="J438" s="50">
        <f>'DATA B2'!D439</f>
        <v>515044</v>
      </c>
      <c r="K438" s="82">
        <f t="shared" si="166"/>
        <v>11</v>
      </c>
      <c r="L438" s="80">
        <f>'DATA B2'!E439</f>
        <v>573473</v>
      </c>
      <c r="M438" s="80">
        <f t="shared" si="167"/>
        <v>10</v>
      </c>
      <c r="N438" s="28">
        <f t="shared" si="163"/>
        <v>0.90909090909090906</v>
      </c>
      <c r="O438" s="51">
        <f>IFERROR((('DATA B2'!F439-'DATA B2'!F438)/(K438))*1000,0)</f>
        <v>9.0909090909080895E-3</v>
      </c>
      <c r="P438" s="94">
        <f>'DATA B3'!C439</f>
        <v>221206</v>
      </c>
      <c r="Q438" s="91">
        <f t="shared" si="168"/>
        <v>0</v>
      </c>
      <c r="R438" s="80">
        <f>'DATA B3'!D439</f>
        <v>165812</v>
      </c>
      <c r="S438" s="80">
        <f t="shared" si="169"/>
        <v>0</v>
      </c>
      <c r="T438" s="15">
        <f t="shared" si="164"/>
        <v>0</v>
      </c>
      <c r="U438" s="15">
        <f>IFERROR((('DATA B3'!E439-'DATA B3'!E438)+('DATA B3'!F439-'DATA B3'!F438))/('WATER_STEAM RATIO'!P438-'WATER_STEAM RATIO'!P437),0)</f>
        <v>0</v>
      </c>
    </row>
    <row r="439" spans="2:21">
      <c r="B439" s="292"/>
      <c r="C439" s="97">
        <v>0.79166666666666596</v>
      </c>
      <c r="D439" s="84">
        <f>'DATA B1'!D440</f>
        <v>222134</v>
      </c>
      <c r="E439" s="5">
        <f t="shared" si="170"/>
        <v>0</v>
      </c>
      <c r="F439" s="80">
        <f>'DATA B1'!E440</f>
        <v>524526</v>
      </c>
      <c r="G439" s="80">
        <f t="shared" si="165"/>
        <v>0</v>
      </c>
      <c r="H439" s="28">
        <f t="shared" si="152"/>
        <v>0</v>
      </c>
      <c r="I439" s="45">
        <f>IFERROR((('DATA B1'!G440-'DATA B1'!G439)/('WATER_STEAM RATIO'!D439-'WATER_STEAM RATIO'!D438))*1000,0)</f>
        <v>0</v>
      </c>
      <c r="J439" s="50">
        <f>'DATA B2'!D440</f>
        <v>515055</v>
      </c>
      <c r="K439" s="82">
        <f t="shared" si="166"/>
        <v>11</v>
      </c>
      <c r="L439" s="80">
        <f>'DATA B2'!E440</f>
        <v>573483</v>
      </c>
      <c r="M439" s="80">
        <f t="shared" si="167"/>
        <v>10</v>
      </c>
      <c r="N439" s="28">
        <f t="shared" si="163"/>
        <v>0.90909090909090906</v>
      </c>
      <c r="O439" s="51">
        <f>IFERROR((('DATA B2'!F440-'DATA B2'!F439)/(K439))*1000,0)</f>
        <v>0</v>
      </c>
      <c r="P439" s="94">
        <f>'DATA B3'!C440</f>
        <v>221206</v>
      </c>
      <c r="Q439" s="91">
        <f t="shared" si="168"/>
        <v>0</v>
      </c>
      <c r="R439" s="80">
        <f>'DATA B3'!D440</f>
        <v>165812</v>
      </c>
      <c r="S439" s="80">
        <f t="shared" si="169"/>
        <v>0</v>
      </c>
      <c r="T439" s="15">
        <f t="shared" si="164"/>
        <v>0</v>
      </c>
      <c r="U439" s="15">
        <f>IFERROR((('DATA B3'!E440-'DATA B3'!E439)+('DATA B3'!F440-'DATA B3'!F439))/('WATER_STEAM RATIO'!P439-'WATER_STEAM RATIO'!P438),0)</f>
        <v>0</v>
      </c>
    </row>
    <row r="440" spans="2:21">
      <c r="B440" s="292"/>
      <c r="C440" s="97">
        <v>0.83333333333333304</v>
      </c>
      <c r="D440" s="84">
        <f>'DATA B1'!D441</f>
        <v>222134</v>
      </c>
      <c r="E440" s="5">
        <f t="shared" si="170"/>
        <v>0</v>
      </c>
      <c r="F440" s="80">
        <f>'DATA B1'!E441</f>
        <v>524526</v>
      </c>
      <c r="G440" s="80">
        <f t="shared" si="165"/>
        <v>0</v>
      </c>
      <c r="H440" s="28">
        <f t="shared" si="152"/>
        <v>0</v>
      </c>
      <c r="I440" s="45">
        <f>IFERROR((('DATA B1'!G441-'DATA B1'!G440)/('WATER_STEAM RATIO'!D440-'WATER_STEAM RATIO'!D439))*1000,0)</f>
        <v>0</v>
      </c>
      <c r="J440" s="50">
        <f>'DATA B2'!D441</f>
        <v>515067</v>
      </c>
      <c r="K440" s="82">
        <f t="shared" si="166"/>
        <v>12</v>
      </c>
      <c r="L440" s="80">
        <f>'DATA B2'!E441</f>
        <v>573495</v>
      </c>
      <c r="M440" s="80">
        <f t="shared" si="167"/>
        <v>12</v>
      </c>
      <c r="N440" s="28">
        <f t="shared" si="163"/>
        <v>1</v>
      </c>
      <c r="O440" s="51">
        <f>IFERROR((('DATA B2'!F441-'DATA B2'!F440)/(K440))*1000,0)</f>
        <v>8.3333333333324155E-3</v>
      </c>
      <c r="P440" s="94">
        <f>'DATA B3'!C441</f>
        <v>221206</v>
      </c>
      <c r="Q440" s="91">
        <f t="shared" si="168"/>
        <v>0</v>
      </c>
      <c r="R440" s="80">
        <f>'DATA B3'!D441</f>
        <v>165812</v>
      </c>
      <c r="S440" s="80">
        <f t="shared" si="169"/>
        <v>0</v>
      </c>
      <c r="T440" s="15">
        <f t="shared" si="164"/>
        <v>0</v>
      </c>
      <c r="U440" s="15">
        <f>IFERROR((('DATA B3'!E441-'DATA B3'!E440)+('DATA B3'!F441-'DATA B3'!F440))/('WATER_STEAM RATIO'!P440-'WATER_STEAM RATIO'!P439),0)</f>
        <v>0</v>
      </c>
    </row>
    <row r="441" spans="2:21">
      <c r="B441" s="292"/>
      <c r="C441" s="97">
        <v>0.875</v>
      </c>
      <c r="D441" s="84">
        <f>'DATA B1'!D442</f>
        <v>222134</v>
      </c>
      <c r="E441" s="5">
        <f t="shared" si="170"/>
        <v>0</v>
      </c>
      <c r="F441" s="80">
        <f>'DATA B1'!E442</f>
        <v>524526</v>
      </c>
      <c r="G441" s="80">
        <f t="shared" si="165"/>
        <v>0</v>
      </c>
      <c r="H441" s="28">
        <f t="shared" si="152"/>
        <v>0</v>
      </c>
      <c r="I441" s="45">
        <f>IFERROR((('DATA B1'!G442-'DATA B1'!G441)/('WATER_STEAM RATIO'!D441-'WATER_STEAM RATIO'!D440))*1000,0)</f>
        <v>0</v>
      </c>
      <c r="J441" s="50">
        <f>'DATA B2'!D442</f>
        <v>515074</v>
      </c>
      <c r="K441" s="82">
        <f t="shared" si="166"/>
        <v>7</v>
      </c>
      <c r="L441" s="80">
        <f>'DATA B2'!E442</f>
        <v>573501</v>
      </c>
      <c r="M441" s="80">
        <f t="shared" si="167"/>
        <v>6</v>
      </c>
      <c r="N441" s="28">
        <f>IFERROR(M441/K441,0)</f>
        <v>0.8571428571428571</v>
      </c>
      <c r="O441" s="51">
        <f>IFERROR((('DATA B2'!F442-'DATA B2'!F441)/(K441))*1000,0)</f>
        <v>0</v>
      </c>
      <c r="P441" s="94">
        <f>'DATA B3'!C442</f>
        <v>221206</v>
      </c>
      <c r="Q441" s="91">
        <f t="shared" si="168"/>
        <v>0</v>
      </c>
      <c r="R441" s="80">
        <f>'DATA B3'!D442</f>
        <v>165812</v>
      </c>
      <c r="S441" s="80">
        <f t="shared" si="169"/>
        <v>0</v>
      </c>
      <c r="T441" s="15">
        <f t="shared" si="164"/>
        <v>0</v>
      </c>
      <c r="U441" s="15">
        <f>IFERROR((('DATA B3'!E442-'DATA B3'!E441)+('DATA B3'!F442-'DATA B3'!F441))/('WATER_STEAM RATIO'!P441-'WATER_STEAM RATIO'!P440),0)</f>
        <v>0</v>
      </c>
    </row>
    <row r="442" spans="2:21">
      <c r="B442" s="292"/>
      <c r="C442" s="97">
        <v>0.91666666666666596</v>
      </c>
      <c r="D442" s="84">
        <f>'DATA B1'!D443</f>
        <v>222134</v>
      </c>
      <c r="E442" s="5">
        <f t="shared" si="170"/>
        <v>0</v>
      </c>
      <c r="F442" s="80">
        <f>'DATA B1'!E443</f>
        <v>524526</v>
      </c>
      <c r="G442" s="80">
        <f t="shared" si="165"/>
        <v>0</v>
      </c>
      <c r="H442" s="28">
        <f t="shared" si="152"/>
        <v>0</v>
      </c>
      <c r="I442" s="45">
        <f>IFERROR((('DATA B1'!G443-'DATA B1'!G442)/('WATER_STEAM RATIO'!D442-'WATER_STEAM RATIO'!D441))*1000,0)</f>
        <v>0</v>
      </c>
      <c r="J442" s="50">
        <f>'DATA B2'!D443</f>
        <v>515081</v>
      </c>
      <c r="K442" s="82">
        <f t="shared" si="166"/>
        <v>7</v>
      </c>
      <c r="L442" s="80">
        <f>'DATA B2'!E443</f>
        <v>573507</v>
      </c>
      <c r="M442" s="80">
        <f t="shared" si="167"/>
        <v>6</v>
      </c>
      <c r="N442" s="28">
        <f t="shared" si="163"/>
        <v>0.8571428571428571</v>
      </c>
      <c r="O442" s="51">
        <f>IFERROR((('DATA B2'!F443-'DATA B2'!F442)/(K442))*1000,0)</f>
        <v>0</v>
      </c>
      <c r="P442" s="94">
        <f>'DATA B3'!C443</f>
        <v>221206</v>
      </c>
      <c r="Q442" s="91">
        <f t="shared" si="168"/>
        <v>0</v>
      </c>
      <c r="R442" s="80">
        <f>'DATA B3'!D443</f>
        <v>165812</v>
      </c>
      <c r="S442" s="80">
        <f t="shared" si="169"/>
        <v>0</v>
      </c>
      <c r="T442" s="15">
        <f t="shared" si="164"/>
        <v>0</v>
      </c>
      <c r="U442" s="15">
        <f>IFERROR((('DATA B3'!E443-'DATA B3'!E442)+('DATA B3'!F443-'DATA B3'!F442))/('WATER_STEAM RATIO'!P442-'WATER_STEAM RATIO'!P441),0)</f>
        <v>0</v>
      </c>
    </row>
    <row r="443" spans="2:21">
      <c r="B443" s="292"/>
      <c r="C443" s="97">
        <v>0.95833333333333304</v>
      </c>
      <c r="D443" s="84">
        <f>'DATA B1'!D444</f>
        <v>222134</v>
      </c>
      <c r="E443" s="5">
        <f t="shared" si="170"/>
        <v>0</v>
      </c>
      <c r="F443" s="80">
        <f>'DATA B1'!E444</f>
        <v>524526</v>
      </c>
      <c r="G443" s="80">
        <f t="shared" si="165"/>
        <v>0</v>
      </c>
      <c r="H443" s="28">
        <f t="shared" si="152"/>
        <v>0</v>
      </c>
      <c r="I443" s="45">
        <f>IFERROR((('DATA B1'!G444-'DATA B1'!G443)/('WATER_STEAM RATIO'!D443-'WATER_STEAM RATIO'!D442))*1000,0)</f>
        <v>0</v>
      </c>
      <c r="J443" s="50">
        <f>'DATA B2'!D444</f>
        <v>515089</v>
      </c>
      <c r="K443" s="82">
        <f>SUM(J443-J442)</f>
        <v>8</v>
      </c>
      <c r="L443" s="80">
        <f>'DATA B2'!E444</f>
        <v>573515</v>
      </c>
      <c r="M443" s="80">
        <f t="shared" si="167"/>
        <v>8</v>
      </c>
      <c r="N443" s="28">
        <f t="shared" si="163"/>
        <v>1</v>
      </c>
      <c r="O443" s="51">
        <f>IFERROR((('DATA B2'!F444-'DATA B2'!F443)/(K443))*1000,0)</f>
        <v>0</v>
      </c>
      <c r="P443" s="94">
        <f>'DATA B3'!C444</f>
        <v>221206</v>
      </c>
      <c r="Q443" s="91">
        <f t="shared" si="168"/>
        <v>0</v>
      </c>
      <c r="R443" s="80">
        <f>'DATA B3'!D444</f>
        <v>165812</v>
      </c>
      <c r="S443" s="80">
        <f t="shared" si="169"/>
        <v>0</v>
      </c>
      <c r="T443" s="15">
        <f t="shared" si="164"/>
        <v>0</v>
      </c>
      <c r="U443" s="15">
        <f>IFERROR((('DATA B3'!E444-'DATA B3'!E443)+('DATA B3'!F444-'DATA B3'!F443))/('WATER_STEAM RATIO'!P443-'WATER_STEAM RATIO'!P442),0)</f>
        <v>0</v>
      </c>
    </row>
    <row r="444" spans="2:21">
      <c r="B444" s="292"/>
      <c r="C444" s="97">
        <v>1</v>
      </c>
      <c r="D444" s="84">
        <f>'DATA B1'!D445</f>
        <v>222134</v>
      </c>
      <c r="E444" s="5">
        <f t="shared" si="170"/>
        <v>0</v>
      </c>
      <c r="F444" s="80">
        <f>'DATA B1'!E445</f>
        <v>524526</v>
      </c>
      <c r="G444" s="80">
        <f t="shared" si="165"/>
        <v>0</v>
      </c>
      <c r="H444" s="28">
        <f t="shared" si="152"/>
        <v>0</v>
      </c>
      <c r="I444" s="45">
        <f>IFERROR((('DATA B1'!G445-'DATA B1'!G444)/('WATER_STEAM RATIO'!D444-'WATER_STEAM RATIO'!D443))*1000,0)</f>
        <v>0</v>
      </c>
      <c r="J444" s="50">
        <f>'DATA B2'!D445</f>
        <v>515096</v>
      </c>
      <c r="K444" s="82">
        <f t="shared" si="166"/>
        <v>7</v>
      </c>
      <c r="L444" s="80">
        <f>'DATA B2'!E445</f>
        <v>573521</v>
      </c>
      <c r="M444" s="80">
        <f t="shared" si="167"/>
        <v>6</v>
      </c>
      <c r="N444" s="28">
        <f t="shared" si="163"/>
        <v>0.8571428571428571</v>
      </c>
      <c r="O444" s="51">
        <f>IFERROR((('DATA B2'!F445-'DATA B2'!F444)/(K444))*1000,0)</f>
        <v>0</v>
      </c>
      <c r="P444" s="94">
        <f>'DATA B3'!C445</f>
        <v>221206</v>
      </c>
      <c r="Q444" s="91">
        <f t="shared" si="168"/>
        <v>0</v>
      </c>
      <c r="R444" s="80">
        <f>'DATA B3'!D445</f>
        <v>165812</v>
      </c>
      <c r="S444" s="80">
        <f t="shared" si="169"/>
        <v>0</v>
      </c>
      <c r="T444" s="15">
        <f t="shared" si="164"/>
        <v>0</v>
      </c>
      <c r="U444" s="15">
        <f>IFERROR((('DATA B3'!E445-'DATA B3'!E444)+('DATA B3'!F445-'DATA B3'!F444))/('WATER_STEAM RATIO'!P444-'WATER_STEAM RATIO'!P443),0)</f>
        <v>0</v>
      </c>
    </row>
    <row r="445" spans="2:21">
      <c r="B445" s="292"/>
      <c r="C445" s="97">
        <v>1.0416666666666701</v>
      </c>
      <c r="D445" s="84">
        <f>'DATA B1'!D446</f>
        <v>222134</v>
      </c>
      <c r="E445" s="5">
        <f t="shared" si="170"/>
        <v>0</v>
      </c>
      <c r="F445" s="80">
        <f>'DATA B1'!E446</f>
        <v>524526</v>
      </c>
      <c r="G445" s="80">
        <f t="shared" si="165"/>
        <v>0</v>
      </c>
      <c r="H445" s="28">
        <f t="shared" si="152"/>
        <v>0</v>
      </c>
      <c r="I445" s="45">
        <f>IFERROR((('DATA B1'!G446-'DATA B1'!G445)/('WATER_STEAM RATIO'!D445-'WATER_STEAM RATIO'!D444))*1000,0)</f>
        <v>0</v>
      </c>
      <c r="J445" s="50">
        <f>'DATA B2'!D446</f>
        <v>515103</v>
      </c>
      <c r="K445" s="82">
        <f t="shared" si="166"/>
        <v>7</v>
      </c>
      <c r="L445" s="80">
        <f>'DATA B2'!E446</f>
        <v>573527</v>
      </c>
      <c r="M445" s="80">
        <f t="shared" si="167"/>
        <v>6</v>
      </c>
      <c r="N445" s="28">
        <f t="shared" si="163"/>
        <v>0.8571428571428571</v>
      </c>
      <c r="O445" s="51">
        <f>IFERROR((('DATA B2'!F446-'DATA B2'!F445)/(K445))*1000,0)</f>
        <v>0</v>
      </c>
      <c r="P445" s="94">
        <f>'DATA B3'!C446</f>
        <v>221206</v>
      </c>
      <c r="Q445" s="91">
        <f t="shared" si="168"/>
        <v>0</v>
      </c>
      <c r="R445" s="80">
        <f>'DATA B3'!D446</f>
        <v>165812</v>
      </c>
      <c r="S445" s="80">
        <f t="shared" si="169"/>
        <v>0</v>
      </c>
      <c r="T445" s="15">
        <f t="shared" si="164"/>
        <v>0</v>
      </c>
      <c r="U445" s="15">
        <f>IFERROR((('DATA B3'!E446-'DATA B3'!E445)+('DATA B3'!F446-'DATA B3'!F445))/('WATER_STEAM RATIO'!P445-'WATER_STEAM RATIO'!P444),0)</f>
        <v>0</v>
      </c>
    </row>
    <row r="446" spans="2:21">
      <c r="B446" s="292"/>
      <c r="C446" s="97">
        <v>1.0833333333333399</v>
      </c>
      <c r="D446" s="84">
        <f>'DATA B1'!D447</f>
        <v>222134</v>
      </c>
      <c r="E446" s="5">
        <f>SUM(D446-D445)</f>
        <v>0</v>
      </c>
      <c r="F446" s="80">
        <f>'DATA B1'!E447</f>
        <v>524526</v>
      </c>
      <c r="G446" s="80">
        <f t="shared" si="165"/>
        <v>0</v>
      </c>
      <c r="H446" s="28">
        <f t="shared" si="152"/>
        <v>0</v>
      </c>
      <c r="I446" s="45">
        <f>IFERROR((('DATA B1'!G447-'DATA B1'!G446)/('WATER_STEAM RATIO'!D446-'WATER_STEAM RATIO'!D445))*1000,0)</f>
        <v>0</v>
      </c>
      <c r="J446" s="50">
        <f>'DATA B2'!D447</f>
        <v>515111</v>
      </c>
      <c r="K446" s="82">
        <f t="shared" si="166"/>
        <v>8</v>
      </c>
      <c r="L446" s="80">
        <f>'DATA B2'!E447</f>
        <v>573534</v>
      </c>
      <c r="M446" s="80">
        <f t="shared" si="167"/>
        <v>7</v>
      </c>
      <c r="N446" s="28">
        <f t="shared" si="163"/>
        <v>0.875</v>
      </c>
      <c r="O446" s="51">
        <f>IFERROR((('DATA B2'!F447-'DATA B2'!F446)/(K446))*1000,0)</f>
        <v>0</v>
      </c>
      <c r="P446" s="94">
        <f>'DATA B3'!C447</f>
        <v>221206</v>
      </c>
      <c r="Q446" s="91">
        <f>SUM(P446-P445)</f>
        <v>0</v>
      </c>
      <c r="R446" s="80">
        <f>'DATA B3'!D447</f>
        <v>165812</v>
      </c>
      <c r="S446" s="80">
        <f t="shared" si="169"/>
        <v>0</v>
      </c>
      <c r="T446" s="15">
        <f t="shared" si="164"/>
        <v>0</v>
      </c>
      <c r="U446" s="15">
        <f>IFERROR((('DATA B3'!E447-'DATA B3'!E446)+('DATA B3'!F447-'DATA B3'!F446))/('WATER_STEAM RATIO'!P446-'WATER_STEAM RATIO'!P445),0)</f>
        <v>0</v>
      </c>
    </row>
    <row r="447" spans="2:21">
      <c r="B447" s="292"/>
      <c r="C447" s="97">
        <v>1.125</v>
      </c>
      <c r="D447" s="84">
        <f>'DATA B1'!D448</f>
        <v>222134</v>
      </c>
      <c r="E447" s="5">
        <f t="shared" si="170"/>
        <v>0</v>
      </c>
      <c r="F447" s="80">
        <f>'DATA B1'!E448</f>
        <v>524526</v>
      </c>
      <c r="G447" s="80">
        <f t="shared" si="165"/>
        <v>0</v>
      </c>
      <c r="H447" s="28">
        <f t="shared" si="152"/>
        <v>0</v>
      </c>
      <c r="I447" s="45">
        <f>IFERROR((('DATA B1'!G448-'DATA B1'!G447)/('WATER_STEAM RATIO'!D447-'WATER_STEAM RATIO'!D446))*1000,0)</f>
        <v>0</v>
      </c>
      <c r="J447" s="50">
        <f>'DATA B2'!D448</f>
        <v>515119</v>
      </c>
      <c r="K447" s="82">
        <f t="shared" si="166"/>
        <v>8</v>
      </c>
      <c r="L447" s="80">
        <f>'DATA B2'!E448</f>
        <v>573541</v>
      </c>
      <c r="M447" s="80">
        <f t="shared" si="167"/>
        <v>7</v>
      </c>
      <c r="N447" s="28">
        <f t="shared" si="163"/>
        <v>0.875</v>
      </c>
      <c r="O447" s="51">
        <f>IFERROR((('DATA B2'!F448-'DATA B2'!F447)/(K447))*1000,0)</f>
        <v>0</v>
      </c>
      <c r="P447" s="94">
        <f>'DATA B3'!C448</f>
        <v>221206</v>
      </c>
      <c r="Q447" s="91">
        <f t="shared" si="168"/>
        <v>0</v>
      </c>
      <c r="R447" s="80">
        <f>'DATA B3'!D448</f>
        <v>165812</v>
      </c>
      <c r="S447" s="80">
        <f t="shared" si="169"/>
        <v>0</v>
      </c>
      <c r="T447" s="15">
        <f t="shared" si="164"/>
        <v>0</v>
      </c>
      <c r="U447" s="15">
        <f>IFERROR((('DATA B3'!E448-'DATA B3'!E447)+('DATA B3'!F448-'DATA B3'!F447))/('WATER_STEAM RATIO'!P447-'WATER_STEAM RATIO'!P446),0)</f>
        <v>0</v>
      </c>
    </row>
    <row r="448" spans="2:21">
      <c r="B448" s="292"/>
      <c r="C448" s="97">
        <v>1.1666666666666701</v>
      </c>
      <c r="D448" s="84">
        <f>'DATA B1'!D449</f>
        <v>222134</v>
      </c>
      <c r="E448" s="5">
        <f t="shared" si="170"/>
        <v>0</v>
      </c>
      <c r="F448" s="80">
        <f>'DATA B1'!E449</f>
        <v>524526</v>
      </c>
      <c r="G448" s="80">
        <f t="shared" si="165"/>
        <v>0</v>
      </c>
      <c r="H448" s="28">
        <f t="shared" si="152"/>
        <v>0</v>
      </c>
      <c r="I448" s="45">
        <f>IFERROR((('DATA B1'!G449-'DATA B1'!G448)/('WATER_STEAM RATIO'!D448-'WATER_STEAM RATIO'!D447))*1000,0)</f>
        <v>0</v>
      </c>
      <c r="J448" s="50">
        <f>'DATA B2'!D449</f>
        <v>515125</v>
      </c>
      <c r="K448" s="82">
        <f t="shared" si="166"/>
        <v>6</v>
      </c>
      <c r="L448" s="80">
        <f>'DATA B2'!E449</f>
        <v>573546</v>
      </c>
      <c r="M448" s="80">
        <f t="shared" si="167"/>
        <v>5</v>
      </c>
      <c r="N448" s="28">
        <f t="shared" si="163"/>
        <v>0.83333333333333337</v>
      </c>
      <c r="O448" s="51">
        <f>IFERROR((('DATA B2'!F449-'DATA B2'!F448)/(K448))*1000,0)</f>
        <v>0</v>
      </c>
      <c r="P448" s="94">
        <f>'DATA B3'!C449</f>
        <v>221206</v>
      </c>
      <c r="Q448" s="91">
        <f t="shared" si="168"/>
        <v>0</v>
      </c>
      <c r="R448" s="80">
        <f>'DATA B3'!D449</f>
        <v>165812</v>
      </c>
      <c r="S448" s="80">
        <f t="shared" si="169"/>
        <v>0</v>
      </c>
      <c r="T448" s="15">
        <f t="shared" si="164"/>
        <v>0</v>
      </c>
      <c r="U448" s="15">
        <f>IFERROR((('DATA B3'!E449-'DATA B3'!E448)+('DATA B3'!F449-'DATA B3'!F448))/('WATER_STEAM RATIO'!P448-'WATER_STEAM RATIO'!P447),0)</f>
        <v>0</v>
      </c>
    </row>
    <row r="449" spans="2:21">
      <c r="B449" s="292"/>
      <c r="C449" s="97">
        <v>1.2083333333333399</v>
      </c>
      <c r="D449" s="84">
        <f>'DATA B1'!D450</f>
        <v>222134</v>
      </c>
      <c r="E449" s="5">
        <f t="shared" si="170"/>
        <v>0</v>
      </c>
      <c r="F449" s="80">
        <f>'DATA B1'!E450</f>
        <v>524526</v>
      </c>
      <c r="G449" s="80">
        <f t="shared" si="165"/>
        <v>0</v>
      </c>
      <c r="H449" s="28">
        <f t="shared" si="152"/>
        <v>0</v>
      </c>
      <c r="I449" s="45">
        <f>IFERROR((('DATA B1'!G450-'DATA B1'!G449)/('WATER_STEAM RATIO'!D449-'WATER_STEAM RATIO'!D448))*1000,0)</f>
        <v>0</v>
      </c>
      <c r="J449" s="50">
        <f>'DATA B2'!D450</f>
        <v>515131</v>
      </c>
      <c r="K449" s="82">
        <f t="shared" si="166"/>
        <v>6</v>
      </c>
      <c r="L449" s="80">
        <f>'DATA B2'!E450</f>
        <v>573551</v>
      </c>
      <c r="M449" s="80">
        <f t="shared" si="167"/>
        <v>5</v>
      </c>
      <c r="N449" s="28">
        <f t="shared" si="163"/>
        <v>0.83333333333333337</v>
      </c>
      <c r="O449" s="51">
        <f>IFERROR((('DATA B2'!F450-'DATA B2'!F449)/(K449))*1000,0)</f>
        <v>0</v>
      </c>
      <c r="P449" s="94">
        <f>'DATA B3'!C450</f>
        <v>221206</v>
      </c>
      <c r="Q449" s="91">
        <f t="shared" si="168"/>
        <v>0</v>
      </c>
      <c r="R449" s="80">
        <f>'DATA B3'!D450</f>
        <v>165812</v>
      </c>
      <c r="S449" s="80">
        <f t="shared" si="169"/>
        <v>0</v>
      </c>
      <c r="T449" s="15">
        <f t="shared" si="164"/>
        <v>0</v>
      </c>
      <c r="U449" s="15">
        <f>IFERROR((('DATA B3'!E450-'DATA B3'!E449)+('DATA B3'!F450-'DATA B3'!F449))/('WATER_STEAM RATIO'!P449-'WATER_STEAM RATIO'!P448),0)</f>
        <v>0</v>
      </c>
    </row>
    <row r="450" spans="2:21">
      <c r="B450" s="292"/>
      <c r="C450" s="97">
        <v>1.25</v>
      </c>
      <c r="D450" s="84">
        <f>'DATA B1'!D451</f>
        <v>222134</v>
      </c>
      <c r="E450" s="5">
        <f t="shared" si="170"/>
        <v>0</v>
      </c>
      <c r="F450" s="80">
        <f>'DATA B1'!E451</f>
        <v>524526</v>
      </c>
      <c r="G450" s="80">
        <f t="shared" si="165"/>
        <v>0</v>
      </c>
      <c r="H450" s="28">
        <f t="shared" si="152"/>
        <v>0</v>
      </c>
      <c r="I450" s="45">
        <f>IFERROR((('DATA B1'!G451-'DATA B1'!G450)/('WATER_STEAM RATIO'!D450-'WATER_STEAM RATIO'!D449))*1000,0)</f>
        <v>0</v>
      </c>
      <c r="J450" s="50">
        <f>'DATA B2'!D451</f>
        <v>515137</v>
      </c>
      <c r="K450" s="82">
        <f t="shared" si="166"/>
        <v>6</v>
      </c>
      <c r="L450" s="80">
        <f>'DATA B2'!E451</f>
        <v>573556</v>
      </c>
      <c r="M450" s="80">
        <f t="shared" si="167"/>
        <v>5</v>
      </c>
      <c r="N450" s="28">
        <f t="shared" si="163"/>
        <v>0.83333333333333337</v>
      </c>
      <c r="O450" s="51">
        <f>IFERROR((('DATA B2'!F451-'DATA B2'!F450)/(K450))*1000,0)</f>
        <v>0</v>
      </c>
      <c r="P450" s="94">
        <f>'DATA B3'!C451</f>
        <v>221206</v>
      </c>
      <c r="Q450" s="91">
        <f t="shared" si="168"/>
        <v>0</v>
      </c>
      <c r="R450" s="80">
        <f>'DATA B3'!D451</f>
        <v>165812</v>
      </c>
      <c r="S450" s="80">
        <f t="shared" si="169"/>
        <v>0</v>
      </c>
      <c r="T450" s="15">
        <f t="shared" si="164"/>
        <v>0</v>
      </c>
      <c r="U450" s="15">
        <f>IFERROR((('DATA B3'!E451-'DATA B3'!E450)+('DATA B3'!F451-'DATA B3'!F450))/('WATER_STEAM RATIO'!P450-'WATER_STEAM RATIO'!P449),0)</f>
        <v>0</v>
      </c>
    </row>
    <row r="451" spans="2:21">
      <c r="B451" s="292"/>
      <c r="C451" s="97">
        <v>1.2916666666666701</v>
      </c>
      <c r="D451" s="84">
        <f>'DATA B1'!D452</f>
        <v>222134</v>
      </c>
      <c r="E451" s="5">
        <f t="shared" si="170"/>
        <v>0</v>
      </c>
      <c r="F451" s="80">
        <f>'DATA B1'!E452</f>
        <v>524526</v>
      </c>
      <c r="G451" s="80">
        <f t="shared" si="165"/>
        <v>0</v>
      </c>
      <c r="H451" s="28">
        <f t="shared" si="152"/>
        <v>0</v>
      </c>
      <c r="I451" s="45">
        <f>IFERROR((('DATA B1'!G452-'DATA B1'!G451)/('WATER_STEAM RATIO'!D451-'WATER_STEAM RATIO'!D450))*1000,0)</f>
        <v>0</v>
      </c>
      <c r="J451" s="50">
        <f>'DATA B2'!D452</f>
        <v>515144</v>
      </c>
      <c r="K451" s="82">
        <f>SUM(J451-J450)</f>
        <v>7</v>
      </c>
      <c r="L451" s="80">
        <f>'DATA B2'!E452</f>
        <v>573562</v>
      </c>
      <c r="M451" s="80">
        <f t="shared" si="167"/>
        <v>6</v>
      </c>
      <c r="N451" s="28">
        <f t="shared" si="163"/>
        <v>0.8571428571428571</v>
      </c>
      <c r="O451" s="51">
        <f>IFERROR((('DATA B2'!F452-'DATA B2'!F451)/(K451))*1000,0)</f>
        <v>0</v>
      </c>
      <c r="P451" s="94">
        <f>'DATA B3'!C452</f>
        <v>221206</v>
      </c>
      <c r="Q451" s="91">
        <f t="shared" si="168"/>
        <v>0</v>
      </c>
      <c r="R451" s="80">
        <f>'DATA B3'!D452</f>
        <v>165812</v>
      </c>
      <c r="S451" s="80">
        <f t="shared" si="169"/>
        <v>0</v>
      </c>
      <c r="T451" s="15">
        <f t="shared" si="164"/>
        <v>0</v>
      </c>
      <c r="U451" s="15">
        <f>IFERROR((('DATA B3'!E452-'DATA B3'!E451)+('DATA B3'!F452-'DATA B3'!F451))/('WATER_STEAM RATIO'!P451-'WATER_STEAM RATIO'!P450),0)</f>
        <v>0</v>
      </c>
    </row>
    <row r="452" spans="2:21" ht="15.75" thickBot="1">
      <c r="B452" s="293"/>
      <c r="C452" s="235"/>
      <c r="D452" s="224" cm="1">
        <f t="array" ref="D452">IFERROR(LOOKUP(2,1/(D427:D451&gt;0),D427:D451-D427),0)</f>
        <v>0</v>
      </c>
      <c r="E452" s="223">
        <f>SUMIF(E428:E451,"&gt;=0",E428:E451)</f>
        <v>0</v>
      </c>
      <c r="F452" s="224" cm="1">
        <f t="array" ref="F452">IFERROR(LOOKUP(2,1/(F427:F451&gt;0),F427:F451-F427),0)</f>
        <v>0</v>
      </c>
      <c r="G452" s="223">
        <f>SUMIF(G428:G451,"&gt;=0",G428:G451)</f>
        <v>0</v>
      </c>
      <c r="H452" s="225">
        <f t="shared" si="152"/>
        <v>0</v>
      </c>
      <c r="I452" s="236">
        <f>IFERROR((('DATA B1'!H453)/(E452))*1000,0)</f>
        <v>0</v>
      </c>
      <c r="J452" s="222" cm="1">
        <f t="array" ref="J452">IFERROR(LOOKUP(2,1/(J427:J451&gt;0),J427:J451-J427),0)</f>
        <v>216</v>
      </c>
      <c r="K452" s="223">
        <f>SUMIF(K428:K451,"&gt;=0",K428:K451)</f>
        <v>216</v>
      </c>
      <c r="L452" s="224" cm="1">
        <f t="array" ref="L452">IFERROR(LOOKUP(2,1/(L427:L451&gt;0),L427:L451-L427),0)</f>
        <v>194</v>
      </c>
      <c r="M452" s="223">
        <f>SUMIF(M428:M451,"&gt;=0",M428:M451)</f>
        <v>194</v>
      </c>
      <c r="N452" s="225">
        <f>IFERROR(M452/K452,0)</f>
        <v>0.89814814814814814</v>
      </c>
      <c r="O452" s="226">
        <f>IFERROR((('DATA B2'!H453)/(K452))*1000,0)</f>
        <v>5.0925925925920318E-3</v>
      </c>
      <c r="P452" s="224" cm="1">
        <f t="array" ref="P452">IFERROR(LOOKUP(2,1/(P427:P451&gt;0),P427:P451-P427),0)</f>
        <v>0</v>
      </c>
      <c r="Q452" s="223">
        <f>SUMIF(Q428:Q451,"&gt;=0",Q428:Q451)</f>
        <v>0</v>
      </c>
      <c r="R452" s="224" cm="1">
        <f t="array" ref="R452">IFERROR(LOOKUP(2,1/(R427:R451&gt;0),R427:R451-R427),0)</f>
        <v>0</v>
      </c>
      <c r="S452" s="223">
        <f>SUMIF(S428:S451,"&gt;=0",S428:S451)</f>
        <v>0</v>
      </c>
      <c r="T452" s="237">
        <f t="shared" si="164"/>
        <v>0</v>
      </c>
      <c r="U452" s="226">
        <f>IFERROR(('DATA B3'!E453+'DATA B3'!F453)/Q452*1000,0)</f>
        <v>0</v>
      </c>
    </row>
    <row r="453" spans="2:21" ht="15" customHeight="1">
      <c r="B453" s="291">
        <f>SUM('DATA B1'!B454:B479)</f>
        <v>46040</v>
      </c>
      <c r="C453" s="97">
        <v>0.29166666666666669</v>
      </c>
      <c r="D453" s="84">
        <f>'DATA B1'!D454</f>
        <v>222134</v>
      </c>
      <c r="E453" s="5">
        <f>SUM(E451)</f>
        <v>0</v>
      </c>
      <c r="F453" s="80">
        <f>'DATA B1'!E454</f>
        <v>524526</v>
      </c>
      <c r="G453" s="80">
        <f>SUM(G451)</f>
        <v>0</v>
      </c>
      <c r="H453" s="28">
        <f t="shared" si="152"/>
        <v>0</v>
      </c>
      <c r="I453" s="45"/>
      <c r="J453" s="50">
        <f>'DATA B2'!D454</f>
        <v>515144</v>
      </c>
      <c r="K453" s="82">
        <f>SUM(K451)</f>
        <v>7</v>
      </c>
      <c r="L453" s="80">
        <f>'DATA B2'!E454</f>
        <v>573562</v>
      </c>
      <c r="M453" s="80">
        <f>SUM(M451)</f>
        <v>6</v>
      </c>
      <c r="N453" s="28">
        <f>IFERROR(M453/K453,0)</f>
        <v>0.8571428571428571</v>
      </c>
      <c r="O453" s="103"/>
      <c r="P453" s="94">
        <f>'DATA B3'!C454</f>
        <v>221206</v>
      </c>
      <c r="Q453" s="91">
        <f>SUM(Q451)</f>
        <v>0</v>
      </c>
      <c r="R453" s="80">
        <f>'DATA B3'!D454</f>
        <v>165812</v>
      </c>
      <c r="S453" s="80">
        <f>SUM(S451)</f>
        <v>0</v>
      </c>
      <c r="T453" s="15">
        <f>IFERROR(S453/Q453,0)</f>
        <v>0</v>
      </c>
      <c r="U453" s="15"/>
    </row>
    <row r="454" spans="2:21">
      <c r="B454" s="292"/>
      <c r="C454" s="97">
        <v>0.33333333333333298</v>
      </c>
      <c r="D454" s="84">
        <f>'DATA B1'!D455</f>
        <v>222134</v>
      </c>
      <c r="E454" s="5">
        <f t="shared" ref="E454:E460" si="171">SUM(D454-D453)</f>
        <v>0</v>
      </c>
      <c r="F454" s="80">
        <f>'DATA B1'!E455</f>
        <v>524526</v>
      </c>
      <c r="G454" s="80">
        <f>SUM(F454-F453)</f>
        <v>0</v>
      </c>
      <c r="H454" s="28">
        <f t="shared" si="152"/>
        <v>0</v>
      </c>
      <c r="I454" s="45">
        <f>IFERROR((('DATA B1'!G455-'DATA B1'!G454)/('WATER_STEAM RATIO'!D454-'WATER_STEAM RATIO'!D453))*1000,0)</f>
        <v>0</v>
      </c>
      <c r="J454" s="50">
        <f>'DATA B2'!D455</f>
        <v>515151</v>
      </c>
      <c r="K454" s="82">
        <f>SUM(J454-J453)</f>
        <v>7</v>
      </c>
      <c r="L454" s="80">
        <f>'DATA B2'!E455</f>
        <v>573569</v>
      </c>
      <c r="M454" s="80">
        <f>SUM(L454-L453)</f>
        <v>7</v>
      </c>
      <c r="N454" s="28">
        <f t="shared" ref="N454:N477" si="172">IFERROR(M454/K454,0)</f>
        <v>1</v>
      </c>
      <c r="O454" s="51">
        <f>IFERROR((('DATA B2'!F455-'DATA B2'!F454)/(K454))*1000,0)</f>
        <v>0</v>
      </c>
      <c r="P454" s="94">
        <f>'DATA B3'!C455</f>
        <v>221206</v>
      </c>
      <c r="Q454" s="91">
        <f>SUM(P454-P453)</f>
        <v>0</v>
      </c>
      <c r="R454" s="80">
        <f>'DATA B3'!D455</f>
        <v>165812</v>
      </c>
      <c r="S454" s="80">
        <f>SUM(R454-R453)</f>
        <v>0</v>
      </c>
      <c r="T454" s="15">
        <f t="shared" ref="T454:T478" si="173">IFERROR(S454/Q454,0)</f>
        <v>0</v>
      </c>
      <c r="U454" s="15">
        <f>IFERROR((('DATA B3'!E455-'DATA B3'!E454)+('DATA B3'!F455-'DATA B3'!F454))/('WATER_STEAM RATIO'!P454-'WATER_STEAM RATIO'!P453),0)</f>
        <v>0</v>
      </c>
    </row>
    <row r="455" spans="2:21">
      <c r="B455" s="292"/>
      <c r="C455" s="97">
        <v>0.375</v>
      </c>
      <c r="D455" s="84">
        <f>'DATA B1'!D456</f>
        <v>222134</v>
      </c>
      <c r="E455" s="5">
        <f t="shared" si="171"/>
        <v>0</v>
      </c>
      <c r="F455" s="80">
        <f>'DATA B1'!E456</f>
        <v>524526</v>
      </c>
      <c r="G455" s="80">
        <f t="shared" ref="G455:G477" si="174">SUM(F455-F454)</f>
        <v>0</v>
      </c>
      <c r="H455" s="28">
        <f t="shared" si="152"/>
        <v>0</v>
      </c>
      <c r="I455" s="45">
        <f>IFERROR((('DATA B1'!G456-'DATA B1'!G455)/('WATER_STEAM RATIO'!D455-'WATER_STEAM RATIO'!D454))*1000,0)</f>
        <v>0</v>
      </c>
      <c r="J455" s="50">
        <f>'DATA B2'!D456</f>
        <v>515158</v>
      </c>
      <c r="K455" s="82">
        <f t="shared" ref="K455:K476" si="175">SUM(J455-J454)</f>
        <v>7</v>
      </c>
      <c r="L455" s="80">
        <f>'DATA B2'!E456</f>
        <v>573576</v>
      </c>
      <c r="M455" s="80">
        <f t="shared" ref="M455:M477" si="176">SUM(L455-L454)</f>
        <v>7</v>
      </c>
      <c r="N455" s="28">
        <f t="shared" si="172"/>
        <v>1</v>
      </c>
      <c r="O455" s="51">
        <f>IFERROR((('DATA B2'!F456-'DATA B2'!F455)/(K455))*1000,0)</f>
        <v>0</v>
      </c>
      <c r="P455" s="94">
        <f>'DATA B3'!C456</f>
        <v>221206</v>
      </c>
      <c r="Q455" s="91">
        <f t="shared" ref="Q455:Q477" si="177">SUM(P455-P454)</f>
        <v>0</v>
      </c>
      <c r="R455" s="80">
        <f>'DATA B3'!D456</f>
        <v>165812</v>
      </c>
      <c r="S455" s="80">
        <f t="shared" ref="S455:S477" si="178">SUM(R455-R454)</f>
        <v>0</v>
      </c>
      <c r="T455" s="15">
        <f t="shared" si="173"/>
        <v>0</v>
      </c>
      <c r="U455" s="15">
        <f>IFERROR((('DATA B3'!E456-'DATA B3'!E455)+('DATA B3'!F456-'DATA B3'!F455))/('WATER_STEAM RATIO'!P455-'WATER_STEAM RATIO'!P454),0)</f>
        <v>0</v>
      </c>
    </row>
    <row r="456" spans="2:21">
      <c r="B456" s="292"/>
      <c r="C456" s="97">
        <v>0.41666666666666702</v>
      </c>
      <c r="D456" s="84">
        <f>'DATA B1'!D457</f>
        <v>222134</v>
      </c>
      <c r="E456" s="5">
        <f t="shared" si="171"/>
        <v>0</v>
      </c>
      <c r="F456" s="80">
        <f>'DATA B1'!E457</f>
        <v>524526</v>
      </c>
      <c r="G456" s="80">
        <f t="shared" si="174"/>
        <v>0</v>
      </c>
      <c r="H456" s="28">
        <f t="shared" si="152"/>
        <v>0</v>
      </c>
      <c r="I456" s="45">
        <f>IFERROR((('DATA B1'!G457-'DATA B1'!G456)/('WATER_STEAM RATIO'!D456-'WATER_STEAM RATIO'!D455))*1000,0)</f>
        <v>0</v>
      </c>
      <c r="J456" s="50">
        <f>'DATA B2'!D457</f>
        <v>515165</v>
      </c>
      <c r="K456" s="82">
        <f t="shared" si="175"/>
        <v>7</v>
      </c>
      <c r="L456" s="80">
        <f>'DATA B2'!E457</f>
        <v>573584</v>
      </c>
      <c r="M456" s="80">
        <f t="shared" si="176"/>
        <v>8</v>
      </c>
      <c r="N456" s="28">
        <f t="shared" si="172"/>
        <v>1.1428571428571428</v>
      </c>
      <c r="O456" s="51">
        <f>IFERROR((('DATA B2'!F457-'DATA B2'!F456)/(K456))*1000,0)</f>
        <v>0</v>
      </c>
      <c r="P456" s="94">
        <f>'DATA B3'!C457</f>
        <v>221206</v>
      </c>
      <c r="Q456" s="91">
        <f t="shared" si="177"/>
        <v>0</v>
      </c>
      <c r="R456" s="80">
        <f>'DATA B3'!D457</f>
        <v>165812</v>
      </c>
      <c r="S456" s="80">
        <f t="shared" si="178"/>
        <v>0</v>
      </c>
      <c r="T456" s="15">
        <f t="shared" si="173"/>
        <v>0</v>
      </c>
      <c r="U456" s="15">
        <f>IFERROR((('DATA B3'!E457-'DATA B3'!E456)+('DATA B3'!F457-'DATA B3'!F456))/('WATER_STEAM RATIO'!P456-'WATER_STEAM RATIO'!P455),0)</f>
        <v>0</v>
      </c>
    </row>
    <row r="457" spans="2:21">
      <c r="B457" s="292"/>
      <c r="C457" s="97">
        <v>0.45833333333333298</v>
      </c>
      <c r="D457" s="84">
        <f>'DATA B1'!D458</f>
        <v>222134</v>
      </c>
      <c r="E457" s="5">
        <f t="shared" si="171"/>
        <v>0</v>
      </c>
      <c r="F457" s="80">
        <f>'DATA B1'!E458</f>
        <v>524526</v>
      </c>
      <c r="G457" s="80">
        <f t="shared" si="174"/>
        <v>0</v>
      </c>
      <c r="H457" s="28">
        <f t="shared" si="152"/>
        <v>0</v>
      </c>
      <c r="I457" s="45">
        <f>IFERROR((('DATA B1'!G458-'DATA B1'!G457)/('WATER_STEAM RATIO'!D457-'WATER_STEAM RATIO'!D456))*1000,0)</f>
        <v>0</v>
      </c>
      <c r="J457" s="50">
        <f>'DATA B2'!D458</f>
        <v>515173</v>
      </c>
      <c r="K457" s="82">
        <f t="shared" si="175"/>
        <v>8</v>
      </c>
      <c r="L457" s="80">
        <f>'DATA B2'!E458</f>
        <v>573592</v>
      </c>
      <c r="M457" s="80">
        <f t="shared" si="176"/>
        <v>8</v>
      </c>
      <c r="N457" s="28">
        <f t="shared" si="172"/>
        <v>1</v>
      </c>
      <c r="O457" s="51">
        <f>IFERROR((('DATA B2'!F458-'DATA B2'!F457)/(K457))*1000,0)</f>
        <v>1.2499999999998623E-2</v>
      </c>
      <c r="P457" s="94">
        <f>'DATA B3'!C458</f>
        <v>221206</v>
      </c>
      <c r="Q457" s="91">
        <f t="shared" si="177"/>
        <v>0</v>
      </c>
      <c r="R457" s="80">
        <f>'DATA B3'!D458</f>
        <v>165812</v>
      </c>
      <c r="S457" s="80">
        <f t="shared" si="178"/>
        <v>0</v>
      </c>
      <c r="T457" s="15">
        <f t="shared" si="173"/>
        <v>0</v>
      </c>
      <c r="U457" s="15">
        <f>IFERROR((('DATA B3'!E458-'DATA B3'!E457)+('DATA B3'!F458-'DATA B3'!F457))/('WATER_STEAM RATIO'!P457-'WATER_STEAM RATIO'!P456),0)</f>
        <v>0</v>
      </c>
    </row>
    <row r="458" spans="2:21">
      <c r="B458" s="292"/>
      <c r="C458" s="97">
        <v>0.5</v>
      </c>
      <c r="D458" s="84">
        <f>'DATA B1'!D459</f>
        <v>222134</v>
      </c>
      <c r="E458" s="5">
        <f t="shared" si="171"/>
        <v>0</v>
      </c>
      <c r="F458" s="80">
        <f>'DATA B1'!E459</f>
        <v>524526</v>
      </c>
      <c r="G458" s="80">
        <f t="shared" si="174"/>
        <v>0</v>
      </c>
      <c r="H458" s="28">
        <f t="shared" si="152"/>
        <v>0</v>
      </c>
      <c r="I458" s="45">
        <f>IFERROR((('DATA B1'!G459-'DATA B1'!G458)/('WATER_STEAM RATIO'!D458-'WATER_STEAM RATIO'!D457))*1000,0)</f>
        <v>0</v>
      </c>
      <c r="J458" s="50">
        <f>'DATA B2'!D459</f>
        <v>515181</v>
      </c>
      <c r="K458" s="82">
        <f t="shared" si="175"/>
        <v>8</v>
      </c>
      <c r="L458" s="80">
        <f>'DATA B2'!E459</f>
        <v>573600</v>
      </c>
      <c r="M458" s="80">
        <f t="shared" si="176"/>
        <v>8</v>
      </c>
      <c r="N458" s="28">
        <f t="shared" si="172"/>
        <v>1</v>
      </c>
      <c r="O458" s="51">
        <f>IFERROR((('DATA B2'!F459-'DATA B2'!F458)/(K458))*1000,0)</f>
        <v>0</v>
      </c>
      <c r="P458" s="94">
        <f>'DATA B3'!C459</f>
        <v>221206</v>
      </c>
      <c r="Q458" s="91">
        <f t="shared" si="177"/>
        <v>0</v>
      </c>
      <c r="R458" s="80">
        <f>'DATA B3'!D459</f>
        <v>165812</v>
      </c>
      <c r="S458" s="80">
        <f t="shared" si="178"/>
        <v>0</v>
      </c>
      <c r="T458" s="15">
        <f t="shared" si="173"/>
        <v>0</v>
      </c>
      <c r="U458" s="15">
        <f>IFERROR((('DATA B3'!E459-'DATA B3'!E458)+('DATA B3'!F459-'DATA B3'!F458))/('WATER_STEAM RATIO'!P458-'WATER_STEAM RATIO'!P457),0)</f>
        <v>0</v>
      </c>
    </row>
    <row r="459" spans="2:21">
      <c r="B459" s="292"/>
      <c r="C459" s="97">
        <v>0.54166666666666696</v>
      </c>
      <c r="D459" s="84">
        <f>'DATA B1'!D460</f>
        <v>222134</v>
      </c>
      <c r="E459" s="5">
        <f t="shared" si="171"/>
        <v>0</v>
      </c>
      <c r="F459" s="80">
        <f>'DATA B1'!E460</f>
        <v>524526</v>
      </c>
      <c r="G459" s="80">
        <f t="shared" si="174"/>
        <v>0</v>
      </c>
      <c r="H459" s="28">
        <f t="shared" si="152"/>
        <v>0</v>
      </c>
      <c r="I459" s="45">
        <f>IFERROR((('DATA B1'!G460-'DATA B1'!G459)/('WATER_STEAM RATIO'!D459-'WATER_STEAM RATIO'!D458))*1000,0)</f>
        <v>0</v>
      </c>
      <c r="J459" s="50">
        <f>'DATA B2'!D460</f>
        <v>515189</v>
      </c>
      <c r="K459" s="82">
        <f t="shared" si="175"/>
        <v>8</v>
      </c>
      <c r="L459" s="80">
        <f>'DATA B2'!E460</f>
        <v>573608</v>
      </c>
      <c r="M459" s="80">
        <f t="shared" si="176"/>
        <v>8</v>
      </c>
      <c r="N459" s="28">
        <f t="shared" si="172"/>
        <v>1</v>
      </c>
      <c r="O459" s="51">
        <f>IFERROR((('DATA B2'!F460-'DATA B2'!F459)/(K459))*1000,0)</f>
        <v>1.2499999999998623E-2</v>
      </c>
      <c r="P459" s="94">
        <f>'DATA B3'!C460</f>
        <v>221206</v>
      </c>
      <c r="Q459" s="91">
        <f t="shared" si="177"/>
        <v>0</v>
      </c>
      <c r="R459" s="80">
        <f>'DATA B3'!D460</f>
        <v>165812</v>
      </c>
      <c r="S459" s="80">
        <f t="shared" si="178"/>
        <v>0</v>
      </c>
      <c r="T459" s="15">
        <f t="shared" si="173"/>
        <v>0</v>
      </c>
      <c r="U459" s="15">
        <f>IFERROR((('DATA B3'!E460-'DATA B3'!E459)+('DATA B3'!F460-'DATA B3'!F459))/('WATER_STEAM RATIO'!P459-'WATER_STEAM RATIO'!P458),0)</f>
        <v>0</v>
      </c>
    </row>
    <row r="460" spans="2:21">
      <c r="B460" s="292"/>
      <c r="C460" s="97">
        <v>0.58333333333333304</v>
      </c>
      <c r="D460" s="84">
        <f>'DATA B1'!D461</f>
        <v>222134</v>
      </c>
      <c r="E460" s="5">
        <f t="shared" si="171"/>
        <v>0</v>
      </c>
      <c r="F460" s="80">
        <f>'DATA B1'!E461</f>
        <v>524526</v>
      </c>
      <c r="G460" s="80">
        <f t="shared" si="174"/>
        <v>0</v>
      </c>
      <c r="H460" s="28">
        <f t="shared" si="152"/>
        <v>0</v>
      </c>
      <c r="I460" s="45">
        <f>IFERROR((('DATA B1'!G461-'DATA B1'!G460)/('WATER_STEAM RATIO'!D460-'WATER_STEAM RATIO'!D459))*1000,0)</f>
        <v>0</v>
      </c>
      <c r="J460" s="50">
        <f>'DATA B2'!D461</f>
        <v>515197</v>
      </c>
      <c r="K460" s="82">
        <f t="shared" si="175"/>
        <v>8</v>
      </c>
      <c r="L460" s="80">
        <f>'DATA B2'!E461</f>
        <v>573616</v>
      </c>
      <c r="M460" s="80">
        <f t="shared" si="176"/>
        <v>8</v>
      </c>
      <c r="N460" s="28">
        <f t="shared" si="172"/>
        <v>1</v>
      </c>
      <c r="O460" s="51">
        <f>IFERROR((('DATA B2'!F461-'DATA B2'!F460)/(K460))*1000,0)</f>
        <v>0</v>
      </c>
      <c r="P460" s="94">
        <f>'DATA B3'!C461</f>
        <v>221206</v>
      </c>
      <c r="Q460" s="91">
        <f t="shared" si="177"/>
        <v>0</v>
      </c>
      <c r="R460" s="80">
        <f>'DATA B3'!D461</f>
        <v>165812</v>
      </c>
      <c r="S460" s="80">
        <f t="shared" si="178"/>
        <v>0</v>
      </c>
      <c r="T460" s="15">
        <f t="shared" si="173"/>
        <v>0</v>
      </c>
      <c r="U460" s="15">
        <f>IFERROR((('DATA B3'!E461-'DATA B3'!E460)+('DATA B3'!F461-'DATA B3'!F460))/('WATER_STEAM RATIO'!P460-'WATER_STEAM RATIO'!P459),0)</f>
        <v>0</v>
      </c>
    </row>
    <row r="461" spans="2:21">
      <c r="B461" s="292"/>
      <c r="C461" s="97">
        <v>0.625</v>
      </c>
      <c r="D461" s="84">
        <f>'DATA B1'!D462</f>
        <v>222134</v>
      </c>
      <c r="E461" s="5">
        <f t="shared" ref="E461:E477" si="179">SUM(D461-D460)</f>
        <v>0</v>
      </c>
      <c r="F461" s="80">
        <f>'DATA B1'!E462</f>
        <v>524526</v>
      </c>
      <c r="G461" s="80">
        <f t="shared" si="174"/>
        <v>0</v>
      </c>
      <c r="H461" s="28">
        <f t="shared" si="152"/>
        <v>0</v>
      </c>
      <c r="I461" s="45">
        <f>IFERROR((('DATA B1'!G462-'DATA B1'!G461)/('WATER_STEAM RATIO'!D461-'WATER_STEAM RATIO'!D460))*1000,0)</f>
        <v>0</v>
      </c>
      <c r="J461" s="50">
        <f>'DATA B2'!D462</f>
        <v>515205</v>
      </c>
      <c r="K461" s="82">
        <f t="shared" si="175"/>
        <v>8</v>
      </c>
      <c r="L461" s="80">
        <f>'DATA B2'!E462</f>
        <v>573625</v>
      </c>
      <c r="M461" s="80">
        <f t="shared" si="176"/>
        <v>9</v>
      </c>
      <c r="N461" s="28">
        <f t="shared" si="172"/>
        <v>1.125</v>
      </c>
      <c r="O461" s="51">
        <f>IFERROR((('DATA B2'!F462-'DATA B2'!F461)/(K461))*1000,0)</f>
        <v>1.2499999999998623E-2</v>
      </c>
      <c r="P461" s="94">
        <f>'DATA B3'!C462</f>
        <v>221206</v>
      </c>
      <c r="Q461" s="91">
        <f t="shared" si="177"/>
        <v>0</v>
      </c>
      <c r="R461" s="80">
        <f>'DATA B3'!D462</f>
        <v>165812</v>
      </c>
      <c r="S461" s="80">
        <f t="shared" si="178"/>
        <v>0</v>
      </c>
      <c r="T461" s="15">
        <f t="shared" si="173"/>
        <v>0</v>
      </c>
      <c r="U461" s="15">
        <f>IFERROR((('DATA B3'!E462-'DATA B3'!E461)+('DATA B3'!F462-'DATA B3'!F461))/('WATER_STEAM RATIO'!P461-'WATER_STEAM RATIO'!P460),0)</f>
        <v>0</v>
      </c>
    </row>
    <row r="462" spans="2:21">
      <c r="B462" s="292"/>
      <c r="C462" s="97">
        <v>0.66666666666666596</v>
      </c>
      <c r="D462" s="84">
        <f>'DATA B1'!D463</f>
        <v>222134</v>
      </c>
      <c r="E462" s="5">
        <f t="shared" si="179"/>
        <v>0</v>
      </c>
      <c r="F462" s="80">
        <f>'DATA B1'!E463</f>
        <v>524526</v>
      </c>
      <c r="G462" s="80">
        <f t="shared" si="174"/>
        <v>0</v>
      </c>
      <c r="H462" s="28">
        <f t="shared" ref="H462:H525" si="180" xml:space="preserve"> IFERROR(G462/E462,0)</f>
        <v>0</v>
      </c>
      <c r="I462" s="45">
        <f>IFERROR((('DATA B1'!G463-'DATA B1'!G462)/('WATER_STEAM RATIO'!D462-'WATER_STEAM RATIO'!D461))*1000,0)</f>
        <v>0</v>
      </c>
      <c r="J462" s="50">
        <f>'DATA B2'!D463</f>
        <v>515213</v>
      </c>
      <c r="K462" s="82">
        <f>SUM(J462-J461)</f>
        <v>8</v>
      </c>
      <c r="L462" s="80">
        <f>'DATA B2'!E463</f>
        <v>573636</v>
      </c>
      <c r="M462" s="80">
        <f t="shared" si="176"/>
        <v>11</v>
      </c>
      <c r="N462" s="28">
        <f t="shared" si="172"/>
        <v>1.375</v>
      </c>
      <c r="O462" s="51">
        <f>IFERROR((('DATA B2'!F463-'DATA B2'!F462)/(K462))*1000,0)</f>
        <v>0</v>
      </c>
      <c r="P462" s="94">
        <f>'DATA B3'!C463</f>
        <v>221206</v>
      </c>
      <c r="Q462" s="91">
        <f t="shared" si="177"/>
        <v>0</v>
      </c>
      <c r="R462" s="80">
        <f>'DATA B3'!D463</f>
        <v>165812</v>
      </c>
      <c r="S462" s="80">
        <f t="shared" si="178"/>
        <v>0</v>
      </c>
      <c r="T462" s="15">
        <f t="shared" si="173"/>
        <v>0</v>
      </c>
      <c r="U462" s="15">
        <f>IFERROR((('DATA B3'!E463-'DATA B3'!E462)+('DATA B3'!F463-'DATA B3'!F462))/('WATER_STEAM RATIO'!P462-'WATER_STEAM RATIO'!P461),0)</f>
        <v>0</v>
      </c>
    </row>
    <row r="463" spans="2:21">
      <c r="B463" s="292"/>
      <c r="C463" s="97">
        <v>0.70833333333333304</v>
      </c>
      <c r="D463" s="84">
        <f>'DATA B1'!D464</f>
        <v>222134</v>
      </c>
      <c r="E463" s="5">
        <f t="shared" si="179"/>
        <v>0</v>
      </c>
      <c r="F463" s="80">
        <f>'DATA B1'!E464</f>
        <v>524526</v>
      </c>
      <c r="G463" s="80">
        <f t="shared" si="174"/>
        <v>0</v>
      </c>
      <c r="H463" s="28">
        <f t="shared" si="180"/>
        <v>0</v>
      </c>
      <c r="I463" s="45">
        <f>IFERROR((('DATA B1'!G464-'DATA B1'!G463)/('WATER_STEAM RATIO'!D463-'WATER_STEAM RATIO'!D462))*1000,0)</f>
        <v>0</v>
      </c>
      <c r="J463" s="50">
        <f>'DATA B2'!D464</f>
        <v>515221</v>
      </c>
      <c r="K463" s="82">
        <f t="shared" si="175"/>
        <v>8</v>
      </c>
      <c r="L463" s="80">
        <f>'DATA B2'!E464</f>
        <v>573647</v>
      </c>
      <c r="M463" s="80">
        <f t="shared" si="176"/>
        <v>11</v>
      </c>
      <c r="N463" s="28">
        <f t="shared" si="172"/>
        <v>1.375</v>
      </c>
      <c r="O463" s="51">
        <f>IFERROR((('DATA B2'!F464-'DATA B2'!F463)/(K463))*1000,0)</f>
        <v>0</v>
      </c>
      <c r="P463" s="94">
        <f>'DATA B3'!C464</f>
        <v>221206</v>
      </c>
      <c r="Q463" s="91">
        <f t="shared" si="177"/>
        <v>0</v>
      </c>
      <c r="R463" s="80">
        <f>'DATA B3'!D464</f>
        <v>165812</v>
      </c>
      <c r="S463" s="80">
        <f t="shared" si="178"/>
        <v>0</v>
      </c>
      <c r="T463" s="15">
        <f t="shared" si="173"/>
        <v>0</v>
      </c>
      <c r="U463" s="15">
        <f>IFERROR((('DATA B3'!E464-'DATA B3'!E463)+('DATA B3'!F464-'DATA B3'!F463))/('WATER_STEAM RATIO'!P463-'WATER_STEAM RATIO'!P462),0)</f>
        <v>0</v>
      </c>
    </row>
    <row r="464" spans="2:21">
      <c r="B464" s="292"/>
      <c r="C464" s="97">
        <v>0.75</v>
      </c>
      <c r="D464" s="84">
        <f>'DATA B1'!D465</f>
        <v>222134</v>
      </c>
      <c r="E464" s="5">
        <f t="shared" si="179"/>
        <v>0</v>
      </c>
      <c r="F464" s="80">
        <f>'DATA B1'!E465</f>
        <v>524526</v>
      </c>
      <c r="G464" s="80">
        <f t="shared" si="174"/>
        <v>0</v>
      </c>
      <c r="H464" s="28">
        <f t="shared" si="180"/>
        <v>0</v>
      </c>
      <c r="I464" s="45">
        <f>IFERROR((('DATA B1'!G465-'DATA B1'!G464)/('WATER_STEAM RATIO'!D464-'WATER_STEAM RATIO'!D463))*1000,0)</f>
        <v>0</v>
      </c>
      <c r="J464" s="50">
        <f>'DATA B2'!D465</f>
        <v>515229</v>
      </c>
      <c r="K464" s="82">
        <f t="shared" si="175"/>
        <v>8</v>
      </c>
      <c r="L464" s="80">
        <f>'DATA B2'!E465</f>
        <v>573658</v>
      </c>
      <c r="M464" s="80">
        <f t="shared" si="176"/>
        <v>11</v>
      </c>
      <c r="N464" s="28">
        <f t="shared" si="172"/>
        <v>1.375</v>
      </c>
      <c r="O464" s="51">
        <f>IFERROR((('DATA B2'!F465-'DATA B2'!F464)/(K464))*1000,0)</f>
        <v>0</v>
      </c>
      <c r="P464" s="94">
        <f>'DATA B3'!C465</f>
        <v>221206</v>
      </c>
      <c r="Q464" s="91">
        <f t="shared" si="177"/>
        <v>0</v>
      </c>
      <c r="R464" s="80">
        <f>'DATA B3'!D465</f>
        <v>165812</v>
      </c>
      <c r="S464" s="80">
        <f t="shared" si="178"/>
        <v>0</v>
      </c>
      <c r="T464" s="15">
        <f t="shared" si="173"/>
        <v>0</v>
      </c>
      <c r="U464" s="15">
        <f>IFERROR((('DATA B3'!E465-'DATA B3'!E464)+('DATA B3'!F465-'DATA B3'!F464))/('WATER_STEAM RATIO'!P464-'WATER_STEAM RATIO'!P463),0)</f>
        <v>0</v>
      </c>
    </row>
    <row r="465" spans="2:21">
      <c r="B465" s="292"/>
      <c r="C465" s="97">
        <v>0.79166666666666596</v>
      </c>
      <c r="D465" s="84">
        <f>'DATA B1'!D466</f>
        <v>222134</v>
      </c>
      <c r="E465" s="5">
        <f t="shared" si="179"/>
        <v>0</v>
      </c>
      <c r="F465" s="80">
        <f>'DATA B1'!E466</f>
        <v>524526</v>
      </c>
      <c r="G465" s="80">
        <f t="shared" si="174"/>
        <v>0</v>
      </c>
      <c r="H465" s="28">
        <f t="shared" si="180"/>
        <v>0</v>
      </c>
      <c r="I465" s="45">
        <f>IFERROR((('DATA B1'!G466-'DATA B1'!G465)/('WATER_STEAM RATIO'!D465-'WATER_STEAM RATIO'!D464))*1000,0)</f>
        <v>0</v>
      </c>
      <c r="J465" s="50">
        <f>'DATA B2'!D466</f>
        <v>515238</v>
      </c>
      <c r="K465" s="82">
        <f t="shared" si="175"/>
        <v>9</v>
      </c>
      <c r="L465" s="80">
        <f>'DATA B2'!E466</f>
        <v>573669</v>
      </c>
      <c r="M465" s="80">
        <f t="shared" si="176"/>
        <v>11</v>
      </c>
      <c r="N465" s="28">
        <f t="shared" si="172"/>
        <v>1.2222222222222223</v>
      </c>
      <c r="O465" s="51">
        <f>IFERROR((('DATA B2'!F466-'DATA B2'!F465)/(K465))*1000,0)</f>
        <v>1.1111111111109887E-2</v>
      </c>
      <c r="P465" s="94">
        <f>'DATA B3'!C466</f>
        <v>221206</v>
      </c>
      <c r="Q465" s="91">
        <f t="shared" si="177"/>
        <v>0</v>
      </c>
      <c r="R465" s="80">
        <f>'DATA B3'!D466</f>
        <v>165812</v>
      </c>
      <c r="S465" s="80">
        <f t="shared" si="178"/>
        <v>0</v>
      </c>
      <c r="T465" s="15">
        <f t="shared" si="173"/>
        <v>0</v>
      </c>
      <c r="U465" s="15">
        <f>IFERROR((('DATA B3'!E466-'DATA B3'!E465)+('DATA B3'!F466-'DATA B3'!F465))/('WATER_STEAM RATIO'!P465-'WATER_STEAM RATIO'!P464),0)</f>
        <v>0</v>
      </c>
    </row>
    <row r="466" spans="2:21">
      <c r="B466" s="292"/>
      <c r="C466" s="97">
        <v>0.83333333333333304</v>
      </c>
      <c r="D466" s="84">
        <f>'DATA B1'!D467</f>
        <v>222134</v>
      </c>
      <c r="E466" s="5">
        <f t="shared" si="179"/>
        <v>0</v>
      </c>
      <c r="F466" s="80">
        <f>'DATA B1'!E467</f>
        <v>524526</v>
      </c>
      <c r="G466" s="80">
        <f t="shared" si="174"/>
        <v>0</v>
      </c>
      <c r="H466" s="28">
        <f t="shared" si="180"/>
        <v>0</v>
      </c>
      <c r="I466" s="45">
        <f>IFERROR((('DATA B1'!G467-'DATA B1'!G466)/('WATER_STEAM RATIO'!D466-'WATER_STEAM RATIO'!D465))*1000,0)</f>
        <v>0</v>
      </c>
      <c r="J466" s="50">
        <f>'DATA B2'!D467</f>
        <v>515246</v>
      </c>
      <c r="K466" s="82">
        <f t="shared" si="175"/>
        <v>8</v>
      </c>
      <c r="L466" s="80">
        <f>'DATA B2'!E467</f>
        <v>573681</v>
      </c>
      <c r="M466" s="80">
        <f t="shared" si="176"/>
        <v>12</v>
      </c>
      <c r="N466" s="28">
        <f t="shared" si="172"/>
        <v>1.5</v>
      </c>
      <c r="O466" s="51">
        <f>IFERROR((('DATA B2'!F467-'DATA B2'!F466)/(K466))*1000,0)</f>
        <v>1.2499999999998623E-2</v>
      </c>
      <c r="P466" s="94">
        <f>'DATA B3'!C467</f>
        <v>221206</v>
      </c>
      <c r="Q466" s="91">
        <f t="shared" si="177"/>
        <v>0</v>
      </c>
      <c r="R466" s="80">
        <f>'DATA B3'!D467</f>
        <v>165812</v>
      </c>
      <c r="S466" s="80">
        <f t="shared" si="178"/>
        <v>0</v>
      </c>
      <c r="T466" s="15">
        <f t="shared" si="173"/>
        <v>0</v>
      </c>
      <c r="U466" s="15">
        <f>IFERROR((('DATA B3'!E467-'DATA B3'!E466)+('DATA B3'!F467-'DATA B3'!F466))/('WATER_STEAM RATIO'!P466-'WATER_STEAM RATIO'!P465),0)</f>
        <v>0</v>
      </c>
    </row>
    <row r="467" spans="2:21">
      <c r="B467" s="292"/>
      <c r="C467" s="97">
        <v>0.875</v>
      </c>
      <c r="D467" s="84">
        <f>'DATA B1'!D468</f>
        <v>222134</v>
      </c>
      <c r="E467" s="5">
        <f t="shared" si="179"/>
        <v>0</v>
      </c>
      <c r="F467" s="80">
        <f>'DATA B1'!E468</f>
        <v>524526</v>
      </c>
      <c r="G467" s="80">
        <f t="shared" si="174"/>
        <v>0</v>
      </c>
      <c r="H467" s="28">
        <f t="shared" si="180"/>
        <v>0</v>
      </c>
      <c r="I467" s="45">
        <f>IFERROR((('DATA B1'!G468-'DATA B1'!G467)/('WATER_STEAM RATIO'!D467-'WATER_STEAM RATIO'!D466))*1000,0)</f>
        <v>0</v>
      </c>
      <c r="J467" s="50">
        <f>'DATA B2'!D468</f>
        <v>515252</v>
      </c>
      <c r="K467" s="82">
        <f t="shared" si="175"/>
        <v>6</v>
      </c>
      <c r="L467" s="80">
        <f>'DATA B2'!E468</f>
        <v>573690</v>
      </c>
      <c r="M467" s="80">
        <f t="shared" si="176"/>
        <v>9</v>
      </c>
      <c r="N467" s="28">
        <f>IFERROR(M467/K467,0)</f>
        <v>1.5</v>
      </c>
      <c r="O467" s="51">
        <f>IFERROR((('DATA B2'!F468-'DATA B2'!F467)/(K467))*1000,0)</f>
        <v>0</v>
      </c>
      <c r="P467" s="94">
        <f>'DATA B3'!C468</f>
        <v>221206</v>
      </c>
      <c r="Q467" s="91">
        <f t="shared" si="177"/>
        <v>0</v>
      </c>
      <c r="R467" s="80">
        <f>'DATA B3'!D468</f>
        <v>165812</v>
      </c>
      <c r="S467" s="80">
        <f t="shared" si="178"/>
        <v>0</v>
      </c>
      <c r="T467" s="15">
        <f t="shared" si="173"/>
        <v>0</v>
      </c>
      <c r="U467" s="15">
        <f>IFERROR((('DATA B3'!E468-'DATA B3'!E467)+('DATA B3'!F468-'DATA B3'!F467))/('WATER_STEAM RATIO'!P467-'WATER_STEAM RATIO'!P466),0)</f>
        <v>0</v>
      </c>
    </row>
    <row r="468" spans="2:21">
      <c r="B468" s="292"/>
      <c r="C468" s="97">
        <v>0.91666666666666596</v>
      </c>
      <c r="D468" s="84">
        <f>'DATA B1'!D469</f>
        <v>222134</v>
      </c>
      <c r="E468" s="5">
        <f t="shared" si="179"/>
        <v>0</v>
      </c>
      <c r="F468" s="80">
        <f>'DATA B1'!E469</f>
        <v>524526</v>
      </c>
      <c r="G468" s="80">
        <f t="shared" si="174"/>
        <v>0</v>
      </c>
      <c r="H468" s="28">
        <f t="shared" si="180"/>
        <v>0</v>
      </c>
      <c r="I468" s="45">
        <f>IFERROR((('DATA B1'!G469-'DATA B1'!G468)/('WATER_STEAM RATIO'!D468-'WATER_STEAM RATIO'!D467))*1000,0)</f>
        <v>0</v>
      </c>
      <c r="J468" s="50">
        <f>'DATA B2'!D469</f>
        <v>515259</v>
      </c>
      <c r="K468" s="82">
        <f t="shared" si="175"/>
        <v>7</v>
      </c>
      <c r="L468" s="80">
        <f>'DATA B2'!E469</f>
        <v>573699</v>
      </c>
      <c r="M468" s="80">
        <f t="shared" si="176"/>
        <v>9</v>
      </c>
      <c r="N468" s="28">
        <f t="shared" si="172"/>
        <v>1.2857142857142858</v>
      </c>
      <c r="O468" s="51">
        <f>IFERROR((('DATA B2'!F469-'DATA B2'!F468)/(K468))*1000,0)</f>
        <v>0</v>
      </c>
      <c r="P468" s="94">
        <f>'DATA B3'!C469</f>
        <v>221206</v>
      </c>
      <c r="Q468" s="91">
        <f t="shared" si="177"/>
        <v>0</v>
      </c>
      <c r="R468" s="80">
        <f>'DATA B3'!D469</f>
        <v>165812</v>
      </c>
      <c r="S468" s="80">
        <f t="shared" si="178"/>
        <v>0</v>
      </c>
      <c r="T468" s="15">
        <f t="shared" si="173"/>
        <v>0</v>
      </c>
      <c r="U468" s="15">
        <f>IFERROR((('DATA B3'!E469-'DATA B3'!E468)+('DATA B3'!F469-'DATA B3'!F468))/('WATER_STEAM RATIO'!P468-'WATER_STEAM RATIO'!P467),0)</f>
        <v>0</v>
      </c>
    </row>
    <row r="469" spans="2:21">
      <c r="B469" s="292"/>
      <c r="C469" s="97">
        <v>0.95833333333333304</v>
      </c>
      <c r="D469" s="84">
        <f>'DATA B1'!D470</f>
        <v>222134</v>
      </c>
      <c r="E469" s="5">
        <f t="shared" si="179"/>
        <v>0</v>
      </c>
      <c r="F469" s="80">
        <f>'DATA B1'!E470</f>
        <v>524526</v>
      </c>
      <c r="G469" s="80">
        <f t="shared" si="174"/>
        <v>0</v>
      </c>
      <c r="H469" s="28">
        <f t="shared" si="180"/>
        <v>0</v>
      </c>
      <c r="I469" s="45">
        <f>IFERROR((('DATA B1'!G470-'DATA B1'!G469)/('WATER_STEAM RATIO'!D469-'WATER_STEAM RATIO'!D468))*1000,0)</f>
        <v>0</v>
      </c>
      <c r="J469" s="50">
        <f>'DATA B2'!D470</f>
        <v>515266</v>
      </c>
      <c r="K469" s="82">
        <f>SUM(J469-J468)</f>
        <v>7</v>
      </c>
      <c r="L469" s="80">
        <f>'DATA B2'!E470</f>
        <v>573709</v>
      </c>
      <c r="M469" s="80">
        <f t="shared" si="176"/>
        <v>10</v>
      </c>
      <c r="N469" s="28">
        <f t="shared" si="172"/>
        <v>1.4285714285714286</v>
      </c>
      <c r="O469" s="51">
        <f>IFERROR((('DATA B2'!F470-'DATA B2'!F469)/(K469))*1000,0)</f>
        <v>0</v>
      </c>
      <c r="P469" s="94">
        <f>'DATA B3'!C470</f>
        <v>221206</v>
      </c>
      <c r="Q469" s="91">
        <f t="shared" si="177"/>
        <v>0</v>
      </c>
      <c r="R469" s="80">
        <f>'DATA B3'!D470</f>
        <v>165812</v>
      </c>
      <c r="S469" s="80">
        <f t="shared" si="178"/>
        <v>0</v>
      </c>
      <c r="T469" s="15">
        <f t="shared" si="173"/>
        <v>0</v>
      </c>
      <c r="U469" s="15">
        <f>IFERROR((('DATA B3'!E470-'DATA B3'!E469)+('DATA B3'!F470-'DATA B3'!F469))/('WATER_STEAM RATIO'!P469-'WATER_STEAM RATIO'!P468),0)</f>
        <v>0</v>
      </c>
    </row>
    <row r="470" spans="2:21">
      <c r="B470" s="292"/>
      <c r="C470" s="97">
        <v>1</v>
      </c>
      <c r="D470" s="84">
        <f>'DATA B1'!D471</f>
        <v>222134</v>
      </c>
      <c r="E470" s="5">
        <f t="shared" si="179"/>
        <v>0</v>
      </c>
      <c r="F470" s="80">
        <f>'DATA B1'!E471</f>
        <v>524526</v>
      </c>
      <c r="G470" s="80">
        <f t="shared" si="174"/>
        <v>0</v>
      </c>
      <c r="H470" s="28">
        <f t="shared" si="180"/>
        <v>0</v>
      </c>
      <c r="I470" s="45">
        <f>IFERROR((('DATA B1'!G471-'DATA B1'!G470)/('WATER_STEAM RATIO'!D470-'WATER_STEAM RATIO'!D469))*1000,0)</f>
        <v>0</v>
      </c>
      <c r="J470" s="50">
        <f>'DATA B2'!D471</f>
        <v>515273</v>
      </c>
      <c r="K470" s="82">
        <f t="shared" si="175"/>
        <v>7</v>
      </c>
      <c r="L470" s="80">
        <f>'DATA B2'!E471</f>
        <v>573717</v>
      </c>
      <c r="M470" s="80">
        <f t="shared" si="176"/>
        <v>8</v>
      </c>
      <c r="N470" s="28">
        <f t="shared" si="172"/>
        <v>1.1428571428571428</v>
      </c>
      <c r="O470" s="51">
        <f>IFERROR((('DATA B2'!F471-'DATA B2'!F470)/(K470))*1000,0)</f>
        <v>0</v>
      </c>
      <c r="P470" s="94">
        <f>'DATA B3'!C471</f>
        <v>221206</v>
      </c>
      <c r="Q470" s="91">
        <f t="shared" si="177"/>
        <v>0</v>
      </c>
      <c r="R470" s="80">
        <f>'DATA B3'!D471</f>
        <v>165812</v>
      </c>
      <c r="S470" s="80">
        <f t="shared" si="178"/>
        <v>0</v>
      </c>
      <c r="T470" s="15">
        <f t="shared" si="173"/>
        <v>0</v>
      </c>
      <c r="U470" s="15">
        <f>IFERROR((('DATA B3'!E471-'DATA B3'!E470)+('DATA B3'!F471-'DATA B3'!F470))/('WATER_STEAM RATIO'!P470-'WATER_STEAM RATIO'!P469),0)</f>
        <v>0</v>
      </c>
    </row>
    <row r="471" spans="2:21">
      <c r="B471" s="292"/>
      <c r="C471" s="97">
        <v>1.0416666666666701</v>
      </c>
      <c r="D471" s="84">
        <f>'DATA B1'!D472</f>
        <v>222134</v>
      </c>
      <c r="E471" s="5">
        <f t="shared" si="179"/>
        <v>0</v>
      </c>
      <c r="F471" s="80">
        <f>'DATA B1'!E472</f>
        <v>524526</v>
      </c>
      <c r="G471" s="80">
        <f t="shared" si="174"/>
        <v>0</v>
      </c>
      <c r="H471" s="28">
        <f t="shared" si="180"/>
        <v>0</v>
      </c>
      <c r="I471" s="45">
        <f>IFERROR((('DATA B1'!G472-'DATA B1'!G471)/('WATER_STEAM RATIO'!D471-'WATER_STEAM RATIO'!D470))*1000,0)</f>
        <v>0</v>
      </c>
      <c r="J471" s="50">
        <f>'DATA B2'!D472</f>
        <v>515280</v>
      </c>
      <c r="K471" s="82">
        <f t="shared" si="175"/>
        <v>7</v>
      </c>
      <c r="L471" s="80">
        <f>'DATA B2'!E472</f>
        <v>573725</v>
      </c>
      <c r="M471" s="80">
        <f t="shared" si="176"/>
        <v>8</v>
      </c>
      <c r="N471" s="28">
        <f t="shared" si="172"/>
        <v>1.1428571428571428</v>
      </c>
      <c r="O471" s="51">
        <f>IFERROR((('DATA B2'!F472-'DATA B2'!F471)/(K471))*1000,0)</f>
        <v>0</v>
      </c>
      <c r="P471" s="94">
        <f>'DATA B3'!C472</f>
        <v>221206</v>
      </c>
      <c r="Q471" s="91">
        <f t="shared" si="177"/>
        <v>0</v>
      </c>
      <c r="R471" s="80">
        <f>'DATA B3'!D472</f>
        <v>165812</v>
      </c>
      <c r="S471" s="80">
        <f t="shared" si="178"/>
        <v>0</v>
      </c>
      <c r="T471" s="15">
        <f t="shared" si="173"/>
        <v>0</v>
      </c>
      <c r="U471" s="15">
        <f>IFERROR((('DATA B3'!E472-'DATA B3'!E471)+('DATA B3'!F472-'DATA B3'!F471))/('WATER_STEAM RATIO'!P471-'WATER_STEAM RATIO'!P470),0)</f>
        <v>0</v>
      </c>
    </row>
    <row r="472" spans="2:21">
      <c r="B472" s="292"/>
      <c r="C472" s="97">
        <v>1.0833333333333399</v>
      </c>
      <c r="D472" s="84">
        <f>'DATA B1'!D473</f>
        <v>222134</v>
      </c>
      <c r="E472" s="5">
        <f>SUM(D472-D471)</f>
        <v>0</v>
      </c>
      <c r="F472" s="80">
        <f>'DATA B1'!E473</f>
        <v>524526</v>
      </c>
      <c r="G472" s="80">
        <f t="shared" si="174"/>
        <v>0</v>
      </c>
      <c r="H472" s="28">
        <f t="shared" si="180"/>
        <v>0</v>
      </c>
      <c r="I472" s="45">
        <f>IFERROR((('DATA B1'!G473-'DATA B1'!G472)/('WATER_STEAM RATIO'!D472-'WATER_STEAM RATIO'!D471))*1000,0)</f>
        <v>0</v>
      </c>
      <c r="J472" s="50">
        <f>'DATA B2'!D473</f>
        <v>515288</v>
      </c>
      <c r="K472" s="82">
        <f t="shared" si="175"/>
        <v>8</v>
      </c>
      <c r="L472" s="80">
        <f>'DATA B2'!E473</f>
        <v>573733</v>
      </c>
      <c r="M472" s="80">
        <f t="shared" si="176"/>
        <v>8</v>
      </c>
      <c r="N472" s="28">
        <f t="shared" si="172"/>
        <v>1</v>
      </c>
      <c r="O472" s="51">
        <f>IFERROR((('DATA B2'!F473-'DATA B2'!F472)/(K472))*1000,0)</f>
        <v>0</v>
      </c>
      <c r="P472" s="94">
        <f>'DATA B3'!C473</f>
        <v>221206</v>
      </c>
      <c r="Q472" s="91">
        <f>SUM(P472-P471)</f>
        <v>0</v>
      </c>
      <c r="R472" s="80">
        <f>'DATA B3'!D473</f>
        <v>165812</v>
      </c>
      <c r="S472" s="80">
        <f t="shared" si="178"/>
        <v>0</v>
      </c>
      <c r="T472" s="15">
        <f t="shared" si="173"/>
        <v>0</v>
      </c>
      <c r="U472" s="15">
        <f>IFERROR((('DATA B3'!E473-'DATA B3'!E472)+('DATA B3'!F473-'DATA B3'!F472))/('WATER_STEAM RATIO'!P472-'WATER_STEAM RATIO'!P471),0)</f>
        <v>0</v>
      </c>
    </row>
    <row r="473" spans="2:21">
      <c r="B473" s="292"/>
      <c r="C473" s="97">
        <v>1.125</v>
      </c>
      <c r="D473" s="84">
        <f>'DATA B1'!D474</f>
        <v>222134</v>
      </c>
      <c r="E473" s="5">
        <f t="shared" si="179"/>
        <v>0</v>
      </c>
      <c r="F473" s="80">
        <f>'DATA B1'!E474</f>
        <v>524526</v>
      </c>
      <c r="G473" s="80">
        <f t="shared" si="174"/>
        <v>0</v>
      </c>
      <c r="H473" s="28">
        <f t="shared" si="180"/>
        <v>0</v>
      </c>
      <c r="I473" s="45">
        <f>IFERROR((('DATA B1'!G474-'DATA B1'!G473)/('WATER_STEAM RATIO'!D473-'WATER_STEAM RATIO'!D472))*1000,0)</f>
        <v>0</v>
      </c>
      <c r="J473" s="50">
        <f>'DATA B2'!D474</f>
        <v>515296</v>
      </c>
      <c r="K473" s="82">
        <f t="shared" si="175"/>
        <v>8</v>
      </c>
      <c r="L473" s="80">
        <f>'DATA B2'!E474</f>
        <v>573742</v>
      </c>
      <c r="M473" s="80">
        <f t="shared" si="176"/>
        <v>9</v>
      </c>
      <c r="N473" s="28">
        <f t="shared" si="172"/>
        <v>1.125</v>
      </c>
      <c r="O473" s="51">
        <f>IFERROR((('DATA B2'!F474-'DATA B2'!F473)/(K473))*1000,0)</f>
        <v>0</v>
      </c>
      <c r="P473" s="94">
        <f>'DATA B3'!C474</f>
        <v>221206</v>
      </c>
      <c r="Q473" s="91">
        <f t="shared" si="177"/>
        <v>0</v>
      </c>
      <c r="R473" s="80">
        <f>'DATA B3'!D474</f>
        <v>165812</v>
      </c>
      <c r="S473" s="80">
        <f t="shared" si="178"/>
        <v>0</v>
      </c>
      <c r="T473" s="15">
        <f t="shared" si="173"/>
        <v>0</v>
      </c>
      <c r="U473" s="15">
        <f>IFERROR((('DATA B3'!E474-'DATA B3'!E473)+('DATA B3'!F474-'DATA B3'!F473))/('WATER_STEAM RATIO'!P473-'WATER_STEAM RATIO'!P472),0)</f>
        <v>0</v>
      </c>
    </row>
    <row r="474" spans="2:21">
      <c r="B474" s="292"/>
      <c r="C474" s="97">
        <v>1.1666666666666701</v>
      </c>
      <c r="D474" s="84">
        <f>'DATA B1'!D475</f>
        <v>222134</v>
      </c>
      <c r="E474" s="5">
        <f t="shared" si="179"/>
        <v>0</v>
      </c>
      <c r="F474" s="80">
        <f>'DATA B1'!E475</f>
        <v>524526</v>
      </c>
      <c r="G474" s="80">
        <f t="shared" si="174"/>
        <v>0</v>
      </c>
      <c r="H474" s="28">
        <f t="shared" si="180"/>
        <v>0</v>
      </c>
      <c r="I474" s="45">
        <f>IFERROR((('DATA B1'!G475-'DATA B1'!G474)/('WATER_STEAM RATIO'!D474-'WATER_STEAM RATIO'!D473))*1000,0)</f>
        <v>0</v>
      </c>
      <c r="J474" s="50">
        <f>'DATA B2'!D475</f>
        <v>515303</v>
      </c>
      <c r="K474" s="82">
        <f t="shared" si="175"/>
        <v>7</v>
      </c>
      <c r="L474" s="80">
        <f>'DATA B2'!E475</f>
        <v>573752</v>
      </c>
      <c r="M474" s="80">
        <f t="shared" si="176"/>
        <v>10</v>
      </c>
      <c r="N474" s="28">
        <f t="shared" si="172"/>
        <v>1.4285714285714286</v>
      </c>
      <c r="O474" s="51">
        <f>IFERROR((('DATA B2'!F475-'DATA B2'!F474)/(K474))*1000,0)</f>
        <v>0</v>
      </c>
      <c r="P474" s="94">
        <f>'DATA B3'!C475</f>
        <v>221206</v>
      </c>
      <c r="Q474" s="91">
        <f t="shared" si="177"/>
        <v>0</v>
      </c>
      <c r="R474" s="80">
        <f>'DATA B3'!D475</f>
        <v>165812</v>
      </c>
      <c r="S474" s="80">
        <f t="shared" si="178"/>
        <v>0</v>
      </c>
      <c r="T474" s="15">
        <f t="shared" si="173"/>
        <v>0</v>
      </c>
      <c r="U474" s="15">
        <f>IFERROR((('DATA B3'!E475-'DATA B3'!E474)+('DATA B3'!F475-'DATA B3'!F474))/('WATER_STEAM RATIO'!P474-'WATER_STEAM RATIO'!P473),0)</f>
        <v>0</v>
      </c>
    </row>
    <row r="475" spans="2:21">
      <c r="B475" s="292"/>
      <c r="C475" s="97">
        <v>1.2083333333333399</v>
      </c>
      <c r="D475" s="84">
        <f>'DATA B1'!D476</f>
        <v>222134</v>
      </c>
      <c r="E475" s="5">
        <f t="shared" si="179"/>
        <v>0</v>
      </c>
      <c r="F475" s="80">
        <f>'DATA B1'!E476</f>
        <v>524526</v>
      </c>
      <c r="G475" s="80">
        <f t="shared" si="174"/>
        <v>0</v>
      </c>
      <c r="H475" s="28">
        <f t="shared" si="180"/>
        <v>0</v>
      </c>
      <c r="I475" s="45">
        <f>IFERROR((('DATA B1'!G476-'DATA B1'!G475)/('WATER_STEAM RATIO'!D475-'WATER_STEAM RATIO'!D474))*1000,0)</f>
        <v>0</v>
      </c>
      <c r="J475" s="50">
        <f>'DATA B2'!D476</f>
        <v>515310</v>
      </c>
      <c r="K475" s="82">
        <f t="shared" si="175"/>
        <v>7</v>
      </c>
      <c r="L475" s="80">
        <f>'DATA B2'!E476</f>
        <v>573762</v>
      </c>
      <c r="M475" s="80">
        <f t="shared" si="176"/>
        <v>10</v>
      </c>
      <c r="N475" s="28">
        <f t="shared" si="172"/>
        <v>1.4285714285714286</v>
      </c>
      <c r="O475" s="51">
        <f>IFERROR((('DATA B2'!F476-'DATA B2'!F475)/(K475))*1000,0)</f>
        <v>0</v>
      </c>
      <c r="P475" s="94">
        <f>'DATA B3'!C476</f>
        <v>221206</v>
      </c>
      <c r="Q475" s="91">
        <f t="shared" si="177"/>
        <v>0</v>
      </c>
      <c r="R475" s="80">
        <f>'DATA B3'!D476</f>
        <v>165812</v>
      </c>
      <c r="S475" s="80">
        <f t="shared" si="178"/>
        <v>0</v>
      </c>
      <c r="T475" s="15">
        <f t="shared" si="173"/>
        <v>0</v>
      </c>
      <c r="U475" s="15">
        <f>IFERROR((('DATA B3'!E476-'DATA B3'!E475)+('DATA B3'!F476-'DATA B3'!F475))/('WATER_STEAM RATIO'!P475-'WATER_STEAM RATIO'!P474),0)</f>
        <v>0</v>
      </c>
    </row>
    <row r="476" spans="2:21">
      <c r="B476" s="292"/>
      <c r="C476" s="97">
        <v>1.25</v>
      </c>
      <c r="D476" s="84">
        <f>'DATA B1'!D477</f>
        <v>222134</v>
      </c>
      <c r="E476" s="5">
        <f t="shared" si="179"/>
        <v>0</v>
      </c>
      <c r="F476" s="80">
        <f>'DATA B1'!E477</f>
        <v>524526</v>
      </c>
      <c r="G476" s="80">
        <f t="shared" si="174"/>
        <v>0</v>
      </c>
      <c r="H476" s="28">
        <f t="shared" si="180"/>
        <v>0</v>
      </c>
      <c r="I476" s="45">
        <f>IFERROR((('DATA B1'!G477-'DATA B1'!G476)/('WATER_STEAM RATIO'!D476-'WATER_STEAM RATIO'!D475))*1000,0)</f>
        <v>0</v>
      </c>
      <c r="J476" s="50">
        <f>'DATA B2'!D477</f>
        <v>515317</v>
      </c>
      <c r="K476" s="82">
        <f t="shared" si="175"/>
        <v>7</v>
      </c>
      <c r="L476" s="80">
        <f>'DATA B2'!E477</f>
        <v>573772</v>
      </c>
      <c r="M476" s="80">
        <f t="shared" si="176"/>
        <v>10</v>
      </c>
      <c r="N476" s="28">
        <f t="shared" si="172"/>
        <v>1.4285714285714286</v>
      </c>
      <c r="O476" s="51">
        <f>IFERROR((('DATA B2'!F477-'DATA B2'!F476)/(K476))*1000,0)</f>
        <v>0</v>
      </c>
      <c r="P476" s="94">
        <f>'DATA B3'!C477</f>
        <v>221206</v>
      </c>
      <c r="Q476" s="91">
        <f t="shared" si="177"/>
        <v>0</v>
      </c>
      <c r="R476" s="80">
        <f>'DATA B3'!D477</f>
        <v>165812</v>
      </c>
      <c r="S476" s="80">
        <f t="shared" si="178"/>
        <v>0</v>
      </c>
      <c r="T476" s="15">
        <f t="shared" si="173"/>
        <v>0</v>
      </c>
      <c r="U476" s="15">
        <f>IFERROR((('DATA B3'!E477-'DATA B3'!E476)+('DATA B3'!F477-'DATA B3'!F476))/('WATER_STEAM RATIO'!P476-'WATER_STEAM RATIO'!P475),0)</f>
        <v>0</v>
      </c>
    </row>
    <row r="477" spans="2:21">
      <c r="B477" s="292"/>
      <c r="C477" s="97">
        <v>1.2916666666666701</v>
      </c>
      <c r="D477" s="84">
        <f>'DATA B1'!D478</f>
        <v>222134</v>
      </c>
      <c r="E477" s="5">
        <f t="shared" si="179"/>
        <v>0</v>
      </c>
      <c r="F477" s="80">
        <f>'DATA B1'!E478</f>
        <v>524526</v>
      </c>
      <c r="G477" s="80">
        <f t="shared" si="174"/>
        <v>0</v>
      </c>
      <c r="H477" s="28">
        <f t="shared" si="180"/>
        <v>0</v>
      </c>
      <c r="I477" s="45">
        <f>IFERROR((('DATA B1'!G478-'DATA B1'!G477)/('WATER_STEAM RATIO'!D477-'WATER_STEAM RATIO'!D476))*1000,0)</f>
        <v>0</v>
      </c>
      <c r="J477" s="50">
        <f>'DATA B2'!D478</f>
        <v>515324</v>
      </c>
      <c r="K477" s="82">
        <f>SUM(J477-J476)</f>
        <v>7</v>
      </c>
      <c r="L477" s="80">
        <f>'DATA B2'!E478</f>
        <v>573783</v>
      </c>
      <c r="M477" s="80">
        <f t="shared" si="176"/>
        <v>11</v>
      </c>
      <c r="N477" s="28">
        <f t="shared" si="172"/>
        <v>1.5714285714285714</v>
      </c>
      <c r="O477" s="51">
        <f>IFERROR((('DATA B2'!F478-'DATA B2'!F477)/(K477))*1000,0)</f>
        <v>0</v>
      </c>
      <c r="P477" s="94">
        <f>'DATA B3'!C478</f>
        <v>221206</v>
      </c>
      <c r="Q477" s="91">
        <f t="shared" si="177"/>
        <v>0</v>
      </c>
      <c r="R477" s="80">
        <f>'DATA B3'!D478</f>
        <v>165812</v>
      </c>
      <c r="S477" s="80">
        <f t="shared" si="178"/>
        <v>0</v>
      </c>
      <c r="T477" s="15">
        <f t="shared" si="173"/>
        <v>0</v>
      </c>
      <c r="U477" s="15">
        <f>IFERROR((('DATA B3'!E478-'DATA B3'!E477)+('DATA B3'!F478-'DATA B3'!F477))/('WATER_STEAM RATIO'!P477-'WATER_STEAM RATIO'!P476),0)</f>
        <v>0</v>
      </c>
    </row>
    <row r="478" spans="2:21" ht="15.75" thickBot="1">
      <c r="B478" s="293"/>
      <c r="C478" s="235"/>
      <c r="D478" s="224" cm="1">
        <f t="array" ref="D478">IFERROR(LOOKUP(2,1/(D453:D477&gt;0),D453:D477-D453),0)</f>
        <v>0</v>
      </c>
      <c r="E478" s="223">
        <f>SUMIF(E454:E477,"&gt;=0",E454:E477)</f>
        <v>0</v>
      </c>
      <c r="F478" s="224" cm="1">
        <f t="array" ref="F478">IFERROR(LOOKUP(2,1/(F453:F477&gt;0),F453:F477-F453),0)</f>
        <v>0</v>
      </c>
      <c r="G478" s="223">
        <f>SUMIF(G454:G477,"&gt;=0",G454:G477)</f>
        <v>0</v>
      </c>
      <c r="H478" s="225">
        <f t="shared" si="180"/>
        <v>0</v>
      </c>
      <c r="I478" s="236">
        <f>IFERROR((('DATA B1'!H479)/(E478))*1000,0)</f>
        <v>0</v>
      </c>
      <c r="J478" s="222" cm="1">
        <f t="array" ref="J478">IFERROR(LOOKUP(2,1/(J453:J477&gt;0),J453:J477-J453),0)</f>
        <v>180</v>
      </c>
      <c r="K478" s="223">
        <f>SUMIF(K454:K477,"&gt;=0",K454:K477)</f>
        <v>180</v>
      </c>
      <c r="L478" s="224" cm="1">
        <f t="array" ref="L478">IFERROR(LOOKUP(2,1/(L453:L477&gt;0),L453:L477-L453),0)</f>
        <v>221</v>
      </c>
      <c r="M478" s="223">
        <f>SUMIF(M454:M477,"&gt;=0",M454:M477)</f>
        <v>221</v>
      </c>
      <c r="N478" s="225">
        <f>IFERROR(M478/K478,0)</f>
        <v>1.2277777777777779</v>
      </c>
      <c r="O478" s="226">
        <f>IFERROR((('DATA B2'!H479)/(K478))*1000,0)</f>
        <v>4.9999999999994493E-3</v>
      </c>
      <c r="P478" s="224" cm="1">
        <f t="array" ref="P478">IFERROR(LOOKUP(2,1/(P453:P477&gt;0),P453:P477-P453),0)</f>
        <v>0</v>
      </c>
      <c r="Q478" s="223">
        <f>SUMIF(Q454:Q477,"&gt;=0",Q454:Q477)</f>
        <v>0</v>
      </c>
      <c r="R478" s="224" cm="1">
        <f t="array" ref="R478">IFERROR(LOOKUP(2,1/(R453:R477&gt;0),R453:R477-R453),0)</f>
        <v>0</v>
      </c>
      <c r="S478" s="223">
        <f>SUMIF(S454:S477,"&gt;=0",S454:S477)</f>
        <v>0</v>
      </c>
      <c r="T478" s="237">
        <f t="shared" si="173"/>
        <v>0</v>
      </c>
      <c r="U478" s="226">
        <f>IFERROR(('DATA B3'!E479+'DATA B3'!F479)/Q478*1000,0)</f>
        <v>0</v>
      </c>
    </row>
    <row r="479" spans="2:21" ht="15" customHeight="1">
      <c r="B479" s="291">
        <f>SUM('DATA B1'!B480:B505)</f>
        <v>46041</v>
      </c>
      <c r="C479" s="97">
        <v>0.29166666666666669</v>
      </c>
      <c r="D479" s="84">
        <f>'DATA B1'!D480</f>
        <v>222134</v>
      </c>
      <c r="E479" s="5">
        <f>SUM(E477)</f>
        <v>0</v>
      </c>
      <c r="F479" s="80">
        <f>'DATA B1'!E480</f>
        <v>524526</v>
      </c>
      <c r="G479" s="80">
        <f>SUM(G477)</f>
        <v>0</v>
      </c>
      <c r="H479" s="28">
        <f t="shared" si="180"/>
        <v>0</v>
      </c>
      <c r="I479" s="45"/>
      <c r="J479" s="50">
        <f>'DATA B2'!D480</f>
        <v>515324</v>
      </c>
      <c r="K479" s="82">
        <f>SUM(K477)</f>
        <v>7</v>
      </c>
      <c r="L479" s="80">
        <f>'DATA B2'!E480</f>
        <v>573783</v>
      </c>
      <c r="M479" s="80">
        <f>SUM(M477)</f>
        <v>11</v>
      </c>
      <c r="N479" s="28">
        <f>IFERROR(M479/K479,0)</f>
        <v>1.5714285714285714</v>
      </c>
      <c r="O479" s="103"/>
      <c r="P479" s="94">
        <f>'DATA B3'!C480</f>
        <v>221206</v>
      </c>
      <c r="Q479" s="91">
        <f>SUM(Q477)</f>
        <v>0</v>
      </c>
      <c r="R479" s="80">
        <f>'DATA B3'!D480</f>
        <v>165812</v>
      </c>
      <c r="S479" s="80">
        <f>SUM(S477)</f>
        <v>0</v>
      </c>
      <c r="T479" s="15">
        <f>IFERROR(S479/Q479,0)</f>
        <v>0</v>
      </c>
      <c r="U479" s="15"/>
    </row>
    <row r="480" spans="2:21">
      <c r="B480" s="292"/>
      <c r="C480" s="97">
        <v>0.33333333333333298</v>
      </c>
      <c r="D480" s="84">
        <f>'DATA B1'!D481</f>
        <v>222134</v>
      </c>
      <c r="E480" s="5">
        <f t="shared" ref="E480:E486" si="181">SUM(D480-D479)</f>
        <v>0</v>
      </c>
      <c r="F480" s="80">
        <f>'DATA B1'!E481</f>
        <v>524526</v>
      </c>
      <c r="G480" s="80">
        <f>SUM(F480-F479)</f>
        <v>0</v>
      </c>
      <c r="H480" s="28">
        <f t="shared" si="180"/>
        <v>0</v>
      </c>
      <c r="I480" s="45">
        <f>IFERROR((('DATA B1'!G481-'DATA B1'!G480)/('WATER_STEAM RATIO'!D480-'WATER_STEAM RATIO'!D479))*1000,0)</f>
        <v>0</v>
      </c>
      <c r="J480" s="50">
        <f>'DATA B2'!D481</f>
        <v>515331</v>
      </c>
      <c r="K480" s="82">
        <f>SUM(J480-J479)</f>
        <v>7</v>
      </c>
      <c r="L480" s="80">
        <f>'DATA B2'!E481</f>
        <v>573790</v>
      </c>
      <c r="M480" s="80">
        <f>SUM(L480-L479)</f>
        <v>7</v>
      </c>
      <c r="N480" s="28">
        <f t="shared" ref="N480:N503" si="182">IFERROR(M480/K480,0)</f>
        <v>1</v>
      </c>
      <c r="O480" s="51">
        <f>IFERROR((('DATA B2'!F481-'DATA B2'!F480)/(K480))*1000,0)</f>
        <v>0</v>
      </c>
      <c r="P480" s="94">
        <f>'DATA B3'!C481</f>
        <v>221206</v>
      </c>
      <c r="Q480" s="91">
        <f>SUM(P480-P479)</f>
        <v>0</v>
      </c>
      <c r="R480" s="80">
        <f>'DATA B3'!D481</f>
        <v>165812</v>
      </c>
      <c r="S480" s="80">
        <f>SUM(R480-R479)</f>
        <v>0</v>
      </c>
      <c r="T480" s="15">
        <f t="shared" ref="T480:T504" si="183">IFERROR(S480/Q480,0)</f>
        <v>0</v>
      </c>
      <c r="U480" s="15">
        <f>IFERROR((('DATA B3'!E481-'DATA B3'!E480)+('DATA B3'!F481-'DATA B3'!F480))/('WATER_STEAM RATIO'!P480-'WATER_STEAM RATIO'!P479),0)</f>
        <v>0</v>
      </c>
    </row>
    <row r="481" spans="2:21">
      <c r="B481" s="292"/>
      <c r="C481" s="97">
        <v>0.375</v>
      </c>
      <c r="D481" s="84">
        <f>'DATA B1'!D482</f>
        <v>222134</v>
      </c>
      <c r="E481" s="5">
        <f t="shared" si="181"/>
        <v>0</v>
      </c>
      <c r="F481" s="80">
        <f>'DATA B1'!E482</f>
        <v>524526</v>
      </c>
      <c r="G481" s="80">
        <f t="shared" ref="G481:G503" si="184">SUM(F481-F480)</f>
        <v>0</v>
      </c>
      <c r="H481" s="28">
        <f t="shared" si="180"/>
        <v>0</v>
      </c>
      <c r="I481" s="45">
        <f>IFERROR((('DATA B1'!G482-'DATA B1'!G481)/('WATER_STEAM RATIO'!D481-'WATER_STEAM RATIO'!D480))*1000,0)</f>
        <v>0</v>
      </c>
      <c r="J481" s="50">
        <f>'DATA B2'!D482</f>
        <v>515338</v>
      </c>
      <c r="K481" s="82">
        <f t="shared" ref="K481:K502" si="185">SUM(J481-J480)</f>
        <v>7</v>
      </c>
      <c r="L481" s="80">
        <f>'DATA B2'!E482</f>
        <v>573798</v>
      </c>
      <c r="M481" s="80">
        <f t="shared" ref="M481:M503" si="186">SUM(L481-L480)</f>
        <v>8</v>
      </c>
      <c r="N481" s="28">
        <f t="shared" si="182"/>
        <v>1.1428571428571428</v>
      </c>
      <c r="O481" s="51">
        <f>IFERROR((('DATA B2'!F482-'DATA B2'!F481)/(K481))*1000,0)</f>
        <v>0</v>
      </c>
      <c r="P481" s="94">
        <f>'DATA B3'!C482</f>
        <v>221206</v>
      </c>
      <c r="Q481" s="91">
        <f t="shared" ref="Q481:Q503" si="187">SUM(P481-P480)</f>
        <v>0</v>
      </c>
      <c r="R481" s="80">
        <f>'DATA B3'!D482</f>
        <v>165812</v>
      </c>
      <c r="S481" s="80">
        <f t="shared" ref="S481:S503" si="188">SUM(R481-R480)</f>
        <v>0</v>
      </c>
      <c r="T481" s="15">
        <f t="shared" si="183"/>
        <v>0</v>
      </c>
      <c r="U481" s="15">
        <f>IFERROR((('DATA B3'!E482-'DATA B3'!E481)+('DATA B3'!F482-'DATA B3'!F481))/('WATER_STEAM RATIO'!P481-'WATER_STEAM RATIO'!P480),0)</f>
        <v>0</v>
      </c>
    </row>
    <row r="482" spans="2:21">
      <c r="B482" s="292"/>
      <c r="C482" s="97">
        <v>0.41666666666666702</v>
      </c>
      <c r="D482" s="84">
        <f>'DATA B1'!D483</f>
        <v>222134</v>
      </c>
      <c r="E482" s="5">
        <f t="shared" si="181"/>
        <v>0</v>
      </c>
      <c r="F482" s="80">
        <f>'DATA B1'!E483</f>
        <v>524526</v>
      </c>
      <c r="G482" s="80">
        <f t="shared" si="184"/>
        <v>0</v>
      </c>
      <c r="H482" s="28">
        <f t="shared" si="180"/>
        <v>0</v>
      </c>
      <c r="I482" s="45">
        <f>IFERROR((('DATA B1'!G483-'DATA B1'!G482)/('WATER_STEAM RATIO'!D482-'WATER_STEAM RATIO'!D481))*1000,0)</f>
        <v>0</v>
      </c>
      <c r="J482" s="50">
        <f>'DATA B2'!D483</f>
        <v>515346</v>
      </c>
      <c r="K482" s="82">
        <f t="shared" si="185"/>
        <v>8</v>
      </c>
      <c r="L482" s="80">
        <f>'DATA B2'!E483</f>
        <v>573807</v>
      </c>
      <c r="M482" s="80">
        <f t="shared" si="186"/>
        <v>9</v>
      </c>
      <c r="N482" s="28">
        <f t="shared" si="182"/>
        <v>1.125</v>
      </c>
      <c r="O482" s="51">
        <f>IFERROR((('DATA B2'!F483-'DATA B2'!F482)/(K482))*1000,0)</f>
        <v>1.2499999999998623E-2</v>
      </c>
      <c r="P482" s="94">
        <f>'DATA B3'!C483</f>
        <v>221206</v>
      </c>
      <c r="Q482" s="91">
        <f t="shared" si="187"/>
        <v>0</v>
      </c>
      <c r="R482" s="80">
        <f>'DATA B3'!D483</f>
        <v>165812</v>
      </c>
      <c r="S482" s="80">
        <f t="shared" si="188"/>
        <v>0</v>
      </c>
      <c r="T482" s="15">
        <f t="shared" si="183"/>
        <v>0</v>
      </c>
      <c r="U482" s="15">
        <f>IFERROR((('DATA B3'!E483-'DATA B3'!E482)+('DATA B3'!F483-'DATA B3'!F482))/('WATER_STEAM RATIO'!P482-'WATER_STEAM RATIO'!P481),0)</f>
        <v>0</v>
      </c>
    </row>
    <row r="483" spans="2:21">
      <c r="B483" s="292"/>
      <c r="C483" s="97">
        <v>0.45833333333333298</v>
      </c>
      <c r="D483" s="84">
        <f>'DATA B1'!D484</f>
        <v>222134</v>
      </c>
      <c r="E483" s="5">
        <f t="shared" si="181"/>
        <v>0</v>
      </c>
      <c r="F483" s="80">
        <f>'DATA B1'!E484</f>
        <v>524526</v>
      </c>
      <c r="G483" s="80">
        <f t="shared" si="184"/>
        <v>0</v>
      </c>
      <c r="H483" s="28">
        <f t="shared" si="180"/>
        <v>0</v>
      </c>
      <c r="I483" s="45">
        <f>IFERROR((('DATA B1'!G484-'DATA B1'!G483)/('WATER_STEAM RATIO'!D483-'WATER_STEAM RATIO'!D482))*1000,0)</f>
        <v>0</v>
      </c>
      <c r="J483" s="50">
        <f>'DATA B2'!D484</f>
        <v>515354</v>
      </c>
      <c r="K483" s="82">
        <f t="shared" si="185"/>
        <v>8</v>
      </c>
      <c r="L483" s="80">
        <f>'DATA B2'!E484</f>
        <v>573816</v>
      </c>
      <c r="M483" s="80">
        <f t="shared" si="186"/>
        <v>9</v>
      </c>
      <c r="N483" s="28">
        <f t="shared" si="182"/>
        <v>1.125</v>
      </c>
      <c r="O483" s="51">
        <f>IFERROR((('DATA B2'!F484-'DATA B2'!F483)/(K483))*1000,0)</f>
        <v>0</v>
      </c>
      <c r="P483" s="94">
        <f>'DATA B3'!C484</f>
        <v>221206</v>
      </c>
      <c r="Q483" s="91">
        <f t="shared" si="187"/>
        <v>0</v>
      </c>
      <c r="R483" s="80">
        <f>'DATA B3'!D484</f>
        <v>165812</v>
      </c>
      <c r="S483" s="80">
        <f t="shared" si="188"/>
        <v>0</v>
      </c>
      <c r="T483" s="15">
        <f t="shared" si="183"/>
        <v>0</v>
      </c>
      <c r="U483" s="15">
        <f>IFERROR((('DATA B3'!E484-'DATA B3'!E483)+('DATA B3'!F484-'DATA B3'!F483))/('WATER_STEAM RATIO'!P483-'WATER_STEAM RATIO'!P482),0)</f>
        <v>0</v>
      </c>
    </row>
    <row r="484" spans="2:21">
      <c r="B484" s="292"/>
      <c r="C484" s="97">
        <v>0.5</v>
      </c>
      <c r="D484" s="84">
        <f>'DATA B1'!D485</f>
        <v>222134</v>
      </c>
      <c r="E484" s="5">
        <f t="shared" si="181"/>
        <v>0</v>
      </c>
      <c r="F484" s="80">
        <f>'DATA B1'!E485</f>
        <v>524526</v>
      </c>
      <c r="G484" s="80">
        <f t="shared" si="184"/>
        <v>0</v>
      </c>
      <c r="H484" s="28">
        <f t="shared" si="180"/>
        <v>0</v>
      </c>
      <c r="I484" s="45">
        <f>IFERROR((('DATA B1'!G485-'DATA B1'!G484)/('WATER_STEAM RATIO'!D484-'WATER_STEAM RATIO'!D483))*1000,0)</f>
        <v>0</v>
      </c>
      <c r="J484" s="50">
        <f>'DATA B2'!D485</f>
        <v>515355</v>
      </c>
      <c r="K484" s="82">
        <f t="shared" si="185"/>
        <v>1</v>
      </c>
      <c r="L484" s="80">
        <f>'DATA B2'!E485</f>
        <v>573817</v>
      </c>
      <c r="M484" s="80">
        <f t="shared" si="186"/>
        <v>1</v>
      </c>
      <c r="N484" s="28">
        <f t="shared" si="182"/>
        <v>1</v>
      </c>
      <c r="O484" s="51">
        <f>IFERROR((('DATA B2'!F485-'DATA B2'!F484)/(K484))*1000,0)</f>
        <v>0</v>
      </c>
      <c r="P484" s="94">
        <f>'DATA B3'!C485</f>
        <v>221206</v>
      </c>
      <c r="Q484" s="91">
        <f t="shared" si="187"/>
        <v>0</v>
      </c>
      <c r="R484" s="80">
        <f>'DATA B3'!D485</f>
        <v>165812</v>
      </c>
      <c r="S484" s="80">
        <f t="shared" si="188"/>
        <v>0</v>
      </c>
      <c r="T484" s="15">
        <f t="shared" si="183"/>
        <v>0</v>
      </c>
      <c r="U484" s="15">
        <f>IFERROR((('DATA B3'!E485-'DATA B3'!E484)+('DATA B3'!F485-'DATA B3'!F484))/('WATER_STEAM RATIO'!P484-'WATER_STEAM RATIO'!P483),0)</f>
        <v>0</v>
      </c>
    </row>
    <row r="485" spans="2:21">
      <c r="B485" s="292"/>
      <c r="C485" s="97">
        <v>0.54166666666666696</v>
      </c>
      <c r="D485" s="84">
        <f>'DATA B1'!D486</f>
        <v>222134</v>
      </c>
      <c r="E485" s="5">
        <f t="shared" si="181"/>
        <v>0</v>
      </c>
      <c r="F485" s="80">
        <f>'DATA B1'!E486</f>
        <v>524526</v>
      </c>
      <c r="G485" s="80">
        <f t="shared" si="184"/>
        <v>0</v>
      </c>
      <c r="H485" s="28">
        <f t="shared" si="180"/>
        <v>0</v>
      </c>
      <c r="I485" s="45">
        <f>IFERROR((('DATA B1'!G486-'DATA B1'!G485)/('WATER_STEAM RATIO'!D485-'WATER_STEAM RATIO'!D484))*1000,0)</f>
        <v>0</v>
      </c>
      <c r="J485" s="50">
        <f>'DATA B2'!D486</f>
        <v>515356</v>
      </c>
      <c r="K485" s="82">
        <f t="shared" si="185"/>
        <v>1</v>
      </c>
      <c r="L485" s="80">
        <f>'DATA B2'!E486</f>
        <v>573819</v>
      </c>
      <c r="M485" s="80">
        <f t="shared" si="186"/>
        <v>2</v>
      </c>
      <c r="N485" s="28">
        <f t="shared" si="182"/>
        <v>2</v>
      </c>
      <c r="O485" s="51">
        <f>IFERROR((('DATA B2'!F486-'DATA B2'!F485)/(K485))*1000,0)</f>
        <v>0</v>
      </c>
      <c r="P485" s="94">
        <f>'DATA B3'!C486</f>
        <v>221206</v>
      </c>
      <c r="Q485" s="91">
        <f t="shared" si="187"/>
        <v>0</v>
      </c>
      <c r="R485" s="80">
        <f>'DATA B3'!D486</f>
        <v>165812</v>
      </c>
      <c r="S485" s="80">
        <f t="shared" si="188"/>
        <v>0</v>
      </c>
      <c r="T485" s="15">
        <f t="shared" si="183"/>
        <v>0</v>
      </c>
      <c r="U485" s="15">
        <f>IFERROR((('DATA B3'!E486-'DATA B3'!E485)+('DATA B3'!F486-'DATA B3'!F485))/('WATER_STEAM RATIO'!P485-'WATER_STEAM RATIO'!P484),0)</f>
        <v>0</v>
      </c>
    </row>
    <row r="486" spans="2:21">
      <c r="B486" s="292"/>
      <c r="C486" s="97">
        <v>0.58333333333333304</v>
      </c>
      <c r="D486" s="84">
        <f>'DATA B1'!D487</f>
        <v>222134</v>
      </c>
      <c r="E486" s="5">
        <f t="shared" si="181"/>
        <v>0</v>
      </c>
      <c r="F486" s="80">
        <f>'DATA B1'!E487</f>
        <v>524526</v>
      </c>
      <c r="G486" s="80">
        <f t="shared" si="184"/>
        <v>0</v>
      </c>
      <c r="H486" s="28">
        <f t="shared" si="180"/>
        <v>0</v>
      </c>
      <c r="I486" s="45">
        <f>IFERROR((('DATA B1'!G487-'DATA B1'!G486)/('WATER_STEAM RATIO'!D486-'WATER_STEAM RATIO'!D485))*1000,0)</f>
        <v>0</v>
      </c>
      <c r="J486" s="50">
        <f>'DATA B2'!D487</f>
        <v>515357</v>
      </c>
      <c r="K486" s="82">
        <f t="shared" si="185"/>
        <v>1</v>
      </c>
      <c r="L486" s="80">
        <f>'DATA B2'!E487</f>
        <v>573820</v>
      </c>
      <c r="M486" s="80">
        <f t="shared" si="186"/>
        <v>1</v>
      </c>
      <c r="N486" s="28">
        <f t="shared" si="182"/>
        <v>1</v>
      </c>
      <c r="O486" s="51">
        <f>IFERROR((('DATA B2'!F487-'DATA B2'!F486)/(K486))*1000,0)</f>
        <v>0</v>
      </c>
      <c r="P486" s="94">
        <f>'DATA B3'!C487</f>
        <v>221220</v>
      </c>
      <c r="Q486" s="91">
        <f t="shared" si="187"/>
        <v>14</v>
      </c>
      <c r="R486" s="80">
        <f>'DATA B3'!D487</f>
        <v>165829</v>
      </c>
      <c r="S486" s="80">
        <f t="shared" si="188"/>
        <v>17</v>
      </c>
      <c r="T486" s="15">
        <f t="shared" si="183"/>
        <v>1.2142857142857142</v>
      </c>
      <c r="U486" s="15">
        <f>IFERROR((('DATA B3'!E487-'DATA B3'!E486)+('DATA B3'!F487-'DATA B3'!F486))/('WATER_STEAM RATIO'!P486-'WATER_STEAM RATIO'!P485),0)</f>
        <v>9.0714285714285712</v>
      </c>
    </row>
    <row r="487" spans="2:21">
      <c r="B487" s="292"/>
      <c r="C487" s="97">
        <v>0.625</v>
      </c>
      <c r="D487" s="84">
        <f>'DATA B1'!D488</f>
        <v>222134</v>
      </c>
      <c r="E487" s="5">
        <f t="shared" ref="E487:E503" si="189">SUM(D487-D486)</f>
        <v>0</v>
      </c>
      <c r="F487" s="80">
        <f>'DATA B1'!E488</f>
        <v>524526</v>
      </c>
      <c r="G487" s="80">
        <f t="shared" si="184"/>
        <v>0</v>
      </c>
      <c r="H487" s="28">
        <f t="shared" si="180"/>
        <v>0</v>
      </c>
      <c r="I487" s="45">
        <f>IFERROR((('DATA B1'!G488-'DATA B1'!G487)/('WATER_STEAM RATIO'!D487-'WATER_STEAM RATIO'!D486))*1000,0)</f>
        <v>0</v>
      </c>
      <c r="J487" s="50">
        <f>'DATA B2'!D488</f>
        <v>515358</v>
      </c>
      <c r="K487" s="82">
        <f t="shared" si="185"/>
        <v>1</v>
      </c>
      <c r="L487" s="80">
        <f>'DATA B2'!E488</f>
        <v>573822</v>
      </c>
      <c r="M487" s="80">
        <f t="shared" si="186"/>
        <v>2</v>
      </c>
      <c r="N487" s="28">
        <f t="shared" si="182"/>
        <v>2</v>
      </c>
      <c r="O487" s="51">
        <f>IFERROR((('DATA B2'!F488-'DATA B2'!F487)/(K487))*1000,0)</f>
        <v>0</v>
      </c>
      <c r="P487" s="94">
        <f>'DATA B3'!C488</f>
        <v>221235</v>
      </c>
      <c r="Q487" s="91">
        <f t="shared" si="187"/>
        <v>15</v>
      </c>
      <c r="R487" s="80">
        <f>'DATA B3'!D488</f>
        <v>165847</v>
      </c>
      <c r="S487" s="80">
        <f t="shared" si="188"/>
        <v>18</v>
      </c>
      <c r="T487" s="15">
        <f t="shared" si="183"/>
        <v>1.2</v>
      </c>
      <c r="U487" s="15">
        <f>IFERROR((('DATA B3'!E488-'DATA B3'!E487)+('DATA B3'!F488-'DATA B3'!F487))/('WATER_STEAM RATIO'!P487-'WATER_STEAM RATIO'!P486),0)</f>
        <v>9.0820000000000007</v>
      </c>
    </row>
    <row r="488" spans="2:21">
      <c r="B488" s="292"/>
      <c r="C488" s="97">
        <v>0.66666666666666596</v>
      </c>
      <c r="D488" s="84">
        <f>'DATA B1'!D489</f>
        <v>222134</v>
      </c>
      <c r="E488" s="5">
        <f t="shared" si="189"/>
        <v>0</v>
      </c>
      <c r="F488" s="80">
        <f>'DATA B1'!E489</f>
        <v>524526</v>
      </c>
      <c r="G488" s="80">
        <f t="shared" si="184"/>
        <v>0</v>
      </c>
      <c r="H488" s="28">
        <f t="shared" si="180"/>
        <v>0</v>
      </c>
      <c r="I488" s="45">
        <f>IFERROR((('DATA B1'!G489-'DATA B1'!G488)/('WATER_STEAM RATIO'!D488-'WATER_STEAM RATIO'!D487))*1000,0)</f>
        <v>0</v>
      </c>
      <c r="J488" s="50">
        <f>'DATA B2'!D489</f>
        <v>515358</v>
      </c>
      <c r="K488" s="82">
        <f>SUM(J488-J487)</f>
        <v>0</v>
      </c>
      <c r="L488" s="80">
        <f>'DATA B2'!E489</f>
        <v>573822</v>
      </c>
      <c r="M488" s="80">
        <f t="shared" si="186"/>
        <v>0</v>
      </c>
      <c r="N488" s="28">
        <f t="shared" si="182"/>
        <v>0</v>
      </c>
      <c r="O488" s="51">
        <f>IFERROR((('DATA B2'!F489-'DATA B2'!F488)/(K488))*1000,0)</f>
        <v>0</v>
      </c>
      <c r="P488" s="94">
        <f>'DATA B3'!C489</f>
        <v>221246</v>
      </c>
      <c r="Q488" s="91">
        <f t="shared" si="187"/>
        <v>11</v>
      </c>
      <c r="R488" s="80">
        <f>'DATA B3'!D489</f>
        <v>165858</v>
      </c>
      <c r="S488" s="80">
        <f t="shared" si="188"/>
        <v>11</v>
      </c>
      <c r="T488" s="15">
        <f t="shared" si="183"/>
        <v>1</v>
      </c>
      <c r="U488" s="15">
        <f>IFERROR((('DATA B3'!E489-'DATA B3'!E488)+('DATA B3'!F489-'DATA B3'!F488))/('WATER_STEAM RATIO'!P488-'WATER_STEAM RATIO'!P487),0)</f>
        <v>-4.0263636363636328</v>
      </c>
    </row>
    <row r="489" spans="2:21">
      <c r="B489" s="292"/>
      <c r="C489" s="97">
        <v>0.70833333333333304</v>
      </c>
      <c r="D489" s="84">
        <f>'DATA B1'!D490</f>
        <v>222134</v>
      </c>
      <c r="E489" s="5">
        <f t="shared" si="189"/>
        <v>0</v>
      </c>
      <c r="F489" s="80">
        <f>'DATA B1'!E490</f>
        <v>524526</v>
      </c>
      <c r="G489" s="80">
        <f t="shared" si="184"/>
        <v>0</v>
      </c>
      <c r="H489" s="28">
        <f t="shared" si="180"/>
        <v>0</v>
      </c>
      <c r="I489" s="45">
        <f>IFERROR((('DATA B1'!G490-'DATA B1'!G489)/('WATER_STEAM RATIO'!D489-'WATER_STEAM RATIO'!D488))*1000,0)</f>
        <v>0</v>
      </c>
      <c r="J489" s="50">
        <f>'DATA B2'!D490</f>
        <v>515358</v>
      </c>
      <c r="K489" s="82">
        <f t="shared" si="185"/>
        <v>0</v>
      </c>
      <c r="L489" s="80">
        <f>'DATA B2'!E490</f>
        <v>573822</v>
      </c>
      <c r="M489" s="80">
        <f t="shared" si="186"/>
        <v>0</v>
      </c>
      <c r="N489" s="28">
        <f t="shared" si="182"/>
        <v>0</v>
      </c>
      <c r="O489" s="51">
        <f>IFERROR((('DATA B2'!F490-'DATA B2'!F489)/(K489))*1000,0)</f>
        <v>0</v>
      </c>
      <c r="P489" s="94">
        <f>'DATA B3'!C490</f>
        <v>221257</v>
      </c>
      <c r="Q489" s="91">
        <f t="shared" si="187"/>
        <v>11</v>
      </c>
      <c r="R489" s="80">
        <f>'DATA B3'!D490</f>
        <v>165868</v>
      </c>
      <c r="S489" s="80">
        <f t="shared" si="188"/>
        <v>10</v>
      </c>
      <c r="T489" s="15">
        <f t="shared" si="183"/>
        <v>0.90909090909090906</v>
      </c>
      <c r="U489" s="15">
        <f>IFERROR((('DATA B3'!E490-'DATA B3'!E489)+('DATA B3'!F490-'DATA B3'!F489))/('WATER_STEAM RATIO'!P489-'WATER_STEAM RATIO'!P488),0)</f>
        <v>4.1336363636363451</v>
      </c>
    </row>
    <row r="490" spans="2:21">
      <c r="B490" s="292"/>
      <c r="C490" s="97">
        <v>0.75</v>
      </c>
      <c r="D490" s="84">
        <f>'DATA B1'!D491</f>
        <v>222134</v>
      </c>
      <c r="E490" s="5">
        <f t="shared" si="189"/>
        <v>0</v>
      </c>
      <c r="F490" s="80">
        <f>'DATA B1'!E491</f>
        <v>524526</v>
      </c>
      <c r="G490" s="80">
        <f t="shared" si="184"/>
        <v>0</v>
      </c>
      <c r="H490" s="28">
        <f t="shared" si="180"/>
        <v>0</v>
      </c>
      <c r="I490" s="45">
        <f>IFERROR((('DATA B1'!G491-'DATA B1'!G490)/('WATER_STEAM RATIO'!D490-'WATER_STEAM RATIO'!D489))*1000,0)</f>
        <v>0</v>
      </c>
      <c r="J490" s="50">
        <f>'DATA B2'!D491</f>
        <v>515358</v>
      </c>
      <c r="K490" s="82">
        <f t="shared" si="185"/>
        <v>0</v>
      </c>
      <c r="L490" s="80">
        <f>'DATA B2'!E491</f>
        <v>573822</v>
      </c>
      <c r="M490" s="80">
        <f t="shared" si="186"/>
        <v>0</v>
      </c>
      <c r="N490" s="28">
        <f t="shared" si="182"/>
        <v>0</v>
      </c>
      <c r="O490" s="51">
        <f>IFERROR((('DATA B2'!F491-'DATA B2'!F490)/(K490))*1000,0)</f>
        <v>0</v>
      </c>
      <c r="P490" s="94">
        <f>'DATA B3'!C491</f>
        <v>221269</v>
      </c>
      <c r="Q490" s="91">
        <f t="shared" si="187"/>
        <v>12</v>
      </c>
      <c r="R490" s="80">
        <f>'DATA B3'!D491</f>
        <v>165878</v>
      </c>
      <c r="S490" s="80">
        <f t="shared" si="188"/>
        <v>10</v>
      </c>
      <c r="T490" s="15">
        <f t="shared" si="183"/>
        <v>0.83333333333333337</v>
      </c>
      <c r="U490" s="15">
        <f>IFERROR((('DATA B3'!E491-'DATA B3'!E490)+('DATA B3'!F491-'DATA B3'!F490))/('WATER_STEAM RATIO'!P490-'WATER_STEAM RATIO'!P489),0)</f>
        <v>3.7108333333333499</v>
      </c>
    </row>
    <row r="491" spans="2:21">
      <c r="B491" s="292"/>
      <c r="C491" s="97">
        <v>0.79166666666666596</v>
      </c>
      <c r="D491" s="84">
        <f>'DATA B1'!D492</f>
        <v>222134</v>
      </c>
      <c r="E491" s="5">
        <f t="shared" si="189"/>
        <v>0</v>
      </c>
      <c r="F491" s="80">
        <f>'DATA B1'!E492</f>
        <v>524526</v>
      </c>
      <c r="G491" s="80">
        <f t="shared" si="184"/>
        <v>0</v>
      </c>
      <c r="H491" s="28">
        <f t="shared" si="180"/>
        <v>0</v>
      </c>
      <c r="I491" s="45">
        <f>IFERROR((('DATA B1'!G492-'DATA B1'!G491)/('WATER_STEAM RATIO'!D491-'WATER_STEAM RATIO'!D490))*1000,0)</f>
        <v>0</v>
      </c>
      <c r="J491" s="50">
        <f>'DATA B2'!D492</f>
        <v>515358</v>
      </c>
      <c r="K491" s="82">
        <f t="shared" si="185"/>
        <v>0</v>
      </c>
      <c r="L491" s="80">
        <f>'DATA B2'!E492</f>
        <v>573822</v>
      </c>
      <c r="M491" s="80">
        <f t="shared" si="186"/>
        <v>0</v>
      </c>
      <c r="N491" s="28">
        <f t="shared" si="182"/>
        <v>0</v>
      </c>
      <c r="O491" s="51">
        <f>IFERROR((('DATA B2'!F492-'DATA B2'!F491)/(K491))*1000,0)</f>
        <v>0</v>
      </c>
      <c r="P491" s="94">
        <f>'DATA B3'!C492</f>
        <v>221281</v>
      </c>
      <c r="Q491" s="91">
        <f t="shared" si="187"/>
        <v>12</v>
      </c>
      <c r="R491" s="80">
        <f>'DATA B3'!D492</f>
        <v>165889</v>
      </c>
      <c r="S491" s="80">
        <f t="shared" si="188"/>
        <v>11</v>
      </c>
      <c r="T491" s="15">
        <f t="shared" si="183"/>
        <v>0.91666666666666663</v>
      </c>
      <c r="U491" s="15">
        <f>IFERROR((('DATA B3'!E492-'DATA B3'!E491)+('DATA B3'!F492-'DATA B3'!F491))/('WATER_STEAM RATIO'!P491-'WATER_STEAM RATIO'!P490),0)</f>
        <v>10.729166666666666</v>
      </c>
    </row>
    <row r="492" spans="2:21">
      <c r="B492" s="292"/>
      <c r="C492" s="97">
        <v>0.83333333333333304</v>
      </c>
      <c r="D492" s="84">
        <f>'DATA B1'!D493</f>
        <v>222134</v>
      </c>
      <c r="E492" s="5">
        <f t="shared" si="189"/>
        <v>0</v>
      </c>
      <c r="F492" s="80">
        <f>'DATA B1'!E493</f>
        <v>524526</v>
      </c>
      <c r="G492" s="80">
        <f t="shared" si="184"/>
        <v>0</v>
      </c>
      <c r="H492" s="28">
        <f t="shared" si="180"/>
        <v>0</v>
      </c>
      <c r="I492" s="45">
        <f>IFERROR((('DATA B1'!G493-'DATA B1'!G492)/('WATER_STEAM RATIO'!D492-'WATER_STEAM RATIO'!D491))*1000,0)</f>
        <v>0</v>
      </c>
      <c r="J492" s="50">
        <f>'DATA B2'!D493</f>
        <v>515358</v>
      </c>
      <c r="K492" s="82">
        <f t="shared" si="185"/>
        <v>0</v>
      </c>
      <c r="L492" s="80">
        <f>'DATA B2'!E493</f>
        <v>573822</v>
      </c>
      <c r="M492" s="80">
        <f t="shared" si="186"/>
        <v>0</v>
      </c>
      <c r="N492" s="28">
        <f t="shared" si="182"/>
        <v>0</v>
      </c>
      <c r="O492" s="51">
        <f>IFERROR((('DATA B2'!F493-'DATA B2'!F492)/(K492))*1000,0)</f>
        <v>0</v>
      </c>
      <c r="P492" s="94">
        <f>'DATA B3'!C493</f>
        <v>221295</v>
      </c>
      <c r="Q492" s="91">
        <f t="shared" si="187"/>
        <v>14</v>
      </c>
      <c r="R492" s="80">
        <f>'DATA B3'!D493</f>
        <v>165903</v>
      </c>
      <c r="S492" s="80">
        <f t="shared" si="188"/>
        <v>14</v>
      </c>
      <c r="T492" s="15">
        <f t="shared" si="183"/>
        <v>1</v>
      </c>
      <c r="U492" s="15">
        <f>IFERROR((('DATA B3'!E493-'DATA B3'!E492)+('DATA B3'!F493-'DATA B3'!F492))/('WATER_STEAM RATIO'!P492-'WATER_STEAM RATIO'!P491),0)</f>
        <v>4.2257142857142753</v>
      </c>
    </row>
    <row r="493" spans="2:21">
      <c r="B493" s="292"/>
      <c r="C493" s="97">
        <v>0.875</v>
      </c>
      <c r="D493" s="84">
        <f>'DATA B1'!D494</f>
        <v>222134</v>
      </c>
      <c r="E493" s="5">
        <f t="shared" si="189"/>
        <v>0</v>
      </c>
      <c r="F493" s="80">
        <f>'DATA B1'!E494</f>
        <v>524526</v>
      </c>
      <c r="G493" s="80">
        <f t="shared" si="184"/>
        <v>0</v>
      </c>
      <c r="H493" s="28">
        <f t="shared" si="180"/>
        <v>0</v>
      </c>
      <c r="I493" s="45">
        <f>IFERROR((('DATA B1'!G494-'DATA B1'!G493)/('WATER_STEAM RATIO'!D493-'WATER_STEAM RATIO'!D492))*1000,0)</f>
        <v>0</v>
      </c>
      <c r="J493" s="50">
        <f>'DATA B2'!D494</f>
        <v>515358</v>
      </c>
      <c r="K493" s="82">
        <f t="shared" si="185"/>
        <v>0</v>
      </c>
      <c r="L493" s="80">
        <f>'DATA B2'!E494</f>
        <v>573822</v>
      </c>
      <c r="M493" s="80">
        <f t="shared" si="186"/>
        <v>0</v>
      </c>
      <c r="N493" s="28">
        <f>IFERROR(M493/K493,0)</f>
        <v>0</v>
      </c>
      <c r="O493" s="51">
        <f>IFERROR((('DATA B2'!F494-'DATA B2'!F493)/(K493))*1000,0)</f>
        <v>0</v>
      </c>
      <c r="P493" s="94">
        <f>'DATA B3'!C494</f>
        <v>221305</v>
      </c>
      <c r="Q493" s="91">
        <f t="shared" si="187"/>
        <v>10</v>
      </c>
      <c r="R493" s="80">
        <f>'DATA B3'!D494</f>
        <v>165913</v>
      </c>
      <c r="S493" s="80">
        <f t="shared" si="188"/>
        <v>10</v>
      </c>
      <c r="T493" s="15">
        <f t="shared" si="183"/>
        <v>1</v>
      </c>
      <c r="U493" s="15">
        <f>IFERROR((('DATA B3'!E494-'DATA B3'!E493)+('DATA B3'!F494-'DATA B3'!F493))/('WATER_STEAM RATIO'!P493-'WATER_STEAM RATIO'!P492),0)</f>
        <v>9.4130000000000109</v>
      </c>
    </row>
    <row r="494" spans="2:21">
      <c r="B494" s="292"/>
      <c r="C494" s="97">
        <v>0.91666666666666596</v>
      </c>
      <c r="D494" s="84">
        <f>'DATA B1'!D495</f>
        <v>222134</v>
      </c>
      <c r="E494" s="5">
        <f t="shared" si="189"/>
        <v>0</v>
      </c>
      <c r="F494" s="80">
        <f>'DATA B1'!E495</f>
        <v>524526</v>
      </c>
      <c r="G494" s="80">
        <f t="shared" si="184"/>
        <v>0</v>
      </c>
      <c r="H494" s="28">
        <f t="shared" si="180"/>
        <v>0</v>
      </c>
      <c r="I494" s="45">
        <f>IFERROR((('DATA B1'!G495-'DATA B1'!G494)/('WATER_STEAM RATIO'!D494-'WATER_STEAM RATIO'!D493))*1000,0)</f>
        <v>0</v>
      </c>
      <c r="J494" s="50">
        <f>'DATA B2'!D495</f>
        <v>515358</v>
      </c>
      <c r="K494" s="82">
        <f t="shared" si="185"/>
        <v>0</v>
      </c>
      <c r="L494" s="80">
        <f>'DATA B2'!E495</f>
        <v>573822</v>
      </c>
      <c r="M494" s="80">
        <f t="shared" si="186"/>
        <v>0</v>
      </c>
      <c r="N494" s="28">
        <f t="shared" si="182"/>
        <v>0</v>
      </c>
      <c r="O494" s="51">
        <f>IFERROR((('DATA B2'!F495-'DATA B2'!F494)/(K494))*1000,0)</f>
        <v>0</v>
      </c>
      <c r="P494" s="94">
        <f>'DATA B3'!C495</f>
        <v>221316</v>
      </c>
      <c r="Q494" s="91">
        <f t="shared" si="187"/>
        <v>11</v>
      </c>
      <c r="R494" s="80">
        <f>'DATA B3'!D495</f>
        <v>165923</v>
      </c>
      <c r="S494" s="80">
        <f t="shared" si="188"/>
        <v>10</v>
      </c>
      <c r="T494" s="15">
        <f t="shared" si="183"/>
        <v>0.90909090909090906</v>
      </c>
      <c r="U494" s="15">
        <f>IFERROR((('DATA B3'!E495-'DATA B3'!E494)+('DATA B3'!F495-'DATA B3'!F494))/('WATER_STEAM RATIO'!P494-'WATER_STEAM RATIO'!P493),0)</f>
        <v>1.4545454545454546</v>
      </c>
    </row>
    <row r="495" spans="2:21">
      <c r="B495" s="292"/>
      <c r="C495" s="97">
        <v>0.95833333333333304</v>
      </c>
      <c r="D495" s="84">
        <f>'DATA B1'!D496</f>
        <v>222134</v>
      </c>
      <c r="E495" s="5">
        <f t="shared" si="189"/>
        <v>0</v>
      </c>
      <c r="F495" s="80">
        <f>'DATA B1'!E496</f>
        <v>524526</v>
      </c>
      <c r="G495" s="80">
        <f t="shared" si="184"/>
        <v>0</v>
      </c>
      <c r="H495" s="28">
        <f t="shared" si="180"/>
        <v>0</v>
      </c>
      <c r="I495" s="45">
        <f>IFERROR((('DATA B1'!G496-'DATA B1'!G495)/('WATER_STEAM RATIO'!D495-'WATER_STEAM RATIO'!D494))*1000,0)</f>
        <v>0</v>
      </c>
      <c r="J495" s="50">
        <f>'DATA B2'!D496</f>
        <v>515358</v>
      </c>
      <c r="K495" s="82">
        <f>SUM(J495-J494)</f>
        <v>0</v>
      </c>
      <c r="L495" s="80">
        <f>'DATA B2'!E496</f>
        <v>573822</v>
      </c>
      <c r="M495" s="80">
        <f t="shared" si="186"/>
        <v>0</v>
      </c>
      <c r="N495" s="28">
        <f t="shared" si="182"/>
        <v>0</v>
      </c>
      <c r="O495" s="51">
        <f>IFERROR((('DATA B2'!F496-'DATA B2'!F495)/(K495))*1000,0)</f>
        <v>0</v>
      </c>
      <c r="P495" s="94">
        <f>'DATA B3'!C496</f>
        <v>221327</v>
      </c>
      <c r="Q495" s="91">
        <f t="shared" si="187"/>
        <v>11</v>
      </c>
      <c r="R495" s="80">
        <f>'DATA B3'!D496</f>
        <v>165934</v>
      </c>
      <c r="S495" s="80">
        <f t="shared" si="188"/>
        <v>11</v>
      </c>
      <c r="T495" s="15">
        <f t="shared" si="183"/>
        <v>1</v>
      </c>
      <c r="U495" s="15">
        <f>IFERROR((('DATA B3'!E496-'DATA B3'!E495)+('DATA B3'!F496-'DATA B3'!F495))/('WATER_STEAM RATIO'!P495-'WATER_STEAM RATIO'!P494),0)</f>
        <v>1.4545454545454546</v>
      </c>
    </row>
    <row r="496" spans="2:21">
      <c r="B496" s="292"/>
      <c r="C496" s="97">
        <v>1</v>
      </c>
      <c r="D496" s="84">
        <f>'DATA B1'!D497</f>
        <v>222134</v>
      </c>
      <c r="E496" s="5">
        <f t="shared" si="189"/>
        <v>0</v>
      </c>
      <c r="F496" s="80">
        <f>'DATA B1'!E497</f>
        <v>524526</v>
      </c>
      <c r="G496" s="80">
        <f t="shared" si="184"/>
        <v>0</v>
      </c>
      <c r="H496" s="28">
        <f t="shared" si="180"/>
        <v>0</v>
      </c>
      <c r="I496" s="45">
        <f>IFERROR((('DATA B1'!G497-'DATA B1'!G496)/('WATER_STEAM RATIO'!D496-'WATER_STEAM RATIO'!D495))*1000,0)</f>
        <v>0</v>
      </c>
      <c r="J496" s="50">
        <f>'DATA B2'!D497</f>
        <v>515358</v>
      </c>
      <c r="K496" s="82">
        <f t="shared" si="185"/>
        <v>0</v>
      </c>
      <c r="L496" s="80">
        <f>'DATA B2'!E497</f>
        <v>573822</v>
      </c>
      <c r="M496" s="80">
        <f t="shared" si="186"/>
        <v>0</v>
      </c>
      <c r="N496" s="28">
        <f t="shared" si="182"/>
        <v>0</v>
      </c>
      <c r="O496" s="51">
        <f>IFERROR((('DATA B2'!F497-'DATA B2'!F496)/(K496))*1000,0)</f>
        <v>0</v>
      </c>
      <c r="P496" s="94">
        <f>'DATA B3'!C497</f>
        <v>221338</v>
      </c>
      <c r="Q496" s="91">
        <f t="shared" si="187"/>
        <v>11</v>
      </c>
      <c r="R496" s="80">
        <f>'DATA B3'!D497</f>
        <v>165945</v>
      </c>
      <c r="S496" s="80">
        <f t="shared" si="188"/>
        <v>11</v>
      </c>
      <c r="T496" s="15">
        <f t="shared" si="183"/>
        <v>1</v>
      </c>
      <c r="U496" s="15">
        <f>IFERROR((('DATA B3'!E497-'DATA B3'!E496)+('DATA B3'!F497-'DATA B3'!F496))/('WATER_STEAM RATIO'!P496-'WATER_STEAM RATIO'!P495),0)</f>
        <v>1.4545454545454546</v>
      </c>
    </row>
    <row r="497" spans="2:21">
      <c r="B497" s="292"/>
      <c r="C497" s="97">
        <v>1.0416666666666701</v>
      </c>
      <c r="D497" s="84">
        <f>'DATA B1'!D498</f>
        <v>222134</v>
      </c>
      <c r="E497" s="5">
        <f t="shared" si="189"/>
        <v>0</v>
      </c>
      <c r="F497" s="80">
        <f>'DATA B1'!E498</f>
        <v>524526</v>
      </c>
      <c r="G497" s="80">
        <f t="shared" si="184"/>
        <v>0</v>
      </c>
      <c r="H497" s="28">
        <f t="shared" si="180"/>
        <v>0</v>
      </c>
      <c r="I497" s="45">
        <f>IFERROR((('DATA B1'!G498-'DATA B1'!G497)/('WATER_STEAM RATIO'!D497-'WATER_STEAM RATIO'!D496))*1000,0)</f>
        <v>0</v>
      </c>
      <c r="J497" s="50">
        <f>'DATA B2'!D498</f>
        <v>515358</v>
      </c>
      <c r="K497" s="82">
        <f t="shared" si="185"/>
        <v>0</v>
      </c>
      <c r="L497" s="80">
        <f>'DATA B2'!E498</f>
        <v>573822</v>
      </c>
      <c r="M497" s="80">
        <f t="shared" si="186"/>
        <v>0</v>
      </c>
      <c r="N497" s="28">
        <f t="shared" si="182"/>
        <v>0</v>
      </c>
      <c r="O497" s="51">
        <f>IFERROR((('DATA B2'!F498-'DATA B2'!F497)/(K497))*1000,0)</f>
        <v>0</v>
      </c>
      <c r="P497" s="94">
        <f>'DATA B3'!C498</f>
        <v>221349</v>
      </c>
      <c r="Q497" s="91">
        <f t="shared" si="187"/>
        <v>11</v>
      </c>
      <c r="R497" s="80">
        <f>'DATA B3'!D498</f>
        <v>165956</v>
      </c>
      <c r="S497" s="80">
        <f t="shared" si="188"/>
        <v>11</v>
      </c>
      <c r="T497" s="15">
        <f t="shared" si="183"/>
        <v>1</v>
      </c>
      <c r="U497" s="15">
        <f>IFERROR((('DATA B3'!E498-'DATA B3'!E497)+('DATA B3'!F498-'DATA B3'!F497))/('WATER_STEAM RATIO'!P497-'WATER_STEAM RATIO'!P496),0)</f>
        <v>1.4545454545454546</v>
      </c>
    </row>
    <row r="498" spans="2:21">
      <c r="B498" s="292"/>
      <c r="C498" s="97">
        <v>1.0833333333333399</v>
      </c>
      <c r="D498" s="84">
        <f>'DATA B1'!D499</f>
        <v>222134</v>
      </c>
      <c r="E498" s="5">
        <f>SUM(D498-D497)</f>
        <v>0</v>
      </c>
      <c r="F498" s="80">
        <f>'DATA B1'!E499</f>
        <v>524526</v>
      </c>
      <c r="G498" s="80">
        <f t="shared" si="184"/>
        <v>0</v>
      </c>
      <c r="H498" s="28">
        <f t="shared" si="180"/>
        <v>0</v>
      </c>
      <c r="I498" s="45">
        <f>IFERROR((('DATA B1'!G499-'DATA B1'!G498)/('WATER_STEAM RATIO'!D498-'WATER_STEAM RATIO'!D497))*1000,0)</f>
        <v>0</v>
      </c>
      <c r="J498" s="50">
        <f>'DATA B2'!D499</f>
        <v>515358</v>
      </c>
      <c r="K498" s="82">
        <f t="shared" si="185"/>
        <v>0</v>
      </c>
      <c r="L498" s="80">
        <f>'DATA B2'!E499</f>
        <v>573822</v>
      </c>
      <c r="M498" s="80">
        <f t="shared" si="186"/>
        <v>0</v>
      </c>
      <c r="N498" s="28">
        <f t="shared" si="182"/>
        <v>0</v>
      </c>
      <c r="O498" s="51">
        <f>IFERROR((('DATA B2'!F499-'DATA B2'!F498)/(K498))*1000,0)</f>
        <v>0</v>
      </c>
      <c r="P498" s="94">
        <f>'DATA B3'!C499</f>
        <v>221359</v>
      </c>
      <c r="Q498" s="91">
        <f>SUM(P498-P497)</f>
        <v>10</v>
      </c>
      <c r="R498" s="80">
        <f>'DATA B3'!D499</f>
        <v>165966</v>
      </c>
      <c r="S498" s="80">
        <f t="shared" si="188"/>
        <v>10</v>
      </c>
      <c r="T498" s="15">
        <f t="shared" si="183"/>
        <v>1</v>
      </c>
      <c r="U498" s="15">
        <f>IFERROR((('DATA B3'!E499-'DATA B3'!E498)+('DATA B3'!F499-'DATA B3'!F498))/('WATER_STEAM RATIO'!P498-'WATER_STEAM RATIO'!P497),0)</f>
        <v>1.6</v>
      </c>
    </row>
    <row r="499" spans="2:21">
      <c r="B499" s="292"/>
      <c r="C499" s="97">
        <v>1.125</v>
      </c>
      <c r="D499" s="84">
        <f>'DATA B1'!D500</f>
        <v>222134</v>
      </c>
      <c r="E499" s="5">
        <f t="shared" si="189"/>
        <v>0</v>
      </c>
      <c r="F499" s="80">
        <f>'DATA B1'!E500</f>
        <v>524526</v>
      </c>
      <c r="G499" s="80">
        <f t="shared" si="184"/>
        <v>0</v>
      </c>
      <c r="H499" s="28">
        <f t="shared" si="180"/>
        <v>0</v>
      </c>
      <c r="I499" s="45">
        <f>IFERROR((('DATA B1'!G500-'DATA B1'!G499)/('WATER_STEAM RATIO'!D499-'WATER_STEAM RATIO'!D498))*1000,0)</f>
        <v>0</v>
      </c>
      <c r="J499" s="50">
        <f>'DATA B2'!D500</f>
        <v>515358</v>
      </c>
      <c r="K499" s="82">
        <f t="shared" si="185"/>
        <v>0</v>
      </c>
      <c r="L499" s="80">
        <f>'DATA B2'!E500</f>
        <v>573822</v>
      </c>
      <c r="M499" s="80">
        <f t="shared" si="186"/>
        <v>0</v>
      </c>
      <c r="N499" s="28">
        <f t="shared" si="182"/>
        <v>0</v>
      </c>
      <c r="O499" s="51">
        <f>IFERROR((('DATA B2'!F500-'DATA B2'!F499)/(K499))*1000,0)</f>
        <v>0</v>
      </c>
      <c r="P499" s="94">
        <f>'DATA B3'!C500</f>
        <v>221371</v>
      </c>
      <c r="Q499" s="91">
        <f t="shared" si="187"/>
        <v>12</v>
      </c>
      <c r="R499" s="80">
        <f>'DATA B3'!D500</f>
        <v>165978</v>
      </c>
      <c r="S499" s="80">
        <f t="shared" si="188"/>
        <v>12</v>
      </c>
      <c r="T499" s="15">
        <f t="shared" si="183"/>
        <v>1</v>
      </c>
      <c r="U499" s="15">
        <f>IFERROR((('DATA B3'!E500-'DATA B3'!E499)+('DATA B3'!F500-'DATA B3'!F499))/('WATER_STEAM RATIO'!P499-'WATER_STEAM RATIO'!P498),0)</f>
        <v>1.3333333333333333</v>
      </c>
    </row>
    <row r="500" spans="2:21">
      <c r="B500" s="292"/>
      <c r="C500" s="97">
        <v>1.1666666666666701</v>
      </c>
      <c r="D500" s="84">
        <f>'DATA B1'!D501</f>
        <v>222134</v>
      </c>
      <c r="E500" s="5">
        <f t="shared" si="189"/>
        <v>0</v>
      </c>
      <c r="F500" s="80">
        <f>'DATA B1'!E501</f>
        <v>524526</v>
      </c>
      <c r="G500" s="80">
        <f t="shared" si="184"/>
        <v>0</v>
      </c>
      <c r="H500" s="28">
        <f t="shared" si="180"/>
        <v>0</v>
      </c>
      <c r="I500" s="45">
        <f>IFERROR((('DATA B1'!G501-'DATA B1'!G500)/('WATER_STEAM RATIO'!D500-'WATER_STEAM RATIO'!D499))*1000,0)</f>
        <v>0</v>
      </c>
      <c r="J500" s="50">
        <f>'DATA B2'!D501</f>
        <v>515358</v>
      </c>
      <c r="K500" s="82">
        <f t="shared" si="185"/>
        <v>0</v>
      </c>
      <c r="L500" s="80">
        <f>'DATA B2'!E501</f>
        <v>573822</v>
      </c>
      <c r="M500" s="80">
        <f t="shared" si="186"/>
        <v>0</v>
      </c>
      <c r="N500" s="28">
        <f t="shared" si="182"/>
        <v>0</v>
      </c>
      <c r="O500" s="51">
        <f>IFERROR((('DATA B2'!F501-'DATA B2'!F500)/(K500))*1000,0)</f>
        <v>0</v>
      </c>
      <c r="P500" s="94">
        <f>'DATA B3'!C501</f>
        <v>221385</v>
      </c>
      <c r="Q500" s="91">
        <f t="shared" si="187"/>
        <v>14</v>
      </c>
      <c r="R500" s="80">
        <f>'DATA B3'!D501</f>
        <v>165991</v>
      </c>
      <c r="S500" s="80">
        <f t="shared" si="188"/>
        <v>13</v>
      </c>
      <c r="T500" s="15">
        <f t="shared" si="183"/>
        <v>0.9285714285714286</v>
      </c>
      <c r="U500" s="15">
        <f>IFERROR((('DATA B3'!E501-'DATA B3'!E500)+('DATA B3'!F501-'DATA B3'!F500))/('WATER_STEAM RATIO'!P500-'WATER_STEAM RATIO'!P499),0)</f>
        <v>1.1428571428571428</v>
      </c>
    </row>
    <row r="501" spans="2:21">
      <c r="B501" s="292"/>
      <c r="C501" s="97">
        <v>1.2083333333333399</v>
      </c>
      <c r="D501" s="84">
        <f>'DATA B1'!D502</f>
        <v>222134</v>
      </c>
      <c r="E501" s="5">
        <f t="shared" si="189"/>
        <v>0</v>
      </c>
      <c r="F501" s="80">
        <f>'DATA B1'!E502</f>
        <v>524526</v>
      </c>
      <c r="G501" s="80">
        <f t="shared" si="184"/>
        <v>0</v>
      </c>
      <c r="H501" s="28">
        <f t="shared" si="180"/>
        <v>0</v>
      </c>
      <c r="I501" s="45">
        <f>IFERROR((('DATA B1'!G502-'DATA B1'!G501)/('WATER_STEAM RATIO'!D501-'WATER_STEAM RATIO'!D500))*1000,0)</f>
        <v>0</v>
      </c>
      <c r="J501" s="50">
        <f>'DATA B2'!D502</f>
        <v>515358</v>
      </c>
      <c r="K501" s="82">
        <f t="shared" si="185"/>
        <v>0</v>
      </c>
      <c r="L501" s="80">
        <f>'DATA B2'!E502</f>
        <v>573822</v>
      </c>
      <c r="M501" s="80">
        <f t="shared" si="186"/>
        <v>0</v>
      </c>
      <c r="N501" s="28">
        <f t="shared" si="182"/>
        <v>0</v>
      </c>
      <c r="O501" s="51">
        <f>IFERROR((('DATA B2'!F502-'DATA B2'!F501)/(K501))*1000,0)</f>
        <v>0</v>
      </c>
      <c r="P501" s="94">
        <f>'DATA B3'!C502</f>
        <v>221399</v>
      </c>
      <c r="Q501" s="91">
        <f t="shared" si="187"/>
        <v>14</v>
      </c>
      <c r="R501" s="80">
        <f>'DATA B3'!D502</f>
        <v>166004</v>
      </c>
      <c r="S501" s="80">
        <f t="shared" si="188"/>
        <v>13</v>
      </c>
      <c r="T501" s="15">
        <f t="shared" si="183"/>
        <v>0.9285714285714286</v>
      </c>
      <c r="U501" s="15">
        <f>IFERROR((('DATA B3'!E502-'DATA B3'!E501)+('DATA B3'!F502-'DATA B3'!F501))/('WATER_STEAM RATIO'!P501-'WATER_STEAM RATIO'!P500),0)</f>
        <v>1.1428571428571428</v>
      </c>
    </row>
    <row r="502" spans="2:21">
      <c r="B502" s="292"/>
      <c r="C502" s="97">
        <v>1.25</v>
      </c>
      <c r="D502" s="84">
        <f>'DATA B1'!D503</f>
        <v>222134</v>
      </c>
      <c r="E502" s="5">
        <f t="shared" si="189"/>
        <v>0</v>
      </c>
      <c r="F502" s="80">
        <f>'DATA B1'!E503</f>
        <v>524526</v>
      </c>
      <c r="G502" s="80">
        <f t="shared" si="184"/>
        <v>0</v>
      </c>
      <c r="H502" s="28">
        <f t="shared" si="180"/>
        <v>0</v>
      </c>
      <c r="I502" s="45">
        <f>IFERROR((('DATA B1'!G503-'DATA B1'!G502)/('WATER_STEAM RATIO'!D502-'WATER_STEAM RATIO'!D501))*1000,0)</f>
        <v>0</v>
      </c>
      <c r="J502" s="50">
        <f>'DATA B2'!D503</f>
        <v>515358</v>
      </c>
      <c r="K502" s="82">
        <f t="shared" si="185"/>
        <v>0</v>
      </c>
      <c r="L502" s="80">
        <f>'DATA B2'!E503</f>
        <v>573822</v>
      </c>
      <c r="M502" s="80">
        <f t="shared" si="186"/>
        <v>0</v>
      </c>
      <c r="N502" s="28">
        <f t="shared" si="182"/>
        <v>0</v>
      </c>
      <c r="O502" s="51">
        <f>IFERROR((('DATA B2'!F503-'DATA B2'!F502)/(K502))*1000,0)</f>
        <v>0</v>
      </c>
      <c r="P502" s="94">
        <f>'DATA B3'!C503</f>
        <v>221413</v>
      </c>
      <c r="Q502" s="91">
        <f t="shared" si="187"/>
        <v>14</v>
      </c>
      <c r="R502" s="80">
        <f>'DATA B3'!D503</f>
        <v>166017</v>
      </c>
      <c r="S502" s="80">
        <f t="shared" si="188"/>
        <v>13</v>
      </c>
      <c r="T502" s="15">
        <f t="shared" si="183"/>
        <v>0.9285714285714286</v>
      </c>
      <c r="U502" s="15">
        <f>IFERROR((('DATA B3'!E503-'DATA B3'!E502)+('DATA B3'!F503-'DATA B3'!F502))/('WATER_STEAM RATIO'!P502-'WATER_STEAM RATIO'!P501),0)</f>
        <v>1.1428571428571428</v>
      </c>
    </row>
    <row r="503" spans="2:21">
      <c r="B503" s="292"/>
      <c r="C503" s="97">
        <v>1.2916666666666701</v>
      </c>
      <c r="D503" s="84">
        <f>'DATA B1'!D504</f>
        <v>222134</v>
      </c>
      <c r="E503" s="5">
        <f t="shared" si="189"/>
        <v>0</v>
      </c>
      <c r="F503" s="80">
        <f>'DATA B1'!E504</f>
        <v>524526</v>
      </c>
      <c r="G503" s="80">
        <f t="shared" si="184"/>
        <v>0</v>
      </c>
      <c r="H503" s="28">
        <f t="shared" si="180"/>
        <v>0</v>
      </c>
      <c r="I503" s="45">
        <f>IFERROR((('DATA B1'!G504-'DATA B1'!G503)/('WATER_STEAM RATIO'!D503-'WATER_STEAM RATIO'!D502))*1000,0)</f>
        <v>0</v>
      </c>
      <c r="J503" s="50">
        <f>'DATA B2'!D504</f>
        <v>515358</v>
      </c>
      <c r="K503" s="82">
        <f>SUM(J503-J502)</f>
        <v>0</v>
      </c>
      <c r="L503" s="80">
        <f>'DATA B2'!E504</f>
        <v>573822</v>
      </c>
      <c r="M503" s="80">
        <f t="shared" si="186"/>
        <v>0</v>
      </c>
      <c r="N503" s="28">
        <f t="shared" si="182"/>
        <v>0</v>
      </c>
      <c r="O503" s="51">
        <f>IFERROR((('DATA B2'!F504-'DATA B2'!F503)/(K503))*1000,0)</f>
        <v>0</v>
      </c>
      <c r="P503" s="94">
        <f>'DATA B3'!C504</f>
        <v>221427</v>
      </c>
      <c r="Q503" s="91">
        <f t="shared" si="187"/>
        <v>14</v>
      </c>
      <c r="R503" s="80">
        <f>'DATA B3'!D504</f>
        <v>166031</v>
      </c>
      <c r="S503" s="80">
        <f t="shared" si="188"/>
        <v>14</v>
      </c>
      <c r="T503" s="15">
        <f t="shared" si="183"/>
        <v>1</v>
      </c>
      <c r="U503" s="15">
        <f>IFERROR((('DATA B3'!E504-'DATA B3'!E503)+('DATA B3'!F504-'DATA B3'!F503))/('WATER_STEAM RATIO'!P503-'WATER_STEAM RATIO'!P502),0)</f>
        <v>18.992142857142863</v>
      </c>
    </row>
    <row r="504" spans="2:21" ht="15.75" thickBot="1">
      <c r="B504" s="293"/>
      <c r="C504" s="235"/>
      <c r="D504" s="224" cm="1">
        <f t="array" ref="D504">IFERROR(LOOKUP(2,1/(D479:D503&gt;0),D479:D503-D479),0)</f>
        <v>0</v>
      </c>
      <c r="E504" s="223">
        <f>SUMIF(E480:E503,"&gt;=0",E480:E503)</f>
        <v>0</v>
      </c>
      <c r="F504" s="224" cm="1">
        <f t="array" ref="F504">IFERROR(LOOKUP(2,1/(F479:F503&gt;0),F479:F503-F479),0)</f>
        <v>0</v>
      </c>
      <c r="G504" s="223">
        <f>SUMIF(G480:G503,"&gt;=0",G480:G503)</f>
        <v>0</v>
      </c>
      <c r="H504" s="225">
        <f t="shared" si="180"/>
        <v>0</v>
      </c>
      <c r="I504" s="236">
        <f>IFERROR((('DATA B1'!H505)/(E504))*1000,0)</f>
        <v>0</v>
      </c>
      <c r="J504" s="222" cm="1">
        <f t="array" ref="J504">IFERROR(LOOKUP(2,1/(J479:J503&gt;0),J479:J503-J479),0)</f>
        <v>34</v>
      </c>
      <c r="K504" s="223">
        <f>SUMIF(K480:K503,"&gt;=0",K480:K503)</f>
        <v>34</v>
      </c>
      <c r="L504" s="224" cm="1">
        <f t="array" ref="L504">IFERROR(LOOKUP(2,1/(L479:L503&gt;0),L479:L503-L479),0)</f>
        <v>39</v>
      </c>
      <c r="M504" s="223">
        <f>SUMIF(M480:M503,"&gt;=0",M480:M503)</f>
        <v>39</v>
      </c>
      <c r="N504" s="225">
        <f>IFERROR(M504/K504,0)</f>
        <v>1.1470588235294117</v>
      </c>
      <c r="O504" s="226">
        <f>IFERROR((('DATA B2'!H505)/(K504))*1000,0)</f>
        <v>2.9411764705879113E-3</v>
      </c>
      <c r="P504" s="224" cm="1">
        <f t="array" ref="P504">IFERROR(LOOKUP(2,1/(P479:P503&gt;0),P479:P503-P479),0)</f>
        <v>221</v>
      </c>
      <c r="Q504" s="223">
        <f>SUMIF(Q480:Q503,"&gt;=0",Q480:Q503)</f>
        <v>221</v>
      </c>
      <c r="R504" s="224" cm="1">
        <f t="array" ref="R504">IFERROR(LOOKUP(2,1/(R479:R503&gt;0),R479:R503-R479),0)</f>
        <v>219</v>
      </c>
      <c r="S504" s="223">
        <f>SUMIF(S480:S503,"&gt;=0",S480:S503)</f>
        <v>219</v>
      </c>
      <c r="T504" s="237">
        <f t="shared" si="183"/>
        <v>0.99095022624434392</v>
      </c>
      <c r="U504" s="226">
        <f>IFERROR(('DATA B3'!E505+'DATA B3'!F505)/Q504*1000,0)</f>
        <v>4528.8235294117649</v>
      </c>
    </row>
    <row r="505" spans="2:21" ht="15" customHeight="1">
      <c r="B505" s="291">
        <f>SUM('DATA B1'!B506:B531)</f>
        <v>46042</v>
      </c>
      <c r="C505" s="97">
        <v>0.29166666666666669</v>
      </c>
      <c r="D505" s="84">
        <f>'DATA B1'!D506</f>
        <v>222134</v>
      </c>
      <c r="E505" s="5">
        <f>SUM(E503)</f>
        <v>0</v>
      </c>
      <c r="F505" s="80">
        <f>'DATA B1'!E506</f>
        <v>524526</v>
      </c>
      <c r="G505" s="80">
        <f>SUM(G503)</f>
        <v>0</v>
      </c>
      <c r="H505" s="28">
        <f t="shared" si="180"/>
        <v>0</v>
      </c>
      <c r="I505" s="45"/>
      <c r="J505" s="50">
        <f>'DATA B2'!D506</f>
        <v>515358</v>
      </c>
      <c r="K505" s="82">
        <f>SUM(K503)</f>
        <v>0</v>
      </c>
      <c r="L505" s="80">
        <f>'DATA B2'!E506</f>
        <v>573822</v>
      </c>
      <c r="M505" s="80">
        <f>SUM(M503)</f>
        <v>0</v>
      </c>
      <c r="N505" s="28">
        <f>IFERROR(M505/K505,0)</f>
        <v>0</v>
      </c>
      <c r="O505" s="103"/>
      <c r="P505" s="94">
        <f>'DATA B3'!C506</f>
        <v>221427</v>
      </c>
      <c r="Q505" s="91">
        <f>SUM(Q503)</f>
        <v>14</v>
      </c>
      <c r="R505" s="80">
        <f>'DATA B3'!D506</f>
        <v>166031</v>
      </c>
      <c r="S505" s="80">
        <f>SUM(S503)</f>
        <v>14</v>
      </c>
      <c r="T505" s="15">
        <f>IFERROR(S505/Q505,0)</f>
        <v>1</v>
      </c>
      <c r="U505" s="15"/>
    </row>
    <row r="506" spans="2:21">
      <c r="B506" s="292"/>
      <c r="C506" s="97">
        <v>0.33333333333333298</v>
      </c>
      <c r="D506" s="84">
        <f>'DATA B1'!D507</f>
        <v>222134</v>
      </c>
      <c r="E506" s="5">
        <f t="shared" ref="E506:E512" si="190">SUM(D506-D505)</f>
        <v>0</v>
      </c>
      <c r="F506" s="80">
        <f>'DATA B1'!E507</f>
        <v>524526</v>
      </c>
      <c r="G506" s="80">
        <f>SUM(F506-F505)</f>
        <v>0</v>
      </c>
      <c r="H506" s="28">
        <f t="shared" si="180"/>
        <v>0</v>
      </c>
      <c r="I506" s="45">
        <f>IFERROR((('DATA B1'!G507-'DATA B1'!G506)/('WATER_STEAM RATIO'!D506-'WATER_STEAM RATIO'!D505))*1000,0)</f>
        <v>0</v>
      </c>
      <c r="J506" s="50">
        <f>'DATA B2'!D507</f>
        <v>515358</v>
      </c>
      <c r="K506" s="82">
        <f>SUM(J506-J505)</f>
        <v>0</v>
      </c>
      <c r="L506" s="80">
        <f>'DATA B2'!E507</f>
        <v>573822</v>
      </c>
      <c r="M506" s="80">
        <f>SUM(L506-L505)</f>
        <v>0</v>
      </c>
      <c r="N506" s="28">
        <f t="shared" ref="N506:N529" si="191">IFERROR(M506/K506,0)</f>
        <v>0</v>
      </c>
      <c r="O506" s="51">
        <f>IFERROR((('DATA B2'!F507-'DATA B2'!F506)/(K506))*1000,0)</f>
        <v>0</v>
      </c>
      <c r="P506" s="94">
        <f>'DATA B3'!C507</f>
        <v>221441</v>
      </c>
      <c r="Q506" s="91">
        <f>SUM(P506-P505)</f>
        <v>14</v>
      </c>
      <c r="R506" s="80">
        <f>'DATA B3'!D507</f>
        <v>166045</v>
      </c>
      <c r="S506" s="80">
        <f>SUM(R506-R505)</f>
        <v>14</v>
      </c>
      <c r="T506" s="15">
        <f t="shared" ref="T506:T530" si="192">IFERROR(S506/Q506,0)</f>
        <v>1</v>
      </c>
      <c r="U506" s="15">
        <f>IFERROR((('DATA B3'!E507-'DATA B3'!E506)+('DATA B3'!F507-'DATA B3'!F506))/('WATER_STEAM RATIO'!P506-'WATER_STEAM RATIO'!P505),0)</f>
        <v>3.9414285714285597</v>
      </c>
    </row>
    <row r="507" spans="2:21">
      <c r="B507" s="292"/>
      <c r="C507" s="97">
        <v>0.375</v>
      </c>
      <c r="D507" s="84">
        <f>'DATA B1'!D508</f>
        <v>222134</v>
      </c>
      <c r="E507" s="5">
        <f t="shared" si="190"/>
        <v>0</v>
      </c>
      <c r="F507" s="80">
        <f>'DATA B1'!E508</f>
        <v>524526</v>
      </c>
      <c r="G507" s="80">
        <f t="shared" ref="G507:G529" si="193">SUM(F507-F506)</f>
        <v>0</v>
      </c>
      <c r="H507" s="28">
        <f t="shared" si="180"/>
        <v>0</v>
      </c>
      <c r="I507" s="45">
        <f>IFERROR((('DATA B1'!G508-'DATA B1'!G507)/('WATER_STEAM RATIO'!D507-'WATER_STEAM RATIO'!D506))*1000,0)</f>
        <v>0</v>
      </c>
      <c r="J507" s="50">
        <f>'DATA B2'!D508</f>
        <v>515358</v>
      </c>
      <c r="K507" s="82">
        <f t="shared" ref="K507:K528" si="194">SUM(J507-J506)</f>
        <v>0</v>
      </c>
      <c r="L507" s="80">
        <f>'DATA B2'!E508</f>
        <v>573822</v>
      </c>
      <c r="M507" s="80">
        <f t="shared" ref="M507:M529" si="195">SUM(L507-L506)</f>
        <v>0</v>
      </c>
      <c r="N507" s="28">
        <f t="shared" si="191"/>
        <v>0</v>
      </c>
      <c r="O507" s="51">
        <f>IFERROR((('DATA B2'!F508-'DATA B2'!F507)/(K507))*1000,0)</f>
        <v>0</v>
      </c>
      <c r="P507" s="94">
        <f>'DATA B3'!C508</f>
        <v>221451</v>
      </c>
      <c r="Q507" s="91">
        <f t="shared" ref="Q507:Q529" si="196">SUM(P507-P506)</f>
        <v>10</v>
      </c>
      <c r="R507" s="80">
        <f>'DATA B3'!D508</f>
        <v>166055</v>
      </c>
      <c r="S507" s="80">
        <f t="shared" ref="S507:S529" si="197">SUM(R507-R506)</f>
        <v>10</v>
      </c>
      <c r="T507" s="15">
        <f t="shared" si="192"/>
        <v>1</v>
      </c>
      <c r="U507" s="15">
        <f>IFERROR((('DATA B3'!E508-'DATA B3'!E507)+('DATA B3'!F508-'DATA B3'!F507))/('WATER_STEAM RATIO'!P507-'WATER_STEAM RATIO'!P506),0)</f>
        <v>0.88899999999998724</v>
      </c>
    </row>
    <row r="508" spans="2:21">
      <c r="B508" s="292"/>
      <c r="C508" s="97">
        <v>0.41666666666666702</v>
      </c>
      <c r="D508" s="84">
        <f>'DATA B1'!D509</f>
        <v>222134</v>
      </c>
      <c r="E508" s="5">
        <f t="shared" si="190"/>
        <v>0</v>
      </c>
      <c r="F508" s="80">
        <f>'DATA B1'!E509</f>
        <v>524526</v>
      </c>
      <c r="G508" s="80">
        <f t="shared" si="193"/>
        <v>0</v>
      </c>
      <c r="H508" s="28">
        <f t="shared" si="180"/>
        <v>0</v>
      </c>
      <c r="I508" s="45">
        <f>IFERROR((('DATA B1'!G509-'DATA B1'!G508)/('WATER_STEAM RATIO'!D508-'WATER_STEAM RATIO'!D507))*1000,0)</f>
        <v>0</v>
      </c>
      <c r="J508" s="50">
        <f>'DATA B2'!D509</f>
        <v>515358</v>
      </c>
      <c r="K508" s="82">
        <f t="shared" si="194"/>
        <v>0</v>
      </c>
      <c r="L508" s="80">
        <f>'DATA B2'!E509</f>
        <v>573822</v>
      </c>
      <c r="M508" s="80">
        <f t="shared" si="195"/>
        <v>0</v>
      </c>
      <c r="N508" s="28">
        <f t="shared" si="191"/>
        <v>0</v>
      </c>
      <c r="O508" s="51">
        <f>IFERROR((('DATA B2'!F509-'DATA B2'!F508)/(K508))*1000,0)</f>
        <v>0</v>
      </c>
      <c r="P508" s="94">
        <f>'DATA B3'!C509</f>
        <v>221461</v>
      </c>
      <c r="Q508" s="91">
        <f t="shared" si="196"/>
        <v>10</v>
      </c>
      <c r="R508" s="80">
        <f>'DATA B3'!D509</f>
        <v>166065</v>
      </c>
      <c r="S508" s="80">
        <f t="shared" si="197"/>
        <v>10</v>
      </c>
      <c r="T508" s="15">
        <f t="shared" si="192"/>
        <v>1</v>
      </c>
      <c r="U508" s="15">
        <f>IFERROR((('DATA B3'!E509-'DATA B3'!E508)+('DATA B3'!F509-'DATA B3'!F508))/('WATER_STEAM RATIO'!P508-'WATER_STEAM RATIO'!P507),0)</f>
        <v>0.88900000000003276</v>
      </c>
    </row>
    <row r="509" spans="2:21">
      <c r="B509" s="292"/>
      <c r="C509" s="97">
        <v>0.45833333333333298</v>
      </c>
      <c r="D509" s="84">
        <f>'DATA B1'!D510</f>
        <v>222134</v>
      </c>
      <c r="E509" s="5">
        <f t="shared" si="190"/>
        <v>0</v>
      </c>
      <c r="F509" s="80">
        <f>'DATA B1'!E510</f>
        <v>524526</v>
      </c>
      <c r="G509" s="80">
        <f t="shared" si="193"/>
        <v>0</v>
      </c>
      <c r="H509" s="28">
        <f t="shared" si="180"/>
        <v>0</v>
      </c>
      <c r="I509" s="45">
        <f>IFERROR((('DATA B1'!G510-'DATA B1'!G509)/('WATER_STEAM RATIO'!D509-'WATER_STEAM RATIO'!D508))*1000,0)</f>
        <v>0</v>
      </c>
      <c r="J509" s="50">
        <f>'DATA B2'!D510</f>
        <v>515358</v>
      </c>
      <c r="K509" s="82">
        <f t="shared" si="194"/>
        <v>0</v>
      </c>
      <c r="L509" s="80">
        <f>'DATA B2'!E510</f>
        <v>573822</v>
      </c>
      <c r="M509" s="80">
        <f t="shared" si="195"/>
        <v>0</v>
      </c>
      <c r="N509" s="28">
        <f t="shared" si="191"/>
        <v>0</v>
      </c>
      <c r="O509" s="51">
        <f>IFERROR((('DATA B2'!F510-'DATA B2'!F509)/(K509))*1000,0)</f>
        <v>0</v>
      </c>
      <c r="P509" s="94">
        <f>'DATA B3'!C510</f>
        <v>221472</v>
      </c>
      <c r="Q509" s="91">
        <f t="shared" si="196"/>
        <v>11</v>
      </c>
      <c r="R509" s="80">
        <f>'DATA B3'!D510</f>
        <v>166075</v>
      </c>
      <c r="S509" s="80">
        <f t="shared" si="197"/>
        <v>10</v>
      </c>
      <c r="T509" s="15">
        <f t="shared" si="192"/>
        <v>0.90909090909090906</v>
      </c>
      <c r="U509" s="15">
        <f>IFERROR((('DATA B3'!E510-'DATA B3'!E509)+('DATA B3'!F510-'DATA B3'!F509))/('WATER_STEAM RATIO'!P509-'WATER_STEAM RATIO'!P508),0)</f>
        <v>9.730909090909087</v>
      </c>
    </row>
    <row r="510" spans="2:21">
      <c r="B510" s="292"/>
      <c r="C510" s="97">
        <v>0.5</v>
      </c>
      <c r="D510" s="84">
        <f>'DATA B1'!D511</f>
        <v>222134</v>
      </c>
      <c r="E510" s="5">
        <f t="shared" si="190"/>
        <v>0</v>
      </c>
      <c r="F510" s="80">
        <f>'DATA B1'!E511</f>
        <v>524526</v>
      </c>
      <c r="G510" s="80">
        <f t="shared" si="193"/>
        <v>0</v>
      </c>
      <c r="H510" s="28">
        <f t="shared" si="180"/>
        <v>0</v>
      </c>
      <c r="I510" s="45">
        <f>IFERROR((('DATA B1'!G511-'DATA B1'!G510)/('WATER_STEAM RATIO'!D510-'WATER_STEAM RATIO'!D509))*1000,0)</f>
        <v>0</v>
      </c>
      <c r="J510" s="50">
        <f>'DATA B2'!D511</f>
        <v>515358</v>
      </c>
      <c r="K510" s="82">
        <f t="shared" si="194"/>
        <v>0</v>
      </c>
      <c r="L510" s="80">
        <f>'DATA B2'!E511</f>
        <v>573822</v>
      </c>
      <c r="M510" s="80">
        <f t="shared" si="195"/>
        <v>0</v>
      </c>
      <c r="N510" s="28">
        <f t="shared" si="191"/>
        <v>0</v>
      </c>
      <c r="O510" s="51">
        <f>IFERROR((('DATA B2'!F511-'DATA B2'!F510)/(K510))*1000,0)</f>
        <v>0</v>
      </c>
      <c r="P510" s="94">
        <f>'DATA B3'!C511</f>
        <v>221484</v>
      </c>
      <c r="Q510" s="91">
        <f t="shared" si="196"/>
        <v>12</v>
      </c>
      <c r="R510" s="80">
        <f>'DATA B3'!D511</f>
        <v>166086</v>
      </c>
      <c r="S510" s="80">
        <f t="shared" si="197"/>
        <v>11</v>
      </c>
      <c r="T510" s="15">
        <f t="shared" si="192"/>
        <v>0.91666666666666663</v>
      </c>
      <c r="U510" s="15">
        <f>IFERROR((('DATA B3'!E511-'DATA B3'!E510)+('DATA B3'!F511-'DATA B3'!F510))/('WATER_STEAM RATIO'!P510-'WATER_STEAM RATIO'!P509),0)</f>
        <v>3.8099999999999832</v>
      </c>
    </row>
    <row r="511" spans="2:21">
      <c r="B511" s="292"/>
      <c r="C511" s="97">
        <v>0.54166666666666696</v>
      </c>
      <c r="D511" s="84">
        <f>'DATA B1'!D512</f>
        <v>222134</v>
      </c>
      <c r="E511" s="5">
        <f t="shared" si="190"/>
        <v>0</v>
      </c>
      <c r="F511" s="80">
        <f>'DATA B1'!E512</f>
        <v>524526</v>
      </c>
      <c r="G511" s="80">
        <f t="shared" si="193"/>
        <v>0</v>
      </c>
      <c r="H511" s="28">
        <f t="shared" si="180"/>
        <v>0</v>
      </c>
      <c r="I511" s="45">
        <f>IFERROR((('DATA B1'!G512-'DATA B1'!G511)/('WATER_STEAM RATIO'!D511-'WATER_STEAM RATIO'!D510))*1000,0)</f>
        <v>0</v>
      </c>
      <c r="J511" s="50">
        <f>'DATA B2'!D512</f>
        <v>515358</v>
      </c>
      <c r="K511" s="82">
        <f t="shared" si="194"/>
        <v>0</v>
      </c>
      <c r="L511" s="80">
        <f>'DATA B2'!E512</f>
        <v>573822</v>
      </c>
      <c r="M511" s="80">
        <f t="shared" si="195"/>
        <v>0</v>
      </c>
      <c r="N511" s="28">
        <f t="shared" si="191"/>
        <v>0</v>
      </c>
      <c r="O511" s="51">
        <f>IFERROR((('DATA B2'!F512-'DATA B2'!F511)/(K511))*1000,0)</f>
        <v>0</v>
      </c>
      <c r="P511" s="94">
        <f>'DATA B3'!C512</f>
        <v>221496</v>
      </c>
      <c r="Q511" s="91">
        <f t="shared" si="196"/>
        <v>12</v>
      </c>
      <c r="R511" s="80">
        <f>'DATA B3'!D512</f>
        <v>166097</v>
      </c>
      <c r="S511" s="80">
        <f t="shared" si="197"/>
        <v>11</v>
      </c>
      <c r="T511" s="15">
        <f t="shared" si="192"/>
        <v>0.91666666666666663</v>
      </c>
      <c r="U511" s="15">
        <f>IFERROR((('DATA B3'!E512-'DATA B3'!E511)+('DATA B3'!F512-'DATA B3'!F511))/('WATER_STEAM RATIO'!P511-'WATER_STEAM RATIO'!P510),0)</f>
        <v>3.8691666666666911</v>
      </c>
    </row>
    <row r="512" spans="2:21">
      <c r="B512" s="292"/>
      <c r="C512" s="97">
        <v>0.58333333333333304</v>
      </c>
      <c r="D512" s="84">
        <f>'DATA B1'!D513</f>
        <v>222134</v>
      </c>
      <c r="E512" s="5">
        <f t="shared" si="190"/>
        <v>0</v>
      </c>
      <c r="F512" s="80">
        <f>'DATA B1'!E513</f>
        <v>524526</v>
      </c>
      <c r="G512" s="80">
        <f t="shared" si="193"/>
        <v>0</v>
      </c>
      <c r="H512" s="28">
        <f t="shared" si="180"/>
        <v>0</v>
      </c>
      <c r="I512" s="45">
        <f>IFERROR((('DATA B1'!G513-'DATA B1'!G512)/('WATER_STEAM RATIO'!D512-'WATER_STEAM RATIO'!D511))*1000,0)</f>
        <v>0</v>
      </c>
      <c r="J512" s="50">
        <f>'DATA B2'!D513</f>
        <v>515358</v>
      </c>
      <c r="K512" s="82">
        <f t="shared" si="194"/>
        <v>0</v>
      </c>
      <c r="L512" s="80">
        <f>'DATA B2'!E513</f>
        <v>573822</v>
      </c>
      <c r="M512" s="80">
        <f t="shared" si="195"/>
        <v>0</v>
      </c>
      <c r="N512" s="28">
        <f t="shared" si="191"/>
        <v>0</v>
      </c>
      <c r="O512" s="51">
        <f>IFERROR((('DATA B2'!F513-'DATA B2'!F512)/(K512))*1000,0)</f>
        <v>0</v>
      </c>
      <c r="P512" s="94">
        <f>'DATA B3'!C513</f>
        <v>221508</v>
      </c>
      <c r="Q512" s="91">
        <f t="shared" si="196"/>
        <v>12</v>
      </c>
      <c r="R512" s="80">
        <f>'DATA B3'!D513</f>
        <v>166109</v>
      </c>
      <c r="S512" s="80">
        <f t="shared" si="197"/>
        <v>12</v>
      </c>
      <c r="T512" s="15">
        <f t="shared" si="192"/>
        <v>1</v>
      </c>
      <c r="U512" s="15">
        <f>IFERROR((('DATA B3'!E513-'DATA B3'!E512)+('DATA B3'!F513-'DATA B3'!F512))/('WATER_STEAM RATIO'!P512-'WATER_STEAM RATIO'!P511),0)</f>
        <v>3.8674999999999877</v>
      </c>
    </row>
    <row r="513" spans="2:21">
      <c r="B513" s="292"/>
      <c r="C513" s="97">
        <v>0.625</v>
      </c>
      <c r="D513" s="84">
        <f>'DATA B1'!D514</f>
        <v>222134</v>
      </c>
      <c r="E513" s="5">
        <f t="shared" ref="E513:E529" si="198">SUM(D513-D512)</f>
        <v>0</v>
      </c>
      <c r="F513" s="80">
        <f>'DATA B1'!E514</f>
        <v>524526</v>
      </c>
      <c r="G513" s="80">
        <f t="shared" si="193"/>
        <v>0</v>
      </c>
      <c r="H513" s="28">
        <f t="shared" si="180"/>
        <v>0</v>
      </c>
      <c r="I513" s="45">
        <f>IFERROR((('DATA B1'!G514-'DATA B1'!G513)/('WATER_STEAM RATIO'!D513-'WATER_STEAM RATIO'!D512))*1000,0)</f>
        <v>0</v>
      </c>
      <c r="J513" s="50">
        <f>'DATA B2'!D514</f>
        <v>515358</v>
      </c>
      <c r="K513" s="82">
        <f t="shared" si="194"/>
        <v>0</v>
      </c>
      <c r="L513" s="80">
        <f>'DATA B2'!E514</f>
        <v>573822</v>
      </c>
      <c r="M513" s="80">
        <f t="shared" si="195"/>
        <v>0</v>
      </c>
      <c r="N513" s="28">
        <f t="shared" si="191"/>
        <v>0</v>
      </c>
      <c r="O513" s="51">
        <f>IFERROR((('DATA B2'!F514-'DATA B2'!F513)/(K513))*1000,0)</f>
        <v>0</v>
      </c>
      <c r="P513" s="94">
        <f>'DATA B3'!C514</f>
        <v>221520</v>
      </c>
      <c r="Q513" s="91">
        <f t="shared" si="196"/>
        <v>12</v>
      </c>
      <c r="R513" s="80">
        <f>'DATA B3'!D514</f>
        <v>166121</v>
      </c>
      <c r="S513" s="80">
        <f t="shared" si="197"/>
        <v>12</v>
      </c>
      <c r="T513" s="15">
        <f t="shared" si="192"/>
        <v>1</v>
      </c>
      <c r="U513" s="15">
        <f>IFERROR((('DATA B3'!E514-'DATA B3'!E513)+('DATA B3'!F514-'DATA B3'!F513))/('WATER_STEAM RATIO'!P513-'WATER_STEAM RATIO'!P512),0)</f>
        <v>3.7999999999999923</v>
      </c>
    </row>
    <row r="514" spans="2:21">
      <c r="B514" s="292"/>
      <c r="C514" s="97">
        <v>0.66666666666666596</v>
      </c>
      <c r="D514" s="84">
        <f>'DATA B1'!D515</f>
        <v>222134</v>
      </c>
      <c r="E514" s="5">
        <f t="shared" si="198"/>
        <v>0</v>
      </c>
      <c r="F514" s="80">
        <f>'DATA B1'!E515</f>
        <v>524526</v>
      </c>
      <c r="G514" s="80">
        <f t="shared" si="193"/>
        <v>0</v>
      </c>
      <c r="H514" s="28">
        <f t="shared" si="180"/>
        <v>0</v>
      </c>
      <c r="I514" s="45">
        <f>IFERROR((('DATA B1'!G515-'DATA B1'!G514)/('WATER_STEAM RATIO'!D514-'WATER_STEAM RATIO'!D513))*1000,0)</f>
        <v>0</v>
      </c>
      <c r="J514" s="50">
        <f>'DATA B2'!D515</f>
        <v>515358</v>
      </c>
      <c r="K514" s="82">
        <f>SUM(J514-J513)</f>
        <v>0</v>
      </c>
      <c r="L514" s="80">
        <f>'DATA B2'!E515</f>
        <v>573822</v>
      </c>
      <c r="M514" s="80">
        <f t="shared" si="195"/>
        <v>0</v>
      </c>
      <c r="N514" s="28">
        <f t="shared" si="191"/>
        <v>0</v>
      </c>
      <c r="O514" s="51">
        <f>IFERROR((('DATA B2'!F515-'DATA B2'!F514)/(K514))*1000,0)</f>
        <v>0</v>
      </c>
      <c r="P514" s="94">
        <f>'DATA B3'!C515</f>
        <v>221533</v>
      </c>
      <c r="Q514" s="91">
        <f t="shared" si="196"/>
        <v>13</v>
      </c>
      <c r="R514" s="80">
        <f>'DATA B3'!D515</f>
        <v>166133</v>
      </c>
      <c r="S514" s="80">
        <f t="shared" si="197"/>
        <v>12</v>
      </c>
      <c r="T514" s="15">
        <f t="shared" si="192"/>
        <v>0.92307692307692313</v>
      </c>
      <c r="U514" s="15">
        <f>IFERROR((('DATA B3'!E515-'DATA B3'!E514)+('DATA B3'!F515-'DATA B3'!F514))/('WATER_STEAM RATIO'!P514-'WATER_STEAM RATIO'!P513),0)</f>
        <v>3.5076923076923006</v>
      </c>
    </row>
    <row r="515" spans="2:21">
      <c r="B515" s="292"/>
      <c r="C515" s="97">
        <v>0.70833333333333304</v>
      </c>
      <c r="D515" s="84">
        <f>'DATA B1'!D516</f>
        <v>222134</v>
      </c>
      <c r="E515" s="5">
        <f t="shared" si="198"/>
        <v>0</v>
      </c>
      <c r="F515" s="80">
        <f>'DATA B1'!E516</f>
        <v>524526</v>
      </c>
      <c r="G515" s="80">
        <f t="shared" si="193"/>
        <v>0</v>
      </c>
      <c r="H515" s="28">
        <f t="shared" si="180"/>
        <v>0</v>
      </c>
      <c r="I515" s="45">
        <f>IFERROR((('DATA B1'!G516-'DATA B1'!G515)/('WATER_STEAM RATIO'!D515-'WATER_STEAM RATIO'!D514))*1000,0)</f>
        <v>0</v>
      </c>
      <c r="J515" s="50">
        <f>'DATA B2'!D516</f>
        <v>515358</v>
      </c>
      <c r="K515" s="82">
        <f t="shared" si="194"/>
        <v>0</v>
      </c>
      <c r="L515" s="80">
        <f>'DATA B2'!E516</f>
        <v>573822</v>
      </c>
      <c r="M515" s="80">
        <f t="shared" si="195"/>
        <v>0</v>
      </c>
      <c r="N515" s="28">
        <f t="shared" si="191"/>
        <v>0</v>
      </c>
      <c r="O515" s="51">
        <f>IFERROR((('DATA B2'!F516-'DATA B2'!F515)/(K515))*1000,0)</f>
        <v>0</v>
      </c>
      <c r="P515" s="94">
        <f>'DATA B3'!C516</f>
        <v>221546</v>
      </c>
      <c r="Q515" s="91">
        <f t="shared" si="196"/>
        <v>13</v>
      </c>
      <c r="R515" s="80">
        <f>'DATA B3'!D516</f>
        <v>166145</v>
      </c>
      <c r="S515" s="80">
        <f t="shared" si="197"/>
        <v>12</v>
      </c>
      <c r="T515" s="15">
        <f t="shared" si="192"/>
        <v>0.92307692307692313</v>
      </c>
      <c r="U515" s="15">
        <f>IFERROR((('DATA B3'!E516-'DATA B3'!E515)+('DATA B3'!F516-'DATA B3'!F515))/('WATER_STEAM RATIO'!P515-'WATER_STEAM RATIO'!P514),0)</f>
        <v>3.5076923076923006</v>
      </c>
    </row>
    <row r="516" spans="2:21">
      <c r="B516" s="292"/>
      <c r="C516" s="97">
        <v>0.75</v>
      </c>
      <c r="D516" s="84">
        <f>'DATA B1'!D517</f>
        <v>222134</v>
      </c>
      <c r="E516" s="5">
        <f t="shared" si="198"/>
        <v>0</v>
      </c>
      <c r="F516" s="80">
        <f>'DATA B1'!E517</f>
        <v>524526</v>
      </c>
      <c r="G516" s="80">
        <f t="shared" si="193"/>
        <v>0</v>
      </c>
      <c r="H516" s="28">
        <f t="shared" si="180"/>
        <v>0</v>
      </c>
      <c r="I516" s="45">
        <f>IFERROR((('DATA B1'!G517-'DATA B1'!G516)/('WATER_STEAM RATIO'!D516-'WATER_STEAM RATIO'!D515))*1000,0)</f>
        <v>0</v>
      </c>
      <c r="J516" s="50">
        <f>'DATA B2'!D517</f>
        <v>515358</v>
      </c>
      <c r="K516" s="82">
        <f t="shared" si="194"/>
        <v>0</v>
      </c>
      <c r="L516" s="80">
        <f>'DATA B2'!E517</f>
        <v>573822</v>
      </c>
      <c r="M516" s="80">
        <f t="shared" si="195"/>
        <v>0</v>
      </c>
      <c r="N516" s="28">
        <f t="shared" si="191"/>
        <v>0</v>
      </c>
      <c r="O516" s="51">
        <f>IFERROR((('DATA B2'!F517-'DATA B2'!F516)/(K516))*1000,0)</f>
        <v>0</v>
      </c>
      <c r="P516" s="94">
        <f>'DATA B3'!C517</f>
        <v>221559</v>
      </c>
      <c r="Q516" s="91">
        <f t="shared" si="196"/>
        <v>13</v>
      </c>
      <c r="R516" s="80">
        <f>'DATA B3'!D517</f>
        <v>166158</v>
      </c>
      <c r="S516" s="80">
        <f t="shared" si="197"/>
        <v>13</v>
      </c>
      <c r="T516" s="15">
        <f t="shared" si="192"/>
        <v>1</v>
      </c>
      <c r="U516" s="15">
        <f>IFERROR((('DATA B3'!E517-'DATA B3'!E516)+('DATA B3'!F517-'DATA B3'!F516))/('WATER_STEAM RATIO'!P516-'WATER_STEAM RATIO'!P515),0)</f>
        <v>3.5076923076923356</v>
      </c>
    </row>
    <row r="517" spans="2:21">
      <c r="B517" s="292"/>
      <c r="C517" s="97">
        <v>0.79166666666666596</v>
      </c>
      <c r="D517" s="84">
        <f>'DATA B1'!D518</f>
        <v>222134</v>
      </c>
      <c r="E517" s="5">
        <f t="shared" si="198"/>
        <v>0</v>
      </c>
      <c r="F517" s="80">
        <f>'DATA B1'!E518</f>
        <v>524526</v>
      </c>
      <c r="G517" s="80">
        <f t="shared" si="193"/>
        <v>0</v>
      </c>
      <c r="H517" s="28">
        <f t="shared" si="180"/>
        <v>0</v>
      </c>
      <c r="I517" s="45">
        <f>IFERROR((('DATA B1'!G518-'DATA B1'!G517)/('WATER_STEAM RATIO'!D517-'WATER_STEAM RATIO'!D516))*1000,0)</f>
        <v>0</v>
      </c>
      <c r="J517" s="50">
        <f>'DATA B2'!D518</f>
        <v>515358</v>
      </c>
      <c r="K517" s="82">
        <f t="shared" si="194"/>
        <v>0</v>
      </c>
      <c r="L517" s="80">
        <f>'DATA B2'!E518</f>
        <v>573822</v>
      </c>
      <c r="M517" s="80">
        <f t="shared" si="195"/>
        <v>0</v>
      </c>
      <c r="N517" s="28">
        <f t="shared" si="191"/>
        <v>0</v>
      </c>
      <c r="O517" s="51">
        <f>IFERROR((('DATA B2'!F518-'DATA B2'!F517)/(K517))*1000,0)</f>
        <v>0</v>
      </c>
      <c r="P517" s="94">
        <f>'DATA B3'!C518</f>
        <v>221572</v>
      </c>
      <c r="Q517" s="91">
        <f t="shared" si="196"/>
        <v>13</v>
      </c>
      <c r="R517" s="80">
        <f>'DATA B3'!D518</f>
        <v>166172</v>
      </c>
      <c r="S517" s="80">
        <f t="shared" si="197"/>
        <v>14</v>
      </c>
      <c r="T517" s="15">
        <f t="shared" si="192"/>
        <v>1.0769230769230769</v>
      </c>
      <c r="U517" s="15">
        <f>IFERROR((('DATA B3'!E518-'DATA B3'!E517)+('DATA B3'!F518-'DATA B3'!F517))/('WATER_STEAM RATIO'!P517-'WATER_STEAM RATIO'!P516),0)</f>
        <v>4.7176923076923023</v>
      </c>
    </row>
    <row r="518" spans="2:21">
      <c r="B518" s="292"/>
      <c r="C518" s="97">
        <v>0.83333333333333304</v>
      </c>
      <c r="D518" s="84">
        <f>'DATA B1'!D519</f>
        <v>222134</v>
      </c>
      <c r="E518" s="5">
        <f t="shared" si="198"/>
        <v>0</v>
      </c>
      <c r="F518" s="80">
        <f>'DATA B1'!E519</f>
        <v>524526</v>
      </c>
      <c r="G518" s="80">
        <f t="shared" si="193"/>
        <v>0</v>
      </c>
      <c r="H518" s="28">
        <f t="shared" si="180"/>
        <v>0</v>
      </c>
      <c r="I518" s="45">
        <f>IFERROR((('DATA B1'!G519-'DATA B1'!G518)/('WATER_STEAM RATIO'!D518-'WATER_STEAM RATIO'!D517))*1000,0)</f>
        <v>0</v>
      </c>
      <c r="J518" s="50">
        <f>'DATA B2'!D519</f>
        <v>515358</v>
      </c>
      <c r="K518" s="82">
        <f t="shared" si="194"/>
        <v>0</v>
      </c>
      <c r="L518" s="80">
        <f>'DATA B2'!E519</f>
        <v>573822</v>
      </c>
      <c r="M518" s="80">
        <f t="shared" si="195"/>
        <v>0</v>
      </c>
      <c r="N518" s="28">
        <f t="shared" si="191"/>
        <v>0</v>
      </c>
      <c r="O518" s="51">
        <f>IFERROR((('DATA B2'!F519-'DATA B2'!F518)/(K518))*1000,0)</f>
        <v>0</v>
      </c>
      <c r="P518" s="94">
        <f>'DATA B3'!C519</f>
        <v>221582</v>
      </c>
      <c r="Q518" s="91">
        <f t="shared" si="196"/>
        <v>10</v>
      </c>
      <c r="R518" s="80">
        <f>'DATA B3'!D519</f>
        <v>166181</v>
      </c>
      <c r="S518" s="80">
        <f t="shared" si="197"/>
        <v>9</v>
      </c>
      <c r="T518" s="15">
        <f t="shared" si="192"/>
        <v>0.9</v>
      </c>
      <c r="U518" s="15">
        <f>IFERROR((('DATA B3'!E519-'DATA B3'!E518)+('DATA B3'!F519-'DATA B3'!F518))/('WATER_STEAM RATIO'!P518-'WATER_STEAM RATIO'!P517),0)</f>
        <v>4.1840000000000144</v>
      </c>
    </row>
    <row r="519" spans="2:21">
      <c r="B519" s="292"/>
      <c r="C519" s="97">
        <v>0.875</v>
      </c>
      <c r="D519" s="84">
        <f>'DATA B1'!D520</f>
        <v>222134</v>
      </c>
      <c r="E519" s="5">
        <f t="shared" si="198"/>
        <v>0</v>
      </c>
      <c r="F519" s="80">
        <f>'DATA B1'!E520</f>
        <v>524526</v>
      </c>
      <c r="G519" s="80">
        <f t="shared" si="193"/>
        <v>0</v>
      </c>
      <c r="H519" s="28">
        <f t="shared" si="180"/>
        <v>0</v>
      </c>
      <c r="I519" s="45">
        <f>IFERROR((('DATA B1'!G520-'DATA B1'!G519)/('WATER_STEAM RATIO'!D519-'WATER_STEAM RATIO'!D518))*1000,0)</f>
        <v>0</v>
      </c>
      <c r="J519" s="50">
        <f>'DATA B2'!D520</f>
        <v>515358</v>
      </c>
      <c r="K519" s="82">
        <f t="shared" si="194"/>
        <v>0</v>
      </c>
      <c r="L519" s="80">
        <f>'DATA B2'!E520</f>
        <v>573822</v>
      </c>
      <c r="M519" s="80">
        <f t="shared" si="195"/>
        <v>0</v>
      </c>
      <c r="N519" s="28">
        <f>IFERROR(M519/K519,0)</f>
        <v>0</v>
      </c>
      <c r="O519" s="51">
        <f>IFERROR((('DATA B2'!F520-'DATA B2'!F519)/(K519))*1000,0)</f>
        <v>0</v>
      </c>
      <c r="P519" s="94">
        <f>'DATA B3'!C520</f>
        <v>221591</v>
      </c>
      <c r="Q519" s="91">
        <f t="shared" si="196"/>
        <v>9</v>
      </c>
      <c r="R519" s="80">
        <f>'DATA B3'!D520</f>
        <v>166189</v>
      </c>
      <c r="S519" s="80">
        <f t="shared" si="197"/>
        <v>8</v>
      </c>
      <c r="T519" s="15">
        <f t="shared" si="192"/>
        <v>0.88888888888888884</v>
      </c>
      <c r="U519" s="15">
        <f>IFERROR((('DATA B3'!E520-'DATA B3'!E519)+('DATA B3'!F520-'DATA B3'!F519))/('WATER_STEAM RATIO'!P519-'WATER_STEAM RATIO'!P518),0)</f>
        <v>9.9266666666666321</v>
      </c>
    </row>
    <row r="520" spans="2:21">
      <c r="B520" s="292"/>
      <c r="C520" s="97">
        <v>0.91666666666666596</v>
      </c>
      <c r="D520" s="84">
        <f>'DATA B1'!D521</f>
        <v>222134</v>
      </c>
      <c r="E520" s="5">
        <f t="shared" si="198"/>
        <v>0</v>
      </c>
      <c r="F520" s="80">
        <f>'DATA B1'!E521</f>
        <v>524526</v>
      </c>
      <c r="G520" s="80">
        <f t="shared" si="193"/>
        <v>0</v>
      </c>
      <c r="H520" s="28">
        <f t="shared" si="180"/>
        <v>0</v>
      </c>
      <c r="I520" s="45">
        <f>IFERROR((('DATA B1'!G521-'DATA B1'!G520)/('WATER_STEAM RATIO'!D520-'WATER_STEAM RATIO'!D519))*1000,0)</f>
        <v>0</v>
      </c>
      <c r="J520" s="50">
        <f>'DATA B2'!D521</f>
        <v>515358</v>
      </c>
      <c r="K520" s="82">
        <f t="shared" si="194"/>
        <v>0</v>
      </c>
      <c r="L520" s="80">
        <f>'DATA B2'!E521</f>
        <v>573822</v>
      </c>
      <c r="M520" s="80">
        <f t="shared" si="195"/>
        <v>0</v>
      </c>
      <c r="N520" s="28">
        <f t="shared" si="191"/>
        <v>0</v>
      </c>
      <c r="O520" s="51">
        <f>IFERROR((('DATA B2'!F521-'DATA B2'!F520)/(K520))*1000,0)</f>
        <v>0</v>
      </c>
      <c r="P520" s="94">
        <f>'DATA B3'!C521</f>
        <v>221601</v>
      </c>
      <c r="Q520" s="91">
        <f t="shared" si="196"/>
        <v>10</v>
      </c>
      <c r="R520" s="80">
        <f>'DATA B3'!D521</f>
        <v>166197</v>
      </c>
      <c r="S520" s="80">
        <f t="shared" si="197"/>
        <v>8</v>
      </c>
      <c r="T520" s="15">
        <f t="shared" si="192"/>
        <v>0.8</v>
      </c>
      <c r="U520" s="15">
        <f>IFERROR((('DATA B3'!E521-'DATA B3'!E520)+('DATA B3'!F521-'DATA B3'!F520))/('WATER_STEAM RATIO'!P520-'WATER_STEAM RATIO'!P519),0)</f>
        <v>1.5099999999999909</v>
      </c>
    </row>
    <row r="521" spans="2:21">
      <c r="B521" s="292"/>
      <c r="C521" s="97">
        <v>0.95833333333333304</v>
      </c>
      <c r="D521" s="84">
        <f>'DATA B1'!D522</f>
        <v>222134</v>
      </c>
      <c r="E521" s="5">
        <f t="shared" si="198"/>
        <v>0</v>
      </c>
      <c r="F521" s="80">
        <f>'DATA B1'!E522</f>
        <v>524526</v>
      </c>
      <c r="G521" s="80">
        <f t="shared" si="193"/>
        <v>0</v>
      </c>
      <c r="H521" s="28">
        <f t="shared" si="180"/>
        <v>0</v>
      </c>
      <c r="I521" s="45">
        <f>IFERROR((('DATA B1'!G522-'DATA B1'!G521)/('WATER_STEAM RATIO'!D521-'WATER_STEAM RATIO'!D520))*1000,0)</f>
        <v>0</v>
      </c>
      <c r="J521" s="50">
        <f>'DATA B2'!D522</f>
        <v>515358</v>
      </c>
      <c r="K521" s="82">
        <f>SUM(J521-J520)</f>
        <v>0</v>
      </c>
      <c r="L521" s="80">
        <f>'DATA B2'!E522</f>
        <v>573822</v>
      </c>
      <c r="M521" s="80">
        <f t="shared" si="195"/>
        <v>0</v>
      </c>
      <c r="N521" s="28">
        <f t="shared" si="191"/>
        <v>0</v>
      </c>
      <c r="O521" s="51">
        <f>IFERROR((('DATA B2'!F522-'DATA B2'!F521)/(K521))*1000,0)</f>
        <v>0</v>
      </c>
      <c r="P521" s="94">
        <f>'DATA B3'!C522</f>
        <v>221611</v>
      </c>
      <c r="Q521" s="91">
        <f t="shared" si="196"/>
        <v>10</v>
      </c>
      <c r="R521" s="80">
        <f>'DATA B3'!D522</f>
        <v>166206</v>
      </c>
      <c r="S521" s="80">
        <f t="shared" si="197"/>
        <v>9</v>
      </c>
      <c r="T521" s="15">
        <f t="shared" si="192"/>
        <v>0.9</v>
      </c>
      <c r="U521" s="15">
        <f>IFERROR((('DATA B3'!E522-'DATA B3'!E521)+('DATA B3'!F522-'DATA B3'!F521))/('WATER_STEAM RATIO'!P521-'WATER_STEAM RATIO'!P520),0)</f>
        <v>1.5100000000000364</v>
      </c>
    </row>
    <row r="522" spans="2:21">
      <c r="B522" s="292"/>
      <c r="C522" s="97">
        <v>1</v>
      </c>
      <c r="D522" s="84">
        <f>'DATA B1'!D523</f>
        <v>222134</v>
      </c>
      <c r="E522" s="5">
        <f t="shared" si="198"/>
        <v>0</v>
      </c>
      <c r="F522" s="80">
        <f>'DATA B1'!E523</f>
        <v>524526</v>
      </c>
      <c r="G522" s="80">
        <f t="shared" si="193"/>
        <v>0</v>
      </c>
      <c r="H522" s="28">
        <f t="shared" si="180"/>
        <v>0</v>
      </c>
      <c r="I522" s="45">
        <f>IFERROR((('DATA B1'!G523-'DATA B1'!G522)/('WATER_STEAM RATIO'!D522-'WATER_STEAM RATIO'!D521))*1000,0)</f>
        <v>0</v>
      </c>
      <c r="J522" s="50">
        <f>'DATA B2'!D523</f>
        <v>515358</v>
      </c>
      <c r="K522" s="82">
        <f t="shared" si="194"/>
        <v>0</v>
      </c>
      <c r="L522" s="80">
        <f>'DATA B2'!E523</f>
        <v>573822</v>
      </c>
      <c r="M522" s="80">
        <f t="shared" si="195"/>
        <v>0</v>
      </c>
      <c r="N522" s="28">
        <f t="shared" si="191"/>
        <v>0</v>
      </c>
      <c r="O522" s="51">
        <f>IFERROR((('DATA B2'!F523-'DATA B2'!F522)/(K522))*1000,0)</f>
        <v>0</v>
      </c>
      <c r="P522" s="94">
        <f>'DATA B3'!C523</f>
        <v>221621</v>
      </c>
      <c r="Q522" s="91">
        <f t="shared" si="196"/>
        <v>10</v>
      </c>
      <c r="R522" s="80">
        <f>'DATA B3'!D523</f>
        <v>166215</v>
      </c>
      <c r="S522" s="80">
        <f t="shared" si="197"/>
        <v>9</v>
      </c>
      <c r="T522" s="15">
        <f t="shared" si="192"/>
        <v>0.9</v>
      </c>
      <c r="U522" s="15">
        <f>IFERROR((('DATA B3'!E523-'DATA B3'!E522)+('DATA B3'!F523-'DATA B3'!F522))/('WATER_STEAM RATIO'!P522-'WATER_STEAM RATIO'!P521),0)</f>
        <v>1.5099999999999909</v>
      </c>
    </row>
    <row r="523" spans="2:21">
      <c r="B523" s="292"/>
      <c r="C523" s="97">
        <v>1.0416666666666701</v>
      </c>
      <c r="D523" s="84">
        <f>'DATA B1'!D524</f>
        <v>222134</v>
      </c>
      <c r="E523" s="5">
        <f t="shared" si="198"/>
        <v>0</v>
      </c>
      <c r="F523" s="80">
        <f>'DATA B1'!E524</f>
        <v>524526</v>
      </c>
      <c r="G523" s="80">
        <f t="shared" si="193"/>
        <v>0</v>
      </c>
      <c r="H523" s="28">
        <f t="shared" si="180"/>
        <v>0</v>
      </c>
      <c r="I523" s="45">
        <f>IFERROR((('DATA B1'!G524-'DATA B1'!G523)/('WATER_STEAM RATIO'!D523-'WATER_STEAM RATIO'!D522))*1000,0)</f>
        <v>0</v>
      </c>
      <c r="J523" s="50">
        <f>'DATA B2'!D524</f>
        <v>515358</v>
      </c>
      <c r="K523" s="82">
        <f t="shared" si="194"/>
        <v>0</v>
      </c>
      <c r="L523" s="80">
        <f>'DATA B2'!E524</f>
        <v>573822</v>
      </c>
      <c r="M523" s="80">
        <f t="shared" si="195"/>
        <v>0</v>
      </c>
      <c r="N523" s="28">
        <f t="shared" si="191"/>
        <v>0</v>
      </c>
      <c r="O523" s="51">
        <f>IFERROR((('DATA B2'!F524-'DATA B2'!F523)/(K523))*1000,0)</f>
        <v>0</v>
      </c>
      <c r="P523" s="94">
        <f>'DATA B3'!C524</f>
        <v>221631</v>
      </c>
      <c r="Q523" s="91">
        <f t="shared" si="196"/>
        <v>10</v>
      </c>
      <c r="R523" s="80">
        <f>'DATA B3'!D524</f>
        <v>166224</v>
      </c>
      <c r="S523" s="80">
        <f t="shared" si="197"/>
        <v>9</v>
      </c>
      <c r="T523" s="15">
        <f t="shared" si="192"/>
        <v>0.9</v>
      </c>
      <c r="U523" s="15">
        <f>IFERROR((('DATA B3'!E524-'DATA B3'!E523)+('DATA B3'!F524-'DATA B3'!F523))/('WATER_STEAM RATIO'!P523-'WATER_STEAM RATIO'!P522),0)</f>
        <v>1.5099999999999909</v>
      </c>
    </row>
    <row r="524" spans="2:21">
      <c r="B524" s="292"/>
      <c r="C524" s="97">
        <v>1.0833333333333399</v>
      </c>
      <c r="D524" s="84">
        <f>'DATA B1'!D525</f>
        <v>222134</v>
      </c>
      <c r="E524" s="5">
        <f>SUM(D524-D523)</f>
        <v>0</v>
      </c>
      <c r="F524" s="80">
        <f>'DATA B1'!E525</f>
        <v>524526</v>
      </c>
      <c r="G524" s="80">
        <f t="shared" si="193"/>
        <v>0</v>
      </c>
      <c r="H524" s="28">
        <f t="shared" si="180"/>
        <v>0</v>
      </c>
      <c r="I524" s="45">
        <f>IFERROR((('DATA B1'!G525-'DATA B1'!G524)/('WATER_STEAM RATIO'!D524-'WATER_STEAM RATIO'!D523))*1000,0)</f>
        <v>0</v>
      </c>
      <c r="J524" s="50">
        <f>'DATA B2'!D525</f>
        <v>515358</v>
      </c>
      <c r="K524" s="82">
        <f t="shared" si="194"/>
        <v>0</v>
      </c>
      <c r="L524" s="80">
        <f>'DATA B2'!E525</f>
        <v>573822</v>
      </c>
      <c r="M524" s="80">
        <f t="shared" si="195"/>
        <v>0</v>
      </c>
      <c r="N524" s="28">
        <f t="shared" si="191"/>
        <v>0</v>
      </c>
      <c r="O524" s="51">
        <f>IFERROR((('DATA B2'!F525-'DATA B2'!F524)/(K524))*1000,0)</f>
        <v>0</v>
      </c>
      <c r="P524" s="94">
        <f>'DATA B3'!C525</f>
        <v>221640</v>
      </c>
      <c r="Q524" s="91">
        <f>SUM(P524-P523)</f>
        <v>9</v>
      </c>
      <c r="R524" s="80">
        <f>'DATA B3'!D525</f>
        <v>166232</v>
      </c>
      <c r="S524" s="80">
        <f t="shared" si="197"/>
        <v>8</v>
      </c>
      <c r="T524" s="15">
        <f t="shared" si="192"/>
        <v>0.88888888888888884</v>
      </c>
      <c r="U524" s="15">
        <f>IFERROR((('DATA B3'!E525-'DATA B3'!E524)+('DATA B3'!F525-'DATA B3'!F524))/('WATER_STEAM RATIO'!P524-'WATER_STEAM RATIO'!P523),0)</f>
        <v>1.6777777777777676</v>
      </c>
    </row>
    <row r="525" spans="2:21">
      <c r="B525" s="292"/>
      <c r="C525" s="97">
        <v>1.125</v>
      </c>
      <c r="D525" s="84">
        <f>'DATA B1'!D526</f>
        <v>222134</v>
      </c>
      <c r="E525" s="5">
        <f t="shared" si="198"/>
        <v>0</v>
      </c>
      <c r="F525" s="80">
        <f>'DATA B1'!E526</f>
        <v>524526</v>
      </c>
      <c r="G525" s="80">
        <f t="shared" si="193"/>
        <v>0</v>
      </c>
      <c r="H525" s="28">
        <f t="shared" si="180"/>
        <v>0</v>
      </c>
      <c r="I525" s="45">
        <f>IFERROR((('DATA B1'!G526-'DATA B1'!G525)/('WATER_STEAM RATIO'!D525-'WATER_STEAM RATIO'!D524))*1000,0)</f>
        <v>0</v>
      </c>
      <c r="J525" s="50">
        <f>'DATA B2'!D526</f>
        <v>515358</v>
      </c>
      <c r="K525" s="82">
        <f t="shared" si="194"/>
        <v>0</v>
      </c>
      <c r="L525" s="80">
        <f>'DATA B2'!E526</f>
        <v>573822</v>
      </c>
      <c r="M525" s="80">
        <f t="shared" si="195"/>
        <v>0</v>
      </c>
      <c r="N525" s="28">
        <f t="shared" si="191"/>
        <v>0</v>
      </c>
      <c r="O525" s="51">
        <f>IFERROR((('DATA B2'!F526-'DATA B2'!F525)/(K525))*1000,0)</f>
        <v>0</v>
      </c>
      <c r="P525" s="94">
        <f>'DATA B3'!C526</f>
        <v>221651</v>
      </c>
      <c r="Q525" s="91">
        <f t="shared" si="196"/>
        <v>11</v>
      </c>
      <c r="R525" s="80">
        <f>'DATA B3'!D526</f>
        <v>166242</v>
      </c>
      <c r="S525" s="80">
        <f t="shared" si="197"/>
        <v>10</v>
      </c>
      <c r="T525" s="15">
        <f t="shared" si="192"/>
        <v>0.90909090909090906</v>
      </c>
      <c r="U525" s="15">
        <f>IFERROR((('DATA B3'!E526-'DATA B3'!E525)+('DATA B3'!F526-'DATA B3'!F525))/('WATER_STEAM RATIO'!P525-'WATER_STEAM RATIO'!P524),0)</f>
        <v>1.3727272727272644</v>
      </c>
    </row>
    <row r="526" spans="2:21">
      <c r="B526" s="292"/>
      <c r="C526" s="97">
        <v>1.1666666666666701</v>
      </c>
      <c r="D526" s="84">
        <f>'DATA B1'!D527</f>
        <v>222134</v>
      </c>
      <c r="E526" s="5">
        <f t="shared" si="198"/>
        <v>0</v>
      </c>
      <c r="F526" s="80">
        <f>'DATA B1'!E527</f>
        <v>524526</v>
      </c>
      <c r="G526" s="80">
        <f t="shared" si="193"/>
        <v>0</v>
      </c>
      <c r="H526" s="28">
        <f t="shared" ref="H526:H589" si="199" xml:space="preserve"> IFERROR(G526/E526,0)</f>
        <v>0</v>
      </c>
      <c r="I526" s="45">
        <f>IFERROR((('DATA B1'!G527-'DATA B1'!G526)/('WATER_STEAM RATIO'!D526-'WATER_STEAM RATIO'!D525))*1000,0)</f>
        <v>0</v>
      </c>
      <c r="J526" s="50">
        <f>'DATA B2'!D527</f>
        <v>515358</v>
      </c>
      <c r="K526" s="82">
        <f t="shared" si="194"/>
        <v>0</v>
      </c>
      <c r="L526" s="80">
        <f>'DATA B2'!E527</f>
        <v>573822</v>
      </c>
      <c r="M526" s="80">
        <f t="shared" si="195"/>
        <v>0</v>
      </c>
      <c r="N526" s="28">
        <f t="shared" si="191"/>
        <v>0</v>
      </c>
      <c r="O526" s="51">
        <f>IFERROR((('DATA B2'!F527-'DATA B2'!F526)/(K526))*1000,0)</f>
        <v>0</v>
      </c>
      <c r="P526" s="94">
        <f>'DATA B3'!C527</f>
        <v>221661</v>
      </c>
      <c r="Q526" s="91">
        <f t="shared" si="196"/>
        <v>10</v>
      </c>
      <c r="R526" s="80">
        <f>'DATA B3'!D527</f>
        <v>166250</v>
      </c>
      <c r="S526" s="80">
        <f t="shared" si="197"/>
        <v>8</v>
      </c>
      <c r="T526" s="15">
        <f t="shared" si="192"/>
        <v>0.8</v>
      </c>
      <c r="U526" s="15">
        <f>IFERROR((('DATA B3'!E527-'DATA B3'!E526)+('DATA B3'!F527-'DATA B3'!F526))/('WATER_STEAM RATIO'!P526-'WATER_STEAM RATIO'!P525),0)</f>
        <v>1.5100000000000364</v>
      </c>
    </row>
    <row r="527" spans="2:21">
      <c r="B527" s="292"/>
      <c r="C527" s="97">
        <v>1.2083333333333399</v>
      </c>
      <c r="D527" s="84">
        <f>'DATA B1'!D528</f>
        <v>222134</v>
      </c>
      <c r="E527" s="5">
        <f t="shared" si="198"/>
        <v>0</v>
      </c>
      <c r="F527" s="80">
        <f>'DATA B1'!E528</f>
        <v>524526</v>
      </c>
      <c r="G527" s="80">
        <f t="shared" si="193"/>
        <v>0</v>
      </c>
      <c r="H527" s="28">
        <f t="shared" si="199"/>
        <v>0</v>
      </c>
      <c r="I527" s="45">
        <f>IFERROR((('DATA B1'!G528-'DATA B1'!G527)/('WATER_STEAM RATIO'!D527-'WATER_STEAM RATIO'!D526))*1000,0)</f>
        <v>0</v>
      </c>
      <c r="J527" s="50">
        <f>'DATA B2'!D528</f>
        <v>515358</v>
      </c>
      <c r="K527" s="82">
        <f t="shared" si="194"/>
        <v>0</v>
      </c>
      <c r="L527" s="80">
        <f>'DATA B2'!E528</f>
        <v>573822</v>
      </c>
      <c r="M527" s="80">
        <f t="shared" si="195"/>
        <v>0</v>
      </c>
      <c r="N527" s="28">
        <f t="shared" si="191"/>
        <v>0</v>
      </c>
      <c r="O527" s="51">
        <f>IFERROR((('DATA B2'!F528-'DATA B2'!F527)/(K527))*1000,0)</f>
        <v>0</v>
      </c>
      <c r="P527" s="94">
        <f>'DATA B3'!C528</f>
        <v>221671</v>
      </c>
      <c r="Q527" s="91">
        <f t="shared" si="196"/>
        <v>10</v>
      </c>
      <c r="R527" s="80">
        <f>'DATA B3'!D528</f>
        <v>166258</v>
      </c>
      <c r="S527" s="80">
        <f t="shared" si="197"/>
        <v>8</v>
      </c>
      <c r="T527" s="15">
        <f t="shared" si="192"/>
        <v>0.8</v>
      </c>
      <c r="U527" s="15">
        <f>IFERROR((('DATA B3'!E528-'DATA B3'!E527)+('DATA B3'!F528-'DATA B3'!F527))/('WATER_STEAM RATIO'!P527-'WATER_STEAM RATIO'!P526),0)</f>
        <v>1.5099999999999909</v>
      </c>
    </row>
    <row r="528" spans="2:21">
      <c r="B528" s="292"/>
      <c r="C528" s="97">
        <v>1.25</v>
      </c>
      <c r="D528" s="84">
        <f>'DATA B1'!D529</f>
        <v>222134</v>
      </c>
      <c r="E528" s="5">
        <f t="shared" si="198"/>
        <v>0</v>
      </c>
      <c r="F528" s="80">
        <f>'DATA B1'!E529</f>
        <v>524526</v>
      </c>
      <c r="G528" s="80">
        <f t="shared" si="193"/>
        <v>0</v>
      </c>
      <c r="H528" s="28">
        <f t="shared" si="199"/>
        <v>0</v>
      </c>
      <c r="I528" s="45">
        <f>IFERROR((('DATA B1'!G529-'DATA B1'!G528)/('WATER_STEAM RATIO'!D528-'WATER_STEAM RATIO'!D527))*1000,0)</f>
        <v>0</v>
      </c>
      <c r="J528" s="50">
        <f>'DATA B2'!D529</f>
        <v>515358</v>
      </c>
      <c r="K528" s="82">
        <f t="shared" si="194"/>
        <v>0</v>
      </c>
      <c r="L528" s="80">
        <f>'DATA B2'!E529</f>
        <v>573822</v>
      </c>
      <c r="M528" s="80">
        <f t="shared" si="195"/>
        <v>0</v>
      </c>
      <c r="N528" s="28">
        <f t="shared" si="191"/>
        <v>0</v>
      </c>
      <c r="O528" s="51">
        <f>IFERROR((('DATA B2'!F529-'DATA B2'!F528)/(K528))*1000,0)</f>
        <v>0</v>
      </c>
      <c r="P528" s="94">
        <f>'DATA B3'!C529</f>
        <v>221681</v>
      </c>
      <c r="Q528" s="91">
        <f t="shared" si="196"/>
        <v>10</v>
      </c>
      <c r="R528" s="80">
        <f>'DATA B3'!D529</f>
        <v>166266</v>
      </c>
      <c r="S528" s="80">
        <f t="shared" si="197"/>
        <v>8</v>
      </c>
      <c r="T528" s="15">
        <f t="shared" si="192"/>
        <v>0.8</v>
      </c>
      <c r="U528" s="15">
        <f>IFERROR((('DATA B3'!E529-'DATA B3'!E528)+('DATA B3'!F529-'DATA B3'!F528))/('WATER_STEAM RATIO'!P528-'WATER_STEAM RATIO'!P527),0)</f>
        <v>1.5099999999999909</v>
      </c>
    </row>
    <row r="529" spans="2:21">
      <c r="B529" s="292"/>
      <c r="C529" s="97">
        <v>1.2916666666666701</v>
      </c>
      <c r="D529" s="84">
        <f>'DATA B1'!D530</f>
        <v>222134</v>
      </c>
      <c r="E529" s="5">
        <f t="shared" si="198"/>
        <v>0</v>
      </c>
      <c r="F529" s="80">
        <f>'DATA B1'!E530</f>
        <v>524526</v>
      </c>
      <c r="G529" s="80">
        <f t="shared" si="193"/>
        <v>0</v>
      </c>
      <c r="H529" s="28">
        <f t="shared" si="199"/>
        <v>0</v>
      </c>
      <c r="I529" s="45">
        <f>IFERROR((('DATA B1'!G530-'DATA B1'!G529)/('WATER_STEAM RATIO'!D529-'WATER_STEAM RATIO'!D528))*1000,0)</f>
        <v>0</v>
      </c>
      <c r="J529" s="50">
        <f>'DATA B2'!D530</f>
        <v>515358</v>
      </c>
      <c r="K529" s="82">
        <f>SUM(J529-J528)</f>
        <v>0</v>
      </c>
      <c r="L529" s="80">
        <f>'DATA B2'!E530</f>
        <v>573822</v>
      </c>
      <c r="M529" s="80">
        <f t="shared" si="195"/>
        <v>0</v>
      </c>
      <c r="N529" s="28">
        <f t="shared" si="191"/>
        <v>0</v>
      </c>
      <c r="O529" s="51">
        <f>IFERROR((('DATA B2'!F530-'DATA B2'!F529)/(K529))*1000,0)</f>
        <v>0</v>
      </c>
      <c r="P529" s="94">
        <f>'DATA B3'!C530</f>
        <v>221691</v>
      </c>
      <c r="Q529" s="91">
        <f t="shared" si="196"/>
        <v>10</v>
      </c>
      <c r="R529" s="80">
        <f>'DATA B3'!D530</f>
        <v>166276</v>
      </c>
      <c r="S529" s="80">
        <f t="shared" si="197"/>
        <v>10</v>
      </c>
      <c r="T529" s="15">
        <f t="shared" si="192"/>
        <v>1</v>
      </c>
      <c r="U529" s="15">
        <f>IFERROR((('DATA B3'!E530-'DATA B3'!E529)+('DATA B3'!F530-'DATA B3'!F529))/('WATER_STEAM RATIO'!P529-'WATER_STEAM RATIO'!P528),0)</f>
        <v>21.973000000000003</v>
      </c>
    </row>
    <row r="530" spans="2:21" ht="15.75" thickBot="1">
      <c r="B530" s="293"/>
      <c r="C530" s="235"/>
      <c r="D530" s="224" cm="1">
        <f t="array" ref="D530">IFERROR(LOOKUP(2,1/(D505:D529&gt;0),D505:D529-D505),0)</f>
        <v>0</v>
      </c>
      <c r="E530" s="223">
        <f>SUMIF(E506:E529,"&gt;=0",E506:E529)</f>
        <v>0</v>
      </c>
      <c r="F530" s="224" cm="1">
        <f t="array" ref="F530">IFERROR(LOOKUP(2,1/(F505:F529&gt;0),F505:F529-F505),0)</f>
        <v>0</v>
      </c>
      <c r="G530" s="223">
        <f>SUMIF(G506:G529,"&gt;=0",G506:G529)</f>
        <v>0</v>
      </c>
      <c r="H530" s="225">
        <f t="shared" si="199"/>
        <v>0</v>
      </c>
      <c r="I530" s="236">
        <f>IFERROR((('DATA B1'!H531)/(E530))*1000,0)</f>
        <v>0</v>
      </c>
      <c r="J530" s="222" cm="1">
        <f t="array" ref="J530">IFERROR(LOOKUP(2,1/(J505:J529&gt;0),J505:J529-J505),0)</f>
        <v>0</v>
      </c>
      <c r="K530" s="223">
        <f>SUMIF(K506:K529,"&gt;=0",K506:K529)</f>
        <v>0</v>
      </c>
      <c r="L530" s="224" cm="1">
        <f t="array" ref="L530">IFERROR(LOOKUP(2,1/(L505:L529&gt;0),L505:L529-L505),0)</f>
        <v>0</v>
      </c>
      <c r="M530" s="223">
        <f>SUMIF(M506:M529,"&gt;=0",M506:M529)</f>
        <v>0</v>
      </c>
      <c r="N530" s="225">
        <f>IFERROR(M530/K530,0)</f>
        <v>0</v>
      </c>
      <c r="O530" s="226">
        <f>IFERROR((('DATA B2'!H531)/(K530))*1000,0)</f>
        <v>0</v>
      </c>
      <c r="P530" s="224" cm="1">
        <f t="array" ref="P530">IFERROR(LOOKUP(2,1/(P505:P529&gt;0),P505:P529-P505),0)</f>
        <v>264</v>
      </c>
      <c r="Q530" s="223">
        <f>SUMIF(Q506:Q529,"&gt;=0",Q506:Q529)</f>
        <v>264</v>
      </c>
      <c r="R530" s="224" cm="1">
        <f t="array" ref="R530">IFERROR(LOOKUP(2,1/(R505:R529&gt;0),R505:R529-R505),0)</f>
        <v>245</v>
      </c>
      <c r="S530" s="223">
        <f>SUMIF(S506:S529,"&gt;=0",S506:S529)</f>
        <v>245</v>
      </c>
      <c r="T530" s="237">
        <f t="shared" si="192"/>
        <v>0.92803030303030298</v>
      </c>
      <c r="U530" s="226">
        <f>IFERROR(('DATA B3'!E531+'DATA B3'!F531)/Q530*1000,0)</f>
        <v>3973.863636363636</v>
      </c>
    </row>
    <row r="531" spans="2:21" ht="15" customHeight="1">
      <c r="B531" s="291">
        <f>SUM('DATA B1'!B532:B557)</f>
        <v>46043</v>
      </c>
      <c r="C531" s="97">
        <v>0.29166666666666669</v>
      </c>
      <c r="D531" s="84">
        <f>'DATA B1'!D532</f>
        <v>222134</v>
      </c>
      <c r="E531" s="5">
        <f>SUM(E529)</f>
        <v>0</v>
      </c>
      <c r="F531" s="80">
        <f>'DATA B1'!E532</f>
        <v>524526</v>
      </c>
      <c r="G531" s="80">
        <f>SUM(G529)</f>
        <v>0</v>
      </c>
      <c r="H531" s="28">
        <f t="shared" si="199"/>
        <v>0</v>
      </c>
      <c r="I531" s="45"/>
      <c r="J531" s="50">
        <f>'DATA B2'!D532</f>
        <v>515358</v>
      </c>
      <c r="K531" s="82">
        <f>SUM(K529)</f>
        <v>0</v>
      </c>
      <c r="L531" s="80">
        <f>'DATA B2'!E532</f>
        <v>573822</v>
      </c>
      <c r="M531" s="80">
        <f>SUM(M529)</f>
        <v>0</v>
      </c>
      <c r="N531" s="28">
        <f>IFERROR(M531/K531,0)</f>
        <v>0</v>
      </c>
      <c r="O531" s="103"/>
      <c r="P531" s="94">
        <f>'DATA B3'!C532</f>
        <v>221691</v>
      </c>
      <c r="Q531" s="91">
        <f>SUM(Q529)</f>
        <v>10</v>
      </c>
      <c r="R531" s="80">
        <f>'DATA B3'!D532</f>
        <v>166276</v>
      </c>
      <c r="S531" s="80">
        <f>SUM(S529)</f>
        <v>10</v>
      </c>
      <c r="T531" s="15">
        <f>IFERROR(S531/Q531,0)</f>
        <v>1</v>
      </c>
      <c r="U531" s="15"/>
    </row>
    <row r="532" spans="2:21">
      <c r="B532" s="292"/>
      <c r="C532" s="97">
        <v>0.33333333333333298</v>
      </c>
      <c r="D532" s="84">
        <f>'DATA B1'!D533</f>
        <v>222134</v>
      </c>
      <c r="E532" s="5">
        <f t="shared" ref="E532:E538" si="200">SUM(D532-D531)</f>
        <v>0</v>
      </c>
      <c r="F532" s="80">
        <f>'DATA B1'!E533</f>
        <v>524526</v>
      </c>
      <c r="G532" s="80">
        <f>SUM(F532-F531)</f>
        <v>0</v>
      </c>
      <c r="H532" s="28">
        <f t="shared" si="199"/>
        <v>0</v>
      </c>
      <c r="I532" s="45">
        <f>IFERROR((('DATA B1'!G533-'DATA B1'!G532)/('WATER_STEAM RATIO'!D532-'WATER_STEAM RATIO'!D531))*1000,0)</f>
        <v>0</v>
      </c>
      <c r="J532" s="50">
        <f>'DATA B2'!D533</f>
        <v>515358</v>
      </c>
      <c r="K532" s="82">
        <f>SUM(J532-J531)</f>
        <v>0</v>
      </c>
      <c r="L532" s="80">
        <f>'DATA B2'!E533</f>
        <v>573822</v>
      </c>
      <c r="M532" s="80">
        <f>SUM(L532-L531)</f>
        <v>0</v>
      </c>
      <c r="N532" s="28">
        <f t="shared" ref="N532:N555" si="201">IFERROR(M532/K532,0)</f>
        <v>0</v>
      </c>
      <c r="O532" s="51">
        <f>IFERROR((('DATA B2'!F533-'DATA B2'!F532)/(K532))*1000,0)</f>
        <v>0</v>
      </c>
      <c r="P532" s="94">
        <f>'DATA B3'!C533</f>
        <v>221704</v>
      </c>
      <c r="Q532" s="91">
        <f>SUM(P532-P531)</f>
        <v>13</v>
      </c>
      <c r="R532" s="80">
        <f>'DATA B3'!D533</f>
        <v>166288</v>
      </c>
      <c r="S532" s="80">
        <f>SUM(R532-R531)</f>
        <v>12</v>
      </c>
      <c r="T532" s="15">
        <f t="shared" ref="T532:T556" si="202">IFERROR(S532/Q532,0)</f>
        <v>0.92307692307692313</v>
      </c>
      <c r="U532" s="15">
        <f>IFERROR((('DATA B3'!E533-'DATA B3'!E532)+('DATA B3'!F533-'DATA B3'!F532))/('WATER_STEAM RATIO'!P532-'WATER_STEAM RATIO'!P531),0)</f>
        <v>0</v>
      </c>
    </row>
    <row r="533" spans="2:21">
      <c r="B533" s="292"/>
      <c r="C533" s="97">
        <v>0.375</v>
      </c>
      <c r="D533" s="84">
        <f>'DATA B1'!D534</f>
        <v>222134</v>
      </c>
      <c r="E533" s="5">
        <f t="shared" si="200"/>
        <v>0</v>
      </c>
      <c r="F533" s="80">
        <f>'DATA B1'!E534</f>
        <v>524526</v>
      </c>
      <c r="G533" s="80">
        <f t="shared" ref="G533:G555" si="203">SUM(F533-F532)</f>
        <v>0</v>
      </c>
      <c r="H533" s="28">
        <f t="shared" si="199"/>
        <v>0</v>
      </c>
      <c r="I533" s="45">
        <f>IFERROR((('DATA B1'!G534-'DATA B1'!G533)/('WATER_STEAM RATIO'!D533-'WATER_STEAM RATIO'!D532))*1000,0)</f>
        <v>0</v>
      </c>
      <c r="J533" s="50">
        <f>'DATA B2'!D534</f>
        <v>515358</v>
      </c>
      <c r="K533" s="82">
        <f t="shared" ref="K533:K554" si="204">SUM(J533-J532)</f>
        <v>0</v>
      </c>
      <c r="L533" s="80">
        <f>'DATA B2'!E534</f>
        <v>573822</v>
      </c>
      <c r="M533" s="80">
        <f t="shared" ref="M533:M555" si="205">SUM(L533-L532)</f>
        <v>0</v>
      </c>
      <c r="N533" s="28">
        <f t="shared" si="201"/>
        <v>0</v>
      </c>
      <c r="O533" s="51">
        <f>IFERROR((('DATA B2'!F534-'DATA B2'!F533)/(K533))*1000,0)</f>
        <v>0</v>
      </c>
      <c r="P533" s="94">
        <f>'DATA B3'!C534</f>
        <v>221713</v>
      </c>
      <c r="Q533" s="91">
        <f t="shared" ref="Q533:Q555" si="206">SUM(P533-P532)</f>
        <v>9</v>
      </c>
      <c r="R533" s="80">
        <f>'DATA B3'!D534</f>
        <v>166296</v>
      </c>
      <c r="S533" s="80">
        <f t="shared" ref="S533:S555" si="207">SUM(R533-R532)</f>
        <v>8</v>
      </c>
      <c r="T533" s="15">
        <f t="shared" si="202"/>
        <v>0.88888888888888884</v>
      </c>
      <c r="U533" s="15">
        <f>IFERROR((('DATA B3'!E534-'DATA B3'!E533)+('DATA B3'!F534-'DATA B3'!F533))/('WATER_STEAM RATIO'!P533-'WATER_STEAM RATIO'!P532),0)</f>
        <v>4.5555555555555554</v>
      </c>
    </row>
    <row r="534" spans="2:21">
      <c r="B534" s="292"/>
      <c r="C534" s="97">
        <v>0.41666666666666702</v>
      </c>
      <c r="D534" s="84">
        <f>'DATA B1'!D535</f>
        <v>222134</v>
      </c>
      <c r="E534" s="5">
        <f t="shared" si="200"/>
        <v>0</v>
      </c>
      <c r="F534" s="80">
        <f>'DATA B1'!E535</f>
        <v>524526</v>
      </c>
      <c r="G534" s="80">
        <f t="shared" si="203"/>
        <v>0</v>
      </c>
      <c r="H534" s="28">
        <f t="shared" si="199"/>
        <v>0</v>
      </c>
      <c r="I534" s="45">
        <f>IFERROR((('DATA B1'!G535-'DATA B1'!G534)/('WATER_STEAM RATIO'!D534-'WATER_STEAM RATIO'!D533))*1000,0)</f>
        <v>0</v>
      </c>
      <c r="J534" s="50">
        <f>'DATA B2'!D535</f>
        <v>515358</v>
      </c>
      <c r="K534" s="82">
        <f t="shared" si="204"/>
        <v>0</v>
      </c>
      <c r="L534" s="80">
        <f>'DATA B2'!E535</f>
        <v>573822</v>
      </c>
      <c r="M534" s="80">
        <f t="shared" si="205"/>
        <v>0</v>
      </c>
      <c r="N534" s="28">
        <f t="shared" si="201"/>
        <v>0</v>
      </c>
      <c r="O534" s="51">
        <f>IFERROR((('DATA B2'!F535-'DATA B2'!F534)/(K534))*1000,0)</f>
        <v>0</v>
      </c>
      <c r="P534" s="94">
        <f>'DATA B3'!C535</f>
        <v>221722</v>
      </c>
      <c r="Q534" s="91">
        <f t="shared" si="206"/>
        <v>9</v>
      </c>
      <c r="R534" s="80">
        <f>'DATA B3'!D535</f>
        <v>166304</v>
      </c>
      <c r="S534" s="80">
        <f t="shared" si="207"/>
        <v>8</v>
      </c>
      <c r="T534" s="15">
        <f t="shared" si="202"/>
        <v>0.88888888888888884</v>
      </c>
      <c r="U534" s="15">
        <f>IFERROR((('DATA B3'!E535-'DATA B3'!E534)+('DATA B3'!F535-'DATA B3'!F534))/('WATER_STEAM RATIO'!P534-'WATER_STEAM RATIO'!P533),0)</f>
        <v>4.5555555555555554</v>
      </c>
    </row>
    <row r="535" spans="2:21">
      <c r="B535" s="292"/>
      <c r="C535" s="97">
        <v>0.45833333333333298</v>
      </c>
      <c r="D535" s="84">
        <f>'DATA B1'!D536</f>
        <v>222134</v>
      </c>
      <c r="E535" s="5">
        <f t="shared" si="200"/>
        <v>0</v>
      </c>
      <c r="F535" s="80">
        <f>'DATA B1'!E536</f>
        <v>524526</v>
      </c>
      <c r="G535" s="80">
        <f t="shared" si="203"/>
        <v>0</v>
      </c>
      <c r="H535" s="28">
        <f t="shared" si="199"/>
        <v>0</v>
      </c>
      <c r="I535" s="45">
        <f>IFERROR((('DATA B1'!G536-'DATA B1'!G535)/('WATER_STEAM RATIO'!D535-'WATER_STEAM RATIO'!D534))*1000,0)</f>
        <v>0</v>
      </c>
      <c r="J535" s="50">
        <f>'DATA B2'!D536</f>
        <v>515358</v>
      </c>
      <c r="K535" s="82">
        <f t="shared" si="204"/>
        <v>0</v>
      </c>
      <c r="L535" s="80">
        <f>'DATA B2'!E536</f>
        <v>573822</v>
      </c>
      <c r="M535" s="80">
        <f t="shared" si="205"/>
        <v>0</v>
      </c>
      <c r="N535" s="28">
        <f t="shared" si="201"/>
        <v>0</v>
      </c>
      <c r="O535" s="51">
        <f>IFERROR((('DATA B2'!F536-'DATA B2'!F535)/(K535))*1000,0)</f>
        <v>0</v>
      </c>
      <c r="P535" s="94">
        <f>'DATA B3'!C536</f>
        <v>221732</v>
      </c>
      <c r="Q535" s="91">
        <f t="shared" si="206"/>
        <v>10</v>
      </c>
      <c r="R535" s="80">
        <f>'DATA B3'!D536</f>
        <v>166312</v>
      </c>
      <c r="S535" s="80">
        <f t="shared" si="207"/>
        <v>8</v>
      </c>
      <c r="T535" s="15">
        <f t="shared" si="202"/>
        <v>0.8</v>
      </c>
      <c r="U535" s="15">
        <f>IFERROR((('DATA B3'!E536-'DATA B3'!E535)+('DATA B3'!F536-'DATA B3'!F535))/('WATER_STEAM RATIO'!P535-'WATER_STEAM RATIO'!P534),0)</f>
        <v>4.2900000000000089</v>
      </c>
    </row>
    <row r="536" spans="2:21">
      <c r="B536" s="292"/>
      <c r="C536" s="97">
        <v>0.5</v>
      </c>
      <c r="D536" s="84">
        <f>'DATA B1'!D537</f>
        <v>222134</v>
      </c>
      <c r="E536" s="5">
        <f t="shared" si="200"/>
        <v>0</v>
      </c>
      <c r="F536" s="80">
        <f>'DATA B1'!E537</f>
        <v>524526</v>
      </c>
      <c r="G536" s="80">
        <f t="shared" si="203"/>
        <v>0</v>
      </c>
      <c r="H536" s="28">
        <f t="shared" si="199"/>
        <v>0</v>
      </c>
      <c r="I536" s="45">
        <f>IFERROR((('DATA B1'!G537-'DATA B1'!G536)/('WATER_STEAM RATIO'!D536-'WATER_STEAM RATIO'!D535))*1000,0)</f>
        <v>0</v>
      </c>
      <c r="J536" s="50">
        <f>'DATA B2'!D537</f>
        <v>515358</v>
      </c>
      <c r="K536" s="82">
        <f t="shared" si="204"/>
        <v>0</v>
      </c>
      <c r="L536" s="80">
        <f>'DATA B2'!E537</f>
        <v>573822</v>
      </c>
      <c r="M536" s="80">
        <f t="shared" si="205"/>
        <v>0</v>
      </c>
      <c r="N536" s="28">
        <f t="shared" si="201"/>
        <v>0</v>
      </c>
      <c r="O536" s="51">
        <f>IFERROR((('DATA B2'!F537-'DATA B2'!F536)/(K536))*1000,0)</f>
        <v>0</v>
      </c>
      <c r="P536" s="94">
        <f>'DATA B3'!C537</f>
        <v>0</v>
      </c>
      <c r="Q536" s="91">
        <f t="shared" si="206"/>
        <v>-221732</v>
      </c>
      <c r="R536" s="80">
        <f>'DATA B3'!D537</f>
        <v>0</v>
      </c>
      <c r="S536" s="80">
        <f t="shared" si="207"/>
        <v>-166312</v>
      </c>
      <c r="T536" s="15">
        <f t="shared" si="202"/>
        <v>0.75005862933631595</v>
      </c>
      <c r="U536" s="15">
        <f>IFERROR((('DATA B3'!E537-'DATA B3'!E536)+('DATA B3'!F537-'DATA B3'!F536))/('WATER_STEAM RATIO'!P536-'WATER_STEAM RATIO'!P535),0)</f>
        <v>2.813833817401187E-2</v>
      </c>
    </row>
    <row r="537" spans="2:21">
      <c r="B537" s="292"/>
      <c r="C537" s="97">
        <v>0.54166666666666696</v>
      </c>
      <c r="D537" s="84">
        <f>'DATA B1'!D538</f>
        <v>222134</v>
      </c>
      <c r="E537" s="5">
        <f t="shared" si="200"/>
        <v>0</v>
      </c>
      <c r="F537" s="80">
        <f>'DATA B1'!E538</f>
        <v>524526</v>
      </c>
      <c r="G537" s="80">
        <f t="shared" si="203"/>
        <v>0</v>
      </c>
      <c r="H537" s="28">
        <f t="shared" si="199"/>
        <v>0</v>
      </c>
      <c r="I537" s="45">
        <f>IFERROR((('DATA B1'!G538-'DATA B1'!G537)/('WATER_STEAM RATIO'!D537-'WATER_STEAM RATIO'!D536))*1000,0)</f>
        <v>0</v>
      </c>
      <c r="J537" s="50">
        <f>'DATA B2'!D538</f>
        <v>515358</v>
      </c>
      <c r="K537" s="82">
        <f t="shared" si="204"/>
        <v>0</v>
      </c>
      <c r="L537" s="80">
        <f>'DATA B2'!E538</f>
        <v>573822</v>
      </c>
      <c r="M537" s="80">
        <f t="shared" si="205"/>
        <v>0</v>
      </c>
      <c r="N537" s="28">
        <f t="shared" si="201"/>
        <v>0</v>
      </c>
      <c r="O537" s="51">
        <f>IFERROR((('DATA B2'!F538-'DATA B2'!F537)/(K537))*1000,0)</f>
        <v>0</v>
      </c>
      <c r="P537" s="94">
        <f>'DATA B3'!C538</f>
        <v>0</v>
      </c>
      <c r="Q537" s="91">
        <f t="shared" si="206"/>
        <v>0</v>
      </c>
      <c r="R537" s="80">
        <f>'DATA B3'!D538</f>
        <v>0</v>
      </c>
      <c r="S537" s="80">
        <f t="shared" si="207"/>
        <v>0</v>
      </c>
      <c r="T537" s="15">
        <f t="shared" si="202"/>
        <v>0</v>
      </c>
      <c r="U537" s="15">
        <f>IFERROR((('DATA B3'!E538-'DATA B3'!E537)+('DATA B3'!F538-'DATA B3'!F537))/('WATER_STEAM RATIO'!P537-'WATER_STEAM RATIO'!P536),0)</f>
        <v>0</v>
      </c>
    </row>
    <row r="538" spans="2:21">
      <c r="B538" s="292"/>
      <c r="C538" s="97">
        <v>0.58333333333333304</v>
      </c>
      <c r="D538" s="84">
        <f>'DATA B1'!D539</f>
        <v>222134</v>
      </c>
      <c r="E538" s="5">
        <f t="shared" si="200"/>
        <v>0</v>
      </c>
      <c r="F538" s="80">
        <f>'DATA B1'!E539</f>
        <v>524526</v>
      </c>
      <c r="G538" s="80">
        <f t="shared" si="203"/>
        <v>0</v>
      </c>
      <c r="H538" s="28">
        <f t="shared" si="199"/>
        <v>0</v>
      </c>
      <c r="I538" s="45">
        <f>IFERROR((('DATA B1'!G539-'DATA B1'!G538)/('WATER_STEAM RATIO'!D538-'WATER_STEAM RATIO'!D537))*1000,0)</f>
        <v>0</v>
      </c>
      <c r="J538" s="50">
        <f>'DATA B2'!D539</f>
        <v>515358</v>
      </c>
      <c r="K538" s="82">
        <f t="shared" si="204"/>
        <v>0</v>
      </c>
      <c r="L538" s="80">
        <f>'DATA B2'!E539</f>
        <v>573822</v>
      </c>
      <c r="M538" s="80">
        <f t="shared" si="205"/>
        <v>0</v>
      </c>
      <c r="N538" s="28">
        <f t="shared" si="201"/>
        <v>0</v>
      </c>
      <c r="O538" s="51">
        <f>IFERROR((('DATA B2'!F539-'DATA B2'!F538)/(K538))*1000,0)</f>
        <v>0</v>
      </c>
      <c r="P538" s="94">
        <f>'DATA B3'!C539</f>
        <v>0</v>
      </c>
      <c r="Q538" s="91">
        <f t="shared" si="206"/>
        <v>0</v>
      </c>
      <c r="R538" s="80">
        <f>'DATA B3'!D539</f>
        <v>0</v>
      </c>
      <c r="S538" s="80">
        <f t="shared" si="207"/>
        <v>0</v>
      </c>
      <c r="T538" s="15">
        <f t="shared" si="202"/>
        <v>0</v>
      </c>
      <c r="U538" s="15">
        <f>IFERROR((('DATA B3'!E539-'DATA B3'!E538)+('DATA B3'!F539-'DATA B3'!F538))/('WATER_STEAM RATIO'!P538-'WATER_STEAM RATIO'!P537),0)</f>
        <v>0</v>
      </c>
    </row>
    <row r="539" spans="2:21">
      <c r="B539" s="292"/>
      <c r="C539" s="97">
        <v>0.625</v>
      </c>
      <c r="D539" s="84">
        <f>'DATA B1'!D540</f>
        <v>222134</v>
      </c>
      <c r="E539" s="5">
        <f t="shared" ref="E539:E555" si="208">SUM(D539-D538)</f>
        <v>0</v>
      </c>
      <c r="F539" s="80">
        <f>'DATA B1'!E540</f>
        <v>524526</v>
      </c>
      <c r="G539" s="80">
        <f t="shared" si="203"/>
        <v>0</v>
      </c>
      <c r="H539" s="28">
        <f t="shared" si="199"/>
        <v>0</v>
      </c>
      <c r="I539" s="45">
        <f>IFERROR((('DATA B1'!G540-'DATA B1'!G539)/('WATER_STEAM RATIO'!D539-'WATER_STEAM RATIO'!D538))*1000,0)</f>
        <v>0</v>
      </c>
      <c r="J539" s="50">
        <f>'DATA B2'!D540</f>
        <v>515358</v>
      </c>
      <c r="K539" s="82">
        <f t="shared" si="204"/>
        <v>0</v>
      </c>
      <c r="L539" s="80">
        <f>'DATA B2'!E540</f>
        <v>573822</v>
      </c>
      <c r="M539" s="80">
        <f t="shared" si="205"/>
        <v>0</v>
      </c>
      <c r="N539" s="28">
        <f t="shared" si="201"/>
        <v>0</v>
      </c>
      <c r="O539" s="51">
        <f>IFERROR((('DATA B2'!F540-'DATA B2'!F539)/(K539))*1000,0)</f>
        <v>0</v>
      </c>
      <c r="P539" s="94">
        <f>'DATA B3'!C540</f>
        <v>0</v>
      </c>
      <c r="Q539" s="91">
        <f t="shared" si="206"/>
        <v>0</v>
      </c>
      <c r="R539" s="80">
        <f>'DATA B3'!D540</f>
        <v>0</v>
      </c>
      <c r="S539" s="80">
        <f t="shared" si="207"/>
        <v>0</v>
      </c>
      <c r="T539" s="15">
        <f t="shared" si="202"/>
        <v>0</v>
      </c>
      <c r="U539" s="15">
        <f>IFERROR((('DATA B3'!E540-'DATA B3'!E539)+('DATA B3'!F540-'DATA B3'!F539))/('WATER_STEAM RATIO'!P539-'WATER_STEAM RATIO'!P538),0)</f>
        <v>0</v>
      </c>
    </row>
    <row r="540" spans="2:21">
      <c r="B540" s="292"/>
      <c r="C540" s="97">
        <v>0.66666666666666596</v>
      </c>
      <c r="D540" s="84">
        <f>'DATA B1'!D541</f>
        <v>222134</v>
      </c>
      <c r="E540" s="5">
        <f t="shared" si="208"/>
        <v>0</v>
      </c>
      <c r="F540" s="80">
        <f>'DATA B1'!E541</f>
        <v>524526</v>
      </c>
      <c r="G540" s="80">
        <f t="shared" si="203"/>
        <v>0</v>
      </c>
      <c r="H540" s="28">
        <f t="shared" si="199"/>
        <v>0</v>
      </c>
      <c r="I540" s="45">
        <f>IFERROR((('DATA B1'!G541-'DATA B1'!G540)/('WATER_STEAM RATIO'!D540-'WATER_STEAM RATIO'!D539))*1000,0)</f>
        <v>0</v>
      </c>
      <c r="J540" s="50">
        <f>'DATA B2'!D541</f>
        <v>515358</v>
      </c>
      <c r="K540" s="82">
        <f>SUM(J540-J539)</f>
        <v>0</v>
      </c>
      <c r="L540" s="80">
        <f>'DATA B2'!E541</f>
        <v>573822</v>
      </c>
      <c r="M540" s="80">
        <f t="shared" si="205"/>
        <v>0</v>
      </c>
      <c r="N540" s="28">
        <f t="shared" si="201"/>
        <v>0</v>
      </c>
      <c r="O540" s="51">
        <f>IFERROR((('DATA B2'!F541-'DATA B2'!F540)/(K540))*1000,0)</f>
        <v>0</v>
      </c>
      <c r="P540" s="94">
        <f>'DATA B3'!C541</f>
        <v>0</v>
      </c>
      <c r="Q540" s="91">
        <f t="shared" si="206"/>
        <v>0</v>
      </c>
      <c r="R540" s="80">
        <f>'DATA B3'!D541</f>
        <v>0</v>
      </c>
      <c r="S540" s="80">
        <f t="shared" si="207"/>
        <v>0</v>
      </c>
      <c r="T540" s="15">
        <f t="shared" si="202"/>
        <v>0</v>
      </c>
      <c r="U540" s="15">
        <f>IFERROR((('DATA B3'!E541-'DATA B3'!E540)+('DATA B3'!F541-'DATA B3'!F540))/('WATER_STEAM RATIO'!P540-'WATER_STEAM RATIO'!P539),0)</f>
        <v>0</v>
      </c>
    </row>
    <row r="541" spans="2:21">
      <c r="B541" s="292"/>
      <c r="C541" s="97">
        <v>0.70833333333333304</v>
      </c>
      <c r="D541" s="84">
        <f>'DATA B1'!D542</f>
        <v>222134</v>
      </c>
      <c r="E541" s="5">
        <f t="shared" si="208"/>
        <v>0</v>
      </c>
      <c r="F541" s="80">
        <f>'DATA B1'!E542</f>
        <v>524526</v>
      </c>
      <c r="G541" s="80">
        <f t="shared" si="203"/>
        <v>0</v>
      </c>
      <c r="H541" s="28">
        <f t="shared" si="199"/>
        <v>0</v>
      </c>
      <c r="I541" s="45">
        <f>IFERROR((('DATA B1'!G542-'DATA B1'!G541)/('WATER_STEAM RATIO'!D541-'WATER_STEAM RATIO'!D540))*1000,0)</f>
        <v>0</v>
      </c>
      <c r="J541" s="50">
        <f>'DATA B2'!D542</f>
        <v>515358</v>
      </c>
      <c r="K541" s="82">
        <f t="shared" si="204"/>
        <v>0</v>
      </c>
      <c r="L541" s="80">
        <f>'DATA B2'!E542</f>
        <v>573822</v>
      </c>
      <c r="M541" s="80">
        <f t="shared" si="205"/>
        <v>0</v>
      </c>
      <c r="N541" s="28">
        <f t="shared" si="201"/>
        <v>0</v>
      </c>
      <c r="O541" s="51">
        <f>IFERROR((('DATA B2'!F542-'DATA B2'!F541)/(K541))*1000,0)</f>
        <v>0</v>
      </c>
      <c r="P541" s="94">
        <f>'DATA B3'!C542</f>
        <v>0</v>
      </c>
      <c r="Q541" s="91">
        <f t="shared" si="206"/>
        <v>0</v>
      </c>
      <c r="R541" s="80">
        <f>'DATA B3'!D542</f>
        <v>0</v>
      </c>
      <c r="S541" s="80">
        <f t="shared" si="207"/>
        <v>0</v>
      </c>
      <c r="T541" s="15">
        <f t="shared" si="202"/>
        <v>0</v>
      </c>
      <c r="U541" s="15">
        <f>IFERROR((('DATA B3'!E542-'DATA B3'!E541)+('DATA B3'!F542-'DATA B3'!F541))/('WATER_STEAM RATIO'!P541-'WATER_STEAM RATIO'!P540),0)</f>
        <v>0</v>
      </c>
    </row>
    <row r="542" spans="2:21">
      <c r="B542" s="292"/>
      <c r="C542" s="97">
        <v>0.75</v>
      </c>
      <c r="D542" s="84">
        <f>'DATA B1'!D543</f>
        <v>222134</v>
      </c>
      <c r="E542" s="5">
        <f t="shared" si="208"/>
        <v>0</v>
      </c>
      <c r="F542" s="80">
        <f>'DATA B1'!E543</f>
        <v>524526</v>
      </c>
      <c r="G542" s="80">
        <f t="shared" si="203"/>
        <v>0</v>
      </c>
      <c r="H542" s="28">
        <f t="shared" si="199"/>
        <v>0</v>
      </c>
      <c r="I542" s="45">
        <f>IFERROR((('DATA B1'!G543-'DATA B1'!G542)/('WATER_STEAM RATIO'!D542-'WATER_STEAM RATIO'!D541))*1000,0)</f>
        <v>0</v>
      </c>
      <c r="J542" s="50">
        <f>'DATA B2'!D543</f>
        <v>515358</v>
      </c>
      <c r="K542" s="82">
        <f t="shared" si="204"/>
        <v>0</v>
      </c>
      <c r="L542" s="80">
        <f>'DATA B2'!E543</f>
        <v>573822</v>
      </c>
      <c r="M542" s="80">
        <f t="shared" si="205"/>
        <v>0</v>
      </c>
      <c r="N542" s="28">
        <f t="shared" si="201"/>
        <v>0</v>
      </c>
      <c r="O542" s="51">
        <f>IFERROR((('DATA B2'!F543-'DATA B2'!F542)/(K542))*1000,0)</f>
        <v>0</v>
      </c>
      <c r="P542" s="94">
        <f>'DATA B3'!C543</f>
        <v>0</v>
      </c>
      <c r="Q542" s="91">
        <f t="shared" si="206"/>
        <v>0</v>
      </c>
      <c r="R542" s="80">
        <f>'DATA B3'!D543</f>
        <v>0</v>
      </c>
      <c r="S542" s="80">
        <f t="shared" si="207"/>
        <v>0</v>
      </c>
      <c r="T542" s="15">
        <f t="shared" si="202"/>
        <v>0</v>
      </c>
      <c r="U542" s="15">
        <f>IFERROR((('DATA B3'!E543-'DATA B3'!E542)+('DATA B3'!F543-'DATA B3'!F542))/('WATER_STEAM RATIO'!P542-'WATER_STEAM RATIO'!P541),0)</f>
        <v>0</v>
      </c>
    </row>
    <row r="543" spans="2:21">
      <c r="B543" s="292"/>
      <c r="C543" s="97">
        <v>0.79166666666666596</v>
      </c>
      <c r="D543" s="84">
        <f>'DATA B1'!D544</f>
        <v>222134</v>
      </c>
      <c r="E543" s="5">
        <f t="shared" si="208"/>
        <v>0</v>
      </c>
      <c r="F543" s="80">
        <f>'DATA B1'!E544</f>
        <v>524526</v>
      </c>
      <c r="G543" s="80">
        <f t="shared" si="203"/>
        <v>0</v>
      </c>
      <c r="H543" s="28">
        <f t="shared" si="199"/>
        <v>0</v>
      </c>
      <c r="I543" s="45">
        <f>IFERROR((('DATA B1'!G544-'DATA B1'!G543)/('WATER_STEAM RATIO'!D543-'WATER_STEAM RATIO'!D542))*1000,0)</f>
        <v>0</v>
      </c>
      <c r="J543" s="50">
        <f>'DATA B2'!D544</f>
        <v>515358</v>
      </c>
      <c r="K543" s="82">
        <f t="shared" si="204"/>
        <v>0</v>
      </c>
      <c r="L543" s="80">
        <f>'DATA B2'!E544</f>
        <v>573822</v>
      </c>
      <c r="M543" s="80">
        <f t="shared" si="205"/>
        <v>0</v>
      </c>
      <c r="N543" s="28">
        <f t="shared" si="201"/>
        <v>0</v>
      </c>
      <c r="O543" s="51">
        <f>IFERROR((('DATA B2'!F544-'DATA B2'!F543)/(K543))*1000,0)</f>
        <v>0</v>
      </c>
      <c r="P543" s="94">
        <f>'DATA B3'!C544</f>
        <v>0</v>
      </c>
      <c r="Q543" s="91">
        <f t="shared" si="206"/>
        <v>0</v>
      </c>
      <c r="R543" s="80">
        <f>'DATA B3'!D544</f>
        <v>0</v>
      </c>
      <c r="S543" s="80">
        <f t="shared" si="207"/>
        <v>0</v>
      </c>
      <c r="T543" s="15">
        <f t="shared" si="202"/>
        <v>0</v>
      </c>
      <c r="U543" s="15">
        <f>IFERROR((('DATA B3'!E544-'DATA B3'!E543)+('DATA B3'!F544-'DATA B3'!F543))/('WATER_STEAM RATIO'!P543-'WATER_STEAM RATIO'!P542),0)</f>
        <v>0</v>
      </c>
    </row>
    <row r="544" spans="2:21">
      <c r="B544" s="292"/>
      <c r="C544" s="97">
        <v>0.83333333333333304</v>
      </c>
      <c r="D544" s="84">
        <f>'DATA B1'!D545</f>
        <v>0</v>
      </c>
      <c r="E544" s="5">
        <f t="shared" si="208"/>
        <v>-222134</v>
      </c>
      <c r="F544" s="80">
        <f>'DATA B1'!E545</f>
        <v>0</v>
      </c>
      <c r="G544" s="80">
        <f t="shared" si="203"/>
        <v>-524526</v>
      </c>
      <c r="H544" s="28">
        <f t="shared" si="199"/>
        <v>2.3613044378618313</v>
      </c>
      <c r="I544" s="45">
        <f>IFERROR((('DATA B1'!G545-'DATA B1'!G544)/('WATER_STEAM RATIO'!D544-'WATER_STEAM RATIO'!D543))*1000,0)</f>
        <v>3.977779178333799E-3</v>
      </c>
      <c r="J544" s="50">
        <f>'DATA B2'!D545</f>
        <v>0</v>
      </c>
      <c r="K544" s="82">
        <f t="shared" si="204"/>
        <v>-515358</v>
      </c>
      <c r="L544" s="80">
        <f>'DATA B2'!E545</f>
        <v>0</v>
      </c>
      <c r="M544" s="80">
        <f t="shared" si="205"/>
        <v>-573822</v>
      </c>
      <c r="N544" s="28">
        <f t="shared" si="201"/>
        <v>1.1134434703642904</v>
      </c>
      <c r="O544" s="51">
        <f>IFERROR((('DATA B2'!F545-'DATA B2'!F544)/(K544))*1000,0)</f>
        <v>2.2533850255550512E-3</v>
      </c>
      <c r="P544" s="94">
        <f>'DATA B3'!C545</f>
        <v>0</v>
      </c>
      <c r="Q544" s="91">
        <f t="shared" si="206"/>
        <v>0</v>
      </c>
      <c r="R544" s="80">
        <f>'DATA B3'!D545</f>
        <v>0</v>
      </c>
      <c r="S544" s="80">
        <f t="shared" si="207"/>
        <v>0</v>
      </c>
      <c r="T544" s="15">
        <f t="shared" si="202"/>
        <v>0</v>
      </c>
      <c r="U544" s="15">
        <f>IFERROR((('DATA B3'!E545-'DATA B3'!E544)+('DATA B3'!F545-'DATA B3'!F544))/('WATER_STEAM RATIO'!P544-'WATER_STEAM RATIO'!P543),0)</f>
        <v>0</v>
      </c>
    </row>
    <row r="545" spans="2:21">
      <c r="B545" s="292"/>
      <c r="C545" s="97">
        <v>0.875</v>
      </c>
      <c r="D545" s="84">
        <f>'DATA B1'!D546</f>
        <v>0</v>
      </c>
      <c r="E545" s="5">
        <f t="shared" si="208"/>
        <v>0</v>
      </c>
      <c r="F545" s="80">
        <f>'DATA B1'!E546</f>
        <v>0</v>
      </c>
      <c r="G545" s="80">
        <f t="shared" si="203"/>
        <v>0</v>
      </c>
      <c r="H545" s="28">
        <f t="shared" si="199"/>
        <v>0</v>
      </c>
      <c r="I545" s="45">
        <f>IFERROR((('DATA B1'!G546-'DATA B1'!G545)/('WATER_STEAM RATIO'!D545-'WATER_STEAM RATIO'!D544))*1000,0)</f>
        <v>0</v>
      </c>
      <c r="J545" s="50">
        <f>'DATA B2'!D546</f>
        <v>0</v>
      </c>
      <c r="K545" s="82">
        <f t="shared" si="204"/>
        <v>0</v>
      </c>
      <c r="L545" s="80">
        <f>'DATA B2'!E546</f>
        <v>0</v>
      </c>
      <c r="M545" s="80">
        <f t="shared" si="205"/>
        <v>0</v>
      </c>
      <c r="N545" s="28">
        <f>IFERROR(M545/K545,0)</f>
        <v>0</v>
      </c>
      <c r="O545" s="51">
        <f>IFERROR((('DATA B2'!F546-'DATA B2'!F545)/(K545))*1000,0)</f>
        <v>0</v>
      </c>
      <c r="P545" s="94">
        <f>'DATA B3'!C546</f>
        <v>0</v>
      </c>
      <c r="Q545" s="91">
        <f t="shared" si="206"/>
        <v>0</v>
      </c>
      <c r="R545" s="80">
        <f>'DATA B3'!D546</f>
        <v>0</v>
      </c>
      <c r="S545" s="80">
        <f t="shared" si="207"/>
        <v>0</v>
      </c>
      <c r="T545" s="15">
        <f t="shared" si="202"/>
        <v>0</v>
      </c>
      <c r="U545" s="15">
        <f>IFERROR((('DATA B3'!E546-'DATA B3'!E545)+('DATA B3'!F546-'DATA B3'!F545))/('WATER_STEAM RATIO'!P545-'WATER_STEAM RATIO'!P544),0)</f>
        <v>0</v>
      </c>
    </row>
    <row r="546" spans="2:21">
      <c r="B546" s="292"/>
      <c r="C546" s="97">
        <v>0.91666666666666596</v>
      </c>
      <c r="D546" s="84">
        <f>'DATA B1'!D547</f>
        <v>0</v>
      </c>
      <c r="E546" s="5">
        <f t="shared" si="208"/>
        <v>0</v>
      </c>
      <c r="F546" s="80">
        <f>'DATA B1'!E547</f>
        <v>0</v>
      </c>
      <c r="G546" s="80">
        <f t="shared" si="203"/>
        <v>0</v>
      </c>
      <c r="H546" s="28">
        <f t="shared" si="199"/>
        <v>0</v>
      </c>
      <c r="I546" s="45">
        <f>IFERROR((('DATA B1'!G547-'DATA B1'!G546)/('WATER_STEAM RATIO'!D546-'WATER_STEAM RATIO'!D545))*1000,0)</f>
        <v>0</v>
      </c>
      <c r="J546" s="50">
        <f>'DATA B2'!D547</f>
        <v>0</v>
      </c>
      <c r="K546" s="82">
        <f t="shared" si="204"/>
        <v>0</v>
      </c>
      <c r="L546" s="80">
        <f>'DATA B2'!E547</f>
        <v>0</v>
      </c>
      <c r="M546" s="80">
        <f t="shared" si="205"/>
        <v>0</v>
      </c>
      <c r="N546" s="28">
        <f t="shared" si="201"/>
        <v>0</v>
      </c>
      <c r="O546" s="51">
        <f>IFERROR((('DATA B2'!F547-'DATA B2'!F546)/(K546))*1000,0)</f>
        <v>0</v>
      </c>
      <c r="P546" s="94">
        <f>'DATA B3'!C547</f>
        <v>0</v>
      </c>
      <c r="Q546" s="91">
        <f t="shared" si="206"/>
        <v>0</v>
      </c>
      <c r="R546" s="80">
        <f>'DATA B3'!D547</f>
        <v>0</v>
      </c>
      <c r="S546" s="80">
        <f t="shared" si="207"/>
        <v>0</v>
      </c>
      <c r="T546" s="15">
        <f t="shared" si="202"/>
        <v>0</v>
      </c>
      <c r="U546" s="15">
        <f>IFERROR((('DATA B3'!E547-'DATA B3'!E546)+('DATA B3'!F547-'DATA B3'!F546))/('WATER_STEAM RATIO'!P546-'WATER_STEAM RATIO'!P545),0)</f>
        <v>0</v>
      </c>
    </row>
    <row r="547" spans="2:21">
      <c r="B547" s="292"/>
      <c r="C547" s="97">
        <v>0.95833333333333304</v>
      </c>
      <c r="D547" s="84">
        <f>'DATA B1'!D548</f>
        <v>0</v>
      </c>
      <c r="E547" s="5">
        <f t="shared" si="208"/>
        <v>0</v>
      </c>
      <c r="F547" s="80">
        <f>'DATA B1'!E548</f>
        <v>0</v>
      </c>
      <c r="G547" s="80">
        <f t="shared" si="203"/>
        <v>0</v>
      </c>
      <c r="H547" s="28">
        <f t="shared" si="199"/>
        <v>0</v>
      </c>
      <c r="I547" s="45">
        <f>IFERROR((('DATA B1'!G548-'DATA B1'!G547)/('WATER_STEAM RATIO'!D547-'WATER_STEAM RATIO'!D546))*1000,0)</f>
        <v>0</v>
      </c>
      <c r="J547" s="50">
        <f>'DATA B2'!D548</f>
        <v>0</v>
      </c>
      <c r="K547" s="82">
        <f>SUM(J547-J546)</f>
        <v>0</v>
      </c>
      <c r="L547" s="80">
        <f>'DATA B2'!E548</f>
        <v>0</v>
      </c>
      <c r="M547" s="80">
        <f t="shared" si="205"/>
        <v>0</v>
      </c>
      <c r="N547" s="28">
        <f t="shared" si="201"/>
        <v>0</v>
      </c>
      <c r="O547" s="51">
        <f>IFERROR((('DATA B2'!F548-'DATA B2'!F547)/(K547))*1000,0)</f>
        <v>0</v>
      </c>
      <c r="P547" s="94">
        <f>'DATA B3'!C548</f>
        <v>0</v>
      </c>
      <c r="Q547" s="91">
        <f t="shared" si="206"/>
        <v>0</v>
      </c>
      <c r="R547" s="80">
        <f>'DATA B3'!D548</f>
        <v>0</v>
      </c>
      <c r="S547" s="80">
        <f t="shared" si="207"/>
        <v>0</v>
      </c>
      <c r="T547" s="15">
        <f t="shared" si="202"/>
        <v>0</v>
      </c>
      <c r="U547" s="15">
        <f>IFERROR((('DATA B3'!E548-'DATA B3'!E547)+('DATA B3'!F548-'DATA B3'!F547))/('WATER_STEAM RATIO'!P547-'WATER_STEAM RATIO'!P546),0)</f>
        <v>0</v>
      </c>
    </row>
    <row r="548" spans="2:21">
      <c r="B548" s="292"/>
      <c r="C548" s="97">
        <v>1</v>
      </c>
      <c r="D548" s="84">
        <f>'DATA B1'!D549</f>
        <v>0</v>
      </c>
      <c r="E548" s="5">
        <f t="shared" si="208"/>
        <v>0</v>
      </c>
      <c r="F548" s="80">
        <f>'DATA B1'!E549</f>
        <v>0</v>
      </c>
      <c r="G548" s="80">
        <f t="shared" si="203"/>
        <v>0</v>
      </c>
      <c r="H548" s="28">
        <f t="shared" si="199"/>
        <v>0</v>
      </c>
      <c r="I548" s="45">
        <f>IFERROR((('DATA B1'!G549-'DATA B1'!G548)/('WATER_STEAM RATIO'!D548-'WATER_STEAM RATIO'!D547))*1000,0)</f>
        <v>0</v>
      </c>
      <c r="J548" s="50">
        <f>'DATA B2'!D549</f>
        <v>0</v>
      </c>
      <c r="K548" s="82">
        <f t="shared" si="204"/>
        <v>0</v>
      </c>
      <c r="L548" s="80">
        <f>'DATA B2'!E549</f>
        <v>0</v>
      </c>
      <c r="M548" s="80">
        <f t="shared" si="205"/>
        <v>0</v>
      </c>
      <c r="N548" s="28">
        <f t="shared" si="201"/>
        <v>0</v>
      </c>
      <c r="O548" s="51">
        <f>IFERROR((('DATA B2'!F549-'DATA B2'!F548)/(K548))*1000,0)</f>
        <v>0</v>
      </c>
      <c r="P548" s="94">
        <f>'DATA B3'!C549</f>
        <v>0</v>
      </c>
      <c r="Q548" s="91">
        <f t="shared" si="206"/>
        <v>0</v>
      </c>
      <c r="R548" s="80">
        <f>'DATA B3'!D549</f>
        <v>0</v>
      </c>
      <c r="S548" s="80">
        <f t="shared" si="207"/>
        <v>0</v>
      </c>
      <c r="T548" s="15">
        <f t="shared" si="202"/>
        <v>0</v>
      </c>
      <c r="U548" s="15">
        <f>IFERROR((('DATA B3'!E549-'DATA B3'!E548)+('DATA B3'!F549-'DATA B3'!F548))/('WATER_STEAM RATIO'!P548-'WATER_STEAM RATIO'!P547),0)</f>
        <v>0</v>
      </c>
    </row>
    <row r="549" spans="2:21">
      <c r="B549" s="292"/>
      <c r="C549" s="97">
        <v>1.0416666666666701</v>
      </c>
      <c r="D549" s="84">
        <f>'DATA B1'!D550</f>
        <v>0</v>
      </c>
      <c r="E549" s="5">
        <f t="shared" si="208"/>
        <v>0</v>
      </c>
      <c r="F549" s="80">
        <f>'DATA B1'!E550</f>
        <v>0</v>
      </c>
      <c r="G549" s="80">
        <f t="shared" si="203"/>
        <v>0</v>
      </c>
      <c r="H549" s="28">
        <f t="shared" si="199"/>
        <v>0</v>
      </c>
      <c r="I549" s="45">
        <f>IFERROR((('DATA B1'!G550-'DATA B1'!G549)/('WATER_STEAM RATIO'!D549-'WATER_STEAM RATIO'!D548))*1000,0)</f>
        <v>0</v>
      </c>
      <c r="J549" s="50">
        <f>'DATA B2'!D550</f>
        <v>0</v>
      </c>
      <c r="K549" s="82">
        <f t="shared" si="204"/>
        <v>0</v>
      </c>
      <c r="L549" s="80">
        <f>'DATA B2'!E550</f>
        <v>0</v>
      </c>
      <c r="M549" s="80">
        <f t="shared" si="205"/>
        <v>0</v>
      </c>
      <c r="N549" s="28">
        <f t="shared" si="201"/>
        <v>0</v>
      </c>
      <c r="O549" s="51">
        <f>IFERROR((('DATA B2'!F550-'DATA B2'!F549)/(K549))*1000,0)</f>
        <v>0</v>
      </c>
      <c r="P549" s="94">
        <f>'DATA B3'!C550</f>
        <v>0</v>
      </c>
      <c r="Q549" s="91">
        <f t="shared" si="206"/>
        <v>0</v>
      </c>
      <c r="R549" s="80">
        <f>'DATA B3'!D550</f>
        <v>0</v>
      </c>
      <c r="S549" s="80">
        <f t="shared" si="207"/>
        <v>0</v>
      </c>
      <c r="T549" s="15">
        <f t="shared" si="202"/>
        <v>0</v>
      </c>
      <c r="U549" s="15">
        <f>IFERROR((('DATA B3'!E550-'DATA B3'!E549)+('DATA B3'!F550-'DATA B3'!F549))/('WATER_STEAM RATIO'!P549-'WATER_STEAM RATIO'!P548),0)</f>
        <v>0</v>
      </c>
    </row>
    <row r="550" spans="2:21">
      <c r="B550" s="292"/>
      <c r="C550" s="97">
        <v>1.0833333333333399</v>
      </c>
      <c r="D550" s="84">
        <f>'DATA B1'!D551</f>
        <v>0</v>
      </c>
      <c r="E550" s="5">
        <f>SUM(D550-D549)</f>
        <v>0</v>
      </c>
      <c r="F550" s="80">
        <f>'DATA B1'!E551</f>
        <v>0</v>
      </c>
      <c r="G550" s="80">
        <f t="shared" si="203"/>
        <v>0</v>
      </c>
      <c r="H550" s="28">
        <f t="shared" si="199"/>
        <v>0</v>
      </c>
      <c r="I550" s="45">
        <f>IFERROR((('DATA B1'!G551-'DATA B1'!G550)/('WATER_STEAM RATIO'!D550-'WATER_STEAM RATIO'!D549))*1000,0)</f>
        <v>0</v>
      </c>
      <c r="J550" s="50">
        <f>'DATA B2'!D551</f>
        <v>0</v>
      </c>
      <c r="K550" s="82">
        <f t="shared" si="204"/>
        <v>0</v>
      </c>
      <c r="L550" s="80">
        <f>'DATA B2'!E551</f>
        <v>0</v>
      </c>
      <c r="M550" s="80">
        <f t="shared" si="205"/>
        <v>0</v>
      </c>
      <c r="N550" s="28">
        <f t="shared" si="201"/>
        <v>0</v>
      </c>
      <c r="O550" s="51">
        <f>IFERROR((('DATA B2'!F551-'DATA B2'!F550)/(K550))*1000,0)</f>
        <v>0</v>
      </c>
      <c r="P550" s="94">
        <f>'DATA B3'!C551</f>
        <v>0</v>
      </c>
      <c r="Q550" s="91">
        <f>SUM(P550-P549)</f>
        <v>0</v>
      </c>
      <c r="R550" s="80">
        <f>'DATA B3'!D551</f>
        <v>0</v>
      </c>
      <c r="S550" s="80">
        <f t="shared" si="207"/>
        <v>0</v>
      </c>
      <c r="T550" s="15">
        <f t="shared" si="202"/>
        <v>0</v>
      </c>
      <c r="U550" s="15">
        <f>IFERROR((('DATA B3'!E551-'DATA B3'!E550)+('DATA B3'!F551-'DATA B3'!F550))/('WATER_STEAM RATIO'!P550-'WATER_STEAM RATIO'!P549),0)</f>
        <v>0</v>
      </c>
    </row>
    <row r="551" spans="2:21">
      <c r="B551" s="292"/>
      <c r="C551" s="97">
        <v>1.125</v>
      </c>
      <c r="D551" s="84">
        <f>'DATA B1'!D552</f>
        <v>0</v>
      </c>
      <c r="E551" s="5">
        <f t="shared" si="208"/>
        <v>0</v>
      </c>
      <c r="F551" s="80">
        <f>'DATA B1'!E552</f>
        <v>0</v>
      </c>
      <c r="G551" s="80">
        <f t="shared" si="203"/>
        <v>0</v>
      </c>
      <c r="H551" s="28">
        <f t="shared" si="199"/>
        <v>0</v>
      </c>
      <c r="I551" s="45">
        <f>IFERROR((('DATA B1'!G552-'DATA B1'!G551)/('WATER_STEAM RATIO'!D551-'WATER_STEAM RATIO'!D550))*1000,0)</f>
        <v>0</v>
      </c>
      <c r="J551" s="50">
        <f>'DATA B2'!D552</f>
        <v>0</v>
      </c>
      <c r="K551" s="82">
        <f t="shared" si="204"/>
        <v>0</v>
      </c>
      <c r="L551" s="80">
        <f>'DATA B2'!E552</f>
        <v>0</v>
      </c>
      <c r="M551" s="80">
        <f t="shared" si="205"/>
        <v>0</v>
      </c>
      <c r="N551" s="28">
        <f t="shared" si="201"/>
        <v>0</v>
      </c>
      <c r="O551" s="51">
        <f>IFERROR((('DATA B2'!F552-'DATA B2'!F551)/(K551))*1000,0)</f>
        <v>0</v>
      </c>
      <c r="P551" s="94">
        <f>'DATA B3'!C552</f>
        <v>0</v>
      </c>
      <c r="Q551" s="91">
        <f t="shared" si="206"/>
        <v>0</v>
      </c>
      <c r="R551" s="80">
        <f>'DATA B3'!D552</f>
        <v>0</v>
      </c>
      <c r="S551" s="80">
        <f t="shared" si="207"/>
        <v>0</v>
      </c>
      <c r="T551" s="15">
        <f t="shared" si="202"/>
        <v>0</v>
      </c>
      <c r="U551" s="15">
        <f>IFERROR((('DATA B3'!E552-'DATA B3'!E551)+('DATA B3'!F552-'DATA B3'!F551))/('WATER_STEAM RATIO'!P551-'WATER_STEAM RATIO'!P550),0)</f>
        <v>0</v>
      </c>
    </row>
    <row r="552" spans="2:21">
      <c r="B552" s="292"/>
      <c r="C552" s="97">
        <v>1.1666666666666701</v>
      </c>
      <c r="D552" s="84">
        <f>'DATA B1'!D553</f>
        <v>0</v>
      </c>
      <c r="E552" s="5">
        <f t="shared" si="208"/>
        <v>0</v>
      </c>
      <c r="F552" s="80">
        <f>'DATA B1'!E553</f>
        <v>0</v>
      </c>
      <c r="G552" s="80">
        <f t="shared" si="203"/>
        <v>0</v>
      </c>
      <c r="H552" s="28">
        <f t="shared" si="199"/>
        <v>0</v>
      </c>
      <c r="I552" s="45">
        <f>IFERROR((('DATA B1'!G553-'DATA B1'!G552)/('WATER_STEAM RATIO'!D552-'WATER_STEAM RATIO'!D551))*1000,0)</f>
        <v>0</v>
      </c>
      <c r="J552" s="50">
        <f>'DATA B2'!D553</f>
        <v>0</v>
      </c>
      <c r="K552" s="82">
        <f t="shared" si="204"/>
        <v>0</v>
      </c>
      <c r="L552" s="80">
        <f>'DATA B2'!E553</f>
        <v>0</v>
      </c>
      <c r="M552" s="80">
        <f t="shared" si="205"/>
        <v>0</v>
      </c>
      <c r="N552" s="28">
        <f t="shared" si="201"/>
        <v>0</v>
      </c>
      <c r="O552" s="51">
        <f>IFERROR((('DATA B2'!F553-'DATA B2'!F552)/(K552))*1000,0)</f>
        <v>0</v>
      </c>
      <c r="P552" s="94">
        <f>'DATA B3'!C553</f>
        <v>0</v>
      </c>
      <c r="Q552" s="91">
        <f t="shared" si="206"/>
        <v>0</v>
      </c>
      <c r="R552" s="80">
        <f>'DATA B3'!D553</f>
        <v>0</v>
      </c>
      <c r="S552" s="80">
        <f t="shared" si="207"/>
        <v>0</v>
      </c>
      <c r="T552" s="15">
        <f t="shared" si="202"/>
        <v>0</v>
      </c>
      <c r="U552" s="15">
        <f>IFERROR((('DATA B3'!E553-'DATA B3'!E552)+('DATA B3'!F553-'DATA B3'!F552))/('WATER_STEAM RATIO'!P552-'WATER_STEAM RATIO'!P551),0)</f>
        <v>0</v>
      </c>
    </row>
    <row r="553" spans="2:21">
      <c r="B553" s="292"/>
      <c r="C553" s="97">
        <v>1.2083333333333399</v>
      </c>
      <c r="D553" s="84">
        <f>'DATA B1'!D554</f>
        <v>0</v>
      </c>
      <c r="E553" s="5">
        <f t="shared" si="208"/>
        <v>0</v>
      </c>
      <c r="F553" s="80">
        <f>'DATA B1'!E554</f>
        <v>0</v>
      </c>
      <c r="G553" s="80">
        <f t="shared" si="203"/>
        <v>0</v>
      </c>
      <c r="H553" s="28">
        <f t="shared" si="199"/>
        <v>0</v>
      </c>
      <c r="I553" s="45">
        <f>IFERROR((('DATA B1'!G554-'DATA B1'!G553)/('WATER_STEAM RATIO'!D553-'WATER_STEAM RATIO'!D552))*1000,0)</f>
        <v>0</v>
      </c>
      <c r="J553" s="50">
        <f>'DATA B2'!D554</f>
        <v>0</v>
      </c>
      <c r="K553" s="82">
        <f t="shared" si="204"/>
        <v>0</v>
      </c>
      <c r="L553" s="80">
        <f>'DATA B2'!E554</f>
        <v>0</v>
      </c>
      <c r="M553" s="80">
        <f t="shared" si="205"/>
        <v>0</v>
      </c>
      <c r="N553" s="28">
        <f t="shared" si="201"/>
        <v>0</v>
      </c>
      <c r="O553" s="51">
        <f>IFERROR((('DATA B2'!F554-'DATA B2'!F553)/(K553))*1000,0)</f>
        <v>0</v>
      </c>
      <c r="P553" s="94">
        <f>'DATA B3'!C554</f>
        <v>0</v>
      </c>
      <c r="Q553" s="91">
        <f t="shared" si="206"/>
        <v>0</v>
      </c>
      <c r="R553" s="80">
        <f>'DATA B3'!D554</f>
        <v>0</v>
      </c>
      <c r="S553" s="80">
        <f t="shared" si="207"/>
        <v>0</v>
      </c>
      <c r="T553" s="15">
        <f t="shared" si="202"/>
        <v>0</v>
      </c>
      <c r="U553" s="15">
        <f>IFERROR((('DATA B3'!E554-'DATA B3'!E553)+('DATA B3'!F554-'DATA B3'!F553))/('WATER_STEAM RATIO'!P553-'WATER_STEAM RATIO'!P552),0)</f>
        <v>0</v>
      </c>
    </row>
    <row r="554" spans="2:21">
      <c r="B554" s="292"/>
      <c r="C554" s="97">
        <v>1.25</v>
      </c>
      <c r="D554" s="84">
        <f>'DATA B1'!D555</f>
        <v>0</v>
      </c>
      <c r="E554" s="5">
        <f t="shared" si="208"/>
        <v>0</v>
      </c>
      <c r="F554" s="80">
        <f>'DATA B1'!E555</f>
        <v>0</v>
      </c>
      <c r="G554" s="80">
        <f t="shared" si="203"/>
        <v>0</v>
      </c>
      <c r="H554" s="28">
        <f t="shared" si="199"/>
        <v>0</v>
      </c>
      <c r="I554" s="45">
        <f>IFERROR((('DATA B1'!G555-'DATA B1'!G554)/('WATER_STEAM RATIO'!D554-'WATER_STEAM RATIO'!D553))*1000,0)</f>
        <v>0</v>
      </c>
      <c r="J554" s="50">
        <f>'DATA B2'!D555</f>
        <v>0</v>
      </c>
      <c r="K554" s="82">
        <f t="shared" si="204"/>
        <v>0</v>
      </c>
      <c r="L554" s="80">
        <f>'DATA B2'!E555</f>
        <v>0</v>
      </c>
      <c r="M554" s="80">
        <f t="shared" si="205"/>
        <v>0</v>
      </c>
      <c r="N554" s="28">
        <f t="shared" si="201"/>
        <v>0</v>
      </c>
      <c r="O554" s="51">
        <f>IFERROR((('DATA B2'!F555-'DATA B2'!F554)/(K554))*1000,0)</f>
        <v>0</v>
      </c>
      <c r="P554" s="94">
        <f>'DATA B3'!C555</f>
        <v>0</v>
      </c>
      <c r="Q554" s="91">
        <f t="shared" si="206"/>
        <v>0</v>
      </c>
      <c r="R554" s="80">
        <f>'DATA B3'!D555</f>
        <v>0</v>
      </c>
      <c r="S554" s="80">
        <f t="shared" si="207"/>
        <v>0</v>
      </c>
      <c r="T554" s="15">
        <f t="shared" si="202"/>
        <v>0</v>
      </c>
      <c r="U554" s="15">
        <f>IFERROR((('DATA B3'!E555-'DATA B3'!E554)+('DATA B3'!F555-'DATA B3'!F554))/('WATER_STEAM RATIO'!P554-'WATER_STEAM RATIO'!P553),0)</f>
        <v>0</v>
      </c>
    </row>
    <row r="555" spans="2:21">
      <c r="B555" s="292"/>
      <c r="C555" s="97">
        <v>1.2916666666666701</v>
      </c>
      <c r="D555" s="84">
        <f>'DATA B1'!D556</f>
        <v>0</v>
      </c>
      <c r="E555" s="5">
        <f t="shared" si="208"/>
        <v>0</v>
      </c>
      <c r="F555" s="80">
        <f>'DATA B1'!E556</f>
        <v>0</v>
      </c>
      <c r="G555" s="80">
        <f t="shared" si="203"/>
        <v>0</v>
      </c>
      <c r="H555" s="28">
        <f t="shared" si="199"/>
        <v>0</v>
      </c>
      <c r="I555" s="45">
        <f>IFERROR((('DATA B1'!G556-'DATA B1'!G555)/('WATER_STEAM RATIO'!D555-'WATER_STEAM RATIO'!D554))*1000,0)</f>
        <v>0</v>
      </c>
      <c r="J555" s="50">
        <f>'DATA B2'!D556</f>
        <v>0</v>
      </c>
      <c r="K555" s="82">
        <f>SUM(J555-J554)</f>
        <v>0</v>
      </c>
      <c r="L555" s="80">
        <f>'DATA B2'!E556</f>
        <v>0</v>
      </c>
      <c r="M555" s="80">
        <f t="shared" si="205"/>
        <v>0</v>
      </c>
      <c r="N555" s="28">
        <f t="shared" si="201"/>
        <v>0</v>
      </c>
      <c r="O555" s="51">
        <f>IFERROR((('DATA B2'!F556-'DATA B2'!F555)/(K555))*1000,0)</f>
        <v>0</v>
      </c>
      <c r="P555" s="94">
        <f>'DATA B3'!C556</f>
        <v>0</v>
      </c>
      <c r="Q555" s="91">
        <f t="shared" si="206"/>
        <v>0</v>
      </c>
      <c r="R555" s="80">
        <f>'DATA B3'!D556</f>
        <v>0</v>
      </c>
      <c r="S555" s="80">
        <f t="shared" si="207"/>
        <v>0</v>
      </c>
      <c r="T555" s="15">
        <f t="shared" si="202"/>
        <v>0</v>
      </c>
      <c r="U555" s="15">
        <f>IFERROR((('DATA B3'!E556-'DATA B3'!E555)+('DATA B3'!F556-'DATA B3'!F555))/('WATER_STEAM RATIO'!P555-'WATER_STEAM RATIO'!P554),0)</f>
        <v>0</v>
      </c>
    </row>
    <row r="556" spans="2:21" ht="15.75" thickBot="1">
      <c r="B556" s="293"/>
      <c r="C556" s="235"/>
      <c r="D556" s="224" cm="1">
        <f t="array" ref="D556">IFERROR(LOOKUP(2,1/(D531:D555&gt;0),D531:D555-D531),0)</f>
        <v>0</v>
      </c>
      <c r="E556" s="223">
        <f>SUMIF(E532:E555,"&gt;=0",E532:E555)</f>
        <v>0</v>
      </c>
      <c r="F556" s="224" cm="1">
        <f t="array" ref="F556">IFERROR(LOOKUP(2,1/(F531:F555&gt;0),F531:F555-F531),0)</f>
        <v>0</v>
      </c>
      <c r="G556" s="223">
        <f>SUMIF(G532:G555,"&gt;=0",G532:G555)</f>
        <v>0</v>
      </c>
      <c r="H556" s="225">
        <f t="shared" si="199"/>
        <v>0</v>
      </c>
      <c r="I556" s="236">
        <f>IFERROR((('DATA B1'!H557)/(E556))*1000,0)</f>
        <v>0</v>
      </c>
      <c r="J556" s="222" cm="1">
        <f t="array" ref="J556">IFERROR(LOOKUP(2,1/(J531:J555&gt;0),J531:J555-J531),0)</f>
        <v>0</v>
      </c>
      <c r="K556" s="223">
        <f>SUMIF(K532:K555,"&gt;=0",K532:K555)</f>
        <v>0</v>
      </c>
      <c r="L556" s="224" cm="1">
        <f t="array" ref="L556">IFERROR(LOOKUP(2,1/(L531:L555&gt;0),L531:L555-L531),0)</f>
        <v>0</v>
      </c>
      <c r="M556" s="223">
        <f>SUMIF(M532:M555,"&gt;=0",M532:M555)</f>
        <v>0</v>
      </c>
      <c r="N556" s="225">
        <f>IFERROR(M556/K556,0)</f>
        <v>0</v>
      </c>
      <c r="O556" s="226">
        <f>IFERROR((('DATA B2'!H557)/(K556))*1000,0)</f>
        <v>0</v>
      </c>
      <c r="P556" s="224" cm="1">
        <f t="array" ref="P556">IFERROR(LOOKUP(2,1/(P531:P555&gt;0),P531:P555-P531),0)</f>
        <v>41</v>
      </c>
      <c r="Q556" s="223">
        <f>SUMIF(Q532:Q555,"&gt;=0",Q532:Q555)</f>
        <v>41</v>
      </c>
      <c r="R556" s="224" cm="1">
        <f t="array" ref="R556">IFERROR(LOOKUP(2,1/(R531:R555&gt;0),R531:R555-R531),0)</f>
        <v>36</v>
      </c>
      <c r="S556" s="223">
        <f>SUMIF(S532:S555,"&gt;=0",S532:S555)</f>
        <v>36</v>
      </c>
      <c r="T556" s="237">
        <f t="shared" si="202"/>
        <v>0.87804878048780488</v>
      </c>
      <c r="U556" s="226">
        <f>IFERROR(('DATA B3'!E557+'DATA B3'!F557)/Q556*1000,0)</f>
        <v>3046.3414634146366</v>
      </c>
    </row>
    <row r="557" spans="2:21" ht="15" customHeight="1">
      <c r="B557" s="291">
        <f>SUM('DATA B1'!B558:B583)</f>
        <v>46044</v>
      </c>
      <c r="C557" s="97">
        <v>0.29166666666666669</v>
      </c>
      <c r="D557" s="84">
        <f>'DATA B1'!D558</f>
        <v>0</v>
      </c>
      <c r="E557" s="5">
        <f>SUM(E555)</f>
        <v>0</v>
      </c>
      <c r="F557" s="80">
        <f>'DATA B1'!E558</f>
        <v>0</v>
      </c>
      <c r="G557" s="80">
        <f>SUM(G555)</f>
        <v>0</v>
      </c>
      <c r="H557" s="28">
        <f t="shared" si="199"/>
        <v>0</v>
      </c>
      <c r="I557" s="45"/>
      <c r="J557" s="50">
        <f>'DATA B2'!D558</f>
        <v>0</v>
      </c>
      <c r="K557" s="82">
        <f>SUM(K555)</f>
        <v>0</v>
      </c>
      <c r="L557" s="80">
        <f>'DATA B2'!E558</f>
        <v>0</v>
      </c>
      <c r="M557" s="80">
        <f>SUM(M555)</f>
        <v>0</v>
      </c>
      <c r="N557" s="28">
        <f>IFERROR(M557/K557,0)</f>
        <v>0</v>
      </c>
      <c r="O557" s="103"/>
      <c r="P557" s="94">
        <f>'DATA B3'!C558</f>
        <v>0</v>
      </c>
      <c r="Q557" s="91">
        <f>SUM(Q555)</f>
        <v>0</v>
      </c>
      <c r="R557" s="80">
        <f>'DATA B3'!D558</f>
        <v>0</v>
      </c>
      <c r="S557" s="80">
        <f>SUM(S555)</f>
        <v>0</v>
      </c>
      <c r="T557" s="15">
        <f>IFERROR(S557/Q557,0)</f>
        <v>0</v>
      </c>
      <c r="U557" s="15"/>
    </row>
    <row r="558" spans="2:21">
      <c r="B558" s="292"/>
      <c r="C558" s="97">
        <v>0.33333333333333298</v>
      </c>
      <c r="D558" s="84">
        <f>'DATA B1'!D559</f>
        <v>0</v>
      </c>
      <c r="E558" s="5">
        <f t="shared" ref="E558:E564" si="209">SUM(D558-D557)</f>
        <v>0</v>
      </c>
      <c r="F558" s="80">
        <f>'DATA B1'!E559</f>
        <v>0</v>
      </c>
      <c r="G558" s="80">
        <f>SUM(F558-F557)</f>
        <v>0</v>
      </c>
      <c r="H558" s="28">
        <f t="shared" si="199"/>
        <v>0</v>
      </c>
      <c r="I558" s="45">
        <f>IFERROR((('DATA B1'!G559-'DATA B1'!G558)/('WATER_STEAM RATIO'!D558-'WATER_STEAM RATIO'!D557))*1000,0)</f>
        <v>0</v>
      </c>
      <c r="J558" s="50">
        <f>'DATA B2'!D559</f>
        <v>0</v>
      </c>
      <c r="K558" s="82">
        <f>SUM(J558-J557)</f>
        <v>0</v>
      </c>
      <c r="L558" s="80">
        <f>'DATA B2'!E559</f>
        <v>0</v>
      </c>
      <c r="M558" s="80">
        <f>SUM(L558-L557)</f>
        <v>0</v>
      </c>
      <c r="N558" s="28">
        <f t="shared" ref="N558:N581" si="210">IFERROR(M558/K558,0)</f>
        <v>0</v>
      </c>
      <c r="O558" s="51">
        <f>IFERROR((('DATA B2'!F559-'DATA B2'!F558)/(K558))*1000,0)</f>
        <v>0</v>
      </c>
      <c r="P558" s="94">
        <f>'DATA B3'!C559</f>
        <v>0</v>
      </c>
      <c r="Q558" s="91">
        <f>SUM(P558-P557)</f>
        <v>0</v>
      </c>
      <c r="R558" s="80">
        <f>'DATA B3'!D559</f>
        <v>0</v>
      </c>
      <c r="S558" s="80">
        <f>SUM(R558-R557)</f>
        <v>0</v>
      </c>
      <c r="T558" s="15">
        <f t="shared" ref="T558:T582" si="211">IFERROR(S558/Q558,0)</f>
        <v>0</v>
      </c>
      <c r="U558" s="15">
        <f>IFERROR((('DATA B3'!E559-'DATA B3'!E558)+('DATA B3'!F559-'DATA B3'!F558))/('WATER_STEAM RATIO'!P558-'WATER_STEAM RATIO'!P557),0)</f>
        <v>0</v>
      </c>
    </row>
    <row r="559" spans="2:21">
      <c r="B559" s="292"/>
      <c r="C559" s="97">
        <v>0.375</v>
      </c>
      <c r="D559" s="84">
        <f>'DATA B1'!D560</f>
        <v>0</v>
      </c>
      <c r="E559" s="5">
        <f t="shared" si="209"/>
        <v>0</v>
      </c>
      <c r="F559" s="80">
        <f>'DATA B1'!E560</f>
        <v>0</v>
      </c>
      <c r="G559" s="80">
        <f t="shared" ref="G559:G581" si="212">SUM(F559-F558)</f>
        <v>0</v>
      </c>
      <c r="H559" s="28">
        <f t="shared" si="199"/>
        <v>0</v>
      </c>
      <c r="I559" s="45">
        <f>IFERROR((('DATA B1'!G560-'DATA B1'!G559)/('WATER_STEAM RATIO'!D559-'WATER_STEAM RATIO'!D558))*1000,0)</f>
        <v>0</v>
      </c>
      <c r="J559" s="50">
        <f>'DATA B2'!D560</f>
        <v>0</v>
      </c>
      <c r="K559" s="82">
        <f t="shared" ref="K559:K580" si="213">SUM(J559-J558)</f>
        <v>0</v>
      </c>
      <c r="L559" s="80">
        <f>'DATA B2'!E560</f>
        <v>0</v>
      </c>
      <c r="M559" s="80">
        <f t="shared" ref="M559:M581" si="214">SUM(L559-L558)</f>
        <v>0</v>
      </c>
      <c r="N559" s="28">
        <f t="shared" si="210"/>
        <v>0</v>
      </c>
      <c r="O559" s="51">
        <f>IFERROR((('DATA B2'!F560-'DATA B2'!F559)/(K559))*1000,0)</f>
        <v>0</v>
      </c>
      <c r="P559" s="94">
        <f>'DATA B3'!C560</f>
        <v>0</v>
      </c>
      <c r="Q559" s="91">
        <f t="shared" ref="Q559:Q581" si="215">SUM(P559-P558)</f>
        <v>0</v>
      </c>
      <c r="R559" s="80">
        <f>'DATA B3'!D560</f>
        <v>0</v>
      </c>
      <c r="S559" s="80">
        <f t="shared" ref="S559:S581" si="216">SUM(R559-R558)</f>
        <v>0</v>
      </c>
      <c r="T559" s="15">
        <f t="shared" si="211"/>
        <v>0</v>
      </c>
      <c r="U559" s="15">
        <f>IFERROR((('DATA B3'!E560-'DATA B3'!E559)+('DATA B3'!F560-'DATA B3'!F559))/('WATER_STEAM RATIO'!P559-'WATER_STEAM RATIO'!P558),0)</f>
        <v>0</v>
      </c>
    </row>
    <row r="560" spans="2:21">
      <c r="B560" s="292"/>
      <c r="C560" s="97">
        <v>0.41666666666666702</v>
      </c>
      <c r="D560" s="84">
        <f>'DATA B1'!D561</f>
        <v>0</v>
      </c>
      <c r="E560" s="5">
        <f t="shared" si="209"/>
        <v>0</v>
      </c>
      <c r="F560" s="80">
        <f>'DATA B1'!E561</f>
        <v>0</v>
      </c>
      <c r="G560" s="80">
        <f t="shared" si="212"/>
        <v>0</v>
      </c>
      <c r="H560" s="28">
        <f t="shared" si="199"/>
        <v>0</v>
      </c>
      <c r="I560" s="45">
        <f>IFERROR((('DATA B1'!G561-'DATA B1'!G560)/('WATER_STEAM RATIO'!D560-'WATER_STEAM RATIO'!D559))*1000,0)</f>
        <v>0</v>
      </c>
      <c r="J560" s="50">
        <f>'DATA B2'!D561</f>
        <v>0</v>
      </c>
      <c r="K560" s="82">
        <f t="shared" si="213"/>
        <v>0</v>
      </c>
      <c r="L560" s="80">
        <f>'DATA B2'!E561</f>
        <v>0</v>
      </c>
      <c r="M560" s="80">
        <f t="shared" si="214"/>
        <v>0</v>
      </c>
      <c r="N560" s="28">
        <f t="shared" si="210"/>
        <v>0</v>
      </c>
      <c r="O560" s="51">
        <f>IFERROR((('DATA B2'!F561-'DATA B2'!F560)/(K560))*1000,0)</f>
        <v>0</v>
      </c>
      <c r="P560" s="94">
        <f>'DATA B3'!C561</f>
        <v>0</v>
      </c>
      <c r="Q560" s="91">
        <f t="shared" si="215"/>
        <v>0</v>
      </c>
      <c r="R560" s="80">
        <f>'DATA B3'!D561</f>
        <v>0</v>
      </c>
      <c r="S560" s="80">
        <f t="shared" si="216"/>
        <v>0</v>
      </c>
      <c r="T560" s="15">
        <f t="shared" si="211"/>
        <v>0</v>
      </c>
      <c r="U560" s="15">
        <f>IFERROR((('DATA B3'!E561-'DATA B3'!E560)+('DATA B3'!F561-'DATA B3'!F560))/('WATER_STEAM RATIO'!P560-'WATER_STEAM RATIO'!P559),0)</f>
        <v>0</v>
      </c>
    </row>
    <row r="561" spans="2:21">
      <c r="B561" s="292"/>
      <c r="C561" s="97">
        <v>0.45833333333333298</v>
      </c>
      <c r="D561" s="84">
        <f>'DATA B1'!D562</f>
        <v>0</v>
      </c>
      <c r="E561" s="5">
        <f t="shared" si="209"/>
        <v>0</v>
      </c>
      <c r="F561" s="80">
        <f>'DATA B1'!E562</f>
        <v>0</v>
      </c>
      <c r="G561" s="80">
        <f t="shared" si="212"/>
        <v>0</v>
      </c>
      <c r="H561" s="28">
        <f t="shared" si="199"/>
        <v>0</v>
      </c>
      <c r="I561" s="45">
        <f>IFERROR((('DATA B1'!G562-'DATA B1'!G561)/('WATER_STEAM RATIO'!D561-'WATER_STEAM RATIO'!D560))*1000,0)</f>
        <v>0</v>
      </c>
      <c r="J561" s="50">
        <f>'DATA B2'!D562</f>
        <v>0</v>
      </c>
      <c r="K561" s="82">
        <f t="shared" si="213"/>
        <v>0</v>
      </c>
      <c r="L561" s="80">
        <f>'DATA B2'!E562</f>
        <v>0</v>
      </c>
      <c r="M561" s="80">
        <f t="shared" si="214"/>
        <v>0</v>
      </c>
      <c r="N561" s="28">
        <f t="shared" si="210"/>
        <v>0</v>
      </c>
      <c r="O561" s="51">
        <f>IFERROR((('DATA B2'!F562-'DATA B2'!F561)/(K561))*1000,0)</f>
        <v>0</v>
      </c>
      <c r="P561" s="94">
        <f>'DATA B3'!C562</f>
        <v>0</v>
      </c>
      <c r="Q561" s="91">
        <f t="shared" si="215"/>
        <v>0</v>
      </c>
      <c r="R561" s="80">
        <f>'DATA B3'!D562</f>
        <v>0</v>
      </c>
      <c r="S561" s="80">
        <f t="shared" si="216"/>
        <v>0</v>
      </c>
      <c r="T561" s="15">
        <f t="shared" si="211"/>
        <v>0</v>
      </c>
      <c r="U561" s="15">
        <f>IFERROR((('DATA B3'!E562-'DATA B3'!E561)+('DATA B3'!F562-'DATA B3'!F561))/('WATER_STEAM RATIO'!P561-'WATER_STEAM RATIO'!P560),0)</f>
        <v>0</v>
      </c>
    </row>
    <row r="562" spans="2:21">
      <c r="B562" s="292"/>
      <c r="C562" s="97">
        <v>0.5</v>
      </c>
      <c r="D562" s="84">
        <f>'DATA B1'!D563</f>
        <v>0</v>
      </c>
      <c r="E562" s="5">
        <f t="shared" si="209"/>
        <v>0</v>
      </c>
      <c r="F562" s="80">
        <f>'DATA B1'!E563</f>
        <v>0</v>
      </c>
      <c r="G562" s="80">
        <f t="shared" si="212"/>
        <v>0</v>
      </c>
      <c r="H562" s="28">
        <f t="shared" si="199"/>
        <v>0</v>
      </c>
      <c r="I562" s="45">
        <f>IFERROR((('DATA B1'!G563-'DATA B1'!G562)/('WATER_STEAM RATIO'!D562-'WATER_STEAM RATIO'!D561))*1000,0)</f>
        <v>0</v>
      </c>
      <c r="J562" s="50">
        <f>'DATA B2'!D563</f>
        <v>0</v>
      </c>
      <c r="K562" s="82">
        <f t="shared" si="213"/>
        <v>0</v>
      </c>
      <c r="L562" s="80">
        <f>'DATA B2'!E563</f>
        <v>0</v>
      </c>
      <c r="M562" s="80">
        <f t="shared" si="214"/>
        <v>0</v>
      </c>
      <c r="N562" s="28">
        <f t="shared" si="210"/>
        <v>0</v>
      </c>
      <c r="O562" s="51">
        <f>IFERROR((('DATA B2'!F563-'DATA B2'!F562)/(K562))*1000,0)</f>
        <v>0</v>
      </c>
      <c r="P562" s="94">
        <f>'DATA B3'!C563</f>
        <v>0</v>
      </c>
      <c r="Q562" s="91">
        <f t="shared" si="215"/>
        <v>0</v>
      </c>
      <c r="R562" s="80">
        <f>'DATA B3'!D563</f>
        <v>0</v>
      </c>
      <c r="S562" s="80">
        <f t="shared" si="216"/>
        <v>0</v>
      </c>
      <c r="T562" s="15">
        <f t="shared" si="211"/>
        <v>0</v>
      </c>
      <c r="U562" s="15">
        <f>IFERROR((('DATA B3'!E563-'DATA B3'!E562)+('DATA B3'!F563-'DATA B3'!F562))/('WATER_STEAM RATIO'!P562-'WATER_STEAM RATIO'!P561),0)</f>
        <v>0</v>
      </c>
    </row>
    <row r="563" spans="2:21">
      <c r="B563" s="292"/>
      <c r="C563" s="97">
        <v>0.54166666666666696</v>
      </c>
      <c r="D563" s="84">
        <f>'DATA B1'!D564</f>
        <v>0</v>
      </c>
      <c r="E563" s="5">
        <f t="shared" si="209"/>
        <v>0</v>
      </c>
      <c r="F563" s="80">
        <f>'DATA B1'!E564</f>
        <v>0</v>
      </c>
      <c r="G563" s="80">
        <f t="shared" si="212"/>
        <v>0</v>
      </c>
      <c r="H563" s="28">
        <f t="shared" si="199"/>
        <v>0</v>
      </c>
      <c r="I563" s="45">
        <f>IFERROR((('DATA B1'!G564-'DATA B1'!G563)/('WATER_STEAM RATIO'!D563-'WATER_STEAM RATIO'!D562))*1000,0)</f>
        <v>0</v>
      </c>
      <c r="J563" s="50">
        <f>'DATA B2'!D564</f>
        <v>0</v>
      </c>
      <c r="K563" s="82">
        <f t="shared" si="213"/>
        <v>0</v>
      </c>
      <c r="L563" s="80">
        <f>'DATA B2'!E564</f>
        <v>0</v>
      </c>
      <c r="M563" s="80">
        <f t="shared" si="214"/>
        <v>0</v>
      </c>
      <c r="N563" s="28">
        <f t="shared" si="210"/>
        <v>0</v>
      </c>
      <c r="O563" s="51">
        <f>IFERROR((('DATA B2'!F564-'DATA B2'!F563)/(K563))*1000,0)</f>
        <v>0</v>
      </c>
      <c r="P563" s="94">
        <f>'DATA B3'!C564</f>
        <v>0</v>
      </c>
      <c r="Q563" s="91">
        <f t="shared" si="215"/>
        <v>0</v>
      </c>
      <c r="R563" s="80">
        <f>'DATA B3'!D564</f>
        <v>0</v>
      </c>
      <c r="S563" s="80">
        <f t="shared" si="216"/>
        <v>0</v>
      </c>
      <c r="T563" s="15">
        <f t="shared" si="211"/>
        <v>0</v>
      </c>
      <c r="U563" s="15">
        <f>IFERROR((('DATA B3'!E564-'DATA B3'!E563)+('DATA B3'!F564-'DATA B3'!F563))/('WATER_STEAM RATIO'!P563-'WATER_STEAM RATIO'!P562),0)</f>
        <v>0</v>
      </c>
    </row>
    <row r="564" spans="2:21">
      <c r="B564" s="292"/>
      <c r="C564" s="97">
        <v>0.58333333333333304</v>
      </c>
      <c r="D564" s="84">
        <f>'DATA B1'!D565</f>
        <v>0</v>
      </c>
      <c r="E564" s="5">
        <f t="shared" si="209"/>
        <v>0</v>
      </c>
      <c r="F564" s="80">
        <f>'DATA B1'!E565</f>
        <v>0</v>
      </c>
      <c r="G564" s="80">
        <f t="shared" si="212"/>
        <v>0</v>
      </c>
      <c r="H564" s="28">
        <f t="shared" si="199"/>
        <v>0</v>
      </c>
      <c r="I564" s="45">
        <f>IFERROR((('DATA B1'!G565-'DATA B1'!G564)/('WATER_STEAM RATIO'!D564-'WATER_STEAM RATIO'!D563))*1000,0)</f>
        <v>0</v>
      </c>
      <c r="J564" s="50">
        <f>'DATA B2'!D565</f>
        <v>0</v>
      </c>
      <c r="K564" s="82">
        <f t="shared" si="213"/>
        <v>0</v>
      </c>
      <c r="L564" s="80">
        <f>'DATA B2'!E565</f>
        <v>0</v>
      </c>
      <c r="M564" s="80">
        <f t="shared" si="214"/>
        <v>0</v>
      </c>
      <c r="N564" s="28">
        <f t="shared" si="210"/>
        <v>0</v>
      </c>
      <c r="O564" s="51">
        <f>IFERROR((('DATA B2'!F565-'DATA B2'!F564)/(K564))*1000,0)</f>
        <v>0</v>
      </c>
      <c r="P564" s="94">
        <f>'DATA B3'!C565</f>
        <v>0</v>
      </c>
      <c r="Q564" s="91">
        <f t="shared" si="215"/>
        <v>0</v>
      </c>
      <c r="R564" s="80">
        <f>'DATA B3'!D565</f>
        <v>0</v>
      </c>
      <c r="S564" s="80">
        <f t="shared" si="216"/>
        <v>0</v>
      </c>
      <c r="T564" s="15">
        <f t="shared" si="211"/>
        <v>0</v>
      </c>
      <c r="U564" s="15">
        <f>IFERROR((('DATA B3'!E565-'DATA B3'!E564)+('DATA B3'!F565-'DATA B3'!F564))/('WATER_STEAM RATIO'!P564-'WATER_STEAM RATIO'!P563),0)</f>
        <v>0</v>
      </c>
    </row>
    <row r="565" spans="2:21">
      <c r="B565" s="292"/>
      <c r="C565" s="97">
        <v>0.625</v>
      </c>
      <c r="D565" s="84">
        <f>'DATA B1'!D566</f>
        <v>0</v>
      </c>
      <c r="E565" s="5">
        <f t="shared" ref="E565:E581" si="217">SUM(D565-D564)</f>
        <v>0</v>
      </c>
      <c r="F565" s="80">
        <f>'DATA B1'!E566</f>
        <v>0</v>
      </c>
      <c r="G565" s="80">
        <f t="shared" si="212"/>
        <v>0</v>
      </c>
      <c r="H565" s="28">
        <f t="shared" si="199"/>
        <v>0</v>
      </c>
      <c r="I565" s="45">
        <f>IFERROR((('DATA B1'!G566-'DATA B1'!G565)/('WATER_STEAM RATIO'!D565-'WATER_STEAM RATIO'!D564))*1000,0)</f>
        <v>0</v>
      </c>
      <c r="J565" s="50">
        <f>'DATA B2'!D566</f>
        <v>0</v>
      </c>
      <c r="K565" s="82">
        <f t="shared" si="213"/>
        <v>0</v>
      </c>
      <c r="L565" s="80">
        <f>'DATA B2'!E566</f>
        <v>0</v>
      </c>
      <c r="M565" s="80">
        <f t="shared" si="214"/>
        <v>0</v>
      </c>
      <c r="N565" s="28">
        <f t="shared" si="210"/>
        <v>0</v>
      </c>
      <c r="O565" s="51">
        <f>IFERROR((('DATA B2'!F566-'DATA B2'!F565)/(K565))*1000,0)</f>
        <v>0</v>
      </c>
      <c r="P565" s="94">
        <f>'DATA B3'!C566</f>
        <v>0</v>
      </c>
      <c r="Q565" s="91">
        <f t="shared" si="215"/>
        <v>0</v>
      </c>
      <c r="R565" s="80">
        <f>'DATA B3'!D566</f>
        <v>0</v>
      </c>
      <c r="S565" s="80">
        <f t="shared" si="216"/>
        <v>0</v>
      </c>
      <c r="T565" s="15">
        <f t="shared" si="211"/>
        <v>0</v>
      </c>
      <c r="U565" s="15">
        <f>IFERROR((('DATA B3'!E566-'DATA B3'!E565)+('DATA B3'!F566-'DATA B3'!F565))/('WATER_STEAM RATIO'!P565-'WATER_STEAM RATIO'!P564),0)</f>
        <v>0</v>
      </c>
    </row>
    <row r="566" spans="2:21">
      <c r="B566" s="292"/>
      <c r="C566" s="97">
        <v>0.66666666666666596</v>
      </c>
      <c r="D566" s="84">
        <f>'DATA B1'!D567</f>
        <v>0</v>
      </c>
      <c r="E566" s="5">
        <f t="shared" si="217"/>
        <v>0</v>
      </c>
      <c r="F566" s="80">
        <f>'DATA B1'!E567</f>
        <v>0</v>
      </c>
      <c r="G566" s="80">
        <f t="shared" si="212"/>
        <v>0</v>
      </c>
      <c r="H566" s="28">
        <f t="shared" si="199"/>
        <v>0</v>
      </c>
      <c r="I566" s="45">
        <f>IFERROR((('DATA B1'!G567-'DATA B1'!G566)/('WATER_STEAM RATIO'!D566-'WATER_STEAM RATIO'!D565))*1000,0)</f>
        <v>0</v>
      </c>
      <c r="J566" s="50">
        <f>'DATA B2'!D567</f>
        <v>0</v>
      </c>
      <c r="K566" s="82">
        <f>SUM(J566-J565)</f>
        <v>0</v>
      </c>
      <c r="L566" s="80">
        <f>'DATA B2'!E567</f>
        <v>0</v>
      </c>
      <c r="M566" s="80">
        <f t="shared" si="214"/>
        <v>0</v>
      </c>
      <c r="N566" s="28">
        <f t="shared" si="210"/>
        <v>0</v>
      </c>
      <c r="O566" s="51">
        <f>IFERROR((('DATA B2'!F567-'DATA B2'!F566)/(K566))*1000,0)</f>
        <v>0</v>
      </c>
      <c r="P566" s="94">
        <f>'DATA B3'!C567</f>
        <v>0</v>
      </c>
      <c r="Q566" s="91">
        <f t="shared" si="215"/>
        <v>0</v>
      </c>
      <c r="R566" s="80">
        <f>'DATA B3'!D567</f>
        <v>0</v>
      </c>
      <c r="S566" s="80">
        <f t="shared" si="216"/>
        <v>0</v>
      </c>
      <c r="T566" s="15">
        <f t="shared" si="211"/>
        <v>0</v>
      </c>
      <c r="U566" s="15">
        <f>IFERROR((('DATA B3'!E567-'DATA B3'!E566)+('DATA B3'!F567-'DATA B3'!F566))/('WATER_STEAM RATIO'!P566-'WATER_STEAM RATIO'!P565),0)</f>
        <v>0</v>
      </c>
    </row>
    <row r="567" spans="2:21">
      <c r="B567" s="292"/>
      <c r="C567" s="97">
        <v>0.70833333333333304</v>
      </c>
      <c r="D567" s="84">
        <f>'DATA B1'!D568</f>
        <v>0</v>
      </c>
      <c r="E567" s="5">
        <f t="shared" si="217"/>
        <v>0</v>
      </c>
      <c r="F567" s="80">
        <f>'DATA B1'!E568</f>
        <v>0</v>
      </c>
      <c r="G567" s="80">
        <f t="shared" si="212"/>
        <v>0</v>
      </c>
      <c r="H567" s="28">
        <f t="shared" si="199"/>
        <v>0</v>
      </c>
      <c r="I567" s="45">
        <f>IFERROR((('DATA B1'!G568-'DATA B1'!G567)/('WATER_STEAM RATIO'!D567-'WATER_STEAM RATIO'!D566))*1000,0)</f>
        <v>0</v>
      </c>
      <c r="J567" s="50">
        <f>'DATA B2'!D568</f>
        <v>0</v>
      </c>
      <c r="K567" s="82">
        <f t="shared" si="213"/>
        <v>0</v>
      </c>
      <c r="L567" s="80">
        <f>'DATA B2'!E568</f>
        <v>0</v>
      </c>
      <c r="M567" s="80">
        <f t="shared" si="214"/>
        <v>0</v>
      </c>
      <c r="N567" s="28">
        <f t="shared" si="210"/>
        <v>0</v>
      </c>
      <c r="O567" s="51">
        <f>IFERROR((('DATA B2'!F568-'DATA B2'!F567)/(K567))*1000,0)</f>
        <v>0</v>
      </c>
      <c r="P567" s="94">
        <f>'DATA B3'!C568</f>
        <v>0</v>
      </c>
      <c r="Q567" s="91">
        <f t="shared" si="215"/>
        <v>0</v>
      </c>
      <c r="R567" s="80">
        <f>'DATA B3'!D568</f>
        <v>0</v>
      </c>
      <c r="S567" s="80">
        <f t="shared" si="216"/>
        <v>0</v>
      </c>
      <c r="T567" s="15">
        <f t="shared" si="211"/>
        <v>0</v>
      </c>
      <c r="U567" s="15">
        <f>IFERROR((('DATA B3'!E568-'DATA B3'!E567)+('DATA B3'!F568-'DATA B3'!F567))/('WATER_STEAM RATIO'!P567-'WATER_STEAM RATIO'!P566),0)</f>
        <v>0</v>
      </c>
    </row>
    <row r="568" spans="2:21">
      <c r="B568" s="292"/>
      <c r="C568" s="97">
        <v>0.75</v>
      </c>
      <c r="D568" s="84">
        <f>'DATA B1'!D569</f>
        <v>0</v>
      </c>
      <c r="E568" s="5">
        <f t="shared" si="217"/>
        <v>0</v>
      </c>
      <c r="F568" s="80">
        <f>'DATA B1'!E569</f>
        <v>0</v>
      </c>
      <c r="G568" s="80">
        <f t="shared" si="212"/>
        <v>0</v>
      </c>
      <c r="H568" s="28">
        <f t="shared" si="199"/>
        <v>0</v>
      </c>
      <c r="I568" s="45">
        <f>IFERROR((('DATA B1'!G569-'DATA B1'!G568)/('WATER_STEAM RATIO'!D568-'WATER_STEAM RATIO'!D567))*1000,0)</f>
        <v>0</v>
      </c>
      <c r="J568" s="50">
        <f>'DATA B2'!D569</f>
        <v>0</v>
      </c>
      <c r="K568" s="82">
        <f t="shared" si="213"/>
        <v>0</v>
      </c>
      <c r="L568" s="80">
        <f>'DATA B2'!E569</f>
        <v>0</v>
      </c>
      <c r="M568" s="80">
        <f t="shared" si="214"/>
        <v>0</v>
      </c>
      <c r="N568" s="28">
        <f t="shared" si="210"/>
        <v>0</v>
      </c>
      <c r="O568" s="51">
        <f>IFERROR((('DATA B2'!F569-'DATA B2'!F568)/(K568))*1000,0)</f>
        <v>0</v>
      </c>
      <c r="P568" s="94">
        <f>'DATA B3'!C569</f>
        <v>0</v>
      </c>
      <c r="Q568" s="91">
        <f t="shared" si="215"/>
        <v>0</v>
      </c>
      <c r="R568" s="80">
        <f>'DATA B3'!D569</f>
        <v>0</v>
      </c>
      <c r="S568" s="80">
        <f t="shared" si="216"/>
        <v>0</v>
      </c>
      <c r="T568" s="15">
        <f t="shared" si="211"/>
        <v>0</v>
      </c>
      <c r="U568" s="15">
        <f>IFERROR((('DATA B3'!E569-'DATA B3'!E568)+('DATA B3'!F569-'DATA B3'!F568))/('WATER_STEAM RATIO'!P568-'WATER_STEAM RATIO'!P567),0)</f>
        <v>0</v>
      </c>
    </row>
    <row r="569" spans="2:21">
      <c r="B569" s="292"/>
      <c r="C569" s="97">
        <v>0.79166666666666596</v>
      </c>
      <c r="D569" s="84">
        <f>'DATA B1'!D570</f>
        <v>0</v>
      </c>
      <c r="E569" s="5">
        <f t="shared" si="217"/>
        <v>0</v>
      </c>
      <c r="F569" s="80">
        <f>'DATA B1'!E570</f>
        <v>0</v>
      </c>
      <c r="G569" s="80">
        <f t="shared" si="212"/>
        <v>0</v>
      </c>
      <c r="H569" s="28">
        <f t="shared" si="199"/>
        <v>0</v>
      </c>
      <c r="I569" s="45">
        <f>IFERROR((('DATA B1'!G570-'DATA B1'!G569)/('WATER_STEAM RATIO'!D569-'WATER_STEAM RATIO'!D568))*1000,0)</f>
        <v>0</v>
      </c>
      <c r="J569" s="50">
        <f>'DATA B2'!D570</f>
        <v>0</v>
      </c>
      <c r="K569" s="82">
        <f t="shared" si="213"/>
        <v>0</v>
      </c>
      <c r="L569" s="80">
        <f>'DATA B2'!E570</f>
        <v>0</v>
      </c>
      <c r="M569" s="80">
        <f t="shared" si="214"/>
        <v>0</v>
      </c>
      <c r="N569" s="28">
        <f t="shared" si="210"/>
        <v>0</v>
      </c>
      <c r="O569" s="51">
        <f>IFERROR((('DATA B2'!F570-'DATA B2'!F569)/(K569))*1000,0)</f>
        <v>0</v>
      </c>
      <c r="P569" s="94">
        <f>'DATA B3'!C570</f>
        <v>0</v>
      </c>
      <c r="Q569" s="91">
        <f t="shared" si="215"/>
        <v>0</v>
      </c>
      <c r="R569" s="80">
        <f>'DATA B3'!D570</f>
        <v>0</v>
      </c>
      <c r="S569" s="80">
        <f t="shared" si="216"/>
        <v>0</v>
      </c>
      <c r="T569" s="15">
        <f t="shared" si="211"/>
        <v>0</v>
      </c>
      <c r="U569" s="15">
        <f>IFERROR((('DATA B3'!E570-'DATA B3'!E569)+('DATA B3'!F570-'DATA B3'!F569))/('WATER_STEAM RATIO'!P569-'WATER_STEAM RATIO'!P568),0)</f>
        <v>0</v>
      </c>
    </row>
    <row r="570" spans="2:21">
      <c r="B570" s="292"/>
      <c r="C570" s="97">
        <v>0.83333333333333304</v>
      </c>
      <c r="D570" s="84">
        <f>'DATA B1'!D571</f>
        <v>0</v>
      </c>
      <c r="E570" s="5">
        <f t="shared" si="217"/>
        <v>0</v>
      </c>
      <c r="F570" s="80">
        <f>'DATA B1'!E571</f>
        <v>0</v>
      </c>
      <c r="G570" s="80">
        <f t="shared" si="212"/>
        <v>0</v>
      </c>
      <c r="H570" s="28">
        <f t="shared" si="199"/>
        <v>0</v>
      </c>
      <c r="I570" s="45">
        <f>IFERROR((('DATA B1'!G571-'DATA B1'!G570)/('WATER_STEAM RATIO'!D570-'WATER_STEAM RATIO'!D569))*1000,0)</f>
        <v>0</v>
      </c>
      <c r="J570" s="50">
        <f>'DATA B2'!D571</f>
        <v>0</v>
      </c>
      <c r="K570" s="82">
        <f t="shared" si="213"/>
        <v>0</v>
      </c>
      <c r="L570" s="80">
        <f>'DATA B2'!E571</f>
        <v>0</v>
      </c>
      <c r="M570" s="80">
        <f t="shared" si="214"/>
        <v>0</v>
      </c>
      <c r="N570" s="28">
        <f t="shared" si="210"/>
        <v>0</v>
      </c>
      <c r="O570" s="51">
        <f>IFERROR((('DATA B2'!F571-'DATA B2'!F570)/(K570))*1000,0)</f>
        <v>0</v>
      </c>
      <c r="P570" s="94">
        <f>'DATA B3'!C571</f>
        <v>0</v>
      </c>
      <c r="Q570" s="91">
        <f t="shared" si="215"/>
        <v>0</v>
      </c>
      <c r="R570" s="80">
        <f>'DATA B3'!D571</f>
        <v>0</v>
      </c>
      <c r="S570" s="80">
        <f t="shared" si="216"/>
        <v>0</v>
      </c>
      <c r="T570" s="15">
        <f t="shared" si="211"/>
        <v>0</v>
      </c>
      <c r="U570" s="15">
        <f>IFERROR((('DATA B3'!E571-'DATA B3'!E570)+('DATA B3'!F571-'DATA B3'!F570))/('WATER_STEAM RATIO'!P570-'WATER_STEAM RATIO'!P569),0)</f>
        <v>0</v>
      </c>
    </row>
    <row r="571" spans="2:21">
      <c r="B571" s="292"/>
      <c r="C571" s="97">
        <v>0.875</v>
      </c>
      <c r="D571" s="84">
        <f>'DATA B1'!D572</f>
        <v>0</v>
      </c>
      <c r="E571" s="5">
        <f t="shared" si="217"/>
        <v>0</v>
      </c>
      <c r="F571" s="80">
        <f>'DATA B1'!E572</f>
        <v>0</v>
      </c>
      <c r="G571" s="80">
        <f t="shared" si="212"/>
        <v>0</v>
      </c>
      <c r="H571" s="28">
        <f t="shared" si="199"/>
        <v>0</v>
      </c>
      <c r="I571" s="45">
        <f>IFERROR((('DATA B1'!G572-'DATA B1'!G571)/('WATER_STEAM RATIO'!D571-'WATER_STEAM RATIO'!D570))*1000,0)</f>
        <v>0</v>
      </c>
      <c r="J571" s="50">
        <f>'DATA B2'!D572</f>
        <v>0</v>
      </c>
      <c r="K571" s="82">
        <f t="shared" si="213"/>
        <v>0</v>
      </c>
      <c r="L571" s="80">
        <f>'DATA B2'!E572</f>
        <v>0</v>
      </c>
      <c r="M571" s="80">
        <f t="shared" si="214"/>
        <v>0</v>
      </c>
      <c r="N571" s="28">
        <f>IFERROR(M571/K571,0)</f>
        <v>0</v>
      </c>
      <c r="O571" s="51">
        <f>IFERROR((('DATA B2'!F572-'DATA B2'!F571)/(K571))*1000,0)</f>
        <v>0</v>
      </c>
      <c r="P571" s="94">
        <f>'DATA B3'!C572</f>
        <v>0</v>
      </c>
      <c r="Q571" s="91">
        <f t="shared" si="215"/>
        <v>0</v>
      </c>
      <c r="R571" s="80">
        <f>'DATA B3'!D572</f>
        <v>0</v>
      </c>
      <c r="S571" s="80">
        <f t="shared" si="216"/>
        <v>0</v>
      </c>
      <c r="T571" s="15">
        <f t="shared" si="211"/>
        <v>0</v>
      </c>
      <c r="U571" s="15">
        <f>IFERROR((('DATA B3'!E572-'DATA B3'!E571)+('DATA B3'!F572-'DATA B3'!F571))/('WATER_STEAM RATIO'!P571-'WATER_STEAM RATIO'!P570),0)</f>
        <v>0</v>
      </c>
    </row>
    <row r="572" spans="2:21">
      <c r="B572" s="292"/>
      <c r="C572" s="97">
        <v>0.91666666666666596</v>
      </c>
      <c r="D572" s="84">
        <f>'DATA B1'!D573</f>
        <v>0</v>
      </c>
      <c r="E572" s="5">
        <f t="shared" si="217"/>
        <v>0</v>
      </c>
      <c r="F572" s="80">
        <f>'DATA B1'!E573</f>
        <v>0</v>
      </c>
      <c r="G572" s="80">
        <f t="shared" si="212"/>
        <v>0</v>
      </c>
      <c r="H572" s="28">
        <f t="shared" si="199"/>
        <v>0</v>
      </c>
      <c r="I572" s="45">
        <f>IFERROR((('DATA B1'!G573-'DATA B1'!G572)/('WATER_STEAM RATIO'!D572-'WATER_STEAM RATIO'!D571))*1000,0)</f>
        <v>0</v>
      </c>
      <c r="J572" s="50">
        <f>'DATA B2'!D573</f>
        <v>0</v>
      </c>
      <c r="K572" s="82">
        <f t="shared" si="213"/>
        <v>0</v>
      </c>
      <c r="L572" s="80">
        <f>'DATA B2'!E573</f>
        <v>0</v>
      </c>
      <c r="M572" s="80">
        <f t="shared" si="214"/>
        <v>0</v>
      </c>
      <c r="N572" s="28">
        <f t="shared" si="210"/>
        <v>0</v>
      </c>
      <c r="O572" s="51">
        <f>IFERROR((('DATA B2'!F573-'DATA B2'!F572)/(K572))*1000,0)</f>
        <v>0</v>
      </c>
      <c r="P572" s="94">
        <f>'DATA B3'!C573</f>
        <v>0</v>
      </c>
      <c r="Q572" s="91">
        <f t="shared" si="215"/>
        <v>0</v>
      </c>
      <c r="R572" s="80">
        <f>'DATA B3'!D573</f>
        <v>0</v>
      </c>
      <c r="S572" s="80">
        <f t="shared" si="216"/>
        <v>0</v>
      </c>
      <c r="T572" s="15">
        <f t="shared" si="211"/>
        <v>0</v>
      </c>
      <c r="U572" s="15">
        <f>IFERROR((('DATA B3'!E573-'DATA B3'!E572)+('DATA B3'!F573-'DATA B3'!F572))/('WATER_STEAM RATIO'!P572-'WATER_STEAM RATIO'!P571),0)</f>
        <v>0</v>
      </c>
    </row>
    <row r="573" spans="2:21">
      <c r="B573" s="292"/>
      <c r="C573" s="97">
        <v>0.95833333333333304</v>
      </c>
      <c r="D573" s="84">
        <f>'DATA B1'!D574</f>
        <v>0</v>
      </c>
      <c r="E573" s="5">
        <f t="shared" si="217"/>
        <v>0</v>
      </c>
      <c r="F573" s="80">
        <f>'DATA B1'!E574</f>
        <v>0</v>
      </c>
      <c r="G573" s="80">
        <f t="shared" si="212"/>
        <v>0</v>
      </c>
      <c r="H573" s="28">
        <f t="shared" si="199"/>
        <v>0</v>
      </c>
      <c r="I573" s="45">
        <f>IFERROR((('DATA B1'!G574-'DATA B1'!G573)/('WATER_STEAM RATIO'!D573-'WATER_STEAM RATIO'!D572))*1000,0)</f>
        <v>0</v>
      </c>
      <c r="J573" s="50">
        <f>'DATA B2'!D574</f>
        <v>0</v>
      </c>
      <c r="K573" s="82">
        <f>SUM(J573-J572)</f>
        <v>0</v>
      </c>
      <c r="L573" s="80">
        <f>'DATA B2'!E574</f>
        <v>0</v>
      </c>
      <c r="M573" s="80">
        <f t="shared" si="214"/>
        <v>0</v>
      </c>
      <c r="N573" s="28">
        <f t="shared" si="210"/>
        <v>0</v>
      </c>
      <c r="O573" s="51">
        <f>IFERROR((('DATA B2'!F574-'DATA B2'!F573)/(K573))*1000,0)</f>
        <v>0</v>
      </c>
      <c r="P573" s="94">
        <f>'DATA B3'!C574</f>
        <v>0</v>
      </c>
      <c r="Q573" s="91">
        <f t="shared" si="215"/>
        <v>0</v>
      </c>
      <c r="R573" s="80">
        <f>'DATA B3'!D574</f>
        <v>0</v>
      </c>
      <c r="S573" s="80">
        <f t="shared" si="216"/>
        <v>0</v>
      </c>
      <c r="T573" s="15">
        <f t="shared" si="211"/>
        <v>0</v>
      </c>
      <c r="U573" s="15">
        <f>IFERROR((('DATA B3'!E574-'DATA B3'!E573)+('DATA B3'!F574-'DATA B3'!F573))/('WATER_STEAM RATIO'!P573-'WATER_STEAM RATIO'!P572),0)</f>
        <v>0</v>
      </c>
    </row>
    <row r="574" spans="2:21">
      <c r="B574" s="292"/>
      <c r="C574" s="97">
        <v>1</v>
      </c>
      <c r="D574" s="84">
        <f>'DATA B1'!D575</f>
        <v>0</v>
      </c>
      <c r="E574" s="5">
        <f t="shared" si="217"/>
        <v>0</v>
      </c>
      <c r="F574" s="80">
        <f>'DATA B1'!E575</f>
        <v>0</v>
      </c>
      <c r="G574" s="80">
        <f t="shared" si="212"/>
        <v>0</v>
      </c>
      <c r="H574" s="28">
        <f t="shared" si="199"/>
        <v>0</v>
      </c>
      <c r="I574" s="45">
        <f>IFERROR((('DATA B1'!G575-'DATA B1'!G574)/('WATER_STEAM RATIO'!D574-'WATER_STEAM RATIO'!D573))*1000,0)</f>
        <v>0</v>
      </c>
      <c r="J574" s="50">
        <f>'DATA B2'!D575</f>
        <v>0</v>
      </c>
      <c r="K574" s="82">
        <f t="shared" si="213"/>
        <v>0</v>
      </c>
      <c r="L574" s="80">
        <f>'DATA B2'!E575</f>
        <v>0</v>
      </c>
      <c r="M574" s="80">
        <f t="shared" si="214"/>
        <v>0</v>
      </c>
      <c r="N574" s="28">
        <f t="shared" si="210"/>
        <v>0</v>
      </c>
      <c r="O574" s="51">
        <f>IFERROR((('DATA B2'!F575-'DATA B2'!F574)/(K574))*1000,0)</f>
        <v>0</v>
      </c>
      <c r="P574" s="94">
        <f>'DATA B3'!C575</f>
        <v>0</v>
      </c>
      <c r="Q574" s="91">
        <f t="shared" si="215"/>
        <v>0</v>
      </c>
      <c r="R574" s="80">
        <f>'DATA B3'!D575</f>
        <v>0</v>
      </c>
      <c r="S574" s="80">
        <f t="shared" si="216"/>
        <v>0</v>
      </c>
      <c r="T574" s="15">
        <f t="shared" si="211"/>
        <v>0</v>
      </c>
      <c r="U574" s="15">
        <f>IFERROR((('DATA B3'!E575-'DATA B3'!E574)+('DATA B3'!F575-'DATA B3'!F574))/('WATER_STEAM RATIO'!P574-'WATER_STEAM RATIO'!P573),0)</f>
        <v>0</v>
      </c>
    </row>
    <row r="575" spans="2:21">
      <c r="B575" s="292"/>
      <c r="C575" s="97">
        <v>1.0416666666666701</v>
      </c>
      <c r="D575" s="84">
        <f>'DATA B1'!D576</f>
        <v>0</v>
      </c>
      <c r="E575" s="5">
        <f t="shared" si="217"/>
        <v>0</v>
      </c>
      <c r="F575" s="80">
        <f>'DATA B1'!E576</f>
        <v>0</v>
      </c>
      <c r="G575" s="80">
        <f t="shared" si="212"/>
        <v>0</v>
      </c>
      <c r="H575" s="28">
        <f t="shared" si="199"/>
        <v>0</v>
      </c>
      <c r="I575" s="45">
        <f>IFERROR((('DATA B1'!G576-'DATA B1'!G575)/('WATER_STEAM RATIO'!D575-'WATER_STEAM RATIO'!D574))*1000,0)</f>
        <v>0</v>
      </c>
      <c r="J575" s="50">
        <f>'DATA B2'!D576</f>
        <v>0</v>
      </c>
      <c r="K575" s="82">
        <f t="shared" si="213"/>
        <v>0</v>
      </c>
      <c r="L575" s="80">
        <f>'DATA B2'!E576</f>
        <v>0</v>
      </c>
      <c r="M575" s="80">
        <f t="shared" si="214"/>
        <v>0</v>
      </c>
      <c r="N575" s="28">
        <f t="shared" si="210"/>
        <v>0</v>
      </c>
      <c r="O575" s="51">
        <f>IFERROR((('DATA B2'!F576-'DATA B2'!F575)/(K575))*1000,0)</f>
        <v>0</v>
      </c>
      <c r="P575" s="94">
        <f>'DATA B3'!C576</f>
        <v>0</v>
      </c>
      <c r="Q575" s="91">
        <f t="shared" si="215"/>
        <v>0</v>
      </c>
      <c r="R575" s="80">
        <f>'DATA B3'!D576</f>
        <v>0</v>
      </c>
      <c r="S575" s="80">
        <f t="shared" si="216"/>
        <v>0</v>
      </c>
      <c r="T575" s="15">
        <f t="shared" si="211"/>
        <v>0</v>
      </c>
      <c r="U575" s="15">
        <f>IFERROR((('DATA B3'!E576-'DATA B3'!E575)+('DATA B3'!F576-'DATA B3'!F575))/('WATER_STEAM RATIO'!P575-'WATER_STEAM RATIO'!P574),0)</f>
        <v>0</v>
      </c>
    </row>
    <row r="576" spans="2:21">
      <c r="B576" s="292"/>
      <c r="C576" s="97">
        <v>1.0833333333333399</v>
      </c>
      <c r="D576" s="84">
        <f>'DATA B1'!D577</f>
        <v>0</v>
      </c>
      <c r="E576" s="5">
        <f>SUM(D576-D575)</f>
        <v>0</v>
      </c>
      <c r="F576" s="80">
        <f>'DATA B1'!E577</f>
        <v>0</v>
      </c>
      <c r="G576" s="80">
        <f t="shared" si="212"/>
        <v>0</v>
      </c>
      <c r="H576" s="28">
        <f t="shared" si="199"/>
        <v>0</v>
      </c>
      <c r="I576" s="45">
        <f>IFERROR((('DATA B1'!G577-'DATA B1'!G576)/('WATER_STEAM RATIO'!D576-'WATER_STEAM RATIO'!D575))*1000,0)</f>
        <v>0</v>
      </c>
      <c r="J576" s="50">
        <f>'DATA B2'!D577</f>
        <v>0</v>
      </c>
      <c r="K576" s="82">
        <f t="shared" si="213"/>
        <v>0</v>
      </c>
      <c r="L576" s="80">
        <f>'DATA B2'!E577</f>
        <v>0</v>
      </c>
      <c r="M576" s="80">
        <f t="shared" si="214"/>
        <v>0</v>
      </c>
      <c r="N576" s="28">
        <f t="shared" si="210"/>
        <v>0</v>
      </c>
      <c r="O576" s="51">
        <f>IFERROR((('DATA B2'!F577-'DATA B2'!F576)/(K576))*1000,0)</f>
        <v>0</v>
      </c>
      <c r="P576" s="94">
        <f>'DATA B3'!C577</f>
        <v>0</v>
      </c>
      <c r="Q576" s="91">
        <f>SUM(P576-P575)</f>
        <v>0</v>
      </c>
      <c r="R576" s="80">
        <f>'DATA B3'!D577</f>
        <v>0</v>
      </c>
      <c r="S576" s="80">
        <f t="shared" si="216"/>
        <v>0</v>
      </c>
      <c r="T576" s="15">
        <f t="shared" si="211"/>
        <v>0</v>
      </c>
      <c r="U576" s="15">
        <f>IFERROR((('DATA B3'!E577-'DATA B3'!E576)+('DATA B3'!F577-'DATA B3'!F576))/('WATER_STEAM RATIO'!P576-'WATER_STEAM RATIO'!P575),0)</f>
        <v>0</v>
      </c>
    </row>
    <row r="577" spans="2:21">
      <c r="B577" s="292"/>
      <c r="C577" s="97">
        <v>1.125</v>
      </c>
      <c r="D577" s="84">
        <f>'DATA B1'!D578</f>
        <v>0</v>
      </c>
      <c r="E577" s="5">
        <f t="shared" si="217"/>
        <v>0</v>
      </c>
      <c r="F577" s="80">
        <f>'DATA B1'!E578</f>
        <v>0</v>
      </c>
      <c r="G577" s="80">
        <f t="shared" si="212"/>
        <v>0</v>
      </c>
      <c r="H577" s="28">
        <f t="shared" si="199"/>
        <v>0</v>
      </c>
      <c r="I577" s="45">
        <f>IFERROR((('DATA B1'!G578-'DATA B1'!G577)/('WATER_STEAM RATIO'!D577-'WATER_STEAM RATIO'!D576))*1000,0)</f>
        <v>0</v>
      </c>
      <c r="J577" s="50">
        <f>'DATA B2'!D578</f>
        <v>0</v>
      </c>
      <c r="K577" s="82">
        <f t="shared" si="213"/>
        <v>0</v>
      </c>
      <c r="L577" s="80">
        <f>'DATA B2'!E578</f>
        <v>0</v>
      </c>
      <c r="M577" s="80">
        <f t="shared" si="214"/>
        <v>0</v>
      </c>
      <c r="N577" s="28">
        <f t="shared" si="210"/>
        <v>0</v>
      </c>
      <c r="O577" s="51">
        <f>IFERROR((('DATA B2'!F578-'DATA B2'!F577)/(K577))*1000,0)</f>
        <v>0</v>
      </c>
      <c r="P577" s="94">
        <f>'DATA B3'!C578</f>
        <v>0</v>
      </c>
      <c r="Q577" s="91">
        <f t="shared" si="215"/>
        <v>0</v>
      </c>
      <c r="R577" s="80">
        <f>'DATA B3'!D578</f>
        <v>0</v>
      </c>
      <c r="S577" s="80">
        <f t="shared" si="216"/>
        <v>0</v>
      </c>
      <c r="T577" s="15">
        <f t="shared" si="211"/>
        <v>0</v>
      </c>
      <c r="U577" s="15">
        <f>IFERROR((('DATA B3'!E578-'DATA B3'!E577)+('DATA B3'!F578-'DATA B3'!F577))/('WATER_STEAM RATIO'!P577-'WATER_STEAM RATIO'!P576),0)</f>
        <v>0</v>
      </c>
    </row>
    <row r="578" spans="2:21">
      <c r="B578" s="292"/>
      <c r="C578" s="97">
        <v>1.1666666666666701</v>
      </c>
      <c r="D578" s="84">
        <f>'DATA B1'!D579</f>
        <v>0</v>
      </c>
      <c r="E578" s="5">
        <f t="shared" si="217"/>
        <v>0</v>
      </c>
      <c r="F578" s="80">
        <f>'DATA B1'!E579</f>
        <v>0</v>
      </c>
      <c r="G578" s="80">
        <f t="shared" si="212"/>
        <v>0</v>
      </c>
      <c r="H578" s="28">
        <f t="shared" si="199"/>
        <v>0</v>
      </c>
      <c r="I578" s="45">
        <f>IFERROR((('DATA B1'!G579-'DATA B1'!G578)/('WATER_STEAM RATIO'!D578-'WATER_STEAM RATIO'!D577))*1000,0)</f>
        <v>0</v>
      </c>
      <c r="J578" s="50">
        <f>'DATA B2'!D579</f>
        <v>0</v>
      </c>
      <c r="K578" s="82">
        <f t="shared" si="213"/>
        <v>0</v>
      </c>
      <c r="L578" s="80">
        <f>'DATA B2'!E579</f>
        <v>0</v>
      </c>
      <c r="M578" s="80">
        <f t="shared" si="214"/>
        <v>0</v>
      </c>
      <c r="N578" s="28">
        <f t="shared" si="210"/>
        <v>0</v>
      </c>
      <c r="O578" s="51">
        <f>IFERROR((('DATA B2'!F579-'DATA B2'!F578)/(K578))*1000,0)</f>
        <v>0</v>
      </c>
      <c r="P578" s="94">
        <f>'DATA B3'!C579</f>
        <v>0</v>
      </c>
      <c r="Q578" s="91">
        <f t="shared" si="215"/>
        <v>0</v>
      </c>
      <c r="R578" s="80">
        <f>'DATA B3'!D579</f>
        <v>0</v>
      </c>
      <c r="S578" s="80">
        <f t="shared" si="216"/>
        <v>0</v>
      </c>
      <c r="T578" s="15">
        <f t="shared" si="211"/>
        <v>0</v>
      </c>
      <c r="U578" s="15">
        <f>IFERROR((('DATA B3'!E579-'DATA B3'!E578)+('DATA B3'!F579-'DATA B3'!F578))/('WATER_STEAM RATIO'!P578-'WATER_STEAM RATIO'!P577),0)</f>
        <v>0</v>
      </c>
    </row>
    <row r="579" spans="2:21">
      <c r="B579" s="292"/>
      <c r="C579" s="97">
        <v>1.2083333333333399</v>
      </c>
      <c r="D579" s="84">
        <f>'DATA B1'!D580</f>
        <v>0</v>
      </c>
      <c r="E579" s="5">
        <f t="shared" si="217"/>
        <v>0</v>
      </c>
      <c r="F579" s="80">
        <f>'DATA B1'!E580</f>
        <v>0</v>
      </c>
      <c r="G579" s="80">
        <f t="shared" si="212"/>
        <v>0</v>
      </c>
      <c r="H579" s="28">
        <f t="shared" si="199"/>
        <v>0</v>
      </c>
      <c r="I579" s="45">
        <f>IFERROR((('DATA B1'!G580-'DATA B1'!G579)/('WATER_STEAM RATIO'!D579-'WATER_STEAM RATIO'!D578))*1000,0)</f>
        <v>0</v>
      </c>
      <c r="J579" s="50">
        <f>'DATA B2'!D580</f>
        <v>0</v>
      </c>
      <c r="K579" s="82">
        <f t="shared" si="213"/>
        <v>0</v>
      </c>
      <c r="L579" s="80">
        <f>'DATA B2'!E580</f>
        <v>0</v>
      </c>
      <c r="M579" s="80">
        <f t="shared" si="214"/>
        <v>0</v>
      </c>
      <c r="N579" s="28">
        <f t="shared" si="210"/>
        <v>0</v>
      </c>
      <c r="O579" s="51">
        <f>IFERROR((('DATA B2'!F580-'DATA B2'!F579)/(K579))*1000,0)</f>
        <v>0</v>
      </c>
      <c r="P579" s="94">
        <f>'DATA B3'!C580</f>
        <v>0</v>
      </c>
      <c r="Q579" s="91">
        <f t="shared" si="215"/>
        <v>0</v>
      </c>
      <c r="R579" s="80">
        <f>'DATA B3'!D580</f>
        <v>0</v>
      </c>
      <c r="S579" s="80">
        <f t="shared" si="216"/>
        <v>0</v>
      </c>
      <c r="T579" s="15">
        <f t="shared" si="211"/>
        <v>0</v>
      </c>
      <c r="U579" s="15">
        <f>IFERROR((('DATA B3'!E580-'DATA B3'!E579)+('DATA B3'!F580-'DATA B3'!F579))/('WATER_STEAM RATIO'!P579-'WATER_STEAM RATIO'!P578),0)</f>
        <v>0</v>
      </c>
    </row>
    <row r="580" spans="2:21">
      <c r="B580" s="292"/>
      <c r="C580" s="97">
        <v>1.25</v>
      </c>
      <c r="D580" s="84">
        <f>'DATA B1'!D581</f>
        <v>0</v>
      </c>
      <c r="E580" s="5">
        <f t="shared" si="217"/>
        <v>0</v>
      </c>
      <c r="F580" s="80">
        <f>'DATA B1'!E581</f>
        <v>0</v>
      </c>
      <c r="G580" s="80">
        <f t="shared" si="212"/>
        <v>0</v>
      </c>
      <c r="H580" s="28">
        <f t="shared" si="199"/>
        <v>0</v>
      </c>
      <c r="I580" s="45">
        <f>IFERROR((('DATA B1'!G581-'DATA B1'!G580)/('WATER_STEAM RATIO'!D580-'WATER_STEAM RATIO'!D579))*1000,0)</f>
        <v>0</v>
      </c>
      <c r="J580" s="50">
        <f>'DATA B2'!D581</f>
        <v>0</v>
      </c>
      <c r="K580" s="82">
        <f t="shared" si="213"/>
        <v>0</v>
      </c>
      <c r="L580" s="80">
        <f>'DATA B2'!E581</f>
        <v>0</v>
      </c>
      <c r="M580" s="80">
        <f t="shared" si="214"/>
        <v>0</v>
      </c>
      <c r="N580" s="28">
        <f t="shared" si="210"/>
        <v>0</v>
      </c>
      <c r="O580" s="51">
        <f>IFERROR((('DATA B2'!F581-'DATA B2'!F580)/(K580))*1000,0)</f>
        <v>0</v>
      </c>
      <c r="P580" s="94">
        <f>'DATA B3'!C581</f>
        <v>0</v>
      </c>
      <c r="Q580" s="91">
        <f t="shared" si="215"/>
        <v>0</v>
      </c>
      <c r="R580" s="80">
        <f>'DATA B3'!D581</f>
        <v>0</v>
      </c>
      <c r="S580" s="80">
        <f t="shared" si="216"/>
        <v>0</v>
      </c>
      <c r="T580" s="15">
        <f t="shared" si="211"/>
        <v>0</v>
      </c>
      <c r="U580" s="15">
        <f>IFERROR((('DATA B3'!E581-'DATA B3'!E580)+('DATA B3'!F581-'DATA B3'!F580))/('WATER_STEAM RATIO'!P580-'WATER_STEAM RATIO'!P579),0)</f>
        <v>0</v>
      </c>
    </row>
    <row r="581" spans="2:21">
      <c r="B581" s="292"/>
      <c r="C581" s="97">
        <v>1.2916666666666701</v>
      </c>
      <c r="D581" s="84">
        <f>'DATA B1'!D582</f>
        <v>0</v>
      </c>
      <c r="E581" s="5">
        <f t="shared" si="217"/>
        <v>0</v>
      </c>
      <c r="F581" s="80">
        <f>'DATA B1'!E582</f>
        <v>0</v>
      </c>
      <c r="G581" s="80">
        <f t="shared" si="212"/>
        <v>0</v>
      </c>
      <c r="H581" s="28">
        <f t="shared" si="199"/>
        <v>0</v>
      </c>
      <c r="I581" s="45">
        <f>IFERROR((('DATA B1'!G582-'DATA B1'!G581)/('WATER_STEAM RATIO'!D581-'WATER_STEAM RATIO'!D580))*1000,0)</f>
        <v>0</v>
      </c>
      <c r="J581" s="50">
        <f>'DATA B2'!D582</f>
        <v>0</v>
      </c>
      <c r="K581" s="82">
        <f>SUM(J581-J580)</f>
        <v>0</v>
      </c>
      <c r="L581" s="80">
        <f>'DATA B2'!E582</f>
        <v>0</v>
      </c>
      <c r="M581" s="80">
        <f t="shared" si="214"/>
        <v>0</v>
      </c>
      <c r="N581" s="28">
        <f t="shared" si="210"/>
        <v>0</v>
      </c>
      <c r="O581" s="51">
        <f>IFERROR((('DATA B2'!F582-'DATA B2'!F581)/(K581))*1000,0)</f>
        <v>0</v>
      </c>
      <c r="P581" s="94">
        <f>'DATA B3'!C582</f>
        <v>0</v>
      </c>
      <c r="Q581" s="91">
        <f t="shared" si="215"/>
        <v>0</v>
      </c>
      <c r="R581" s="80">
        <f>'DATA B3'!D582</f>
        <v>0</v>
      </c>
      <c r="S581" s="80">
        <f t="shared" si="216"/>
        <v>0</v>
      </c>
      <c r="T581" s="15">
        <f t="shared" si="211"/>
        <v>0</v>
      </c>
      <c r="U581" s="15">
        <f>IFERROR((('DATA B3'!E582-'DATA B3'!E581)+('DATA B3'!F582-'DATA B3'!F581))/('WATER_STEAM RATIO'!P581-'WATER_STEAM RATIO'!P580),0)</f>
        <v>0</v>
      </c>
    </row>
    <row r="582" spans="2:21" ht="15.75" thickBot="1">
      <c r="B582" s="293"/>
      <c r="C582" s="235"/>
      <c r="D582" s="224" cm="1">
        <f t="array" ref="D582">IFERROR(LOOKUP(2,1/(D557:D581&gt;0),D557:D581-D557),0)</f>
        <v>0</v>
      </c>
      <c r="E582" s="223">
        <f>SUMIF(E558:E581,"&gt;=0",E558:E581)</f>
        <v>0</v>
      </c>
      <c r="F582" s="224" cm="1">
        <f t="array" ref="F582">IFERROR(LOOKUP(2,1/(F557:F581&gt;0),F557:F581-F557),0)</f>
        <v>0</v>
      </c>
      <c r="G582" s="223">
        <f>SUMIF(G558:G581,"&gt;=0",G558:G581)</f>
        <v>0</v>
      </c>
      <c r="H582" s="225">
        <f t="shared" si="199"/>
        <v>0</v>
      </c>
      <c r="I582" s="236">
        <f>IFERROR((('DATA B1'!H583)/(E582))*1000,0)</f>
        <v>0</v>
      </c>
      <c r="J582" s="222" cm="1">
        <f t="array" ref="J582">IFERROR(LOOKUP(2,1/(J557:J581&gt;0),J557:J581-J557),0)</f>
        <v>0</v>
      </c>
      <c r="K582" s="223">
        <f>SUMIF(K558:K581,"&gt;=0",K558:K581)</f>
        <v>0</v>
      </c>
      <c r="L582" s="224" cm="1">
        <f t="array" ref="L582">IFERROR(LOOKUP(2,1/(L557:L581&gt;0),L557:L581-L557),0)</f>
        <v>0</v>
      </c>
      <c r="M582" s="223">
        <f>SUMIF(M558:M581,"&gt;=0",M558:M581)</f>
        <v>0</v>
      </c>
      <c r="N582" s="225">
        <f>IFERROR(M582/K582,0)</f>
        <v>0</v>
      </c>
      <c r="O582" s="226">
        <f>IFERROR((('DATA B2'!H583)/(K582))*1000,0)</f>
        <v>0</v>
      </c>
      <c r="P582" s="224" cm="1">
        <f t="array" ref="P582">IFERROR(LOOKUP(2,1/(P557:P581&gt;0),P557:P581-P557),0)</f>
        <v>0</v>
      </c>
      <c r="Q582" s="223">
        <f>SUMIF(Q558:Q581,"&gt;=0",Q558:Q581)</f>
        <v>0</v>
      </c>
      <c r="R582" s="224" cm="1">
        <f t="array" ref="R582">IFERROR(LOOKUP(2,1/(R557:R581&gt;0),R557:R581-R557),0)</f>
        <v>0</v>
      </c>
      <c r="S582" s="223">
        <f>SUMIF(S558:S581,"&gt;=0",S558:S581)</f>
        <v>0</v>
      </c>
      <c r="T582" s="237">
        <f t="shared" si="211"/>
        <v>0</v>
      </c>
      <c r="U582" s="226">
        <f>IFERROR(('DATA B3'!E583+'DATA B3'!F583)/Q582*1000,0)</f>
        <v>0</v>
      </c>
    </row>
    <row r="583" spans="2:21" ht="15" customHeight="1">
      <c r="B583" s="291">
        <f>SUM('DATA B1'!B584:B609)</f>
        <v>46045</v>
      </c>
      <c r="C583" s="97">
        <v>0.29166666666666669</v>
      </c>
      <c r="D583" s="84">
        <f>'DATA B1'!D584</f>
        <v>0</v>
      </c>
      <c r="E583" s="5">
        <f>SUM(E581)</f>
        <v>0</v>
      </c>
      <c r="F583" s="80">
        <f>'DATA B1'!E584</f>
        <v>0</v>
      </c>
      <c r="G583" s="80">
        <f>SUM(G581)</f>
        <v>0</v>
      </c>
      <c r="H583" s="28">
        <f t="shared" si="199"/>
        <v>0</v>
      </c>
      <c r="I583" s="45"/>
      <c r="J583" s="50">
        <f>'DATA B2'!D584</f>
        <v>0</v>
      </c>
      <c r="K583" s="82">
        <f>SUM(K581)</f>
        <v>0</v>
      </c>
      <c r="L583" s="80">
        <f>'DATA B2'!E584</f>
        <v>0</v>
      </c>
      <c r="M583" s="80">
        <f>SUM(M581)</f>
        <v>0</v>
      </c>
      <c r="N583" s="28">
        <f>IFERROR(M583/K583,0)</f>
        <v>0</v>
      </c>
      <c r="O583" s="103"/>
      <c r="P583" s="94">
        <f>'DATA B3'!C584</f>
        <v>0</v>
      </c>
      <c r="Q583" s="91">
        <f>SUM(Q581)</f>
        <v>0</v>
      </c>
      <c r="R583" s="80">
        <f>'DATA B3'!D584</f>
        <v>0</v>
      </c>
      <c r="S583" s="80">
        <f>SUM(S581)</f>
        <v>0</v>
      </c>
      <c r="T583" s="15">
        <f>IFERROR(S583/Q583,0)</f>
        <v>0</v>
      </c>
      <c r="U583" s="15"/>
    </row>
    <row r="584" spans="2:21">
      <c r="B584" s="292"/>
      <c r="C584" s="97">
        <v>0.33333333333333298</v>
      </c>
      <c r="D584" s="84">
        <f>'DATA B1'!D585</f>
        <v>0</v>
      </c>
      <c r="E584" s="5">
        <f t="shared" ref="E584:E590" si="218">SUM(D584-D583)</f>
        <v>0</v>
      </c>
      <c r="F584" s="80">
        <f>'DATA B1'!E585</f>
        <v>0</v>
      </c>
      <c r="G584" s="80">
        <f>SUM(F584-F583)</f>
        <v>0</v>
      </c>
      <c r="H584" s="28">
        <f t="shared" si="199"/>
        <v>0</v>
      </c>
      <c r="I584" s="45">
        <f>IFERROR((('DATA B1'!G585-'DATA B1'!G584)/('WATER_STEAM RATIO'!D584-'WATER_STEAM RATIO'!D583))*1000,0)</f>
        <v>0</v>
      </c>
      <c r="J584" s="50">
        <f>'DATA B2'!D585</f>
        <v>0</v>
      </c>
      <c r="K584" s="82">
        <f>SUM(J584-J583)</f>
        <v>0</v>
      </c>
      <c r="L584" s="80">
        <f>'DATA B2'!E585</f>
        <v>0</v>
      </c>
      <c r="M584" s="80">
        <f>SUM(L584-L583)</f>
        <v>0</v>
      </c>
      <c r="N584" s="28">
        <f t="shared" ref="N584:N607" si="219">IFERROR(M584/K584,0)</f>
        <v>0</v>
      </c>
      <c r="O584" s="51">
        <f>IFERROR((('DATA B2'!F585-'DATA B2'!F584)/(K584))*1000,0)</f>
        <v>0</v>
      </c>
      <c r="P584" s="94">
        <f>'DATA B3'!C585</f>
        <v>0</v>
      </c>
      <c r="Q584" s="91">
        <f>SUM(P584-P583)</f>
        <v>0</v>
      </c>
      <c r="R584" s="80">
        <f>'DATA B3'!D585</f>
        <v>0</v>
      </c>
      <c r="S584" s="80">
        <f>SUM(R584-R583)</f>
        <v>0</v>
      </c>
      <c r="T584" s="15">
        <f t="shared" ref="T584:T608" si="220">IFERROR(S584/Q584,0)</f>
        <v>0</v>
      </c>
      <c r="U584" s="15">
        <f>IFERROR((('DATA B3'!E585-'DATA B3'!E584)+('DATA B3'!F585-'DATA B3'!F584))/('WATER_STEAM RATIO'!P584-'WATER_STEAM RATIO'!P583),0)</f>
        <v>0</v>
      </c>
    </row>
    <row r="585" spans="2:21">
      <c r="B585" s="292"/>
      <c r="C585" s="97">
        <v>0.375</v>
      </c>
      <c r="D585" s="84">
        <f>'DATA B1'!D586</f>
        <v>0</v>
      </c>
      <c r="E585" s="5">
        <f t="shared" si="218"/>
        <v>0</v>
      </c>
      <c r="F585" s="80">
        <f>'DATA B1'!E586</f>
        <v>0</v>
      </c>
      <c r="G585" s="80">
        <f t="shared" ref="G585:G607" si="221">SUM(F585-F584)</f>
        <v>0</v>
      </c>
      <c r="H585" s="28">
        <f t="shared" si="199"/>
        <v>0</v>
      </c>
      <c r="I585" s="45">
        <f>IFERROR((('DATA B1'!G586-'DATA B1'!G585)/('WATER_STEAM RATIO'!D585-'WATER_STEAM RATIO'!D584))*1000,0)</f>
        <v>0</v>
      </c>
      <c r="J585" s="50">
        <f>'DATA B2'!D586</f>
        <v>0</v>
      </c>
      <c r="K585" s="82">
        <f t="shared" ref="K585:K606" si="222">SUM(J585-J584)</f>
        <v>0</v>
      </c>
      <c r="L585" s="80">
        <f>'DATA B2'!E586</f>
        <v>0</v>
      </c>
      <c r="M585" s="80">
        <f t="shared" ref="M585:M607" si="223">SUM(L585-L584)</f>
        <v>0</v>
      </c>
      <c r="N585" s="28">
        <f t="shared" si="219"/>
        <v>0</v>
      </c>
      <c r="O585" s="51">
        <f>IFERROR((('DATA B2'!F586-'DATA B2'!F585)/(K585))*1000,0)</f>
        <v>0</v>
      </c>
      <c r="P585" s="94">
        <f>'DATA B3'!C586</f>
        <v>0</v>
      </c>
      <c r="Q585" s="91">
        <f t="shared" ref="Q585:Q607" si="224">SUM(P585-P584)</f>
        <v>0</v>
      </c>
      <c r="R585" s="80">
        <f>'DATA B3'!D586</f>
        <v>0</v>
      </c>
      <c r="S585" s="80">
        <f t="shared" ref="S585:S607" si="225">SUM(R585-R584)</f>
        <v>0</v>
      </c>
      <c r="T585" s="15">
        <f t="shared" si="220"/>
        <v>0</v>
      </c>
      <c r="U585" s="15">
        <f>IFERROR((('DATA B3'!E586-'DATA B3'!E585)+('DATA B3'!F586-'DATA B3'!F585))/('WATER_STEAM RATIO'!P585-'WATER_STEAM RATIO'!P584),0)</f>
        <v>0</v>
      </c>
    </row>
    <row r="586" spans="2:21">
      <c r="B586" s="292"/>
      <c r="C586" s="97">
        <v>0.41666666666666702</v>
      </c>
      <c r="D586" s="84">
        <f>'DATA B1'!D587</f>
        <v>0</v>
      </c>
      <c r="E586" s="5">
        <f t="shared" si="218"/>
        <v>0</v>
      </c>
      <c r="F586" s="80">
        <f>'DATA B1'!E587</f>
        <v>0</v>
      </c>
      <c r="G586" s="80">
        <f t="shared" si="221"/>
        <v>0</v>
      </c>
      <c r="H586" s="28">
        <f t="shared" si="199"/>
        <v>0</v>
      </c>
      <c r="I586" s="45">
        <f>IFERROR((('DATA B1'!G587-'DATA B1'!G586)/('WATER_STEAM RATIO'!D586-'WATER_STEAM RATIO'!D585))*1000,0)</f>
        <v>0</v>
      </c>
      <c r="J586" s="50">
        <f>'DATA B2'!D587</f>
        <v>0</v>
      </c>
      <c r="K586" s="82">
        <f t="shared" si="222"/>
        <v>0</v>
      </c>
      <c r="L586" s="80">
        <f>'DATA B2'!E587</f>
        <v>0</v>
      </c>
      <c r="M586" s="80">
        <f t="shared" si="223"/>
        <v>0</v>
      </c>
      <c r="N586" s="28">
        <f t="shared" si="219"/>
        <v>0</v>
      </c>
      <c r="O586" s="51">
        <f>IFERROR((('DATA B2'!F587-'DATA B2'!F586)/(K586))*1000,0)</f>
        <v>0</v>
      </c>
      <c r="P586" s="94">
        <f>'DATA B3'!C587</f>
        <v>0</v>
      </c>
      <c r="Q586" s="91">
        <f t="shared" si="224"/>
        <v>0</v>
      </c>
      <c r="R586" s="80">
        <f>'DATA B3'!D587</f>
        <v>0</v>
      </c>
      <c r="S586" s="80">
        <f t="shared" si="225"/>
        <v>0</v>
      </c>
      <c r="T586" s="15">
        <f t="shared" si="220"/>
        <v>0</v>
      </c>
      <c r="U586" s="15">
        <f>IFERROR((('DATA B3'!E587-'DATA B3'!E586)+('DATA B3'!F587-'DATA B3'!F586))/('WATER_STEAM RATIO'!P586-'WATER_STEAM RATIO'!P585),0)</f>
        <v>0</v>
      </c>
    </row>
    <row r="587" spans="2:21">
      <c r="B587" s="292"/>
      <c r="C587" s="97">
        <v>0.45833333333333298</v>
      </c>
      <c r="D587" s="84">
        <f>'DATA B1'!D588</f>
        <v>0</v>
      </c>
      <c r="E587" s="5">
        <f t="shared" si="218"/>
        <v>0</v>
      </c>
      <c r="F587" s="80">
        <f>'DATA B1'!E588</f>
        <v>0</v>
      </c>
      <c r="G587" s="80">
        <f t="shared" si="221"/>
        <v>0</v>
      </c>
      <c r="H587" s="28">
        <f t="shared" si="199"/>
        <v>0</v>
      </c>
      <c r="I587" s="45">
        <f>IFERROR((('DATA B1'!G588-'DATA B1'!G587)/('WATER_STEAM RATIO'!D587-'WATER_STEAM RATIO'!D586))*1000,0)</f>
        <v>0</v>
      </c>
      <c r="J587" s="50">
        <f>'DATA B2'!D588</f>
        <v>0</v>
      </c>
      <c r="K587" s="82">
        <f t="shared" si="222"/>
        <v>0</v>
      </c>
      <c r="L587" s="80">
        <f>'DATA B2'!E588</f>
        <v>0</v>
      </c>
      <c r="M587" s="80">
        <f t="shared" si="223"/>
        <v>0</v>
      </c>
      <c r="N587" s="28">
        <f t="shared" si="219"/>
        <v>0</v>
      </c>
      <c r="O587" s="51">
        <f>IFERROR((('DATA B2'!F588-'DATA B2'!F587)/(K587))*1000,0)</f>
        <v>0</v>
      </c>
      <c r="P587" s="94">
        <f>'DATA B3'!C588</f>
        <v>0</v>
      </c>
      <c r="Q587" s="91">
        <f t="shared" si="224"/>
        <v>0</v>
      </c>
      <c r="R587" s="80">
        <f>'DATA B3'!D588</f>
        <v>0</v>
      </c>
      <c r="S587" s="80">
        <f t="shared" si="225"/>
        <v>0</v>
      </c>
      <c r="T587" s="15">
        <f t="shared" si="220"/>
        <v>0</v>
      </c>
      <c r="U587" s="15">
        <f>IFERROR((('DATA B3'!E588-'DATA B3'!E587)+('DATA B3'!F588-'DATA B3'!F587))/('WATER_STEAM RATIO'!P587-'WATER_STEAM RATIO'!P586),0)</f>
        <v>0</v>
      </c>
    </row>
    <row r="588" spans="2:21">
      <c r="B588" s="292"/>
      <c r="C588" s="97">
        <v>0.5</v>
      </c>
      <c r="D588" s="84">
        <f>'DATA B1'!D589</f>
        <v>0</v>
      </c>
      <c r="E588" s="5">
        <f t="shared" si="218"/>
        <v>0</v>
      </c>
      <c r="F588" s="80">
        <f>'DATA B1'!E589</f>
        <v>0</v>
      </c>
      <c r="G588" s="80">
        <f t="shared" si="221"/>
        <v>0</v>
      </c>
      <c r="H588" s="28">
        <f t="shared" si="199"/>
        <v>0</v>
      </c>
      <c r="I588" s="45">
        <f>IFERROR((('DATA B1'!G589-'DATA B1'!G588)/('WATER_STEAM RATIO'!D588-'WATER_STEAM RATIO'!D587))*1000,0)</f>
        <v>0</v>
      </c>
      <c r="J588" s="50">
        <f>'DATA B2'!D589</f>
        <v>0</v>
      </c>
      <c r="K588" s="82">
        <f t="shared" si="222"/>
        <v>0</v>
      </c>
      <c r="L588" s="80">
        <f>'DATA B2'!E589</f>
        <v>0</v>
      </c>
      <c r="M588" s="80">
        <f t="shared" si="223"/>
        <v>0</v>
      </c>
      <c r="N588" s="28">
        <f t="shared" si="219"/>
        <v>0</v>
      </c>
      <c r="O588" s="51">
        <f>IFERROR((('DATA B2'!F589-'DATA B2'!F588)/(K588))*1000,0)</f>
        <v>0</v>
      </c>
      <c r="P588" s="94">
        <f>'DATA B3'!C589</f>
        <v>0</v>
      </c>
      <c r="Q588" s="91">
        <f t="shared" si="224"/>
        <v>0</v>
      </c>
      <c r="R588" s="80">
        <f>'DATA B3'!D589</f>
        <v>0</v>
      </c>
      <c r="S588" s="80">
        <f t="shared" si="225"/>
        <v>0</v>
      </c>
      <c r="T588" s="15">
        <f t="shared" si="220"/>
        <v>0</v>
      </c>
      <c r="U588" s="15">
        <f>IFERROR((('DATA B3'!E589-'DATA B3'!E588)+('DATA B3'!F589-'DATA B3'!F588))/('WATER_STEAM RATIO'!P588-'WATER_STEAM RATIO'!P587),0)</f>
        <v>0</v>
      </c>
    </row>
    <row r="589" spans="2:21">
      <c r="B589" s="292"/>
      <c r="C589" s="97">
        <v>0.54166666666666696</v>
      </c>
      <c r="D589" s="84">
        <f>'DATA B1'!D590</f>
        <v>0</v>
      </c>
      <c r="E589" s="5">
        <f t="shared" si="218"/>
        <v>0</v>
      </c>
      <c r="F589" s="80">
        <f>'DATA B1'!E590</f>
        <v>0</v>
      </c>
      <c r="G589" s="80">
        <f t="shared" si="221"/>
        <v>0</v>
      </c>
      <c r="H589" s="28">
        <f t="shared" si="199"/>
        <v>0</v>
      </c>
      <c r="I589" s="45">
        <f>IFERROR((('DATA B1'!G590-'DATA B1'!G589)/('WATER_STEAM RATIO'!D589-'WATER_STEAM RATIO'!D588))*1000,0)</f>
        <v>0</v>
      </c>
      <c r="J589" s="50">
        <f>'DATA B2'!D590</f>
        <v>0</v>
      </c>
      <c r="K589" s="82">
        <f t="shared" si="222"/>
        <v>0</v>
      </c>
      <c r="L589" s="80">
        <f>'DATA B2'!E590</f>
        <v>0</v>
      </c>
      <c r="M589" s="80">
        <f t="shared" si="223"/>
        <v>0</v>
      </c>
      <c r="N589" s="28">
        <f t="shared" si="219"/>
        <v>0</v>
      </c>
      <c r="O589" s="51">
        <f>IFERROR((('DATA B2'!F590-'DATA B2'!F589)/(K589))*1000,0)</f>
        <v>0</v>
      </c>
      <c r="P589" s="94">
        <f>'DATA B3'!C590</f>
        <v>0</v>
      </c>
      <c r="Q589" s="91">
        <f t="shared" si="224"/>
        <v>0</v>
      </c>
      <c r="R589" s="80">
        <f>'DATA B3'!D590</f>
        <v>0</v>
      </c>
      <c r="S589" s="80">
        <f t="shared" si="225"/>
        <v>0</v>
      </c>
      <c r="T589" s="15">
        <f t="shared" si="220"/>
        <v>0</v>
      </c>
      <c r="U589" s="15">
        <f>IFERROR((('DATA B3'!E590-'DATA B3'!E589)+('DATA B3'!F590-'DATA B3'!F589))/('WATER_STEAM RATIO'!P589-'WATER_STEAM RATIO'!P588),0)</f>
        <v>0</v>
      </c>
    </row>
    <row r="590" spans="2:21">
      <c r="B590" s="292"/>
      <c r="C590" s="97">
        <v>0.58333333333333304</v>
      </c>
      <c r="D590" s="84">
        <f>'DATA B1'!D591</f>
        <v>0</v>
      </c>
      <c r="E590" s="5">
        <f t="shared" si="218"/>
        <v>0</v>
      </c>
      <c r="F590" s="80">
        <f>'DATA B1'!E591</f>
        <v>0</v>
      </c>
      <c r="G590" s="80">
        <f t="shared" si="221"/>
        <v>0</v>
      </c>
      <c r="H590" s="28">
        <f t="shared" ref="H590:H653" si="226" xml:space="preserve"> IFERROR(G590/E590,0)</f>
        <v>0</v>
      </c>
      <c r="I590" s="45">
        <f>IFERROR((('DATA B1'!G591-'DATA B1'!G590)/('WATER_STEAM RATIO'!D590-'WATER_STEAM RATIO'!D589))*1000,0)</f>
        <v>0</v>
      </c>
      <c r="J590" s="50">
        <f>'DATA B2'!D591</f>
        <v>0</v>
      </c>
      <c r="K590" s="82">
        <f t="shared" si="222"/>
        <v>0</v>
      </c>
      <c r="L590" s="80">
        <f>'DATA B2'!E591</f>
        <v>0</v>
      </c>
      <c r="M590" s="80">
        <f t="shared" si="223"/>
        <v>0</v>
      </c>
      <c r="N590" s="28">
        <f t="shared" si="219"/>
        <v>0</v>
      </c>
      <c r="O590" s="51">
        <f>IFERROR((('DATA B2'!F591-'DATA B2'!F590)/(K590))*1000,0)</f>
        <v>0</v>
      </c>
      <c r="P590" s="94">
        <f>'DATA B3'!C591</f>
        <v>0</v>
      </c>
      <c r="Q590" s="91">
        <f t="shared" si="224"/>
        <v>0</v>
      </c>
      <c r="R590" s="80">
        <f>'DATA B3'!D591</f>
        <v>0</v>
      </c>
      <c r="S590" s="80">
        <f t="shared" si="225"/>
        <v>0</v>
      </c>
      <c r="T590" s="15">
        <f t="shared" si="220"/>
        <v>0</v>
      </c>
      <c r="U590" s="15">
        <f>IFERROR((('DATA B3'!E591-'DATA B3'!E590)+('DATA B3'!F591-'DATA B3'!F590))/('WATER_STEAM RATIO'!P590-'WATER_STEAM RATIO'!P589),0)</f>
        <v>0</v>
      </c>
    </row>
    <row r="591" spans="2:21">
      <c r="B591" s="292"/>
      <c r="C591" s="97">
        <v>0.625</v>
      </c>
      <c r="D591" s="84">
        <f>'DATA B1'!D592</f>
        <v>0</v>
      </c>
      <c r="E591" s="5">
        <f t="shared" ref="E591:E607" si="227">SUM(D591-D590)</f>
        <v>0</v>
      </c>
      <c r="F591" s="80">
        <f>'DATA B1'!E592</f>
        <v>0</v>
      </c>
      <c r="G591" s="80">
        <f t="shared" si="221"/>
        <v>0</v>
      </c>
      <c r="H591" s="28">
        <f t="shared" si="226"/>
        <v>0</v>
      </c>
      <c r="I591" s="45">
        <f>IFERROR((('DATA B1'!G592-'DATA B1'!G591)/('WATER_STEAM RATIO'!D591-'WATER_STEAM RATIO'!D590))*1000,0)</f>
        <v>0</v>
      </c>
      <c r="J591" s="50">
        <f>'DATA B2'!D592</f>
        <v>0</v>
      </c>
      <c r="K591" s="82">
        <f t="shared" si="222"/>
        <v>0</v>
      </c>
      <c r="L591" s="80">
        <f>'DATA B2'!E592</f>
        <v>0</v>
      </c>
      <c r="M591" s="80">
        <f t="shared" si="223"/>
        <v>0</v>
      </c>
      <c r="N591" s="28">
        <f t="shared" si="219"/>
        <v>0</v>
      </c>
      <c r="O591" s="51">
        <f>IFERROR((('DATA B2'!F592-'DATA B2'!F591)/(K591))*1000,0)</f>
        <v>0</v>
      </c>
      <c r="P591" s="94">
        <f>'DATA B3'!C592</f>
        <v>0</v>
      </c>
      <c r="Q591" s="91">
        <f t="shared" si="224"/>
        <v>0</v>
      </c>
      <c r="R591" s="80">
        <f>'DATA B3'!D592</f>
        <v>0</v>
      </c>
      <c r="S591" s="80">
        <f t="shared" si="225"/>
        <v>0</v>
      </c>
      <c r="T591" s="15">
        <f t="shared" si="220"/>
        <v>0</v>
      </c>
      <c r="U591" s="15">
        <f>IFERROR((('DATA B3'!E592-'DATA B3'!E591)+('DATA B3'!F592-'DATA B3'!F591))/('WATER_STEAM RATIO'!P591-'WATER_STEAM RATIO'!P590),0)</f>
        <v>0</v>
      </c>
    </row>
    <row r="592" spans="2:21">
      <c r="B592" s="292"/>
      <c r="C592" s="97">
        <v>0.66666666666666596</v>
      </c>
      <c r="D592" s="84">
        <f>'DATA B1'!D593</f>
        <v>0</v>
      </c>
      <c r="E592" s="5">
        <f t="shared" si="227"/>
        <v>0</v>
      </c>
      <c r="F592" s="80">
        <f>'DATA B1'!E593</f>
        <v>0</v>
      </c>
      <c r="G592" s="80">
        <f t="shared" si="221"/>
        <v>0</v>
      </c>
      <c r="H592" s="28">
        <f t="shared" si="226"/>
        <v>0</v>
      </c>
      <c r="I592" s="45">
        <f>IFERROR((('DATA B1'!G593-'DATA B1'!G592)/('WATER_STEAM RATIO'!D592-'WATER_STEAM RATIO'!D591))*1000,0)</f>
        <v>0</v>
      </c>
      <c r="J592" s="50">
        <f>'DATA B2'!D593</f>
        <v>0</v>
      </c>
      <c r="K592" s="82">
        <f>SUM(J592-J591)</f>
        <v>0</v>
      </c>
      <c r="L592" s="80">
        <f>'DATA B2'!E593</f>
        <v>0</v>
      </c>
      <c r="M592" s="80">
        <f t="shared" si="223"/>
        <v>0</v>
      </c>
      <c r="N592" s="28">
        <f t="shared" si="219"/>
        <v>0</v>
      </c>
      <c r="O592" s="51">
        <f>IFERROR((('DATA B2'!F593-'DATA B2'!F592)/(K592))*1000,0)</f>
        <v>0</v>
      </c>
      <c r="P592" s="94">
        <f>'DATA B3'!C593</f>
        <v>0</v>
      </c>
      <c r="Q592" s="91">
        <f t="shared" si="224"/>
        <v>0</v>
      </c>
      <c r="R592" s="80">
        <f>'DATA B3'!D593</f>
        <v>0</v>
      </c>
      <c r="S592" s="80">
        <f t="shared" si="225"/>
        <v>0</v>
      </c>
      <c r="T592" s="15">
        <f t="shared" si="220"/>
        <v>0</v>
      </c>
      <c r="U592" s="15">
        <f>IFERROR((('DATA B3'!E593-'DATA B3'!E592)+('DATA B3'!F593-'DATA B3'!F592))/('WATER_STEAM RATIO'!P592-'WATER_STEAM RATIO'!P591),0)</f>
        <v>0</v>
      </c>
    </row>
    <row r="593" spans="2:21">
      <c r="B593" s="292"/>
      <c r="C593" s="97">
        <v>0.70833333333333304</v>
      </c>
      <c r="D593" s="84">
        <f>'DATA B1'!D594</f>
        <v>0</v>
      </c>
      <c r="E593" s="5">
        <f t="shared" si="227"/>
        <v>0</v>
      </c>
      <c r="F593" s="80">
        <f>'DATA B1'!E594</f>
        <v>0</v>
      </c>
      <c r="G593" s="80">
        <f t="shared" si="221"/>
        <v>0</v>
      </c>
      <c r="H593" s="28">
        <f t="shared" si="226"/>
        <v>0</v>
      </c>
      <c r="I593" s="45">
        <f>IFERROR((('DATA B1'!G594-'DATA B1'!G593)/('WATER_STEAM RATIO'!D593-'WATER_STEAM RATIO'!D592))*1000,0)</f>
        <v>0</v>
      </c>
      <c r="J593" s="50">
        <f>'DATA B2'!D594</f>
        <v>0</v>
      </c>
      <c r="K593" s="82">
        <f t="shared" si="222"/>
        <v>0</v>
      </c>
      <c r="L593" s="80">
        <f>'DATA B2'!E594</f>
        <v>0</v>
      </c>
      <c r="M593" s="80">
        <f t="shared" si="223"/>
        <v>0</v>
      </c>
      <c r="N593" s="28">
        <f t="shared" si="219"/>
        <v>0</v>
      </c>
      <c r="O593" s="51">
        <f>IFERROR((('DATA B2'!F594-'DATA B2'!F593)/(K593))*1000,0)</f>
        <v>0</v>
      </c>
      <c r="P593" s="94">
        <f>'DATA B3'!C594</f>
        <v>0</v>
      </c>
      <c r="Q593" s="91">
        <f t="shared" si="224"/>
        <v>0</v>
      </c>
      <c r="R593" s="80">
        <f>'DATA B3'!D594</f>
        <v>0</v>
      </c>
      <c r="S593" s="80">
        <f t="shared" si="225"/>
        <v>0</v>
      </c>
      <c r="T593" s="15">
        <f t="shared" si="220"/>
        <v>0</v>
      </c>
      <c r="U593" s="15">
        <f>IFERROR((('DATA B3'!E594-'DATA B3'!E593)+('DATA B3'!F594-'DATA B3'!F593))/('WATER_STEAM RATIO'!P593-'WATER_STEAM RATIO'!P592),0)</f>
        <v>0</v>
      </c>
    </row>
    <row r="594" spans="2:21">
      <c r="B594" s="292"/>
      <c r="C594" s="97">
        <v>0.75</v>
      </c>
      <c r="D594" s="84">
        <f>'DATA B1'!D595</f>
        <v>0</v>
      </c>
      <c r="E594" s="5">
        <f t="shared" si="227"/>
        <v>0</v>
      </c>
      <c r="F594" s="80">
        <f>'DATA B1'!E595</f>
        <v>0</v>
      </c>
      <c r="G594" s="80">
        <f t="shared" si="221"/>
        <v>0</v>
      </c>
      <c r="H594" s="28">
        <f t="shared" si="226"/>
        <v>0</v>
      </c>
      <c r="I594" s="45">
        <f>IFERROR((('DATA B1'!G595-'DATA B1'!G594)/('WATER_STEAM RATIO'!D594-'WATER_STEAM RATIO'!D593))*1000,0)</f>
        <v>0</v>
      </c>
      <c r="J594" s="50">
        <f>'DATA B2'!D595</f>
        <v>0</v>
      </c>
      <c r="K594" s="82">
        <f t="shared" si="222"/>
        <v>0</v>
      </c>
      <c r="L594" s="80">
        <f>'DATA B2'!E595</f>
        <v>0</v>
      </c>
      <c r="M594" s="80">
        <f t="shared" si="223"/>
        <v>0</v>
      </c>
      <c r="N594" s="28">
        <f t="shared" si="219"/>
        <v>0</v>
      </c>
      <c r="O594" s="51">
        <f>IFERROR((('DATA B2'!F595-'DATA B2'!F594)/(K594))*1000,0)</f>
        <v>0</v>
      </c>
      <c r="P594" s="94">
        <f>'DATA B3'!C595</f>
        <v>0</v>
      </c>
      <c r="Q594" s="91">
        <f t="shared" si="224"/>
        <v>0</v>
      </c>
      <c r="R594" s="80">
        <f>'DATA B3'!D595</f>
        <v>0</v>
      </c>
      <c r="S594" s="80">
        <f t="shared" si="225"/>
        <v>0</v>
      </c>
      <c r="T594" s="15">
        <f t="shared" si="220"/>
        <v>0</v>
      </c>
      <c r="U594" s="15">
        <f>IFERROR((('DATA B3'!E595-'DATA B3'!E594)+('DATA B3'!F595-'DATA B3'!F594))/('WATER_STEAM RATIO'!P594-'WATER_STEAM RATIO'!P593),0)</f>
        <v>0</v>
      </c>
    </row>
    <row r="595" spans="2:21">
      <c r="B595" s="292"/>
      <c r="C595" s="97">
        <v>0.79166666666666596</v>
      </c>
      <c r="D595" s="84">
        <f>'DATA B1'!D596</f>
        <v>0</v>
      </c>
      <c r="E595" s="5">
        <f t="shared" si="227"/>
        <v>0</v>
      </c>
      <c r="F595" s="80">
        <f>'DATA B1'!E596</f>
        <v>0</v>
      </c>
      <c r="G595" s="80">
        <f t="shared" si="221"/>
        <v>0</v>
      </c>
      <c r="H595" s="28">
        <f t="shared" si="226"/>
        <v>0</v>
      </c>
      <c r="I595" s="45">
        <f>IFERROR((('DATA B1'!G596-'DATA B1'!G595)/('WATER_STEAM RATIO'!D595-'WATER_STEAM RATIO'!D594))*1000,0)</f>
        <v>0</v>
      </c>
      <c r="J595" s="50">
        <f>'DATA B2'!D596</f>
        <v>0</v>
      </c>
      <c r="K595" s="82">
        <f t="shared" si="222"/>
        <v>0</v>
      </c>
      <c r="L595" s="80">
        <f>'DATA B2'!E596</f>
        <v>0</v>
      </c>
      <c r="M595" s="80">
        <f t="shared" si="223"/>
        <v>0</v>
      </c>
      <c r="N595" s="28">
        <f t="shared" si="219"/>
        <v>0</v>
      </c>
      <c r="O595" s="51">
        <f>IFERROR((('DATA B2'!F596-'DATA B2'!F595)/(K595))*1000,0)</f>
        <v>0</v>
      </c>
      <c r="P595" s="94">
        <f>'DATA B3'!C596</f>
        <v>0</v>
      </c>
      <c r="Q595" s="91">
        <f t="shared" si="224"/>
        <v>0</v>
      </c>
      <c r="R595" s="80">
        <f>'DATA B3'!D596</f>
        <v>0</v>
      </c>
      <c r="S595" s="80">
        <f t="shared" si="225"/>
        <v>0</v>
      </c>
      <c r="T595" s="15">
        <f t="shared" si="220"/>
        <v>0</v>
      </c>
      <c r="U595" s="15">
        <f>IFERROR((('DATA B3'!E596-'DATA B3'!E595)+('DATA B3'!F596-'DATA B3'!F595))/('WATER_STEAM RATIO'!P595-'WATER_STEAM RATIO'!P594),0)</f>
        <v>0</v>
      </c>
    </row>
    <row r="596" spans="2:21">
      <c r="B596" s="292"/>
      <c r="C596" s="97">
        <v>0.83333333333333304</v>
      </c>
      <c r="D596" s="84">
        <f>'DATA B1'!D597</f>
        <v>0</v>
      </c>
      <c r="E596" s="5">
        <f t="shared" si="227"/>
        <v>0</v>
      </c>
      <c r="F596" s="80">
        <f>'DATA B1'!E597</f>
        <v>0</v>
      </c>
      <c r="G596" s="80">
        <f t="shared" si="221"/>
        <v>0</v>
      </c>
      <c r="H596" s="28">
        <f t="shared" si="226"/>
        <v>0</v>
      </c>
      <c r="I596" s="45">
        <f>IFERROR((('DATA B1'!G597-'DATA B1'!G596)/('WATER_STEAM RATIO'!D596-'WATER_STEAM RATIO'!D595))*1000,0)</f>
        <v>0</v>
      </c>
      <c r="J596" s="50">
        <f>'DATA B2'!D597</f>
        <v>0</v>
      </c>
      <c r="K596" s="82">
        <f t="shared" si="222"/>
        <v>0</v>
      </c>
      <c r="L596" s="80">
        <f>'DATA B2'!E597</f>
        <v>0</v>
      </c>
      <c r="M596" s="80">
        <f t="shared" si="223"/>
        <v>0</v>
      </c>
      <c r="N596" s="28">
        <f t="shared" si="219"/>
        <v>0</v>
      </c>
      <c r="O596" s="51">
        <f>IFERROR((('DATA B2'!F597-'DATA B2'!F596)/(K596))*1000,0)</f>
        <v>0</v>
      </c>
      <c r="P596" s="94">
        <f>'DATA B3'!C597</f>
        <v>0</v>
      </c>
      <c r="Q596" s="91">
        <f t="shared" si="224"/>
        <v>0</v>
      </c>
      <c r="R596" s="80">
        <f>'DATA B3'!D597</f>
        <v>0</v>
      </c>
      <c r="S596" s="80">
        <f t="shared" si="225"/>
        <v>0</v>
      </c>
      <c r="T596" s="15">
        <f t="shared" si="220"/>
        <v>0</v>
      </c>
      <c r="U596" s="15">
        <f>IFERROR((('DATA B3'!E597-'DATA B3'!E596)+('DATA B3'!F597-'DATA B3'!F596))/('WATER_STEAM RATIO'!P596-'WATER_STEAM RATIO'!P595),0)</f>
        <v>0</v>
      </c>
    </row>
    <row r="597" spans="2:21">
      <c r="B597" s="292"/>
      <c r="C597" s="97">
        <v>0.875</v>
      </c>
      <c r="D597" s="84">
        <f>'DATA B1'!D598</f>
        <v>0</v>
      </c>
      <c r="E597" s="5">
        <f t="shared" si="227"/>
        <v>0</v>
      </c>
      <c r="F597" s="80">
        <f>'DATA B1'!E598</f>
        <v>0</v>
      </c>
      <c r="G597" s="80">
        <f t="shared" si="221"/>
        <v>0</v>
      </c>
      <c r="H597" s="28">
        <f t="shared" si="226"/>
        <v>0</v>
      </c>
      <c r="I597" s="45">
        <f>IFERROR((('DATA B1'!G598-'DATA B1'!G597)/('WATER_STEAM RATIO'!D597-'WATER_STEAM RATIO'!D596))*1000,0)</f>
        <v>0</v>
      </c>
      <c r="J597" s="50">
        <f>'DATA B2'!D598</f>
        <v>0</v>
      </c>
      <c r="K597" s="82">
        <f t="shared" si="222"/>
        <v>0</v>
      </c>
      <c r="L597" s="80">
        <f>'DATA B2'!E598</f>
        <v>0</v>
      </c>
      <c r="M597" s="80">
        <f t="shared" si="223"/>
        <v>0</v>
      </c>
      <c r="N597" s="28">
        <f>IFERROR(M597/K597,0)</f>
        <v>0</v>
      </c>
      <c r="O597" s="51">
        <f>IFERROR((('DATA B2'!F598-'DATA B2'!F597)/(K597))*1000,0)</f>
        <v>0</v>
      </c>
      <c r="P597" s="94">
        <f>'DATA B3'!C598</f>
        <v>0</v>
      </c>
      <c r="Q597" s="91">
        <f t="shared" si="224"/>
        <v>0</v>
      </c>
      <c r="R597" s="80">
        <f>'DATA B3'!D598</f>
        <v>0</v>
      </c>
      <c r="S597" s="80">
        <f t="shared" si="225"/>
        <v>0</v>
      </c>
      <c r="T597" s="15">
        <f t="shared" si="220"/>
        <v>0</v>
      </c>
      <c r="U597" s="15">
        <f>IFERROR((('DATA B3'!E598-'DATA B3'!E597)+('DATA B3'!F598-'DATA B3'!F597))/('WATER_STEAM RATIO'!P597-'WATER_STEAM RATIO'!P596),0)</f>
        <v>0</v>
      </c>
    </row>
    <row r="598" spans="2:21">
      <c r="B598" s="292"/>
      <c r="C598" s="97">
        <v>0.91666666666666596</v>
      </c>
      <c r="D598" s="84">
        <f>'DATA B1'!D599</f>
        <v>0</v>
      </c>
      <c r="E598" s="5">
        <f t="shared" si="227"/>
        <v>0</v>
      </c>
      <c r="F598" s="80">
        <f>'DATA B1'!E599</f>
        <v>0</v>
      </c>
      <c r="G598" s="80">
        <f t="shared" si="221"/>
        <v>0</v>
      </c>
      <c r="H598" s="28">
        <f t="shared" si="226"/>
        <v>0</v>
      </c>
      <c r="I598" s="45">
        <f>IFERROR((('DATA B1'!G599-'DATA B1'!G598)/('WATER_STEAM RATIO'!D598-'WATER_STEAM RATIO'!D597))*1000,0)</f>
        <v>0</v>
      </c>
      <c r="J598" s="50">
        <f>'DATA B2'!D599</f>
        <v>0</v>
      </c>
      <c r="K598" s="82">
        <f t="shared" si="222"/>
        <v>0</v>
      </c>
      <c r="L598" s="80">
        <f>'DATA B2'!E599</f>
        <v>0</v>
      </c>
      <c r="M598" s="80">
        <f t="shared" si="223"/>
        <v>0</v>
      </c>
      <c r="N598" s="28">
        <f t="shared" si="219"/>
        <v>0</v>
      </c>
      <c r="O598" s="51">
        <f>IFERROR((('DATA B2'!F599-'DATA B2'!F598)/(K598))*1000,0)</f>
        <v>0</v>
      </c>
      <c r="P598" s="94">
        <f>'DATA B3'!C599</f>
        <v>0</v>
      </c>
      <c r="Q598" s="91">
        <f t="shared" si="224"/>
        <v>0</v>
      </c>
      <c r="R598" s="80">
        <f>'DATA B3'!D599</f>
        <v>0</v>
      </c>
      <c r="S598" s="80">
        <f t="shared" si="225"/>
        <v>0</v>
      </c>
      <c r="T598" s="15">
        <f t="shared" si="220"/>
        <v>0</v>
      </c>
      <c r="U598" s="15">
        <f>IFERROR((('DATA B3'!E599-'DATA B3'!E598)+('DATA B3'!F599-'DATA B3'!F598))/('WATER_STEAM RATIO'!P598-'WATER_STEAM RATIO'!P597),0)</f>
        <v>0</v>
      </c>
    </row>
    <row r="599" spans="2:21">
      <c r="B599" s="292"/>
      <c r="C599" s="97">
        <v>0.95833333333333304</v>
      </c>
      <c r="D599" s="84">
        <f>'DATA B1'!D600</f>
        <v>0</v>
      </c>
      <c r="E599" s="5">
        <f t="shared" si="227"/>
        <v>0</v>
      </c>
      <c r="F599" s="80">
        <f>'DATA B1'!E600</f>
        <v>0</v>
      </c>
      <c r="G599" s="80">
        <f t="shared" si="221"/>
        <v>0</v>
      </c>
      <c r="H599" s="28">
        <f t="shared" si="226"/>
        <v>0</v>
      </c>
      <c r="I599" s="45">
        <f>IFERROR((('DATA B1'!G600-'DATA B1'!G599)/('WATER_STEAM RATIO'!D599-'WATER_STEAM RATIO'!D598))*1000,0)</f>
        <v>0</v>
      </c>
      <c r="J599" s="50">
        <f>'DATA B2'!D600</f>
        <v>0</v>
      </c>
      <c r="K599" s="82">
        <f>SUM(J599-J598)</f>
        <v>0</v>
      </c>
      <c r="L599" s="80">
        <f>'DATA B2'!E600</f>
        <v>0</v>
      </c>
      <c r="M599" s="80">
        <f t="shared" si="223"/>
        <v>0</v>
      </c>
      <c r="N599" s="28">
        <f t="shared" si="219"/>
        <v>0</v>
      </c>
      <c r="O599" s="51">
        <f>IFERROR((('DATA B2'!F600-'DATA B2'!F599)/(K599))*1000,0)</f>
        <v>0</v>
      </c>
      <c r="P599" s="94">
        <f>'DATA B3'!C600</f>
        <v>0</v>
      </c>
      <c r="Q599" s="91">
        <f t="shared" si="224"/>
        <v>0</v>
      </c>
      <c r="R599" s="80">
        <f>'DATA B3'!D600</f>
        <v>0</v>
      </c>
      <c r="S599" s="80">
        <f t="shared" si="225"/>
        <v>0</v>
      </c>
      <c r="T599" s="15">
        <f t="shared" si="220"/>
        <v>0</v>
      </c>
      <c r="U599" s="15">
        <f>IFERROR((('DATA B3'!E600-'DATA B3'!E599)+('DATA B3'!F600-'DATA B3'!F599))/('WATER_STEAM RATIO'!P599-'WATER_STEAM RATIO'!P598),0)</f>
        <v>0</v>
      </c>
    </row>
    <row r="600" spans="2:21">
      <c r="B600" s="292"/>
      <c r="C600" s="97">
        <v>1</v>
      </c>
      <c r="D600" s="84">
        <f>'DATA B1'!D601</f>
        <v>0</v>
      </c>
      <c r="E600" s="5">
        <f t="shared" si="227"/>
        <v>0</v>
      </c>
      <c r="F600" s="80">
        <f>'DATA B1'!E601</f>
        <v>0</v>
      </c>
      <c r="G600" s="80">
        <f t="shared" si="221"/>
        <v>0</v>
      </c>
      <c r="H600" s="28">
        <f t="shared" si="226"/>
        <v>0</v>
      </c>
      <c r="I600" s="45">
        <f>IFERROR((('DATA B1'!G601-'DATA B1'!G600)/('WATER_STEAM RATIO'!D600-'WATER_STEAM RATIO'!D599))*1000,0)</f>
        <v>0</v>
      </c>
      <c r="J600" s="50">
        <f>'DATA B2'!D601</f>
        <v>0</v>
      </c>
      <c r="K600" s="82">
        <f t="shared" si="222"/>
        <v>0</v>
      </c>
      <c r="L600" s="80">
        <f>'DATA B2'!E601</f>
        <v>0</v>
      </c>
      <c r="M600" s="80">
        <f t="shared" si="223"/>
        <v>0</v>
      </c>
      <c r="N600" s="28">
        <f t="shared" si="219"/>
        <v>0</v>
      </c>
      <c r="O600" s="51">
        <f>IFERROR((('DATA B2'!F601-'DATA B2'!F600)/(K600))*1000,0)</f>
        <v>0</v>
      </c>
      <c r="P600" s="94">
        <f>'DATA B3'!C601</f>
        <v>0</v>
      </c>
      <c r="Q600" s="91">
        <f t="shared" si="224"/>
        <v>0</v>
      </c>
      <c r="R600" s="80">
        <f>'DATA B3'!D601</f>
        <v>0</v>
      </c>
      <c r="S600" s="80">
        <f t="shared" si="225"/>
        <v>0</v>
      </c>
      <c r="T600" s="15">
        <f t="shared" si="220"/>
        <v>0</v>
      </c>
      <c r="U600" s="15">
        <f>IFERROR((('DATA B3'!E601-'DATA B3'!E600)+('DATA B3'!F601-'DATA B3'!F600))/('WATER_STEAM RATIO'!P600-'WATER_STEAM RATIO'!P599),0)</f>
        <v>0</v>
      </c>
    </row>
    <row r="601" spans="2:21">
      <c r="B601" s="292"/>
      <c r="C601" s="97">
        <v>1.0416666666666701</v>
      </c>
      <c r="D601" s="84">
        <f>'DATA B1'!D602</f>
        <v>0</v>
      </c>
      <c r="E601" s="5">
        <f t="shared" si="227"/>
        <v>0</v>
      </c>
      <c r="F601" s="80">
        <f>'DATA B1'!E602</f>
        <v>0</v>
      </c>
      <c r="G601" s="80">
        <f t="shared" si="221"/>
        <v>0</v>
      </c>
      <c r="H601" s="28">
        <f t="shared" si="226"/>
        <v>0</v>
      </c>
      <c r="I601" s="45">
        <f>IFERROR((('DATA B1'!G602-'DATA B1'!G601)/('WATER_STEAM RATIO'!D601-'WATER_STEAM RATIO'!D600))*1000,0)</f>
        <v>0</v>
      </c>
      <c r="J601" s="50">
        <f>'DATA B2'!D602</f>
        <v>0</v>
      </c>
      <c r="K601" s="82">
        <f t="shared" si="222"/>
        <v>0</v>
      </c>
      <c r="L601" s="80">
        <f>'DATA B2'!E602</f>
        <v>0</v>
      </c>
      <c r="M601" s="80">
        <f t="shared" si="223"/>
        <v>0</v>
      </c>
      <c r="N601" s="28">
        <f t="shared" si="219"/>
        <v>0</v>
      </c>
      <c r="O601" s="51">
        <f>IFERROR((('DATA B2'!F602-'DATA B2'!F601)/(K601))*1000,0)</f>
        <v>0</v>
      </c>
      <c r="P601" s="94">
        <f>'DATA B3'!C602</f>
        <v>0</v>
      </c>
      <c r="Q601" s="91">
        <f t="shared" si="224"/>
        <v>0</v>
      </c>
      <c r="R601" s="80">
        <f>'DATA B3'!D602</f>
        <v>0</v>
      </c>
      <c r="S601" s="80">
        <f t="shared" si="225"/>
        <v>0</v>
      </c>
      <c r="T601" s="15">
        <f t="shared" si="220"/>
        <v>0</v>
      </c>
      <c r="U601" s="15">
        <f>IFERROR((('DATA B3'!E602-'DATA B3'!E601)+('DATA B3'!F602-'DATA B3'!F601))/('WATER_STEAM RATIO'!P601-'WATER_STEAM RATIO'!P600),0)</f>
        <v>0</v>
      </c>
    </row>
    <row r="602" spans="2:21">
      <c r="B602" s="292"/>
      <c r="C602" s="97">
        <v>1.0833333333333399</v>
      </c>
      <c r="D602" s="84">
        <f>'DATA B1'!D603</f>
        <v>0</v>
      </c>
      <c r="E602" s="5">
        <f>SUM(D602-D601)</f>
        <v>0</v>
      </c>
      <c r="F602" s="80">
        <f>'DATA B1'!E603</f>
        <v>0</v>
      </c>
      <c r="G602" s="80">
        <f t="shared" si="221"/>
        <v>0</v>
      </c>
      <c r="H602" s="28">
        <f t="shared" si="226"/>
        <v>0</v>
      </c>
      <c r="I602" s="45">
        <f>IFERROR((('DATA B1'!G603-'DATA B1'!G602)/('WATER_STEAM RATIO'!D602-'WATER_STEAM RATIO'!D601))*1000,0)</f>
        <v>0</v>
      </c>
      <c r="J602" s="50">
        <f>'DATA B2'!D603</f>
        <v>0</v>
      </c>
      <c r="K602" s="82">
        <f t="shared" si="222"/>
        <v>0</v>
      </c>
      <c r="L602" s="80">
        <f>'DATA B2'!E603</f>
        <v>0</v>
      </c>
      <c r="M602" s="80">
        <f t="shared" si="223"/>
        <v>0</v>
      </c>
      <c r="N602" s="28">
        <f t="shared" si="219"/>
        <v>0</v>
      </c>
      <c r="O602" s="51">
        <f>IFERROR((('DATA B2'!F603-'DATA B2'!F602)/(K602))*1000,0)</f>
        <v>0</v>
      </c>
      <c r="P602" s="94">
        <f>'DATA B3'!C603</f>
        <v>0</v>
      </c>
      <c r="Q602" s="91">
        <f>SUM(P602-P601)</f>
        <v>0</v>
      </c>
      <c r="R602" s="80">
        <f>'DATA B3'!D603</f>
        <v>0</v>
      </c>
      <c r="S602" s="80">
        <f t="shared" si="225"/>
        <v>0</v>
      </c>
      <c r="T602" s="15">
        <f t="shared" si="220"/>
        <v>0</v>
      </c>
      <c r="U602" s="15">
        <f>IFERROR((('DATA B3'!E603-'DATA B3'!E602)+('DATA B3'!F603-'DATA B3'!F602))/('WATER_STEAM RATIO'!P602-'WATER_STEAM RATIO'!P601),0)</f>
        <v>0</v>
      </c>
    </row>
    <row r="603" spans="2:21">
      <c r="B603" s="292"/>
      <c r="C603" s="97">
        <v>1.125</v>
      </c>
      <c r="D603" s="84">
        <f>'DATA B1'!D604</f>
        <v>0</v>
      </c>
      <c r="E603" s="5">
        <f t="shared" si="227"/>
        <v>0</v>
      </c>
      <c r="F603" s="80">
        <f>'DATA B1'!E604</f>
        <v>0</v>
      </c>
      <c r="G603" s="80">
        <f t="shared" si="221"/>
        <v>0</v>
      </c>
      <c r="H603" s="28">
        <f t="shared" si="226"/>
        <v>0</v>
      </c>
      <c r="I603" s="45">
        <f>IFERROR((('DATA B1'!G604-'DATA B1'!G603)/('WATER_STEAM RATIO'!D603-'WATER_STEAM RATIO'!D602))*1000,0)</f>
        <v>0</v>
      </c>
      <c r="J603" s="50">
        <f>'DATA B2'!D604</f>
        <v>0</v>
      </c>
      <c r="K603" s="82">
        <f t="shared" si="222"/>
        <v>0</v>
      </c>
      <c r="L603" s="80">
        <f>'DATA B2'!E604</f>
        <v>0</v>
      </c>
      <c r="M603" s="80">
        <f t="shared" si="223"/>
        <v>0</v>
      </c>
      <c r="N603" s="28">
        <f t="shared" si="219"/>
        <v>0</v>
      </c>
      <c r="O603" s="51">
        <f>IFERROR((('DATA B2'!F604-'DATA B2'!F603)/(K603))*1000,0)</f>
        <v>0</v>
      </c>
      <c r="P603" s="94">
        <f>'DATA B3'!C604</f>
        <v>0</v>
      </c>
      <c r="Q603" s="91">
        <f t="shared" si="224"/>
        <v>0</v>
      </c>
      <c r="R603" s="80">
        <f>'DATA B3'!D604</f>
        <v>0</v>
      </c>
      <c r="S603" s="80">
        <f t="shared" si="225"/>
        <v>0</v>
      </c>
      <c r="T603" s="15">
        <f t="shared" si="220"/>
        <v>0</v>
      </c>
      <c r="U603" s="15">
        <f>IFERROR((('DATA B3'!E604-'DATA B3'!E603)+('DATA B3'!F604-'DATA B3'!F603))/('WATER_STEAM RATIO'!P603-'WATER_STEAM RATIO'!P602),0)</f>
        <v>0</v>
      </c>
    </row>
    <row r="604" spans="2:21">
      <c r="B604" s="292"/>
      <c r="C604" s="97">
        <v>1.1666666666666701</v>
      </c>
      <c r="D604" s="84">
        <f>'DATA B1'!D605</f>
        <v>0</v>
      </c>
      <c r="E604" s="5">
        <f t="shared" si="227"/>
        <v>0</v>
      </c>
      <c r="F604" s="80">
        <f>'DATA B1'!E605</f>
        <v>0</v>
      </c>
      <c r="G604" s="80">
        <f t="shared" si="221"/>
        <v>0</v>
      </c>
      <c r="H604" s="28">
        <f t="shared" si="226"/>
        <v>0</v>
      </c>
      <c r="I604" s="45">
        <f>IFERROR((('DATA B1'!G605-'DATA B1'!G604)/('WATER_STEAM RATIO'!D604-'WATER_STEAM RATIO'!D603))*1000,0)</f>
        <v>0</v>
      </c>
      <c r="J604" s="50">
        <f>'DATA B2'!D605</f>
        <v>0</v>
      </c>
      <c r="K604" s="82">
        <f t="shared" si="222"/>
        <v>0</v>
      </c>
      <c r="L604" s="80">
        <f>'DATA B2'!E605</f>
        <v>0</v>
      </c>
      <c r="M604" s="80">
        <f t="shared" si="223"/>
        <v>0</v>
      </c>
      <c r="N604" s="28">
        <f t="shared" si="219"/>
        <v>0</v>
      </c>
      <c r="O604" s="51">
        <f>IFERROR((('DATA B2'!F605-'DATA B2'!F604)/(K604))*1000,0)</f>
        <v>0</v>
      </c>
      <c r="P604" s="94">
        <f>'DATA B3'!C605</f>
        <v>0</v>
      </c>
      <c r="Q604" s="91">
        <f t="shared" si="224"/>
        <v>0</v>
      </c>
      <c r="R604" s="80">
        <f>'DATA B3'!D605</f>
        <v>0</v>
      </c>
      <c r="S604" s="80">
        <f t="shared" si="225"/>
        <v>0</v>
      </c>
      <c r="T604" s="15">
        <f t="shared" si="220"/>
        <v>0</v>
      </c>
      <c r="U604" s="15">
        <f>IFERROR((('DATA B3'!E605-'DATA B3'!E604)+('DATA B3'!F605-'DATA B3'!F604))/('WATER_STEAM RATIO'!P604-'WATER_STEAM RATIO'!P603),0)</f>
        <v>0</v>
      </c>
    </row>
    <row r="605" spans="2:21">
      <c r="B605" s="292"/>
      <c r="C605" s="97">
        <v>1.2083333333333399</v>
      </c>
      <c r="D605" s="84">
        <f>'DATA B1'!D606</f>
        <v>0</v>
      </c>
      <c r="E605" s="5">
        <f t="shared" si="227"/>
        <v>0</v>
      </c>
      <c r="F605" s="80">
        <f>'DATA B1'!E606</f>
        <v>0</v>
      </c>
      <c r="G605" s="80">
        <f t="shared" si="221"/>
        <v>0</v>
      </c>
      <c r="H605" s="28">
        <f t="shared" si="226"/>
        <v>0</v>
      </c>
      <c r="I605" s="45">
        <f>IFERROR((('DATA B1'!G606-'DATA B1'!G605)/('WATER_STEAM RATIO'!D605-'WATER_STEAM RATIO'!D604))*1000,0)</f>
        <v>0</v>
      </c>
      <c r="J605" s="50">
        <f>'DATA B2'!D606</f>
        <v>0</v>
      </c>
      <c r="K605" s="82">
        <f t="shared" si="222"/>
        <v>0</v>
      </c>
      <c r="L605" s="80">
        <f>'DATA B2'!E606</f>
        <v>0</v>
      </c>
      <c r="M605" s="80">
        <f t="shared" si="223"/>
        <v>0</v>
      </c>
      <c r="N605" s="28">
        <f t="shared" si="219"/>
        <v>0</v>
      </c>
      <c r="O605" s="51">
        <f>IFERROR((('DATA B2'!F606-'DATA B2'!F605)/(K605))*1000,0)</f>
        <v>0</v>
      </c>
      <c r="P605" s="94">
        <f>'DATA B3'!C606</f>
        <v>0</v>
      </c>
      <c r="Q605" s="91">
        <f t="shared" si="224"/>
        <v>0</v>
      </c>
      <c r="R605" s="80">
        <f>'DATA B3'!D606</f>
        <v>0</v>
      </c>
      <c r="S605" s="80">
        <f t="shared" si="225"/>
        <v>0</v>
      </c>
      <c r="T605" s="15">
        <f t="shared" si="220"/>
        <v>0</v>
      </c>
      <c r="U605" s="15">
        <f>IFERROR((('DATA B3'!E606-'DATA B3'!E605)+('DATA B3'!F606-'DATA B3'!F605))/('WATER_STEAM RATIO'!P605-'WATER_STEAM RATIO'!P604),0)</f>
        <v>0</v>
      </c>
    </row>
    <row r="606" spans="2:21">
      <c r="B606" s="292"/>
      <c r="C606" s="97">
        <v>1.25</v>
      </c>
      <c r="D606" s="84">
        <f>'DATA B1'!D607</f>
        <v>0</v>
      </c>
      <c r="E606" s="5">
        <f t="shared" si="227"/>
        <v>0</v>
      </c>
      <c r="F606" s="80">
        <f>'DATA B1'!E607</f>
        <v>0</v>
      </c>
      <c r="G606" s="80">
        <f t="shared" si="221"/>
        <v>0</v>
      </c>
      <c r="H606" s="28">
        <f t="shared" si="226"/>
        <v>0</v>
      </c>
      <c r="I606" s="45">
        <f>IFERROR((('DATA B1'!G607-'DATA B1'!G606)/('WATER_STEAM RATIO'!D606-'WATER_STEAM RATIO'!D605))*1000,0)</f>
        <v>0</v>
      </c>
      <c r="J606" s="50">
        <f>'DATA B2'!D607</f>
        <v>0</v>
      </c>
      <c r="K606" s="82">
        <f t="shared" si="222"/>
        <v>0</v>
      </c>
      <c r="L606" s="80">
        <f>'DATA B2'!E607</f>
        <v>0</v>
      </c>
      <c r="M606" s="80">
        <f t="shared" si="223"/>
        <v>0</v>
      </c>
      <c r="N606" s="28">
        <f t="shared" si="219"/>
        <v>0</v>
      </c>
      <c r="O606" s="51">
        <f>IFERROR((('DATA B2'!F607-'DATA B2'!F606)/(K606))*1000,0)</f>
        <v>0</v>
      </c>
      <c r="P606" s="94">
        <f>'DATA B3'!C607</f>
        <v>0</v>
      </c>
      <c r="Q606" s="91">
        <f t="shared" si="224"/>
        <v>0</v>
      </c>
      <c r="R606" s="80">
        <f>'DATA B3'!D607</f>
        <v>0</v>
      </c>
      <c r="S606" s="80">
        <f t="shared" si="225"/>
        <v>0</v>
      </c>
      <c r="T606" s="15">
        <f t="shared" si="220"/>
        <v>0</v>
      </c>
      <c r="U606" s="15">
        <f>IFERROR((('DATA B3'!E607-'DATA B3'!E606)+('DATA B3'!F607-'DATA B3'!F606))/('WATER_STEAM RATIO'!P606-'WATER_STEAM RATIO'!P605),0)</f>
        <v>0</v>
      </c>
    </row>
    <row r="607" spans="2:21">
      <c r="B607" s="292"/>
      <c r="C607" s="97">
        <v>1.2916666666666701</v>
      </c>
      <c r="D607" s="84">
        <f>'DATA B1'!D608</f>
        <v>0</v>
      </c>
      <c r="E607" s="5">
        <f t="shared" si="227"/>
        <v>0</v>
      </c>
      <c r="F607" s="80">
        <f>'DATA B1'!E608</f>
        <v>0</v>
      </c>
      <c r="G607" s="80">
        <f t="shared" si="221"/>
        <v>0</v>
      </c>
      <c r="H607" s="28">
        <f t="shared" si="226"/>
        <v>0</v>
      </c>
      <c r="I607" s="45">
        <f>IFERROR((('DATA B1'!G608-'DATA B1'!G607)/('WATER_STEAM RATIO'!D607-'WATER_STEAM RATIO'!D606))*1000,0)</f>
        <v>0</v>
      </c>
      <c r="J607" s="50">
        <f>'DATA B2'!D608</f>
        <v>0</v>
      </c>
      <c r="K607" s="82">
        <f>SUM(J607-J606)</f>
        <v>0</v>
      </c>
      <c r="L607" s="80">
        <f>'DATA B2'!E608</f>
        <v>0</v>
      </c>
      <c r="M607" s="80">
        <f t="shared" si="223"/>
        <v>0</v>
      </c>
      <c r="N607" s="28">
        <f t="shared" si="219"/>
        <v>0</v>
      </c>
      <c r="O607" s="51">
        <f>IFERROR((('DATA B2'!F608-'DATA B2'!F607)/(K607))*1000,0)</f>
        <v>0</v>
      </c>
      <c r="P607" s="94">
        <f>'DATA B3'!C608</f>
        <v>0</v>
      </c>
      <c r="Q607" s="91">
        <f t="shared" si="224"/>
        <v>0</v>
      </c>
      <c r="R607" s="80">
        <f>'DATA B3'!D608</f>
        <v>0</v>
      </c>
      <c r="S607" s="80">
        <f t="shared" si="225"/>
        <v>0</v>
      </c>
      <c r="T607" s="15">
        <f t="shared" si="220"/>
        <v>0</v>
      </c>
      <c r="U607" s="15">
        <f>IFERROR((('DATA B3'!E608-'DATA B3'!E607)+('DATA B3'!F608-'DATA B3'!F607))/('WATER_STEAM RATIO'!P607-'WATER_STEAM RATIO'!P606),0)</f>
        <v>0</v>
      </c>
    </row>
    <row r="608" spans="2:21" ht="15.75" thickBot="1">
      <c r="B608" s="293"/>
      <c r="C608" s="235"/>
      <c r="D608" s="224" cm="1">
        <f t="array" ref="D608">IFERROR(LOOKUP(2,1/(D583:D607&gt;0),D583:D607-D583),0)</f>
        <v>0</v>
      </c>
      <c r="E608" s="223">
        <f>SUMIF(E584:E607,"&gt;=0",E584:E607)</f>
        <v>0</v>
      </c>
      <c r="F608" s="224" cm="1">
        <f t="array" ref="F608">IFERROR(LOOKUP(2,1/(F583:F607&gt;0),F583:F607-F583),0)</f>
        <v>0</v>
      </c>
      <c r="G608" s="223">
        <f>SUMIF(G584:G607,"&gt;=0",G584:G607)</f>
        <v>0</v>
      </c>
      <c r="H608" s="225">
        <f t="shared" si="226"/>
        <v>0</v>
      </c>
      <c r="I608" s="236">
        <f>IFERROR((('DATA B1'!H609)/(E608))*1000,0)</f>
        <v>0</v>
      </c>
      <c r="J608" s="222" cm="1">
        <f t="array" ref="J608">IFERROR(LOOKUP(2,1/(J583:J607&gt;0),J583:J607-J583),0)</f>
        <v>0</v>
      </c>
      <c r="K608" s="223">
        <f>SUMIF(K584:K607,"&gt;=0",K584:K607)</f>
        <v>0</v>
      </c>
      <c r="L608" s="224" cm="1">
        <f t="array" ref="L608">IFERROR(LOOKUP(2,1/(L583:L607&gt;0),L583:L607-L583),0)</f>
        <v>0</v>
      </c>
      <c r="M608" s="223">
        <f>SUMIF(M584:M607,"&gt;=0",M584:M607)</f>
        <v>0</v>
      </c>
      <c r="N608" s="225">
        <f>IFERROR(M608/K608,0)</f>
        <v>0</v>
      </c>
      <c r="O608" s="226">
        <f>IFERROR((('DATA B2'!H609)/(K608))*1000,0)</f>
        <v>0</v>
      </c>
      <c r="P608" s="224" cm="1">
        <f t="array" ref="P608">IFERROR(LOOKUP(2,1/(P583:P607&gt;0),P583:P607-P583),0)</f>
        <v>0</v>
      </c>
      <c r="Q608" s="223">
        <f>SUMIF(Q584:Q607,"&gt;=0",Q584:Q607)</f>
        <v>0</v>
      </c>
      <c r="R608" s="224" cm="1">
        <f t="array" ref="R608">IFERROR(LOOKUP(2,1/(R583:R607&gt;0),R583:R607-R583),0)</f>
        <v>0</v>
      </c>
      <c r="S608" s="223">
        <f>SUMIF(S584:S607,"&gt;=0",S584:S607)</f>
        <v>0</v>
      </c>
      <c r="T608" s="237">
        <f t="shared" si="220"/>
        <v>0</v>
      </c>
      <c r="U608" s="226">
        <f>IFERROR(('DATA B3'!E609+'DATA B3'!F609)/Q608*1000,0)</f>
        <v>0</v>
      </c>
    </row>
    <row r="609" spans="2:21" ht="15" customHeight="1">
      <c r="B609" s="291">
        <f>SUM('DATA B1'!B610:B635)</f>
        <v>46046</v>
      </c>
      <c r="C609" s="97">
        <v>0.29166666666666669</v>
      </c>
      <c r="D609" s="84">
        <f>'DATA B1'!D610</f>
        <v>0</v>
      </c>
      <c r="E609" s="5">
        <f>SUM(E607)</f>
        <v>0</v>
      </c>
      <c r="F609" s="80">
        <f>'DATA B1'!E610</f>
        <v>0</v>
      </c>
      <c r="G609" s="80">
        <f>SUM(G607)</f>
        <v>0</v>
      </c>
      <c r="H609" s="28">
        <f t="shared" si="226"/>
        <v>0</v>
      </c>
      <c r="I609" s="45"/>
      <c r="J609" s="50">
        <f>'DATA B2'!D610</f>
        <v>0</v>
      </c>
      <c r="K609" s="82">
        <f>SUM(K607)</f>
        <v>0</v>
      </c>
      <c r="L609" s="80">
        <f>'DATA B2'!E610</f>
        <v>0</v>
      </c>
      <c r="M609" s="80">
        <f>SUM(M607)</f>
        <v>0</v>
      </c>
      <c r="N609" s="28">
        <f>IFERROR(M609/K609,0)</f>
        <v>0</v>
      </c>
      <c r="O609" s="103"/>
      <c r="P609" s="94">
        <f>'DATA B3'!C610</f>
        <v>0</v>
      </c>
      <c r="Q609" s="91">
        <f>SUM(Q607)</f>
        <v>0</v>
      </c>
      <c r="R609" s="80">
        <f>'DATA B3'!D610</f>
        <v>0</v>
      </c>
      <c r="S609" s="80">
        <f>SUM(S607)</f>
        <v>0</v>
      </c>
      <c r="T609" s="15">
        <f>IFERROR(S609/Q609,0)</f>
        <v>0</v>
      </c>
      <c r="U609" s="15"/>
    </row>
    <row r="610" spans="2:21">
      <c r="B610" s="292"/>
      <c r="C610" s="97">
        <v>0.33333333333333298</v>
      </c>
      <c r="D610" s="84">
        <f>'DATA B1'!D611</f>
        <v>0</v>
      </c>
      <c r="E610" s="5">
        <f t="shared" ref="E610:E616" si="228">SUM(D610-D609)</f>
        <v>0</v>
      </c>
      <c r="F610" s="80">
        <f>'DATA B1'!E611</f>
        <v>0</v>
      </c>
      <c r="G610" s="80">
        <f>SUM(F610-F609)</f>
        <v>0</v>
      </c>
      <c r="H610" s="28">
        <f t="shared" si="226"/>
        <v>0</v>
      </c>
      <c r="I610" s="45">
        <f>IFERROR((('DATA B1'!G611-'DATA B1'!G610)/('WATER_STEAM RATIO'!D610-'WATER_STEAM RATIO'!D609))*1000,0)</f>
        <v>0</v>
      </c>
      <c r="J610" s="50">
        <f>'DATA B2'!D611</f>
        <v>0</v>
      </c>
      <c r="K610" s="82">
        <f>SUM(J610-J609)</f>
        <v>0</v>
      </c>
      <c r="L610" s="80">
        <f>'DATA B2'!E611</f>
        <v>0</v>
      </c>
      <c r="M610" s="80">
        <f>SUM(L610-L609)</f>
        <v>0</v>
      </c>
      <c r="N610" s="28">
        <f t="shared" ref="N610:N633" si="229">IFERROR(M610/K610,0)</f>
        <v>0</v>
      </c>
      <c r="O610" s="51">
        <f>IFERROR((('DATA B2'!F611-'DATA B2'!F610)/(K610))*1000,0)</f>
        <v>0</v>
      </c>
      <c r="P610" s="94">
        <f>'DATA B3'!C611</f>
        <v>0</v>
      </c>
      <c r="Q610" s="91">
        <f>SUM(P610-P609)</f>
        <v>0</v>
      </c>
      <c r="R610" s="80">
        <f>'DATA B3'!D611</f>
        <v>0</v>
      </c>
      <c r="S610" s="80">
        <f>SUM(R610-R609)</f>
        <v>0</v>
      </c>
      <c r="T610" s="15">
        <f t="shared" ref="T610:T634" si="230">IFERROR(S610/Q610,0)</f>
        <v>0</v>
      </c>
      <c r="U610" s="15">
        <f>IFERROR((('DATA B3'!E611-'DATA B3'!E610)+('DATA B3'!F611-'DATA B3'!F610))/('WATER_STEAM RATIO'!P610-'WATER_STEAM RATIO'!P609),0)</f>
        <v>0</v>
      </c>
    </row>
    <row r="611" spans="2:21">
      <c r="B611" s="292"/>
      <c r="C611" s="97">
        <v>0.375</v>
      </c>
      <c r="D611" s="84">
        <f>'DATA B1'!D612</f>
        <v>0</v>
      </c>
      <c r="E611" s="5">
        <f t="shared" si="228"/>
        <v>0</v>
      </c>
      <c r="F611" s="80">
        <f>'DATA B1'!E612</f>
        <v>0</v>
      </c>
      <c r="G611" s="80">
        <f t="shared" ref="G611:G633" si="231">SUM(F611-F610)</f>
        <v>0</v>
      </c>
      <c r="H611" s="28">
        <f t="shared" si="226"/>
        <v>0</v>
      </c>
      <c r="I611" s="45">
        <f>IFERROR((('DATA B1'!G612-'DATA B1'!G611)/('WATER_STEAM RATIO'!D611-'WATER_STEAM RATIO'!D610))*1000,0)</f>
        <v>0</v>
      </c>
      <c r="J611" s="50">
        <f>'DATA B2'!D612</f>
        <v>0</v>
      </c>
      <c r="K611" s="82">
        <f t="shared" ref="K611:K632" si="232">SUM(J611-J610)</f>
        <v>0</v>
      </c>
      <c r="L611" s="80">
        <f>'DATA B2'!E612</f>
        <v>0</v>
      </c>
      <c r="M611" s="80">
        <f t="shared" ref="M611:M633" si="233">SUM(L611-L610)</f>
        <v>0</v>
      </c>
      <c r="N611" s="28">
        <f t="shared" si="229"/>
        <v>0</v>
      </c>
      <c r="O611" s="51">
        <f>IFERROR((('DATA B2'!F612-'DATA B2'!F611)/(K611))*1000,0)</f>
        <v>0</v>
      </c>
      <c r="P611" s="94">
        <f>'DATA B3'!C612</f>
        <v>0</v>
      </c>
      <c r="Q611" s="91">
        <f t="shared" ref="Q611:Q633" si="234">SUM(P611-P610)</f>
        <v>0</v>
      </c>
      <c r="R611" s="80">
        <f>'DATA B3'!D612</f>
        <v>0</v>
      </c>
      <c r="S611" s="80">
        <f t="shared" ref="S611:S633" si="235">SUM(R611-R610)</f>
        <v>0</v>
      </c>
      <c r="T611" s="15">
        <f t="shared" si="230"/>
        <v>0</v>
      </c>
      <c r="U611" s="15">
        <f>IFERROR((('DATA B3'!E612-'DATA B3'!E611)+('DATA B3'!F612-'DATA B3'!F611))/('WATER_STEAM RATIO'!P611-'WATER_STEAM RATIO'!P610),0)</f>
        <v>0</v>
      </c>
    </row>
    <row r="612" spans="2:21">
      <c r="B612" s="292"/>
      <c r="C612" s="97">
        <v>0.41666666666666702</v>
      </c>
      <c r="D612" s="84">
        <f>'DATA B1'!D613</f>
        <v>0</v>
      </c>
      <c r="E612" s="5">
        <f t="shared" si="228"/>
        <v>0</v>
      </c>
      <c r="F612" s="80">
        <f>'DATA B1'!E613</f>
        <v>0</v>
      </c>
      <c r="G612" s="80">
        <f t="shared" si="231"/>
        <v>0</v>
      </c>
      <c r="H612" s="28">
        <f t="shared" si="226"/>
        <v>0</v>
      </c>
      <c r="I612" s="45">
        <f>IFERROR((('DATA B1'!G613-'DATA B1'!G612)/('WATER_STEAM RATIO'!D612-'WATER_STEAM RATIO'!D611))*1000,0)</f>
        <v>0</v>
      </c>
      <c r="J612" s="50">
        <f>'DATA B2'!D613</f>
        <v>0</v>
      </c>
      <c r="K612" s="82">
        <f t="shared" si="232"/>
        <v>0</v>
      </c>
      <c r="L612" s="80">
        <f>'DATA B2'!E613</f>
        <v>0</v>
      </c>
      <c r="M612" s="80">
        <f t="shared" si="233"/>
        <v>0</v>
      </c>
      <c r="N612" s="28">
        <f t="shared" si="229"/>
        <v>0</v>
      </c>
      <c r="O612" s="51">
        <f>IFERROR((('DATA B2'!F613-'DATA B2'!F612)/(K612))*1000,0)</f>
        <v>0</v>
      </c>
      <c r="P612" s="94">
        <f>'DATA B3'!C613</f>
        <v>0</v>
      </c>
      <c r="Q612" s="91">
        <f t="shared" si="234"/>
        <v>0</v>
      </c>
      <c r="R612" s="80">
        <f>'DATA B3'!D613</f>
        <v>0</v>
      </c>
      <c r="S612" s="80">
        <f t="shared" si="235"/>
        <v>0</v>
      </c>
      <c r="T612" s="15">
        <f t="shared" si="230"/>
        <v>0</v>
      </c>
      <c r="U612" s="15">
        <f>IFERROR((('DATA B3'!E613-'DATA B3'!E612)+('DATA B3'!F613-'DATA B3'!F612))/('WATER_STEAM RATIO'!P612-'WATER_STEAM RATIO'!P611),0)</f>
        <v>0</v>
      </c>
    </row>
    <row r="613" spans="2:21">
      <c r="B613" s="292"/>
      <c r="C613" s="97">
        <v>0.45833333333333298</v>
      </c>
      <c r="D613" s="84">
        <f>'DATA B1'!D614</f>
        <v>0</v>
      </c>
      <c r="E613" s="5">
        <f t="shared" si="228"/>
        <v>0</v>
      </c>
      <c r="F613" s="80">
        <f>'DATA B1'!E614</f>
        <v>0</v>
      </c>
      <c r="G613" s="80">
        <f t="shared" si="231"/>
        <v>0</v>
      </c>
      <c r="H613" s="28">
        <f t="shared" si="226"/>
        <v>0</v>
      </c>
      <c r="I613" s="45">
        <f>IFERROR((('DATA B1'!G614-'DATA B1'!G613)/('WATER_STEAM RATIO'!D613-'WATER_STEAM RATIO'!D612))*1000,0)</f>
        <v>0</v>
      </c>
      <c r="J613" s="50">
        <f>'DATA B2'!D614</f>
        <v>0</v>
      </c>
      <c r="K613" s="82">
        <f t="shared" si="232"/>
        <v>0</v>
      </c>
      <c r="L613" s="80">
        <f>'DATA B2'!E614</f>
        <v>0</v>
      </c>
      <c r="M613" s="80">
        <f t="shared" si="233"/>
        <v>0</v>
      </c>
      <c r="N613" s="28">
        <f t="shared" si="229"/>
        <v>0</v>
      </c>
      <c r="O613" s="51">
        <f>IFERROR((('DATA B2'!F614-'DATA B2'!F613)/(K613))*1000,0)</f>
        <v>0</v>
      </c>
      <c r="P613" s="94">
        <f>'DATA B3'!C614</f>
        <v>0</v>
      </c>
      <c r="Q613" s="91">
        <f t="shared" si="234"/>
        <v>0</v>
      </c>
      <c r="R613" s="80">
        <f>'DATA B3'!D614</f>
        <v>0</v>
      </c>
      <c r="S613" s="80">
        <f t="shared" si="235"/>
        <v>0</v>
      </c>
      <c r="T613" s="15">
        <f t="shared" si="230"/>
        <v>0</v>
      </c>
      <c r="U613" s="15">
        <f>IFERROR((('DATA B3'!E614-'DATA B3'!E613)+('DATA B3'!F614-'DATA B3'!F613))/('WATER_STEAM RATIO'!P613-'WATER_STEAM RATIO'!P612),0)</f>
        <v>0</v>
      </c>
    </row>
    <row r="614" spans="2:21">
      <c r="B614" s="292"/>
      <c r="C614" s="97">
        <v>0.5</v>
      </c>
      <c r="D614" s="84">
        <f>'DATA B1'!D615</f>
        <v>0</v>
      </c>
      <c r="E614" s="5">
        <f t="shared" si="228"/>
        <v>0</v>
      </c>
      <c r="F614" s="80">
        <f>'DATA B1'!E615</f>
        <v>0</v>
      </c>
      <c r="G614" s="80">
        <f t="shared" si="231"/>
        <v>0</v>
      </c>
      <c r="H614" s="28">
        <f t="shared" si="226"/>
        <v>0</v>
      </c>
      <c r="I614" s="45">
        <f>IFERROR((('DATA B1'!G615-'DATA B1'!G614)/('WATER_STEAM RATIO'!D614-'WATER_STEAM RATIO'!D613))*1000,0)</f>
        <v>0</v>
      </c>
      <c r="J614" s="50">
        <f>'DATA B2'!D615</f>
        <v>0</v>
      </c>
      <c r="K614" s="82">
        <f t="shared" si="232"/>
        <v>0</v>
      </c>
      <c r="L614" s="80">
        <f>'DATA B2'!E615</f>
        <v>0</v>
      </c>
      <c r="M614" s="80">
        <f t="shared" si="233"/>
        <v>0</v>
      </c>
      <c r="N614" s="28">
        <f t="shared" si="229"/>
        <v>0</v>
      </c>
      <c r="O614" s="51">
        <f>IFERROR((('DATA B2'!F615-'DATA B2'!F614)/(K614))*1000,0)</f>
        <v>0</v>
      </c>
      <c r="P614" s="94">
        <f>'DATA B3'!C615</f>
        <v>0</v>
      </c>
      <c r="Q614" s="91">
        <f t="shared" si="234"/>
        <v>0</v>
      </c>
      <c r="R614" s="80">
        <f>'DATA B3'!D615</f>
        <v>0</v>
      </c>
      <c r="S614" s="80">
        <f t="shared" si="235"/>
        <v>0</v>
      </c>
      <c r="T614" s="15">
        <f t="shared" si="230"/>
        <v>0</v>
      </c>
      <c r="U614" s="15">
        <f>IFERROR((('DATA B3'!E615-'DATA B3'!E614)+('DATA B3'!F615-'DATA B3'!F614))/('WATER_STEAM RATIO'!P614-'WATER_STEAM RATIO'!P613),0)</f>
        <v>0</v>
      </c>
    </row>
    <row r="615" spans="2:21">
      <c r="B615" s="292"/>
      <c r="C615" s="97">
        <v>0.54166666666666696</v>
      </c>
      <c r="D615" s="84">
        <f>'DATA B1'!D616</f>
        <v>0</v>
      </c>
      <c r="E615" s="5">
        <f t="shared" si="228"/>
        <v>0</v>
      </c>
      <c r="F615" s="80">
        <f>'DATA B1'!E616</f>
        <v>0</v>
      </c>
      <c r="G615" s="80">
        <f t="shared" si="231"/>
        <v>0</v>
      </c>
      <c r="H615" s="28">
        <f t="shared" si="226"/>
        <v>0</v>
      </c>
      <c r="I615" s="45">
        <f>IFERROR((('DATA B1'!G616-'DATA B1'!G615)/('WATER_STEAM RATIO'!D615-'WATER_STEAM RATIO'!D614))*1000,0)</f>
        <v>0</v>
      </c>
      <c r="J615" s="50">
        <f>'DATA B2'!D616</f>
        <v>0</v>
      </c>
      <c r="K615" s="82">
        <f t="shared" si="232"/>
        <v>0</v>
      </c>
      <c r="L615" s="80">
        <f>'DATA B2'!E616</f>
        <v>0</v>
      </c>
      <c r="M615" s="80">
        <f t="shared" si="233"/>
        <v>0</v>
      </c>
      <c r="N615" s="28">
        <f t="shared" si="229"/>
        <v>0</v>
      </c>
      <c r="O615" s="51">
        <f>IFERROR((('DATA B2'!F616-'DATA B2'!F615)/(K615))*1000,0)</f>
        <v>0</v>
      </c>
      <c r="P615" s="94">
        <f>'DATA B3'!C616</f>
        <v>0</v>
      </c>
      <c r="Q615" s="91">
        <f t="shared" si="234"/>
        <v>0</v>
      </c>
      <c r="R615" s="80">
        <f>'DATA B3'!D616</f>
        <v>0</v>
      </c>
      <c r="S615" s="80">
        <f t="shared" si="235"/>
        <v>0</v>
      </c>
      <c r="T615" s="15">
        <f t="shared" si="230"/>
        <v>0</v>
      </c>
      <c r="U615" s="15">
        <f>IFERROR((('DATA B3'!E616-'DATA B3'!E615)+('DATA B3'!F616-'DATA B3'!F615))/('WATER_STEAM RATIO'!P615-'WATER_STEAM RATIO'!P614),0)</f>
        <v>0</v>
      </c>
    </row>
    <row r="616" spans="2:21">
      <c r="B616" s="292"/>
      <c r="C616" s="97">
        <v>0.58333333333333304</v>
      </c>
      <c r="D616" s="84">
        <f>'DATA B1'!D617</f>
        <v>0</v>
      </c>
      <c r="E616" s="5">
        <f t="shared" si="228"/>
        <v>0</v>
      </c>
      <c r="F616" s="80">
        <f>'DATA B1'!E617</f>
        <v>0</v>
      </c>
      <c r="G616" s="80">
        <f t="shared" si="231"/>
        <v>0</v>
      </c>
      <c r="H616" s="28">
        <f t="shared" si="226"/>
        <v>0</v>
      </c>
      <c r="I616" s="45">
        <f>IFERROR((('DATA B1'!G617-'DATA B1'!G616)/('WATER_STEAM RATIO'!D616-'WATER_STEAM RATIO'!D615))*1000,0)</f>
        <v>0</v>
      </c>
      <c r="J616" s="50">
        <f>'DATA B2'!D617</f>
        <v>0</v>
      </c>
      <c r="K616" s="82">
        <f t="shared" si="232"/>
        <v>0</v>
      </c>
      <c r="L616" s="80">
        <f>'DATA B2'!E617</f>
        <v>0</v>
      </c>
      <c r="M616" s="80">
        <f t="shared" si="233"/>
        <v>0</v>
      </c>
      <c r="N616" s="28">
        <f t="shared" si="229"/>
        <v>0</v>
      </c>
      <c r="O616" s="51">
        <f>IFERROR((('DATA B2'!F617-'DATA B2'!F616)/(K616))*1000,0)</f>
        <v>0</v>
      </c>
      <c r="P616" s="94">
        <f>'DATA B3'!C617</f>
        <v>0</v>
      </c>
      <c r="Q616" s="91">
        <f t="shared" si="234"/>
        <v>0</v>
      </c>
      <c r="R616" s="80">
        <f>'DATA B3'!D617</f>
        <v>0</v>
      </c>
      <c r="S616" s="80">
        <f t="shared" si="235"/>
        <v>0</v>
      </c>
      <c r="T616" s="15">
        <f t="shared" si="230"/>
        <v>0</v>
      </c>
      <c r="U616" s="15">
        <f>IFERROR((('DATA B3'!E617-'DATA B3'!E616)+('DATA B3'!F617-'DATA B3'!F616))/('WATER_STEAM RATIO'!P616-'WATER_STEAM RATIO'!P615),0)</f>
        <v>0</v>
      </c>
    </row>
    <row r="617" spans="2:21">
      <c r="B617" s="292"/>
      <c r="C617" s="97">
        <v>0.625</v>
      </c>
      <c r="D617" s="84">
        <f>'DATA B1'!D618</f>
        <v>0</v>
      </c>
      <c r="E617" s="5">
        <f t="shared" ref="E617:E633" si="236">SUM(D617-D616)</f>
        <v>0</v>
      </c>
      <c r="F617" s="80">
        <f>'DATA B1'!E618</f>
        <v>0</v>
      </c>
      <c r="G617" s="80">
        <f t="shared" si="231"/>
        <v>0</v>
      </c>
      <c r="H617" s="28">
        <f t="shared" si="226"/>
        <v>0</v>
      </c>
      <c r="I617" s="45">
        <f>IFERROR((('DATA B1'!G618-'DATA B1'!G617)/('WATER_STEAM RATIO'!D617-'WATER_STEAM RATIO'!D616))*1000,0)</f>
        <v>0</v>
      </c>
      <c r="J617" s="50">
        <f>'DATA B2'!D618</f>
        <v>0</v>
      </c>
      <c r="K617" s="82">
        <f t="shared" si="232"/>
        <v>0</v>
      </c>
      <c r="L617" s="80">
        <f>'DATA B2'!E618</f>
        <v>0</v>
      </c>
      <c r="M617" s="80">
        <f t="shared" si="233"/>
        <v>0</v>
      </c>
      <c r="N617" s="28">
        <f t="shared" si="229"/>
        <v>0</v>
      </c>
      <c r="O617" s="51">
        <f>IFERROR((('DATA B2'!F618-'DATA B2'!F617)/(K617))*1000,0)</f>
        <v>0</v>
      </c>
      <c r="P617" s="94">
        <f>'DATA B3'!C618</f>
        <v>0</v>
      </c>
      <c r="Q617" s="91">
        <f t="shared" si="234"/>
        <v>0</v>
      </c>
      <c r="R617" s="80">
        <f>'DATA B3'!D618</f>
        <v>0</v>
      </c>
      <c r="S617" s="80">
        <f t="shared" si="235"/>
        <v>0</v>
      </c>
      <c r="T617" s="15">
        <f t="shared" si="230"/>
        <v>0</v>
      </c>
      <c r="U617" s="15">
        <f>IFERROR((('DATA B3'!E618-'DATA B3'!E617)+('DATA B3'!F618-'DATA B3'!F617))/('WATER_STEAM RATIO'!P617-'WATER_STEAM RATIO'!P616),0)</f>
        <v>0</v>
      </c>
    </row>
    <row r="618" spans="2:21">
      <c r="B618" s="292"/>
      <c r="C618" s="97">
        <v>0.66666666666666596</v>
      </c>
      <c r="D618" s="84">
        <f>'DATA B1'!D619</f>
        <v>0</v>
      </c>
      <c r="E618" s="5">
        <f t="shared" si="236"/>
        <v>0</v>
      </c>
      <c r="F618" s="80">
        <f>'DATA B1'!E619</f>
        <v>0</v>
      </c>
      <c r="G618" s="80">
        <f t="shared" si="231"/>
        <v>0</v>
      </c>
      <c r="H618" s="28">
        <f t="shared" si="226"/>
        <v>0</v>
      </c>
      <c r="I618" s="45">
        <f>IFERROR((('DATA B1'!G619-'DATA B1'!G618)/('WATER_STEAM RATIO'!D618-'WATER_STEAM RATIO'!D617))*1000,0)</f>
        <v>0</v>
      </c>
      <c r="J618" s="50">
        <f>'DATA B2'!D619</f>
        <v>0</v>
      </c>
      <c r="K618" s="82">
        <f>SUM(J618-J617)</f>
        <v>0</v>
      </c>
      <c r="L618" s="80">
        <f>'DATA B2'!E619</f>
        <v>0</v>
      </c>
      <c r="M618" s="80">
        <f t="shared" si="233"/>
        <v>0</v>
      </c>
      <c r="N618" s="28">
        <f t="shared" si="229"/>
        <v>0</v>
      </c>
      <c r="O618" s="51">
        <f>IFERROR((('DATA B2'!F619-'DATA B2'!F618)/(K618))*1000,0)</f>
        <v>0</v>
      </c>
      <c r="P618" s="94">
        <f>'DATA B3'!C619</f>
        <v>0</v>
      </c>
      <c r="Q618" s="91">
        <f t="shared" si="234"/>
        <v>0</v>
      </c>
      <c r="R618" s="80">
        <f>'DATA B3'!D619</f>
        <v>0</v>
      </c>
      <c r="S618" s="80">
        <f t="shared" si="235"/>
        <v>0</v>
      </c>
      <c r="T618" s="15">
        <f t="shared" si="230"/>
        <v>0</v>
      </c>
      <c r="U618" s="15">
        <f>IFERROR((('DATA B3'!E619-'DATA B3'!E618)+('DATA B3'!F619-'DATA B3'!F618))/('WATER_STEAM RATIO'!P618-'WATER_STEAM RATIO'!P617),0)</f>
        <v>0</v>
      </c>
    </row>
    <row r="619" spans="2:21">
      <c r="B619" s="292"/>
      <c r="C619" s="97">
        <v>0.70833333333333304</v>
      </c>
      <c r="D619" s="84">
        <f>'DATA B1'!D620</f>
        <v>0</v>
      </c>
      <c r="E619" s="5">
        <f t="shared" si="236"/>
        <v>0</v>
      </c>
      <c r="F619" s="80">
        <f>'DATA B1'!E620</f>
        <v>0</v>
      </c>
      <c r="G619" s="80">
        <f t="shared" si="231"/>
        <v>0</v>
      </c>
      <c r="H619" s="28">
        <f t="shared" si="226"/>
        <v>0</v>
      </c>
      <c r="I619" s="45">
        <f>IFERROR((('DATA B1'!G620-'DATA B1'!G619)/('WATER_STEAM RATIO'!D619-'WATER_STEAM RATIO'!D618))*1000,0)</f>
        <v>0</v>
      </c>
      <c r="J619" s="50">
        <f>'DATA B2'!D620</f>
        <v>0</v>
      </c>
      <c r="K619" s="82">
        <f t="shared" si="232"/>
        <v>0</v>
      </c>
      <c r="L619" s="80">
        <f>'DATA B2'!E620</f>
        <v>0</v>
      </c>
      <c r="M619" s="80">
        <f t="shared" si="233"/>
        <v>0</v>
      </c>
      <c r="N619" s="28">
        <f t="shared" si="229"/>
        <v>0</v>
      </c>
      <c r="O619" s="51">
        <f>IFERROR((('DATA B2'!F620-'DATA B2'!F619)/(K619))*1000,0)</f>
        <v>0</v>
      </c>
      <c r="P619" s="94">
        <f>'DATA B3'!C620</f>
        <v>0</v>
      </c>
      <c r="Q619" s="91">
        <f t="shared" si="234"/>
        <v>0</v>
      </c>
      <c r="R619" s="80">
        <f>'DATA B3'!D620</f>
        <v>0</v>
      </c>
      <c r="S619" s="80">
        <f t="shared" si="235"/>
        <v>0</v>
      </c>
      <c r="T619" s="15">
        <f t="shared" si="230"/>
        <v>0</v>
      </c>
      <c r="U619" s="15">
        <f>IFERROR((('DATA B3'!E620-'DATA B3'!E619)+('DATA B3'!F620-'DATA B3'!F619))/('WATER_STEAM RATIO'!P619-'WATER_STEAM RATIO'!P618),0)</f>
        <v>0</v>
      </c>
    </row>
    <row r="620" spans="2:21">
      <c r="B620" s="292"/>
      <c r="C620" s="97">
        <v>0.75</v>
      </c>
      <c r="D620" s="84">
        <f>'DATA B1'!D621</f>
        <v>0</v>
      </c>
      <c r="E620" s="5">
        <f t="shared" si="236"/>
        <v>0</v>
      </c>
      <c r="F620" s="80">
        <f>'DATA B1'!E621</f>
        <v>0</v>
      </c>
      <c r="G620" s="80">
        <f t="shared" si="231"/>
        <v>0</v>
      </c>
      <c r="H620" s="28">
        <f t="shared" si="226"/>
        <v>0</v>
      </c>
      <c r="I620" s="45">
        <f>IFERROR((('DATA B1'!G621-'DATA B1'!G620)/('WATER_STEAM RATIO'!D620-'WATER_STEAM RATIO'!D619))*1000,0)</f>
        <v>0</v>
      </c>
      <c r="J620" s="50">
        <f>'DATA B2'!D621</f>
        <v>0</v>
      </c>
      <c r="K620" s="82">
        <f t="shared" si="232"/>
        <v>0</v>
      </c>
      <c r="L620" s="80">
        <f>'DATA B2'!E621</f>
        <v>0</v>
      </c>
      <c r="M620" s="80">
        <f t="shared" si="233"/>
        <v>0</v>
      </c>
      <c r="N620" s="28">
        <f t="shared" si="229"/>
        <v>0</v>
      </c>
      <c r="O620" s="51">
        <f>IFERROR((('DATA B2'!F621-'DATA B2'!F620)/(K620))*1000,0)</f>
        <v>0</v>
      </c>
      <c r="P620" s="94">
        <f>'DATA B3'!C621</f>
        <v>0</v>
      </c>
      <c r="Q620" s="91">
        <f t="shared" si="234"/>
        <v>0</v>
      </c>
      <c r="R620" s="80">
        <f>'DATA B3'!D621</f>
        <v>0</v>
      </c>
      <c r="S620" s="80">
        <f t="shared" si="235"/>
        <v>0</v>
      </c>
      <c r="T620" s="15">
        <f t="shared" si="230"/>
        <v>0</v>
      </c>
      <c r="U620" s="15">
        <f>IFERROR((('DATA B3'!E621-'DATA B3'!E620)+('DATA B3'!F621-'DATA B3'!F620))/('WATER_STEAM RATIO'!P620-'WATER_STEAM RATIO'!P619),0)</f>
        <v>0</v>
      </c>
    </row>
    <row r="621" spans="2:21">
      <c r="B621" s="292"/>
      <c r="C621" s="97">
        <v>0.79166666666666596</v>
      </c>
      <c r="D621" s="84">
        <f>'DATA B1'!D622</f>
        <v>0</v>
      </c>
      <c r="E621" s="5">
        <f t="shared" si="236"/>
        <v>0</v>
      </c>
      <c r="F621" s="80">
        <f>'DATA B1'!E622</f>
        <v>0</v>
      </c>
      <c r="G621" s="80">
        <f t="shared" si="231"/>
        <v>0</v>
      </c>
      <c r="H621" s="28">
        <f t="shared" si="226"/>
        <v>0</v>
      </c>
      <c r="I621" s="45">
        <f>IFERROR((('DATA B1'!G622-'DATA B1'!G621)/('WATER_STEAM RATIO'!D621-'WATER_STEAM RATIO'!D620))*1000,0)</f>
        <v>0</v>
      </c>
      <c r="J621" s="50">
        <f>'DATA B2'!D622</f>
        <v>0</v>
      </c>
      <c r="K621" s="82">
        <f t="shared" si="232"/>
        <v>0</v>
      </c>
      <c r="L621" s="80">
        <f>'DATA B2'!E622</f>
        <v>0</v>
      </c>
      <c r="M621" s="80">
        <f t="shared" si="233"/>
        <v>0</v>
      </c>
      <c r="N621" s="28">
        <f t="shared" si="229"/>
        <v>0</v>
      </c>
      <c r="O621" s="51">
        <f>IFERROR((('DATA B2'!F622-'DATA B2'!F621)/(K621))*1000,0)</f>
        <v>0</v>
      </c>
      <c r="P621" s="94">
        <f>'DATA B3'!C622</f>
        <v>0</v>
      </c>
      <c r="Q621" s="91">
        <f t="shared" si="234"/>
        <v>0</v>
      </c>
      <c r="R621" s="80">
        <f>'DATA B3'!D622</f>
        <v>0</v>
      </c>
      <c r="S621" s="80">
        <f t="shared" si="235"/>
        <v>0</v>
      </c>
      <c r="T621" s="15">
        <f t="shared" si="230"/>
        <v>0</v>
      </c>
      <c r="U621" s="15">
        <f>IFERROR((('DATA B3'!E622-'DATA B3'!E621)+('DATA B3'!F622-'DATA B3'!F621))/('WATER_STEAM RATIO'!P621-'WATER_STEAM RATIO'!P620),0)</f>
        <v>0</v>
      </c>
    </row>
    <row r="622" spans="2:21">
      <c r="B622" s="292"/>
      <c r="C622" s="97">
        <v>0.83333333333333304</v>
      </c>
      <c r="D622" s="84">
        <f>'DATA B1'!D623</f>
        <v>0</v>
      </c>
      <c r="E622" s="5">
        <f t="shared" si="236"/>
        <v>0</v>
      </c>
      <c r="F622" s="80">
        <f>'DATA B1'!E623</f>
        <v>0</v>
      </c>
      <c r="G622" s="80">
        <f t="shared" si="231"/>
        <v>0</v>
      </c>
      <c r="H622" s="28">
        <f t="shared" si="226"/>
        <v>0</v>
      </c>
      <c r="I622" s="45">
        <f>IFERROR((('DATA B1'!G623-'DATA B1'!G622)/('WATER_STEAM RATIO'!D622-'WATER_STEAM RATIO'!D621))*1000,0)</f>
        <v>0</v>
      </c>
      <c r="J622" s="50">
        <f>'DATA B2'!D623</f>
        <v>0</v>
      </c>
      <c r="K622" s="82">
        <f t="shared" si="232"/>
        <v>0</v>
      </c>
      <c r="L622" s="80">
        <f>'DATA B2'!E623</f>
        <v>0</v>
      </c>
      <c r="M622" s="80">
        <f t="shared" si="233"/>
        <v>0</v>
      </c>
      <c r="N622" s="28">
        <f t="shared" si="229"/>
        <v>0</v>
      </c>
      <c r="O622" s="51">
        <f>IFERROR((('DATA B2'!F623-'DATA B2'!F622)/(K622))*1000,0)</f>
        <v>0</v>
      </c>
      <c r="P622" s="94">
        <f>'DATA B3'!C623</f>
        <v>0</v>
      </c>
      <c r="Q622" s="91">
        <f t="shared" si="234"/>
        <v>0</v>
      </c>
      <c r="R622" s="80">
        <f>'DATA B3'!D623</f>
        <v>0</v>
      </c>
      <c r="S622" s="80">
        <f t="shared" si="235"/>
        <v>0</v>
      </c>
      <c r="T622" s="15">
        <f t="shared" si="230"/>
        <v>0</v>
      </c>
      <c r="U622" s="15">
        <f>IFERROR((('DATA B3'!E623-'DATA B3'!E622)+('DATA B3'!F623-'DATA B3'!F622))/('WATER_STEAM RATIO'!P622-'WATER_STEAM RATIO'!P621),0)</f>
        <v>0</v>
      </c>
    </row>
    <row r="623" spans="2:21">
      <c r="B623" s="292"/>
      <c r="C623" s="97">
        <v>0.875</v>
      </c>
      <c r="D623" s="84">
        <f>'DATA B1'!D624</f>
        <v>0</v>
      </c>
      <c r="E623" s="5">
        <f t="shared" si="236"/>
        <v>0</v>
      </c>
      <c r="F623" s="80">
        <f>'DATA B1'!E624</f>
        <v>0</v>
      </c>
      <c r="G623" s="80">
        <f t="shared" si="231"/>
        <v>0</v>
      </c>
      <c r="H623" s="28">
        <f t="shared" si="226"/>
        <v>0</v>
      </c>
      <c r="I623" s="45">
        <f>IFERROR((('DATA B1'!G624-'DATA B1'!G623)/('WATER_STEAM RATIO'!D623-'WATER_STEAM RATIO'!D622))*1000,0)</f>
        <v>0</v>
      </c>
      <c r="J623" s="50">
        <f>'DATA B2'!D624</f>
        <v>0</v>
      </c>
      <c r="K623" s="82">
        <f t="shared" si="232"/>
        <v>0</v>
      </c>
      <c r="L623" s="80">
        <f>'DATA B2'!E624</f>
        <v>0</v>
      </c>
      <c r="M623" s="80">
        <f t="shared" si="233"/>
        <v>0</v>
      </c>
      <c r="N623" s="28">
        <f>IFERROR(M623/K623,0)</f>
        <v>0</v>
      </c>
      <c r="O623" s="51">
        <f>IFERROR((('DATA B2'!F624-'DATA B2'!F623)/(K623))*1000,0)</f>
        <v>0</v>
      </c>
      <c r="P623" s="94">
        <f>'DATA B3'!C624</f>
        <v>0</v>
      </c>
      <c r="Q623" s="91">
        <f t="shared" si="234"/>
        <v>0</v>
      </c>
      <c r="R623" s="80">
        <f>'DATA B3'!D624</f>
        <v>0</v>
      </c>
      <c r="S623" s="80">
        <f t="shared" si="235"/>
        <v>0</v>
      </c>
      <c r="T623" s="15">
        <f t="shared" si="230"/>
        <v>0</v>
      </c>
      <c r="U623" s="15">
        <f>IFERROR((('DATA B3'!E624-'DATA B3'!E623)+('DATA B3'!F624-'DATA B3'!F623))/('WATER_STEAM RATIO'!P623-'WATER_STEAM RATIO'!P622),0)</f>
        <v>0</v>
      </c>
    </row>
    <row r="624" spans="2:21">
      <c r="B624" s="292"/>
      <c r="C624" s="97">
        <v>0.91666666666666596</v>
      </c>
      <c r="D624" s="84">
        <f>'DATA B1'!D625</f>
        <v>0</v>
      </c>
      <c r="E624" s="5">
        <f t="shared" si="236"/>
        <v>0</v>
      </c>
      <c r="F624" s="80">
        <f>'DATA B1'!E625</f>
        <v>0</v>
      </c>
      <c r="G624" s="80">
        <f t="shared" si="231"/>
        <v>0</v>
      </c>
      <c r="H624" s="28">
        <f t="shared" si="226"/>
        <v>0</v>
      </c>
      <c r="I624" s="45">
        <f>IFERROR((('DATA B1'!G625-'DATA B1'!G624)/('WATER_STEAM RATIO'!D624-'WATER_STEAM RATIO'!D623))*1000,0)</f>
        <v>0</v>
      </c>
      <c r="J624" s="50">
        <f>'DATA B2'!D625</f>
        <v>0</v>
      </c>
      <c r="K624" s="82">
        <f t="shared" si="232"/>
        <v>0</v>
      </c>
      <c r="L624" s="80">
        <f>'DATA B2'!E625</f>
        <v>0</v>
      </c>
      <c r="M624" s="80">
        <f t="shared" si="233"/>
        <v>0</v>
      </c>
      <c r="N624" s="28">
        <f t="shared" si="229"/>
        <v>0</v>
      </c>
      <c r="O624" s="51">
        <f>IFERROR((('DATA B2'!F625-'DATA B2'!F624)/(K624))*1000,0)</f>
        <v>0</v>
      </c>
      <c r="P624" s="94">
        <f>'DATA B3'!C625</f>
        <v>0</v>
      </c>
      <c r="Q624" s="91">
        <f t="shared" si="234"/>
        <v>0</v>
      </c>
      <c r="R624" s="80">
        <f>'DATA B3'!D625</f>
        <v>0</v>
      </c>
      <c r="S624" s="80">
        <f t="shared" si="235"/>
        <v>0</v>
      </c>
      <c r="T624" s="15">
        <f t="shared" si="230"/>
        <v>0</v>
      </c>
      <c r="U624" s="15">
        <f>IFERROR((('DATA B3'!E625-'DATA B3'!E624)+('DATA B3'!F625-'DATA B3'!F624))/('WATER_STEAM RATIO'!P624-'WATER_STEAM RATIO'!P623),0)</f>
        <v>0</v>
      </c>
    </row>
    <row r="625" spans="2:21">
      <c r="B625" s="292"/>
      <c r="C625" s="97">
        <v>0.95833333333333304</v>
      </c>
      <c r="D625" s="84">
        <f>'DATA B1'!D626</f>
        <v>0</v>
      </c>
      <c r="E625" s="5">
        <f t="shared" si="236"/>
        <v>0</v>
      </c>
      <c r="F625" s="80">
        <f>'DATA B1'!E626</f>
        <v>0</v>
      </c>
      <c r="G625" s="80">
        <f t="shared" si="231"/>
        <v>0</v>
      </c>
      <c r="H625" s="28">
        <f t="shared" si="226"/>
        <v>0</v>
      </c>
      <c r="I625" s="45">
        <f>IFERROR((('DATA B1'!G626-'DATA B1'!G625)/('WATER_STEAM RATIO'!D625-'WATER_STEAM RATIO'!D624))*1000,0)</f>
        <v>0</v>
      </c>
      <c r="J625" s="50">
        <f>'DATA B2'!D626</f>
        <v>0</v>
      </c>
      <c r="K625" s="82">
        <f>SUM(J625-J624)</f>
        <v>0</v>
      </c>
      <c r="L625" s="80">
        <f>'DATA B2'!E626</f>
        <v>0</v>
      </c>
      <c r="M625" s="80">
        <f t="shared" si="233"/>
        <v>0</v>
      </c>
      <c r="N625" s="28">
        <f t="shared" si="229"/>
        <v>0</v>
      </c>
      <c r="O625" s="51">
        <f>IFERROR((('DATA B2'!F626-'DATA B2'!F625)/(K625))*1000,0)</f>
        <v>0</v>
      </c>
      <c r="P625" s="94">
        <f>'DATA B3'!C626</f>
        <v>0</v>
      </c>
      <c r="Q625" s="91">
        <f t="shared" si="234"/>
        <v>0</v>
      </c>
      <c r="R625" s="80">
        <f>'DATA B3'!D626</f>
        <v>0</v>
      </c>
      <c r="S625" s="80">
        <f t="shared" si="235"/>
        <v>0</v>
      </c>
      <c r="T625" s="15">
        <f t="shared" si="230"/>
        <v>0</v>
      </c>
      <c r="U625" s="15">
        <f>IFERROR((('DATA B3'!E626-'DATA B3'!E625)+('DATA B3'!F626-'DATA B3'!F625))/('WATER_STEAM RATIO'!P625-'WATER_STEAM RATIO'!P624),0)</f>
        <v>0</v>
      </c>
    </row>
    <row r="626" spans="2:21">
      <c r="B626" s="292"/>
      <c r="C626" s="97">
        <v>1</v>
      </c>
      <c r="D626" s="84">
        <f>'DATA B1'!D627</f>
        <v>0</v>
      </c>
      <c r="E626" s="5">
        <f t="shared" si="236"/>
        <v>0</v>
      </c>
      <c r="F626" s="80">
        <f>'DATA B1'!E627</f>
        <v>0</v>
      </c>
      <c r="G626" s="80">
        <f t="shared" si="231"/>
        <v>0</v>
      </c>
      <c r="H626" s="28">
        <f t="shared" si="226"/>
        <v>0</v>
      </c>
      <c r="I626" s="45">
        <f>IFERROR((('DATA B1'!G627-'DATA B1'!G626)/('WATER_STEAM RATIO'!D626-'WATER_STEAM RATIO'!D625))*1000,0)</f>
        <v>0</v>
      </c>
      <c r="J626" s="50">
        <f>'DATA B2'!D627</f>
        <v>0</v>
      </c>
      <c r="K626" s="82">
        <f t="shared" si="232"/>
        <v>0</v>
      </c>
      <c r="L626" s="80">
        <f>'DATA B2'!E627</f>
        <v>0</v>
      </c>
      <c r="M626" s="80">
        <f t="shared" si="233"/>
        <v>0</v>
      </c>
      <c r="N626" s="28">
        <f t="shared" si="229"/>
        <v>0</v>
      </c>
      <c r="O626" s="51">
        <f>IFERROR((('DATA B2'!F627-'DATA B2'!F626)/(K626))*1000,0)</f>
        <v>0</v>
      </c>
      <c r="P626" s="94">
        <f>'DATA B3'!C627</f>
        <v>0</v>
      </c>
      <c r="Q626" s="91">
        <f t="shared" si="234"/>
        <v>0</v>
      </c>
      <c r="R626" s="80">
        <f>'DATA B3'!D627</f>
        <v>0</v>
      </c>
      <c r="S626" s="80">
        <f t="shared" si="235"/>
        <v>0</v>
      </c>
      <c r="T626" s="15">
        <f t="shared" si="230"/>
        <v>0</v>
      </c>
      <c r="U626" s="15">
        <f>IFERROR((('DATA B3'!E627-'DATA B3'!E626)+('DATA B3'!F627-'DATA B3'!F626))/('WATER_STEAM RATIO'!P626-'WATER_STEAM RATIO'!P625),0)</f>
        <v>0</v>
      </c>
    </row>
    <row r="627" spans="2:21">
      <c r="B627" s="292"/>
      <c r="C627" s="97">
        <v>1.0416666666666701</v>
      </c>
      <c r="D627" s="84">
        <f>'DATA B1'!D628</f>
        <v>0</v>
      </c>
      <c r="E627" s="5">
        <f t="shared" si="236"/>
        <v>0</v>
      </c>
      <c r="F627" s="80">
        <f>'DATA B1'!E628</f>
        <v>0</v>
      </c>
      <c r="G627" s="80">
        <f t="shared" si="231"/>
        <v>0</v>
      </c>
      <c r="H627" s="28">
        <f t="shared" si="226"/>
        <v>0</v>
      </c>
      <c r="I627" s="45">
        <f>IFERROR((('DATA B1'!G628-'DATA B1'!G627)/('WATER_STEAM RATIO'!D627-'WATER_STEAM RATIO'!D626))*1000,0)</f>
        <v>0</v>
      </c>
      <c r="J627" s="50">
        <f>'DATA B2'!D628</f>
        <v>0</v>
      </c>
      <c r="K627" s="82">
        <f t="shared" si="232"/>
        <v>0</v>
      </c>
      <c r="L627" s="80">
        <f>'DATA B2'!E628</f>
        <v>0</v>
      </c>
      <c r="M627" s="80">
        <f t="shared" si="233"/>
        <v>0</v>
      </c>
      <c r="N627" s="28">
        <f t="shared" si="229"/>
        <v>0</v>
      </c>
      <c r="O627" s="51">
        <f>IFERROR((('DATA B2'!F628-'DATA B2'!F627)/(K627))*1000,0)</f>
        <v>0</v>
      </c>
      <c r="P627" s="94">
        <f>'DATA B3'!C628</f>
        <v>0</v>
      </c>
      <c r="Q627" s="91">
        <f t="shared" si="234"/>
        <v>0</v>
      </c>
      <c r="R627" s="80">
        <f>'DATA B3'!D628</f>
        <v>0</v>
      </c>
      <c r="S627" s="80">
        <f t="shared" si="235"/>
        <v>0</v>
      </c>
      <c r="T627" s="15">
        <f t="shared" si="230"/>
        <v>0</v>
      </c>
      <c r="U627" s="15">
        <f>IFERROR((('DATA B3'!E628-'DATA B3'!E627)+('DATA B3'!F628-'DATA B3'!F627))/('WATER_STEAM RATIO'!P627-'WATER_STEAM RATIO'!P626),0)</f>
        <v>0</v>
      </c>
    </row>
    <row r="628" spans="2:21">
      <c r="B628" s="292"/>
      <c r="C628" s="97">
        <v>1.0833333333333399</v>
      </c>
      <c r="D628" s="84">
        <f>'DATA B1'!D629</f>
        <v>0</v>
      </c>
      <c r="E628" s="5">
        <f>SUM(D628-D627)</f>
        <v>0</v>
      </c>
      <c r="F628" s="80">
        <f>'DATA B1'!E629</f>
        <v>0</v>
      </c>
      <c r="G628" s="80">
        <f t="shared" si="231"/>
        <v>0</v>
      </c>
      <c r="H628" s="28">
        <f t="shared" si="226"/>
        <v>0</v>
      </c>
      <c r="I628" s="45">
        <f>IFERROR((('DATA B1'!G629-'DATA B1'!G628)/('WATER_STEAM RATIO'!D628-'WATER_STEAM RATIO'!D627))*1000,0)</f>
        <v>0</v>
      </c>
      <c r="J628" s="50">
        <f>'DATA B2'!D629</f>
        <v>0</v>
      </c>
      <c r="K628" s="82">
        <f t="shared" si="232"/>
        <v>0</v>
      </c>
      <c r="L628" s="80">
        <f>'DATA B2'!E629</f>
        <v>0</v>
      </c>
      <c r="M628" s="80">
        <f t="shared" si="233"/>
        <v>0</v>
      </c>
      <c r="N628" s="28">
        <f t="shared" si="229"/>
        <v>0</v>
      </c>
      <c r="O628" s="51">
        <f>IFERROR((('DATA B2'!F629-'DATA B2'!F628)/(K628))*1000,0)</f>
        <v>0</v>
      </c>
      <c r="P628" s="94">
        <f>'DATA B3'!C629</f>
        <v>0</v>
      </c>
      <c r="Q628" s="91">
        <f>SUM(P628-P627)</f>
        <v>0</v>
      </c>
      <c r="R628" s="80">
        <f>'DATA B3'!D629</f>
        <v>0</v>
      </c>
      <c r="S628" s="80">
        <f t="shared" si="235"/>
        <v>0</v>
      </c>
      <c r="T628" s="15">
        <f t="shared" si="230"/>
        <v>0</v>
      </c>
      <c r="U628" s="15">
        <f>IFERROR((('DATA B3'!E629-'DATA B3'!E628)+('DATA B3'!F629-'DATA B3'!F628))/('WATER_STEAM RATIO'!P628-'WATER_STEAM RATIO'!P627),0)</f>
        <v>0</v>
      </c>
    </row>
    <row r="629" spans="2:21">
      <c r="B629" s="292"/>
      <c r="C629" s="97">
        <v>1.125</v>
      </c>
      <c r="D629" s="84">
        <f>'DATA B1'!D630</f>
        <v>0</v>
      </c>
      <c r="E629" s="5">
        <f t="shared" si="236"/>
        <v>0</v>
      </c>
      <c r="F629" s="80">
        <f>'DATA B1'!E630</f>
        <v>0</v>
      </c>
      <c r="G629" s="80">
        <f t="shared" si="231"/>
        <v>0</v>
      </c>
      <c r="H629" s="28">
        <f t="shared" si="226"/>
        <v>0</v>
      </c>
      <c r="I629" s="45">
        <f>IFERROR((('DATA B1'!G630-'DATA B1'!G629)/('WATER_STEAM RATIO'!D629-'WATER_STEAM RATIO'!D628))*1000,0)</f>
        <v>0</v>
      </c>
      <c r="J629" s="50">
        <f>'DATA B2'!D630</f>
        <v>0</v>
      </c>
      <c r="K629" s="82">
        <f t="shared" si="232"/>
        <v>0</v>
      </c>
      <c r="L629" s="80">
        <f>'DATA B2'!E630</f>
        <v>0</v>
      </c>
      <c r="M629" s="80">
        <f t="shared" si="233"/>
        <v>0</v>
      </c>
      <c r="N629" s="28">
        <f t="shared" si="229"/>
        <v>0</v>
      </c>
      <c r="O629" s="51">
        <f>IFERROR((('DATA B2'!F630-'DATA B2'!F629)/(K629))*1000,0)</f>
        <v>0</v>
      </c>
      <c r="P629" s="94">
        <f>'DATA B3'!C630</f>
        <v>0</v>
      </c>
      <c r="Q629" s="91">
        <f t="shared" si="234"/>
        <v>0</v>
      </c>
      <c r="R629" s="80">
        <f>'DATA B3'!D630</f>
        <v>0</v>
      </c>
      <c r="S629" s="80">
        <f t="shared" si="235"/>
        <v>0</v>
      </c>
      <c r="T629" s="15">
        <f t="shared" si="230"/>
        <v>0</v>
      </c>
      <c r="U629" s="15">
        <f>IFERROR((('DATA B3'!E630-'DATA B3'!E629)+('DATA B3'!F630-'DATA B3'!F629))/('WATER_STEAM RATIO'!P629-'WATER_STEAM RATIO'!P628),0)</f>
        <v>0</v>
      </c>
    </row>
    <row r="630" spans="2:21">
      <c r="B630" s="292"/>
      <c r="C630" s="97">
        <v>1.1666666666666701</v>
      </c>
      <c r="D630" s="84">
        <f>'DATA B1'!D631</f>
        <v>0</v>
      </c>
      <c r="E630" s="5">
        <f t="shared" si="236"/>
        <v>0</v>
      </c>
      <c r="F630" s="80">
        <f>'DATA B1'!E631</f>
        <v>0</v>
      </c>
      <c r="G630" s="80">
        <f t="shared" si="231"/>
        <v>0</v>
      </c>
      <c r="H630" s="28">
        <f t="shared" si="226"/>
        <v>0</v>
      </c>
      <c r="I630" s="45">
        <f>IFERROR((('DATA B1'!G631-'DATA B1'!G630)/('WATER_STEAM RATIO'!D630-'WATER_STEAM RATIO'!D629))*1000,0)</f>
        <v>0</v>
      </c>
      <c r="J630" s="50">
        <f>'DATA B2'!D631</f>
        <v>0</v>
      </c>
      <c r="K630" s="82">
        <f t="shared" si="232"/>
        <v>0</v>
      </c>
      <c r="L630" s="80">
        <f>'DATA B2'!E631</f>
        <v>0</v>
      </c>
      <c r="M630" s="80">
        <f t="shared" si="233"/>
        <v>0</v>
      </c>
      <c r="N630" s="28">
        <f t="shared" si="229"/>
        <v>0</v>
      </c>
      <c r="O630" s="51">
        <f>IFERROR((('DATA B2'!F631-'DATA B2'!F630)/(K630))*1000,0)</f>
        <v>0</v>
      </c>
      <c r="P630" s="94">
        <f>'DATA B3'!C631</f>
        <v>0</v>
      </c>
      <c r="Q630" s="91">
        <f t="shared" si="234"/>
        <v>0</v>
      </c>
      <c r="R630" s="80">
        <f>'DATA B3'!D631</f>
        <v>0</v>
      </c>
      <c r="S630" s="80">
        <f t="shared" si="235"/>
        <v>0</v>
      </c>
      <c r="T630" s="15">
        <f t="shared" si="230"/>
        <v>0</v>
      </c>
      <c r="U630" s="15">
        <f>IFERROR((('DATA B3'!E631-'DATA B3'!E630)+('DATA B3'!F631-'DATA B3'!F630))/('WATER_STEAM RATIO'!P630-'WATER_STEAM RATIO'!P629),0)</f>
        <v>0</v>
      </c>
    </row>
    <row r="631" spans="2:21">
      <c r="B631" s="292"/>
      <c r="C631" s="97">
        <v>1.2083333333333399</v>
      </c>
      <c r="D631" s="84">
        <f>'DATA B1'!D632</f>
        <v>0</v>
      </c>
      <c r="E631" s="5">
        <f t="shared" si="236"/>
        <v>0</v>
      </c>
      <c r="F631" s="80">
        <f>'DATA B1'!E632</f>
        <v>0</v>
      </c>
      <c r="G631" s="80">
        <f t="shared" si="231"/>
        <v>0</v>
      </c>
      <c r="H631" s="28">
        <f t="shared" si="226"/>
        <v>0</v>
      </c>
      <c r="I631" s="45">
        <f>IFERROR((('DATA B1'!G632-'DATA B1'!G631)/('WATER_STEAM RATIO'!D631-'WATER_STEAM RATIO'!D630))*1000,0)</f>
        <v>0</v>
      </c>
      <c r="J631" s="50">
        <f>'DATA B2'!D632</f>
        <v>0</v>
      </c>
      <c r="K631" s="82">
        <f t="shared" si="232"/>
        <v>0</v>
      </c>
      <c r="L631" s="80">
        <f>'DATA B2'!E632</f>
        <v>0</v>
      </c>
      <c r="M631" s="80">
        <f t="shared" si="233"/>
        <v>0</v>
      </c>
      <c r="N631" s="28">
        <f t="shared" si="229"/>
        <v>0</v>
      </c>
      <c r="O631" s="51">
        <f>IFERROR((('DATA B2'!F632-'DATA B2'!F631)/(K631))*1000,0)</f>
        <v>0</v>
      </c>
      <c r="P631" s="94">
        <f>'DATA B3'!C632</f>
        <v>0</v>
      </c>
      <c r="Q631" s="91">
        <f t="shared" si="234"/>
        <v>0</v>
      </c>
      <c r="R631" s="80">
        <f>'DATA B3'!D632</f>
        <v>0</v>
      </c>
      <c r="S631" s="80">
        <f t="shared" si="235"/>
        <v>0</v>
      </c>
      <c r="T631" s="15">
        <f t="shared" si="230"/>
        <v>0</v>
      </c>
      <c r="U631" s="15">
        <f>IFERROR((('DATA B3'!E632-'DATA B3'!E631)+('DATA B3'!F632-'DATA B3'!F631))/('WATER_STEAM RATIO'!P631-'WATER_STEAM RATIO'!P630),0)</f>
        <v>0</v>
      </c>
    </row>
    <row r="632" spans="2:21">
      <c r="B632" s="292"/>
      <c r="C632" s="97">
        <v>1.25</v>
      </c>
      <c r="D632" s="84">
        <f>'DATA B1'!D633</f>
        <v>0</v>
      </c>
      <c r="E632" s="5">
        <f t="shared" si="236"/>
        <v>0</v>
      </c>
      <c r="F632" s="80">
        <f>'DATA B1'!E633</f>
        <v>0</v>
      </c>
      <c r="G632" s="80">
        <f t="shared" si="231"/>
        <v>0</v>
      </c>
      <c r="H632" s="28">
        <f t="shared" si="226"/>
        <v>0</v>
      </c>
      <c r="I632" s="45">
        <f>IFERROR((('DATA B1'!G633-'DATA B1'!G632)/('WATER_STEAM RATIO'!D632-'WATER_STEAM RATIO'!D631))*1000,0)</f>
        <v>0</v>
      </c>
      <c r="J632" s="50">
        <f>'DATA B2'!D633</f>
        <v>0</v>
      </c>
      <c r="K632" s="82">
        <f t="shared" si="232"/>
        <v>0</v>
      </c>
      <c r="L632" s="80">
        <f>'DATA B2'!E633</f>
        <v>0</v>
      </c>
      <c r="M632" s="80">
        <f t="shared" si="233"/>
        <v>0</v>
      </c>
      <c r="N632" s="28">
        <f t="shared" si="229"/>
        <v>0</v>
      </c>
      <c r="O632" s="51">
        <f>IFERROR((('DATA B2'!F633-'DATA B2'!F632)/(K632))*1000,0)</f>
        <v>0</v>
      </c>
      <c r="P632" s="94">
        <f>'DATA B3'!C633</f>
        <v>0</v>
      </c>
      <c r="Q632" s="91">
        <f t="shared" si="234"/>
        <v>0</v>
      </c>
      <c r="R632" s="80">
        <f>'DATA B3'!D633</f>
        <v>0</v>
      </c>
      <c r="S632" s="80">
        <f t="shared" si="235"/>
        <v>0</v>
      </c>
      <c r="T632" s="15">
        <f t="shared" si="230"/>
        <v>0</v>
      </c>
      <c r="U632" s="15">
        <f>IFERROR((('DATA B3'!E633-'DATA B3'!E632)+('DATA B3'!F633-'DATA B3'!F632))/('WATER_STEAM RATIO'!P632-'WATER_STEAM RATIO'!P631),0)</f>
        <v>0</v>
      </c>
    </row>
    <row r="633" spans="2:21">
      <c r="B633" s="292"/>
      <c r="C633" s="97">
        <v>1.2916666666666701</v>
      </c>
      <c r="D633" s="84">
        <f>'DATA B1'!D634</f>
        <v>0</v>
      </c>
      <c r="E633" s="5">
        <f t="shared" si="236"/>
        <v>0</v>
      </c>
      <c r="F633" s="80">
        <f>'DATA B1'!E634</f>
        <v>0</v>
      </c>
      <c r="G633" s="80">
        <f t="shared" si="231"/>
        <v>0</v>
      </c>
      <c r="H633" s="28">
        <f t="shared" si="226"/>
        <v>0</v>
      </c>
      <c r="I633" s="45">
        <f>IFERROR((('DATA B1'!G634-'DATA B1'!G633)/('WATER_STEAM RATIO'!D633-'WATER_STEAM RATIO'!D632))*1000,0)</f>
        <v>0</v>
      </c>
      <c r="J633" s="50">
        <f>'DATA B2'!D634</f>
        <v>0</v>
      </c>
      <c r="K633" s="82">
        <f>SUM(J633-J632)</f>
        <v>0</v>
      </c>
      <c r="L633" s="80">
        <f>'DATA B2'!E634</f>
        <v>0</v>
      </c>
      <c r="M633" s="80">
        <f t="shared" si="233"/>
        <v>0</v>
      </c>
      <c r="N633" s="28">
        <f t="shared" si="229"/>
        <v>0</v>
      </c>
      <c r="O633" s="51">
        <f>IFERROR((('DATA B2'!F634-'DATA B2'!F633)/(K633))*1000,0)</f>
        <v>0</v>
      </c>
      <c r="P633" s="94">
        <f>'DATA B3'!C634</f>
        <v>0</v>
      </c>
      <c r="Q633" s="91">
        <f t="shared" si="234"/>
        <v>0</v>
      </c>
      <c r="R633" s="80">
        <f>'DATA B3'!D634</f>
        <v>0</v>
      </c>
      <c r="S633" s="80">
        <f t="shared" si="235"/>
        <v>0</v>
      </c>
      <c r="T633" s="15">
        <f t="shared" si="230"/>
        <v>0</v>
      </c>
      <c r="U633" s="15">
        <f>IFERROR((('DATA B3'!E634-'DATA B3'!E633)+('DATA B3'!F634-'DATA B3'!F633))/('WATER_STEAM RATIO'!P633-'WATER_STEAM RATIO'!P632),0)</f>
        <v>0</v>
      </c>
    </row>
    <row r="634" spans="2:21" ht="15.75" thickBot="1">
      <c r="B634" s="293"/>
      <c r="C634" s="235"/>
      <c r="D634" s="224" cm="1">
        <f t="array" ref="D634">IFERROR(LOOKUP(2,1/(D609:D633&gt;0),D609:D633-D609),0)</f>
        <v>0</v>
      </c>
      <c r="E634" s="223">
        <f>SUMIF(E610:E633,"&gt;=0",E610:E633)</f>
        <v>0</v>
      </c>
      <c r="F634" s="224" cm="1">
        <f t="array" ref="F634">IFERROR(LOOKUP(2,1/(F609:F633&gt;0),F609:F633-F609),0)</f>
        <v>0</v>
      </c>
      <c r="G634" s="223">
        <f>SUMIF(G610:G633,"&gt;=0",G610:G633)</f>
        <v>0</v>
      </c>
      <c r="H634" s="225">
        <f t="shared" si="226"/>
        <v>0</v>
      </c>
      <c r="I634" s="236">
        <f>IFERROR((('DATA B1'!H635)/(E634))*1000,0)</f>
        <v>0</v>
      </c>
      <c r="J634" s="222" cm="1">
        <f t="array" ref="J634">IFERROR(LOOKUP(2,1/(J609:J633&gt;0),J609:J633-J609),0)</f>
        <v>0</v>
      </c>
      <c r="K634" s="223">
        <f>SUMIF(K610:K633,"&gt;=0",K610:K633)</f>
        <v>0</v>
      </c>
      <c r="L634" s="224" cm="1">
        <f t="array" ref="L634">IFERROR(LOOKUP(2,1/(L609:L633&gt;0),L609:L633-L609),0)</f>
        <v>0</v>
      </c>
      <c r="M634" s="223">
        <f>SUMIF(M610:M633,"&gt;=0",M610:M633)</f>
        <v>0</v>
      </c>
      <c r="N634" s="225">
        <f>IFERROR(M634/K634,0)</f>
        <v>0</v>
      </c>
      <c r="O634" s="226">
        <f>IFERROR((('DATA B2'!H635)/(K634))*1000,0)</f>
        <v>0</v>
      </c>
      <c r="P634" s="224" cm="1">
        <f t="array" ref="P634">IFERROR(LOOKUP(2,1/(P609:P633&gt;0),P609:P633-P609),0)</f>
        <v>0</v>
      </c>
      <c r="Q634" s="223">
        <f>SUMIF(Q610:Q633,"&gt;=0",Q610:Q633)</f>
        <v>0</v>
      </c>
      <c r="R634" s="224" cm="1">
        <f t="array" ref="R634">IFERROR(LOOKUP(2,1/(R609:R633&gt;0),R609:R633-R609),0)</f>
        <v>0</v>
      </c>
      <c r="S634" s="223">
        <f>SUMIF(S610:S633,"&gt;=0",S610:S633)</f>
        <v>0</v>
      </c>
      <c r="T634" s="237">
        <f t="shared" si="230"/>
        <v>0</v>
      </c>
      <c r="U634" s="226">
        <f>IFERROR(('DATA B3'!E635+'DATA B3'!F635)/Q634*1000,0)</f>
        <v>0</v>
      </c>
    </row>
    <row r="635" spans="2:21" ht="15" customHeight="1">
      <c r="B635" s="291">
        <f>SUM('DATA B1'!B636:B661)</f>
        <v>46047</v>
      </c>
      <c r="C635" s="97">
        <v>0.29166666666666669</v>
      </c>
      <c r="D635" s="84">
        <f>'DATA B1'!D636</f>
        <v>0</v>
      </c>
      <c r="E635" s="5">
        <f>SUM(E633)</f>
        <v>0</v>
      </c>
      <c r="F635" s="80">
        <f>'DATA B1'!E636</f>
        <v>0</v>
      </c>
      <c r="G635" s="80">
        <f>SUM(G633)</f>
        <v>0</v>
      </c>
      <c r="H635" s="28">
        <f t="shared" si="226"/>
        <v>0</v>
      </c>
      <c r="I635" s="45"/>
      <c r="J635" s="50">
        <f>'DATA B2'!D636</f>
        <v>0</v>
      </c>
      <c r="K635" s="82">
        <f>SUM(K633)</f>
        <v>0</v>
      </c>
      <c r="L635" s="80">
        <f>'DATA B2'!E636</f>
        <v>0</v>
      </c>
      <c r="M635" s="80">
        <f>SUM(M633)</f>
        <v>0</v>
      </c>
      <c r="N635" s="28">
        <f>IFERROR(M635/K635,0)</f>
        <v>0</v>
      </c>
      <c r="O635" s="103"/>
      <c r="P635" s="94">
        <f>'DATA B3'!C636</f>
        <v>0</v>
      </c>
      <c r="Q635" s="91">
        <f>SUM(Q633)</f>
        <v>0</v>
      </c>
      <c r="R635" s="80">
        <f>'DATA B3'!D636</f>
        <v>0</v>
      </c>
      <c r="S635" s="80">
        <f>SUM(S633)</f>
        <v>0</v>
      </c>
      <c r="T635" s="15">
        <f>IFERROR(S635/Q635,0)</f>
        <v>0</v>
      </c>
      <c r="U635" s="15"/>
    </row>
    <row r="636" spans="2:21">
      <c r="B636" s="292"/>
      <c r="C636" s="97">
        <v>0.33333333333333298</v>
      </c>
      <c r="D636" s="84">
        <f>'DATA B1'!D637</f>
        <v>0</v>
      </c>
      <c r="E636" s="5">
        <f t="shared" ref="E636:E642" si="237">SUM(D636-D635)</f>
        <v>0</v>
      </c>
      <c r="F636" s="80">
        <f>'DATA B1'!E637</f>
        <v>0</v>
      </c>
      <c r="G636" s="80">
        <f>SUM(F636-F635)</f>
        <v>0</v>
      </c>
      <c r="H636" s="28">
        <f t="shared" si="226"/>
        <v>0</v>
      </c>
      <c r="I636" s="45">
        <f>IFERROR((('DATA B1'!G637-'DATA B1'!G636)/('WATER_STEAM RATIO'!D636-'WATER_STEAM RATIO'!D635))*1000,0)</f>
        <v>0</v>
      </c>
      <c r="J636" s="50">
        <f>'DATA B2'!D637</f>
        <v>0</v>
      </c>
      <c r="K636" s="82">
        <f>SUM(J636-J635)</f>
        <v>0</v>
      </c>
      <c r="L636" s="80">
        <f>'DATA B2'!E637</f>
        <v>0</v>
      </c>
      <c r="M636" s="80">
        <f>SUM(L636-L635)</f>
        <v>0</v>
      </c>
      <c r="N636" s="28">
        <f t="shared" ref="N636:N659" si="238">IFERROR(M636/K636,0)</f>
        <v>0</v>
      </c>
      <c r="O636" s="51">
        <f>IFERROR((('DATA B2'!F637-'DATA B2'!F636)/(K636))*1000,0)</f>
        <v>0</v>
      </c>
      <c r="P636" s="94">
        <f>'DATA B3'!C637</f>
        <v>0</v>
      </c>
      <c r="Q636" s="91">
        <f>SUM(P636-P635)</f>
        <v>0</v>
      </c>
      <c r="R636" s="80">
        <f>'DATA B3'!D637</f>
        <v>0</v>
      </c>
      <c r="S636" s="80">
        <f>SUM(R636-R635)</f>
        <v>0</v>
      </c>
      <c r="T636" s="15">
        <f t="shared" ref="T636:T660" si="239">IFERROR(S636/Q636,0)</f>
        <v>0</v>
      </c>
      <c r="U636" s="15">
        <f>IFERROR((('DATA B3'!E637-'DATA B3'!E636)+('DATA B3'!F637-'DATA B3'!F636))/('WATER_STEAM RATIO'!P636-'WATER_STEAM RATIO'!P635),0)</f>
        <v>0</v>
      </c>
    </row>
    <row r="637" spans="2:21">
      <c r="B637" s="292"/>
      <c r="C637" s="97">
        <v>0.375</v>
      </c>
      <c r="D637" s="84">
        <f>'DATA B1'!D638</f>
        <v>0</v>
      </c>
      <c r="E637" s="5">
        <f t="shared" si="237"/>
        <v>0</v>
      </c>
      <c r="F637" s="80">
        <f>'DATA B1'!E638</f>
        <v>0</v>
      </c>
      <c r="G637" s="80">
        <f t="shared" ref="G637:G659" si="240">SUM(F637-F636)</f>
        <v>0</v>
      </c>
      <c r="H637" s="28">
        <f t="shared" si="226"/>
        <v>0</v>
      </c>
      <c r="I637" s="45">
        <f>IFERROR((('DATA B1'!G638-'DATA B1'!G637)/('WATER_STEAM RATIO'!D637-'WATER_STEAM RATIO'!D636))*1000,0)</f>
        <v>0</v>
      </c>
      <c r="J637" s="50">
        <f>'DATA B2'!D638</f>
        <v>0</v>
      </c>
      <c r="K637" s="82">
        <f t="shared" ref="K637:K658" si="241">SUM(J637-J636)</f>
        <v>0</v>
      </c>
      <c r="L637" s="80">
        <f>'DATA B2'!E638</f>
        <v>0</v>
      </c>
      <c r="M637" s="80">
        <f t="shared" ref="M637:M659" si="242">SUM(L637-L636)</f>
        <v>0</v>
      </c>
      <c r="N637" s="28">
        <f t="shared" si="238"/>
        <v>0</v>
      </c>
      <c r="O637" s="51">
        <f>IFERROR((('DATA B2'!F638-'DATA B2'!F637)/(K637))*1000,0)</f>
        <v>0</v>
      </c>
      <c r="P637" s="94">
        <f>'DATA B3'!C638</f>
        <v>0</v>
      </c>
      <c r="Q637" s="91">
        <f t="shared" ref="Q637:Q659" si="243">SUM(P637-P636)</f>
        <v>0</v>
      </c>
      <c r="R637" s="80">
        <f>'DATA B3'!D638</f>
        <v>0</v>
      </c>
      <c r="S637" s="80">
        <f t="shared" ref="S637:S659" si="244">SUM(R637-R636)</f>
        <v>0</v>
      </c>
      <c r="T637" s="15">
        <f t="shared" si="239"/>
        <v>0</v>
      </c>
      <c r="U637" s="15">
        <f>IFERROR((('DATA B3'!E638-'DATA B3'!E637)+('DATA B3'!F638-'DATA B3'!F637))/('WATER_STEAM RATIO'!P637-'WATER_STEAM RATIO'!P636),0)</f>
        <v>0</v>
      </c>
    </row>
    <row r="638" spans="2:21">
      <c r="B638" s="292"/>
      <c r="C638" s="97">
        <v>0.41666666666666702</v>
      </c>
      <c r="D638" s="84">
        <f>'DATA B1'!D639</f>
        <v>0</v>
      </c>
      <c r="E638" s="5">
        <f t="shared" si="237"/>
        <v>0</v>
      </c>
      <c r="F638" s="80">
        <f>'DATA B1'!E639</f>
        <v>0</v>
      </c>
      <c r="G638" s="80">
        <f t="shared" si="240"/>
        <v>0</v>
      </c>
      <c r="H638" s="28">
        <f t="shared" si="226"/>
        <v>0</v>
      </c>
      <c r="I638" s="45">
        <f>IFERROR((('DATA B1'!G639-'DATA B1'!G638)/('WATER_STEAM RATIO'!D638-'WATER_STEAM RATIO'!D637))*1000,0)</f>
        <v>0</v>
      </c>
      <c r="J638" s="50">
        <f>'DATA B2'!D639</f>
        <v>0</v>
      </c>
      <c r="K638" s="82">
        <f t="shared" si="241"/>
        <v>0</v>
      </c>
      <c r="L638" s="80">
        <f>'DATA B2'!E639</f>
        <v>0</v>
      </c>
      <c r="M638" s="80">
        <f t="shared" si="242"/>
        <v>0</v>
      </c>
      <c r="N638" s="28">
        <f t="shared" si="238"/>
        <v>0</v>
      </c>
      <c r="O638" s="51">
        <f>IFERROR((('DATA B2'!F639-'DATA B2'!F638)/(K638))*1000,0)</f>
        <v>0</v>
      </c>
      <c r="P638" s="94">
        <f>'DATA B3'!C639</f>
        <v>0</v>
      </c>
      <c r="Q638" s="91">
        <f t="shared" si="243"/>
        <v>0</v>
      </c>
      <c r="R638" s="80">
        <f>'DATA B3'!D639</f>
        <v>0</v>
      </c>
      <c r="S638" s="80">
        <f t="shared" si="244"/>
        <v>0</v>
      </c>
      <c r="T638" s="15">
        <f t="shared" si="239"/>
        <v>0</v>
      </c>
      <c r="U638" s="15">
        <f>IFERROR((('DATA B3'!E639-'DATA B3'!E638)+('DATA B3'!F639-'DATA B3'!F638))/('WATER_STEAM RATIO'!P638-'WATER_STEAM RATIO'!P637),0)</f>
        <v>0</v>
      </c>
    </row>
    <row r="639" spans="2:21">
      <c r="B639" s="292"/>
      <c r="C639" s="97">
        <v>0.45833333333333298</v>
      </c>
      <c r="D639" s="84">
        <f>'DATA B1'!D640</f>
        <v>0</v>
      </c>
      <c r="E639" s="5">
        <f t="shared" si="237"/>
        <v>0</v>
      </c>
      <c r="F639" s="80">
        <f>'DATA B1'!E640</f>
        <v>0</v>
      </c>
      <c r="G639" s="80">
        <f t="shared" si="240"/>
        <v>0</v>
      </c>
      <c r="H639" s="28">
        <f t="shared" si="226"/>
        <v>0</v>
      </c>
      <c r="I639" s="45">
        <f>IFERROR((('DATA B1'!G640-'DATA B1'!G639)/('WATER_STEAM RATIO'!D639-'WATER_STEAM RATIO'!D638))*1000,0)</f>
        <v>0</v>
      </c>
      <c r="J639" s="50">
        <f>'DATA B2'!D640</f>
        <v>0</v>
      </c>
      <c r="K639" s="82">
        <f t="shared" si="241"/>
        <v>0</v>
      </c>
      <c r="L639" s="80">
        <f>'DATA B2'!E640</f>
        <v>0</v>
      </c>
      <c r="M639" s="80">
        <f t="shared" si="242"/>
        <v>0</v>
      </c>
      <c r="N639" s="28">
        <f t="shared" si="238"/>
        <v>0</v>
      </c>
      <c r="O639" s="51">
        <f>IFERROR((('DATA B2'!F640-'DATA B2'!F639)/(K639))*1000,0)</f>
        <v>0</v>
      </c>
      <c r="P639" s="94">
        <f>'DATA B3'!C640</f>
        <v>0</v>
      </c>
      <c r="Q639" s="91">
        <f t="shared" si="243"/>
        <v>0</v>
      </c>
      <c r="R639" s="80">
        <f>'DATA B3'!D640</f>
        <v>0</v>
      </c>
      <c r="S639" s="80">
        <f t="shared" si="244"/>
        <v>0</v>
      </c>
      <c r="T639" s="15">
        <f t="shared" si="239"/>
        <v>0</v>
      </c>
      <c r="U639" s="15">
        <f>IFERROR((('DATA B3'!E640-'DATA B3'!E639)+('DATA B3'!F640-'DATA B3'!F639))/('WATER_STEAM RATIO'!P639-'WATER_STEAM RATIO'!P638),0)</f>
        <v>0</v>
      </c>
    </row>
    <row r="640" spans="2:21">
      <c r="B640" s="292"/>
      <c r="C640" s="97">
        <v>0.5</v>
      </c>
      <c r="D640" s="84">
        <f>'DATA B1'!D641</f>
        <v>0</v>
      </c>
      <c r="E640" s="5">
        <f t="shared" si="237"/>
        <v>0</v>
      </c>
      <c r="F640" s="80">
        <f>'DATA B1'!E641</f>
        <v>0</v>
      </c>
      <c r="G640" s="80">
        <f t="shared" si="240"/>
        <v>0</v>
      </c>
      <c r="H640" s="28">
        <f t="shared" si="226"/>
        <v>0</v>
      </c>
      <c r="I640" s="45">
        <f>IFERROR((('DATA B1'!G641-'DATA B1'!G640)/('WATER_STEAM RATIO'!D640-'WATER_STEAM RATIO'!D639))*1000,0)</f>
        <v>0</v>
      </c>
      <c r="J640" s="50">
        <f>'DATA B2'!D641</f>
        <v>0</v>
      </c>
      <c r="K640" s="82">
        <f t="shared" si="241"/>
        <v>0</v>
      </c>
      <c r="L640" s="80">
        <f>'DATA B2'!E641</f>
        <v>0</v>
      </c>
      <c r="M640" s="80">
        <f t="shared" si="242"/>
        <v>0</v>
      </c>
      <c r="N640" s="28">
        <f t="shared" si="238"/>
        <v>0</v>
      </c>
      <c r="O640" s="51">
        <f>IFERROR((('DATA B2'!F641-'DATA B2'!F640)/(K640))*1000,0)</f>
        <v>0</v>
      </c>
      <c r="P640" s="94">
        <f>'DATA B3'!C641</f>
        <v>0</v>
      </c>
      <c r="Q640" s="91">
        <f t="shared" si="243"/>
        <v>0</v>
      </c>
      <c r="R640" s="80">
        <f>'DATA B3'!D641</f>
        <v>0</v>
      </c>
      <c r="S640" s="80">
        <f t="shared" si="244"/>
        <v>0</v>
      </c>
      <c r="T640" s="15">
        <f t="shared" si="239"/>
        <v>0</v>
      </c>
      <c r="U640" s="15">
        <f>IFERROR((('DATA B3'!E641-'DATA B3'!E640)+('DATA B3'!F641-'DATA B3'!F640))/('WATER_STEAM RATIO'!P640-'WATER_STEAM RATIO'!P639),0)</f>
        <v>0</v>
      </c>
    </row>
    <row r="641" spans="2:21">
      <c r="B641" s="292"/>
      <c r="C641" s="97">
        <v>0.54166666666666696</v>
      </c>
      <c r="D641" s="84">
        <f>'DATA B1'!D642</f>
        <v>0</v>
      </c>
      <c r="E641" s="5">
        <f t="shared" si="237"/>
        <v>0</v>
      </c>
      <c r="F641" s="80">
        <f>'DATA B1'!E642</f>
        <v>0</v>
      </c>
      <c r="G641" s="80">
        <f t="shared" si="240"/>
        <v>0</v>
      </c>
      <c r="H641" s="28">
        <f t="shared" si="226"/>
        <v>0</v>
      </c>
      <c r="I641" s="45">
        <f>IFERROR((('DATA B1'!G642-'DATA B1'!G641)/('WATER_STEAM RATIO'!D641-'WATER_STEAM RATIO'!D640))*1000,0)</f>
        <v>0</v>
      </c>
      <c r="J641" s="50">
        <f>'DATA B2'!D642</f>
        <v>0</v>
      </c>
      <c r="K641" s="82">
        <f t="shared" si="241"/>
        <v>0</v>
      </c>
      <c r="L641" s="80">
        <f>'DATA B2'!E642</f>
        <v>0</v>
      </c>
      <c r="M641" s="80">
        <f t="shared" si="242"/>
        <v>0</v>
      </c>
      <c r="N641" s="28">
        <f t="shared" si="238"/>
        <v>0</v>
      </c>
      <c r="O641" s="51">
        <f>IFERROR((('DATA B2'!F642-'DATA B2'!F641)/(K641))*1000,0)</f>
        <v>0</v>
      </c>
      <c r="P641" s="94">
        <f>'DATA B3'!C642</f>
        <v>0</v>
      </c>
      <c r="Q641" s="91">
        <f t="shared" si="243"/>
        <v>0</v>
      </c>
      <c r="R641" s="80">
        <f>'DATA B3'!D642</f>
        <v>0</v>
      </c>
      <c r="S641" s="80">
        <f t="shared" si="244"/>
        <v>0</v>
      </c>
      <c r="T641" s="15">
        <f t="shared" si="239"/>
        <v>0</v>
      </c>
      <c r="U641" s="15">
        <f>IFERROR((('DATA B3'!E642-'DATA B3'!E641)+('DATA B3'!F642-'DATA B3'!F641))/('WATER_STEAM RATIO'!P641-'WATER_STEAM RATIO'!P640),0)</f>
        <v>0</v>
      </c>
    </row>
    <row r="642" spans="2:21">
      <c r="B642" s="292"/>
      <c r="C642" s="97">
        <v>0.58333333333333304</v>
      </c>
      <c r="D642" s="84">
        <f>'DATA B1'!D643</f>
        <v>0</v>
      </c>
      <c r="E642" s="5">
        <f t="shared" si="237"/>
        <v>0</v>
      </c>
      <c r="F642" s="80">
        <f>'DATA B1'!E643</f>
        <v>0</v>
      </c>
      <c r="G642" s="80">
        <f t="shared" si="240"/>
        <v>0</v>
      </c>
      <c r="H642" s="28">
        <f t="shared" si="226"/>
        <v>0</v>
      </c>
      <c r="I642" s="45">
        <f>IFERROR((('DATA B1'!G643-'DATA B1'!G642)/('WATER_STEAM RATIO'!D642-'WATER_STEAM RATIO'!D641))*1000,0)</f>
        <v>0</v>
      </c>
      <c r="J642" s="50">
        <f>'DATA B2'!D643</f>
        <v>0</v>
      </c>
      <c r="K642" s="82">
        <f t="shared" si="241"/>
        <v>0</v>
      </c>
      <c r="L642" s="80">
        <f>'DATA B2'!E643</f>
        <v>0</v>
      </c>
      <c r="M642" s="80">
        <f t="shared" si="242"/>
        <v>0</v>
      </c>
      <c r="N642" s="28">
        <f t="shared" si="238"/>
        <v>0</v>
      </c>
      <c r="O642" s="51">
        <f>IFERROR((('DATA B2'!F643-'DATA B2'!F642)/(K642))*1000,0)</f>
        <v>0</v>
      </c>
      <c r="P642" s="94">
        <f>'DATA B3'!C643</f>
        <v>0</v>
      </c>
      <c r="Q642" s="91">
        <f t="shared" si="243"/>
        <v>0</v>
      </c>
      <c r="R642" s="80">
        <f>'DATA B3'!D643</f>
        <v>0</v>
      </c>
      <c r="S642" s="80">
        <f t="shared" si="244"/>
        <v>0</v>
      </c>
      <c r="T642" s="15">
        <f t="shared" si="239"/>
        <v>0</v>
      </c>
      <c r="U642" s="15">
        <f>IFERROR((('DATA B3'!E643-'DATA B3'!E642)+('DATA B3'!F643-'DATA B3'!F642))/('WATER_STEAM RATIO'!P642-'WATER_STEAM RATIO'!P641),0)</f>
        <v>0</v>
      </c>
    </row>
    <row r="643" spans="2:21">
      <c r="B643" s="292"/>
      <c r="C643" s="97">
        <v>0.625</v>
      </c>
      <c r="D643" s="84">
        <f>'DATA B1'!D644</f>
        <v>0</v>
      </c>
      <c r="E643" s="5">
        <f t="shared" ref="E643:E659" si="245">SUM(D643-D642)</f>
        <v>0</v>
      </c>
      <c r="F643" s="80">
        <f>'DATA B1'!E644</f>
        <v>0</v>
      </c>
      <c r="G643" s="80">
        <f t="shared" si="240"/>
        <v>0</v>
      </c>
      <c r="H643" s="28">
        <f t="shared" si="226"/>
        <v>0</v>
      </c>
      <c r="I643" s="45">
        <f>IFERROR((('DATA B1'!G644-'DATA B1'!G643)/('WATER_STEAM RATIO'!D643-'WATER_STEAM RATIO'!D642))*1000,0)</f>
        <v>0</v>
      </c>
      <c r="J643" s="50">
        <f>'DATA B2'!D644</f>
        <v>0</v>
      </c>
      <c r="K643" s="82">
        <f t="shared" si="241"/>
        <v>0</v>
      </c>
      <c r="L643" s="80">
        <f>'DATA B2'!E644</f>
        <v>0</v>
      </c>
      <c r="M643" s="80">
        <f t="shared" si="242"/>
        <v>0</v>
      </c>
      <c r="N643" s="28">
        <f t="shared" si="238"/>
        <v>0</v>
      </c>
      <c r="O643" s="51">
        <f>IFERROR((('DATA B2'!F644-'DATA B2'!F643)/(K643))*1000,0)</f>
        <v>0</v>
      </c>
      <c r="P643" s="94">
        <f>'DATA B3'!C644</f>
        <v>0</v>
      </c>
      <c r="Q643" s="91">
        <f t="shared" si="243"/>
        <v>0</v>
      </c>
      <c r="R643" s="80">
        <f>'DATA B3'!D644</f>
        <v>0</v>
      </c>
      <c r="S643" s="80">
        <f t="shared" si="244"/>
        <v>0</v>
      </c>
      <c r="T643" s="15">
        <f t="shared" si="239"/>
        <v>0</v>
      </c>
      <c r="U643" s="15">
        <f>IFERROR((('DATA B3'!E644-'DATA B3'!E643)+('DATA B3'!F644-'DATA B3'!F643))/('WATER_STEAM RATIO'!P643-'WATER_STEAM RATIO'!P642),0)</f>
        <v>0</v>
      </c>
    </row>
    <row r="644" spans="2:21">
      <c r="B644" s="292"/>
      <c r="C644" s="97">
        <v>0.66666666666666596</v>
      </c>
      <c r="D644" s="84">
        <f>'DATA B1'!D645</f>
        <v>0</v>
      </c>
      <c r="E644" s="5">
        <f t="shared" si="245"/>
        <v>0</v>
      </c>
      <c r="F644" s="80">
        <f>'DATA B1'!E645</f>
        <v>0</v>
      </c>
      <c r="G644" s="80">
        <f t="shared" si="240"/>
        <v>0</v>
      </c>
      <c r="H644" s="28">
        <f t="shared" si="226"/>
        <v>0</v>
      </c>
      <c r="I644" s="45">
        <f>IFERROR((('DATA B1'!G645-'DATA B1'!G644)/('WATER_STEAM RATIO'!D644-'WATER_STEAM RATIO'!D643))*1000,0)</f>
        <v>0</v>
      </c>
      <c r="J644" s="50">
        <f>'DATA B2'!D645</f>
        <v>0</v>
      </c>
      <c r="K644" s="82">
        <f>SUM(J644-J643)</f>
        <v>0</v>
      </c>
      <c r="L644" s="80">
        <f>'DATA B2'!E645</f>
        <v>0</v>
      </c>
      <c r="M644" s="80">
        <f t="shared" si="242"/>
        <v>0</v>
      </c>
      <c r="N644" s="28">
        <f t="shared" si="238"/>
        <v>0</v>
      </c>
      <c r="O644" s="51">
        <f>IFERROR((('DATA B2'!F645-'DATA B2'!F644)/(K644))*1000,0)</f>
        <v>0</v>
      </c>
      <c r="P644" s="94">
        <f>'DATA B3'!C645</f>
        <v>0</v>
      </c>
      <c r="Q644" s="91">
        <f t="shared" si="243"/>
        <v>0</v>
      </c>
      <c r="R644" s="80">
        <f>'DATA B3'!D645</f>
        <v>0</v>
      </c>
      <c r="S644" s="80">
        <f t="shared" si="244"/>
        <v>0</v>
      </c>
      <c r="T644" s="15">
        <f t="shared" si="239"/>
        <v>0</v>
      </c>
      <c r="U644" s="15">
        <f>IFERROR((('DATA B3'!E645-'DATA B3'!E644)+('DATA B3'!F645-'DATA B3'!F644))/('WATER_STEAM RATIO'!P644-'WATER_STEAM RATIO'!P643),0)</f>
        <v>0</v>
      </c>
    </row>
    <row r="645" spans="2:21">
      <c r="B645" s="292"/>
      <c r="C645" s="97">
        <v>0.70833333333333304</v>
      </c>
      <c r="D645" s="84">
        <f>'DATA B1'!D646</f>
        <v>0</v>
      </c>
      <c r="E645" s="5">
        <f t="shared" si="245"/>
        <v>0</v>
      </c>
      <c r="F645" s="80">
        <f>'DATA B1'!E646</f>
        <v>0</v>
      </c>
      <c r="G645" s="80">
        <f t="shared" si="240"/>
        <v>0</v>
      </c>
      <c r="H645" s="28">
        <f t="shared" si="226"/>
        <v>0</v>
      </c>
      <c r="I645" s="45">
        <f>IFERROR((('DATA B1'!G646-'DATA B1'!G645)/('WATER_STEAM RATIO'!D645-'WATER_STEAM RATIO'!D644))*1000,0)</f>
        <v>0</v>
      </c>
      <c r="J645" s="50">
        <f>'DATA B2'!D646</f>
        <v>0</v>
      </c>
      <c r="K645" s="82">
        <f t="shared" si="241"/>
        <v>0</v>
      </c>
      <c r="L645" s="80">
        <f>'DATA B2'!E646</f>
        <v>0</v>
      </c>
      <c r="M645" s="80">
        <f t="shared" si="242"/>
        <v>0</v>
      </c>
      <c r="N645" s="28">
        <f t="shared" si="238"/>
        <v>0</v>
      </c>
      <c r="O645" s="51">
        <f>IFERROR((('DATA B2'!F646-'DATA B2'!F645)/(K645))*1000,0)</f>
        <v>0</v>
      </c>
      <c r="P645" s="94">
        <f>'DATA B3'!C646</f>
        <v>0</v>
      </c>
      <c r="Q645" s="91">
        <f t="shared" si="243"/>
        <v>0</v>
      </c>
      <c r="R645" s="80">
        <f>'DATA B3'!D646</f>
        <v>0</v>
      </c>
      <c r="S645" s="80">
        <f t="shared" si="244"/>
        <v>0</v>
      </c>
      <c r="T645" s="15">
        <f t="shared" si="239"/>
        <v>0</v>
      </c>
      <c r="U645" s="15">
        <f>IFERROR((('DATA B3'!E646-'DATA B3'!E645)+('DATA B3'!F646-'DATA B3'!F645))/('WATER_STEAM RATIO'!P645-'WATER_STEAM RATIO'!P644),0)</f>
        <v>0</v>
      </c>
    </row>
    <row r="646" spans="2:21">
      <c r="B646" s="292"/>
      <c r="C646" s="97">
        <v>0.75</v>
      </c>
      <c r="D646" s="84">
        <f>'DATA B1'!D647</f>
        <v>0</v>
      </c>
      <c r="E646" s="5">
        <f t="shared" si="245"/>
        <v>0</v>
      </c>
      <c r="F646" s="80">
        <f>'DATA B1'!E647</f>
        <v>0</v>
      </c>
      <c r="G646" s="80">
        <f t="shared" si="240"/>
        <v>0</v>
      </c>
      <c r="H646" s="28">
        <f t="shared" si="226"/>
        <v>0</v>
      </c>
      <c r="I646" s="45">
        <f>IFERROR((('DATA B1'!G647-'DATA B1'!G646)/('WATER_STEAM RATIO'!D646-'WATER_STEAM RATIO'!D645))*1000,0)</f>
        <v>0</v>
      </c>
      <c r="J646" s="50">
        <f>'DATA B2'!D647</f>
        <v>0</v>
      </c>
      <c r="K646" s="82">
        <f t="shared" si="241"/>
        <v>0</v>
      </c>
      <c r="L646" s="80">
        <f>'DATA B2'!E647</f>
        <v>0</v>
      </c>
      <c r="M646" s="80">
        <f t="shared" si="242"/>
        <v>0</v>
      </c>
      <c r="N646" s="28">
        <f t="shared" si="238"/>
        <v>0</v>
      </c>
      <c r="O646" s="51">
        <f>IFERROR((('DATA B2'!F647-'DATA B2'!F646)/(K646))*1000,0)</f>
        <v>0</v>
      </c>
      <c r="P646" s="94">
        <f>'DATA B3'!C647</f>
        <v>0</v>
      </c>
      <c r="Q646" s="91">
        <f t="shared" si="243"/>
        <v>0</v>
      </c>
      <c r="R646" s="80">
        <f>'DATA B3'!D647</f>
        <v>0</v>
      </c>
      <c r="S646" s="80">
        <f t="shared" si="244"/>
        <v>0</v>
      </c>
      <c r="T646" s="15">
        <f t="shared" si="239"/>
        <v>0</v>
      </c>
      <c r="U646" s="15">
        <f>IFERROR((('DATA B3'!E647-'DATA B3'!E646)+('DATA B3'!F647-'DATA B3'!F646))/('WATER_STEAM RATIO'!P646-'WATER_STEAM RATIO'!P645),0)</f>
        <v>0</v>
      </c>
    </row>
    <row r="647" spans="2:21">
      <c r="B647" s="292"/>
      <c r="C647" s="97">
        <v>0.79166666666666596</v>
      </c>
      <c r="D647" s="84">
        <f>'DATA B1'!D648</f>
        <v>0</v>
      </c>
      <c r="E647" s="5">
        <f t="shared" si="245"/>
        <v>0</v>
      </c>
      <c r="F647" s="80">
        <f>'DATA B1'!E648</f>
        <v>0</v>
      </c>
      <c r="G647" s="80">
        <f t="shared" si="240"/>
        <v>0</v>
      </c>
      <c r="H647" s="28">
        <f t="shared" si="226"/>
        <v>0</v>
      </c>
      <c r="I647" s="45">
        <f>IFERROR((('DATA B1'!G648-'DATA B1'!G647)/('WATER_STEAM RATIO'!D647-'WATER_STEAM RATIO'!D646))*1000,0)</f>
        <v>0</v>
      </c>
      <c r="J647" s="50">
        <f>'DATA B2'!D648</f>
        <v>0</v>
      </c>
      <c r="K647" s="82">
        <f t="shared" si="241"/>
        <v>0</v>
      </c>
      <c r="L647" s="80">
        <f>'DATA B2'!E648</f>
        <v>0</v>
      </c>
      <c r="M647" s="80">
        <f t="shared" si="242"/>
        <v>0</v>
      </c>
      <c r="N647" s="28">
        <f t="shared" si="238"/>
        <v>0</v>
      </c>
      <c r="O647" s="51">
        <f>IFERROR((('DATA B2'!F648-'DATA B2'!F647)/(K647))*1000,0)</f>
        <v>0</v>
      </c>
      <c r="P647" s="94">
        <f>'DATA B3'!C648</f>
        <v>0</v>
      </c>
      <c r="Q647" s="91">
        <f t="shared" si="243"/>
        <v>0</v>
      </c>
      <c r="R647" s="80">
        <f>'DATA B3'!D648</f>
        <v>0</v>
      </c>
      <c r="S647" s="80">
        <f t="shared" si="244"/>
        <v>0</v>
      </c>
      <c r="T647" s="15">
        <f t="shared" si="239"/>
        <v>0</v>
      </c>
      <c r="U647" s="15">
        <f>IFERROR((('DATA B3'!E648-'DATA B3'!E647)+('DATA B3'!F648-'DATA B3'!F647))/('WATER_STEAM RATIO'!P647-'WATER_STEAM RATIO'!P646),0)</f>
        <v>0</v>
      </c>
    </row>
    <row r="648" spans="2:21">
      <c r="B648" s="292"/>
      <c r="C648" s="97">
        <v>0.83333333333333304</v>
      </c>
      <c r="D648" s="84">
        <f>'DATA B1'!D649</f>
        <v>0</v>
      </c>
      <c r="E648" s="5">
        <f t="shared" si="245"/>
        <v>0</v>
      </c>
      <c r="F648" s="80">
        <f>'DATA B1'!E649</f>
        <v>0</v>
      </c>
      <c r="G648" s="80">
        <f t="shared" si="240"/>
        <v>0</v>
      </c>
      <c r="H648" s="28">
        <f t="shared" si="226"/>
        <v>0</v>
      </c>
      <c r="I648" s="45">
        <f>IFERROR((('DATA B1'!G649-'DATA B1'!G648)/('WATER_STEAM RATIO'!D648-'WATER_STEAM RATIO'!D647))*1000,0)</f>
        <v>0</v>
      </c>
      <c r="J648" s="50">
        <f>'DATA B2'!D649</f>
        <v>0</v>
      </c>
      <c r="K648" s="82">
        <f t="shared" si="241"/>
        <v>0</v>
      </c>
      <c r="L648" s="80">
        <f>'DATA B2'!E649</f>
        <v>0</v>
      </c>
      <c r="M648" s="80">
        <f t="shared" si="242"/>
        <v>0</v>
      </c>
      <c r="N648" s="28">
        <f t="shared" si="238"/>
        <v>0</v>
      </c>
      <c r="O648" s="51">
        <f>IFERROR((('DATA B2'!F649-'DATA B2'!F648)/(K648))*1000,0)</f>
        <v>0</v>
      </c>
      <c r="P648" s="94">
        <f>'DATA B3'!C649</f>
        <v>0</v>
      </c>
      <c r="Q648" s="91">
        <f t="shared" si="243"/>
        <v>0</v>
      </c>
      <c r="R648" s="80">
        <f>'DATA B3'!D649</f>
        <v>0</v>
      </c>
      <c r="S648" s="80">
        <f t="shared" si="244"/>
        <v>0</v>
      </c>
      <c r="T648" s="15">
        <f t="shared" si="239"/>
        <v>0</v>
      </c>
      <c r="U648" s="15">
        <f>IFERROR((('DATA B3'!E649-'DATA B3'!E648)+('DATA B3'!F649-'DATA B3'!F648))/('WATER_STEAM RATIO'!P648-'WATER_STEAM RATIO'!P647),0)</f>
        <v>0</v>
      </c>
    </row>
    <row r="649" spans="2:21">
      <c r="B649" s="292"/>
      <c r="C649" s="97">
        <v>0.875</v>
      </c>
      <c r="D649" s="84">
        <f>'DATA B1'!D650</f>
        <v>0</v>
      </c>
      <c r="E649" s="5">
        <f t="shared" si="245"/>
        <v>0</v>
      </c>
      <c r="F649" s="80">
        <f>'DATA B1'!E650</f>
        <v>0</v>
      </c>
      <c r="G649" s="80">
        <f t="shared" si="240"/>
        <v>0</v>
      </c>
      <c r="H649" s="28">
        <f t="shared" si="226"/>
        <v>0</v>
      </c>
      <c r="I649" s="45">
        <f>IFERROR((('DATA B1'!G650-'DATA B1'!G649)/('WATER_STEAM RATIO'!D649-'WATER_STEAM RATIO'!D648))*1000,0)</f>
        <v>0</v>
      </c>
      <c r="J649" s="50">
        <f>'DATA B2'!D650</f>
        <v>0</v>
      </c>
      <c r="K649" s="82">
        <f t="shared" si="241"/>
        <v>0</v>
      </c>
      <c r="L649" s="80">
        <f>'DATA B2'!E650</f>
        <v>0</v>
      </c>
      <c r="M649" s="80">
        <f t="shared" si="242"/>
        <v>0</v>
      </c>
      <c r="N649" s="28">
        <f>IFERROR(M649/K649,0)</f>
        <v>0</v>
      </c>
      <c r="O649" s="51">
        <f>IFERROR((('DATA B2'!F650-'DATA B2'!F649)/(K649))*1000,0)</f>
        <v>0</v>
      </c>
      <c r="P649" s="94">
        <f>'DATA B3'!C650</f>
        <v>0</v>
      </c>
      <c r="Q649" s="91">
        <f t="shared" si="243"/>
        <v>0</v>
      </c>
      <c r="R649" s="80">
        <f>'DATA B3'!D650</f>
        <v>0</v>
      </c>
      <c r="S649" s="80">
        <f t="shared" si="244"/>
        <v>0</v>
      </c>
      <c r="T649" s="15">
        <f t="shared" si="239"/>
        <v>0</v>
      </c>
      <c r="U649" s="15">
        <f>IFERROR((('DATA B3'!E650-'DATA B3'!E649)+('DATA B3'!F650-'DATA B3'!F649))/('WATER_STEAM RATIO'!P649-'WATER_STEAM RATIO'!P648),0)</f>
        <v>0</v>
      </c>
    </row>
    <row r="650" spans="2:21">
      <c r="B650" s="292"/>
      <c r="C650" s="97">
        <v>0.91666666666666596</v>
      </c>
      <c r="D650" s="84">
        <f>'DATA B1'!D651</f>
        <v>0</v>
      </c>
      <c r="E650" s="5">
        <f t="shared" si="245"/>
        <v>0</v>
      </c>
      <c r="F650" s="80">
        <f>'DATA B1'!E651</f>
        <v>0</v>
      </c>
      <c r="G650" s="80">
        <f t="shared" si="240"/>
        <v>0</v>
      </c>
      <c r="H650" s="28">
        <f t="shared" si="226"/>
        <v>0</v>
      </c>
      <c r="I650" s="45">
        <f>IFERROR((('DATA B1'!G651-'DATA B1'!G650)/('WATER_STEAM RATIO'!D650-'WATER_STEAM RATIO'!D649))*1000,0)</f>
        <v>0</v>
      </c>
      <c r="J650" s="50">
        <f>'DATA B2'!D651</f>
        <v>0</v>
      </c>
      <c r="K650" s="82">
        <f t="shared" si="241"/>
        <v>0</v>
      </c>
      <c r="L650" s="80">
        <f>'DATA B2'!E651</f>
        <v>0</v>
      </c>
      <c r="M650" s="80">
        <f t="shared" si="242"/>
        <v>0</v>
      </c>
      <c r="N650" s="28">
        <f t="shared" si="238"/>
        <v>0</v>
      </c>
      <c r="O650" s="51">
        <f>IFERROR((('DATA B2'!F651-'DATA B2'!F650)/(K650))*1000,0)</f>
        <v>0</v>
      </c>
      <c r="P650" s="94">
        <f>'DATA B3'!C651</f>
        <v>0</v>
      </c>
      <c r="Q650" s="91">
        <f t="shared" si="243"/>
        <v>0</v>
      </c>
      <c r="R650" s="80">
        <f>'DATA B3'!D651</f>
        <v>0</v>
      </c>
      <c r="S650" s="80">
        <f t="shared" si="244"/>
        <v>0</v>
      </c>
      <c r="T650" s="15">
        <f t="shared" si="239"/>
        <v>0</v>
      </c>
      <c r="U650" s="15">
        <f>IFERROR((('DATA B3'!E651-'DATA B3'!E650)+('DATA B3'!F651-'DATA B3'!F650))/('WATER_STEAM RATIO'!P650-'WATER_STEAM RATIO'!P649),0)</f>
        <v>0</v>
      </c>
    </row>
    <row r="651" spans="2:21">
      <c r="B651" s="292"/>
      <c r="C651" s="97">
        <v>0.95833333333333304</v>
      </c>
      <c r="D651" s="84">
        <f>'DATA B1'!D652</f>
        <v>0</v>
      </c>
      <c r="E651" s="5">
        <f t="shared" si="245"/>
        <v>0</v>
      </c>
      <c r="F651" s="80">
        <f>'DATA B1'!E652</f>
        <v>0</v>
      </c>
      <c r="G651" s="80">
        <f t="shared" si="240"/>
        <v>0</v>
      </c>
      <c r="H651" s="28">
        <f t="shared" si="226"/>
        <v>0</v>
      </c>
      <c r="I651" s="45">
        <f>IFERROR((('DATA B1'!G652-'DATA B1'!G651)/('WATER_STEAM RATIO'!D651-'WATER_STEAM RATIO'!D650))*1000,0)</f>
        <v>0</v>
      </c>
      <c r="J651" s="50">
        <f>'DATA B2'!D652</f>
        <v>0</v>
      </c>
      <c r="K651" s="82">
        <f>SUM(J651-J650)</f>
        <v>0</v>
      </c>
      <c r="L651" s="80">
        <f>'DATA B2'!E652</f>
        <v>0</v>
      </c>
      <c r="M651" s="80">
        <f t="shared" si="242"/>
        <v>0</v>
      </c>
      <c r="N651" s="28">
        <f t="shared" si="238"/>
        <v>0</v>
      </c>
      <c r="O651" s="51">
        <f>IFERROR((('DATA B2'!F652-'DATA B2'!F651)/(K651))*1000,0)</f>
        <v>0</v>
      </c>
      <c r="P651" s="94">
        <f>'DATA B3'!C652</f>
        <v>0</v>
      </c>
      <c r="Q651" s="91">
        <f t="shared" si="243"/>
        <v>0</v>
      </c>
      <c r="R651" s="80">
        <f>'DATA B3'!D652</f>
        <v>0</v>
      </c>
      <c r="S651" s="80">
        <f t="shared" si="244"/>
        <v>0</v>
      </c>
      <c r="T651" s="15">
        <f t="shared" si="239"/>
        <v>0</v>
      </c>
      <c r="U651" s="15">
        <f>IFERROR((('DATA B3'!E652-'DATA B3'!E651)+('DATA B3'!F652-'DATA B3'!F651))/('WATER_STEAM RATIO'!P651-'WATER_STEAM RATIO'!P650),0)</f>
        <v>0</v>
      </c>
    </row>
    <row r="652" spans="2:21">
      <c r="B652" s="292"/>
      <c r="C652" s="97">
        <v>1</v>
      </c>
      <c r="D652" s="84">
        <f>'DATA B1'!D653</f>
        <v>0</v>
      </c>
      <c r="E652" s="5">
        <f t="shared" si="245"/>
        <v>0</v>
      </c>
      <c r="F652" s="80">
        <f>'DATA B1'!E653</f>
        <v>0</v>
      </c>
      <c r="G652" s="80">
        <f t="shared" si="240"/>
        <v>0</v>
      </c>
      <c r="H652" s="28">
        <f t="shared" si="226"/>
        <v>0</v>
      </c>
      <c r="I652" s="45">
        <f>IFERROR((('DATA B1'!G653-'DATA B1'!G652)/('WATER_STEAM RATIO'!D652-'WATER_STEAM RATIO'!D651))*1000,0)</f>
        <v>0</v>
      </c>
      <c r="J652" s="50">
        <f>'DATA B2'!D653</f>
        <v>0</v>
      </c>
      <c r="K652" s="82">
        <f t="shared" si="241"/>
        <v>0</v>
      </c>
      <c r="L652" s="80">
        <f>'DATA B2'!E653</f>
        <v>0</v>
      </c>
      <c r="M652" s="80">
        <f t="shared" si="242"/>
        <v>0</v>
      </c>
      <c r="N652" s="28">
        <f t="shared" si="238"/>
        <v>0</v>
      </c>
      <c r="O652" s="51">
        <f>IFERROR((('DATA B2'!F653-'DATA B2'!F652)/(K652))*1000,0)</f>
        <v>0</v>
      </c>
      <c r="P652" s="94">
        <f>'DATA B3'!C653</f>
        <v>0</v>
      </c>
      <c r="Q652" s="91">
        <f t="shared" si="243"/>
        <v>0</v>
      </c>
      <c r="R652" s="80">
        <f>'DATA B3'!D653</f>
        <v>0</v>
      </c>
      <c r="S652" s="80">
        <f t="shared" si="244"/>
        <v>0</v>
      </c>
      <c r="T652" s="15">
        <f t="shared" si="239"/>
        <v>0</v>
      </c>
      <c r="U652" s="15">
        <f>IFERROR((('DATA B3'!E653-'DATA B3'!E652)+('DATA B3'!F653-'DATA B3'!F652))/('WATER_STEAM RATIO'!P652-'WATER_STEAM RATIO'!P651),0)</f>
        <v>0</v>
      </c>
    </row>
    <row r="653" spans="2:21">
      <c r="B653" s="292"/>
      <c r="C653" s="97">
        <v>1.0416666666666701</v>
      </c>
      <c r="D653" s="84">
        <f>'DATA B1'!D654</f>
        <v>0</v>
      </c>
      <c r="E653" s="5">
        <f t="shared" si="245"/>
        <v>0</v>
      </c>
      <c r="F653" s="80">
        <f>'DATA B1'!E654</f>
        <v>0</v>
      </c>
      <c r="G653" s="80">
        <f t="shared" si="240"/>
        <v>0</v>
      </c>
      <c r="H653" s="28">
        <f t="shared" si="226"/>
        <v>0</v>
      </c>
      <c r="I653" s="45">
        <f>IFERROR((('DATA B1'!G654-'DATA B1'!G653)/('WATER_STEAM RATIO'!D653-'WATER_STEAM RATIO'!D652))*1000,0)</f>
        <v>0</v>
      </c>
      <c r="J653" s="50">
        <f>'DATA B2'!D654</f>
        <v>0</v>
      </c>
      <c r="K653" s="82">
        <f t="shared" si="241"/>
        <v>0</v>
      </c>
      <c r="L653" s="80">
        <f>'DATA B2'!E654</f>
        <v>0</v>
      </c>
      <c r="M653" s="80">
        <f t="shared" si="242"/>
        <v>0</v>
      </c>
      <c r="N653" s="28">
        <f t="shared" si="238"/>
        <v>0</v>
      </c>
      <c r="O653" s="51">
        <f>IFERROR((('DATA B2'!F654-'DATA B2'!F653)/(K653))*1000,0)</f>
        <v>0</v>
      </c>
      <c r="P653" s="94">
        <f>'DATA B3'!C654</f>
        <v>0</v>
      </c>
      <c r="Q653" s="91">
        <f t="shared" si="243"/>
        <v>0</v>
      </c>
      <c r="R653" s="80">
        <f>'DATA B3'!D654</f>
        <v>0</v>
      </c>
      <c r="S653" s="80">
        <f t="shared" si="244"/>
        <v>0</v>
      </c>
      <c r="T653" s="15">
        <f t="shared" si="239"/>
        <v>0</v>
      </c>
      <c r="U653" s="15">
        <f>IFERROR((('DATA B3'!E654-'DATA B3'!E653)+('DATA B3'!F654-'DATA B3'!F653))/('WATER_STEAM RATIO'!P653-'WATER_STEAM RATIO'!P652),0)</f>
        <v>0</v>
      </c>
    </row>
    <row r="654" spans="2:21">
      <c r="B654" s="292"/>
      <c r="C654" s="97">
        <v>1.0833333333333399</v>
      </c>
      <c r="D654" s="84">
        <f>'DATA B1'!D655</f>
        <v>0</v>
      </c>
      <c r="E654" s="5">
        <f>SUM(D654-D653)</f>
        <v>0</v>
      </c>
      <c r="F654" s="80">
        <f>'DATA B1'!E655</f>
        <v>0</v>
      </c>
      <c r="G654" s="80">
        <f t="shared" si="240"/>
        <v>0</v>
      </c>
      <c r="H654" s="28">
        <f t="shared" ref="H654:H717" si="246" xml:space="preserve"> IFERROR(G654/E654,0)</f>
        <v>0</v>
      </c>
      <c r="I654" s="45">
        <f>IFERROR((('DATA B1'!G655-'DATA B1'!G654)/('WATER_STEAM RATIO'!D654-'WATER_STEAM RATIO'!D653))*1000,0)</f>
        <v>0</v>
      </c>
      <c r="J654" s="50">
        <f>'DATA B2'!D655</f>
        <v>0</v>
      </c>
      <c r="K654" s="82">
        <f t="shared" si="241"/>
        <v>0</v>
      </c>
      <c r="L654" s="80">
        <f>'DATA B2'!E655</f>
        <v>0</v>
      </c>
      <c r="M654" s="80">
        <f t="shared" si="242"/>
        <v>0</v>
      </c>
      <c r="N654" s="28">
        <f t="shared" si="238"/>
        <v>0</v>
      </c>
      <c r="O654" s="51">
        <f>IFERROR((('DATA B2'!F655-'DATA B2'!F654)/(K654))*1000,0)</f>
        <v>0</v>
      </c>
      <c r="P654" s="94">
        <f>'DATA B3'!C655</f>
        <v>0</v>
      </c>
      <c r="Q654" s="91">
        <f>SUM(P654-P653)</f>
        <v>0</v>
      </c>
      <c r="R654" s="80">
        <f>'DATA B3'!D655</f>
        <v>0</v>
      </c>
      <c r="S654" s="80">
        <f t="shared" si="244"/>
        <v>0</v>
      </c>
      <c r="T654" s="15">
        <f t="shared" si="239"/>
        <v>0</v>
      </c>
      <c r="U654" s="15">
        <f>IFERROR((('DATA B3'!E655-'DATA B3'!E654)+('DATA B3'!F655-'DATA B3'!F654))/('WATER_STEAM RATIO'!P654-'WATER_STEAM RATIO'!P653),0)</f>
        <v>0</v>
      </c>
    </row>
    <row r="655" spans="2:21">
      <c r="B655" s="292"/>
      <c r="C655" s="97">
        <v>1.125</v>
      </c>
      <c r="D655" s="84">
        <f>'DATA B1'!D656</f>
        <v>0</v>
      </c>
      <c r="E655" s="5">
        <f t="shared" si="245"/>
        <v>0</v>
      </c>
      <c r="F655" s="80">
        <f>'DATA B1'!E656</f>
        <v>0</v>
      </c>
      <c r="G655" s="80">
        <f t="shared" si="240"/>
        <v>0</v>
      </c>
      <c r="H655" s="28">
        <f t="shared" si="246"/>
        <v>0</v>
      </c>
      <c r="I655" s="45">
        <f>IFERROR((('DATA B1'!G656-'DATA B1'!G655)/('WATER_STEAM RATIO'!D655-'WATER_STEAM RATIO'!D654))*1000,0)</f>
        <v>0</v>
      </c>
      <c r="J655" s="50">
        <f>'DATA B2'!D656</f>
        <v>0</v>
      </c>
      <c r="K655" s="82">
        <f t="shared" si="241"/>
        <v>0</v>
      </c>
      <c r="L655" s="80">
        <f>'DATA B2'!E656</f>
        <v>0</v>
      </c>
      <c r="M655" s="80">
        <f t="shared" si="242"/>
        <v>0</v>
      </c>
      <c r="N655" s="28">
        <f t="shared" si="238"/>
        <v>0</v>
      </c>
      <c r="O655" s="51">
        <f>IFERROR((('DATA B2'!F656-'DATA B2'!F655)/(K655))*1000,0)</f>
        <v>0</v>
      </c>
      <c r="P655" s="94">
        <f>'DATA B3'!C656</f>
        <v>0</v>
      </c>
      <c r="Q655" s="91">
        <f t="shared" si="243"/>
        <v>0</v>
      </c>
      <c r="R655" s="80">
        <f>'DATA B3'!D656</f>
        <v>0</v>
      </c>
      <c r="S655" s="80">
        <f t="shared" si="244"/>
        <v>0</v>
      </c>
      <c r="T655" s="15">
        <f t="shared" si="239"/>
        <v>0</v>
      </c>
      <c r="U655" s="15">
        <f>IFERROR((('DATA B3'!E656-'DATA B3'!E655)+('DATA B3'!F656-'DATA B3'!F655))/('WATER_STEAM RATIO'!P655-'WATER_STEAM RATIO'!P654),0)</f>
        <v>0</v>
      </c>
    </row>
    <row r="656" spans="2:21">
      <c r="B656" s="292"/>
      <c r="C656" s="97">
        <v>1.1666666666666701</v>
      </c>
      <c r="D656" s="84">
        <f>'DATA B1'!D657</f>
        <v>0</v>
      </c>
      <c r="E656" s="5">
        <f t="shared" si="245"/>
        <v>0</v>
      </c>
      <c r="F656" s="80">
        <f>'DATA B1'!E657</f>
        <v>0</v>
      </c>
      <c r="G656" s="80">
        <f t="shared" si="240"/>
        <v>0</v>
      </c>
      <c r="H656" s="28">
        <f t="shared" si="246"/>
        <v>0</v>
      </c>
      <c r="I656" s="45">
        <f>IFERROR((('DATA B1'!G657-'DATA B1'!G656)/('WATER_STEAM RATIO'!D656-'WATER_STEAM RATIO'!D655))*1000,0)</f>
        <v>0</v>
      </c>
      <c r="J656" s="50">
        <f>'DATA B2'!D657</f>
        <v>0</v>
      </c>
      <c r="K656" s="82">
        <f t="shared" si="241"/>
        <v>0</v>
      </c>
      <c r="L656" s="80">
        <f>'DATA B2'!E657</f>
        <v>0</v>
      </c>
      <c r="M656" s="80">
        <f t="shared" si="242"/>
        <v>0</v>
      </c>
      <c r="N656" s="28">
        <f t="shared" si="238"/>
        <v>0</v>
      </c>
      <c r="O656" s="51">
        <f>IFERROR((('DATA B2'!F657-'DATA B2'!F656)/(K656))*1000,0)</f>
        <v>0</v>
      </c>
      <c r="P656" s="94">
        <f>'DATA B3'!C657</f>
        <v>0</v>
      </c>
      <c r="Q656" s="91">
        <f t="shared" si="243"/>
        <v>0</v>
      </c>
      <c r="R656" s="80">
        <f>'DATA B3'!D657</f>
        <v>0</v>
      </c>
      <c r="S656" s="80">
        <f t="shared" si="244"/>
        <v>0</v>
      </c>
      <c r="T656" s="15">
        <f t="shared" si="239"/>
        <v>0</v>
      </c>
      <c r="U656" s="15">
        <f>IFERROR((('DATA B3'!E657-'DATA B3'!E656)+('DATA B3'!F657-'DATA B3'!F656))/('WATER_STEAM RATIO'!P656-'WATER_STEAM RATIO'!P655),0)</f>
        <v>0</v>
      </c>
    </row>
    <row r="657" spans="2:21">
      <c r="B657" s="292"/>
      <c r="C657" s="97">
        <v>1.2083333333333399</v>
      </c>
      <c r="D657" s="84">
        <f>'DATA B1'!D658</f>
        <v>0</v>
      </c>
      <c r="E657" s="5">
        <f t="shared" si="245"/>
        <v>0</v>
      </c>
      <c r="F657" s="80">
        <f>'DATA B1'!E658</f>
        <v>0</v>
      </c>
      <c r="G657" s="80">
        <f t="shared" si="240"/>
        <v>0</v>
      </c>
      <c r="H657" s="28">
        <f t="shared" si="246"/>
        <v>0</v>
      </c>
      <c r="I657" s="45">
        <f>IFERROR((('DATA B1'!G658-'DATA B1'!G657)/('WATER_STEAM RATIO'!D657-'WATER_STEAM RATIO'!D656))*1000,0)</f>
        <v>0</v>
      </c>
      <c r="J657" s="50">
        <f>'DATA B2'!D658</f>
        <v>0</v>
      </c>
      <c r="K657" s="82">
        <f t="shared" si="241"/>
        <v>0</v>
      </c>
      <c r="L657" s="80">
        <f>'DATA B2'!E658</f>
        <v>0</v>
      </c>
      <c r="M657" s="80">
        <f t="shared" si="242"/>
        <v>0</v>
      </c>
      <c r="N657" s="28">
        <f t="shared" si="238"/>
        <v>0</v>
      </c>
      <c r="O657" s="51">
        <f>IFERROR((('DATA B2'!F658-'DATA B2'!F657)/(K657))*1000,0)</f>
        <v>0</v>
      </c>
      <c r="P657" s="94">
        <f>'DATA B3'!C658</f>
        <v>0</v>
      </c>
      <c r="Q657" s="91">
        <f t="shared" si="243"/>
        <v>0</v>
      </c>
      <c r="R657" s="80">
        <f>'DATA B3'!D658</f>
        <v>0</v>
      </c>
      <c r="S657" s="80">
        <f t="shared" si="244"/>
        <v>0</v>
      </c>
      <c r="T657" s="15">
        <f t="shared" si="239"/>
        <v>0</v>
      </c>
      <c r="U657" s="15">
        <f>IFERROR((('DATA B3'!E658-'DATA B3'!E657)+('DATA B3'!F658-'DATA B3'!F657))/('WATER_STEAM RATIO'!P657-'WATER_STEAM RATIO'!P656),0)</f>
        <v>0</v>
      </c>
    </row>
    <row r="658" spans="2:21">
      <c r="B658" s="292"/>
      <c r="C658" s="97">
        <v>1.25</v>
      </c>
      <c r="D658" s="84">
        <f>'DATA B1'!D659</f>
        <v>0</v>
      </c>
      <c r="E658" s="5">
        <f t="shared" si="245"/>
        <v>0</v>
      </c>
      <c r="F658" s="80">
        <f>'DATA B1'!E659</f>
        <v>0</v>
      </c>
      <c r="G658" s="80">
        <f t="shared" si="240"/>
        <v>0</v>
      </c>
      <c r="H658" s="28">
        <f t="shared" si="246"/>
        <v>0</v>
      </c>
      <c r="I658" s="45">
        <f>IFERROR((('DATA B1'!G659-'DATA B1'!G658)/('WATER_STEAM RATIO'!D658-'WATER_STEAM RATIO'!D657))*1000,0)</f>
        <v>0</v>
      </c>
      <c r="J658" s="50">
        <f>'DATA B2'!D659</f>
        <v>0</v>
      </c>
      <c r="K658" s="82">
        <f t="shared" si="241"/>
        <v>0</v>
      </c>
      <c r="L658" s="80">
        <f>'DATA B2'!E659</f>
        <v>0</v>
      </c>
      <c r="M658" s="80">
        <f t="shared" si="242"/>
        <v>0</v>
      </c>
      <c r="N658" s="28">
        <f t="shared" si="238"/>
        <v>0</v>
      </c>
      <c r="O658" s="51">
        <f>IFERROR((('DATA B2'!F659-'DATA B2'!F658)/(K658))*1000,0)</f>
        <v>0</v>
      </c>
      <c r="P658" s="94">
        <f>'DATA B3'!C659</f>
        <v>0</v>
      </c>
      <c r="Q658" s="91">
        <f t="shared" si="243"/>
        <v>0</v>
      </c>
      <c r="R658" s="80">
        <f>'DATA B3'!D659</f>
        <v>0</v>
      </c>
      <c r="S658" s="80">
        <f t="shared" si="244"/>
        <v>0</v>
      </c>
      <c r="T658" s="15">
        <f t="shared" si="239"/>
        <v>0</v>
      </c>
      <c r="U658" s="15">
        <f>IFERROR((('DATA B3'!E659-'DATA B3'!E658)+('DATA B3'!F659-'DATA B3'!F658))/('WATER_STEAM RATIO'!P658-'WATER_STEAM RATIO'!P657),0)</f>
        <v>0</v>
      </c>
    </row>
    <row r="659" spans="2:21">
      <c r="B659" s="292"/>
      <c r="C659" s="97">
        <v>1.2916666666666701</v>
      </c>
      <c r="D659" s="84">
        <f>'DATA B1'!D660</f>
        <v>0</v>
      </c>
      <c r="E659" s="5">
        <f t="shared" si="245"/>
        <v>0</v>
      </c>
      <c r="F659" s="80">
        <f>'DATA B1'!E660</f>
        <v>0</v>
      </c>
      <c r="G659" s="80">
        <f t="shared" si="240"/>
        <v>0</v>
      </c>
      <c r="H659" s="28">
        <f t="shared" si="246"/>
        <v>0</v>
      </c>
      <c r="I659" s="45">
        <f>IFERROR((('DATA B1'!G660-'DATA B1'!G659)/('WATER_STEAM RATIO'!D659-'WATER_STEAM RATIO'!D658))*1000,0)</f>
        <v>0</v>
      </c>
      <c r="J659" s="50">
        <f>'DATA B2'!D660</f>
        <v>0</v>
      </c>
      <c r="K659" s="82">
        <f>SUM(J659-J658)</f>
        <v>0</v>
      </c>
      <c r="L659" s="80">
        <f>'DATA B2'!E660</f>
        <v>0</v>
      </c>
      <c r="M659" s="80">
        <f t="shared" si="242"/>
        <v>0</v>
      </c>
      <c r="N659" s="28">
        <f t="shared" si="238"/>
        <v>0</v>
      </c>
      <c r="O659" s="51">
        <f>IFERROR((('DATA B2'!F660-'DATA B2'!F659)/(K659))*1000,0)</f>
        <v>0</v>
      </c>
      <c r="P659" s="94">
        <f>'DATA B3'!C660</f>
        <v>0</v>
      </c>
      <c r="Q659" s="91">
        <f t="shared" si="243"/>
        <v>0</v>
      </c>
      <c r="R659" s="80">
        <f>'DATA B3'!D660</f>
        <v>0</v>
      </c>
      <c r="S659" s="80">
        <f t="shared" si="244"/>
        <v>0</v>
      </c>
      <c r="T659" s="15">
        <f t="shared" si="239"/>
        <v>0</v>
      </c>
      <c r="U659" s="15">
        <f>IFERROR((('DATA B3'!E660-'DATA B3'!E659)+('DATA B3'!F660-'DATA B3'!F659))/('WATER_STEAM RATIO'!P659-'WATER_STEAM RATIO'!P658),0)</f>
        <v>0</v>
      </c>
    </row>
    <row r="660" spans="2:21" ht="15.75" thickBot="1">
      <c r="B660" s="293"/>
      <c r="C660" s="235"/>
      <c r="D660" s="224" cm="1">
        <f t="array" ref="D660">IFERROR(LOOKUP(2,1/(D635:D659&gt;0),D635:D659-D635),0)</f>
        <v>0</v>
      </c>
      <c r="E660" s="223">
        <f>SUMIF(E636:E659,"&gt;=0",E636:E659)</f>
        <v>0</v>
      </c>
      <c r="F660" s="224" cm="1">
        <f t="array" ref="F660">IFERROR(LOOKUP(2,1/(F635:F659&gt;0),F635:F659-F635),0)</f>
        <v>0</v>
      </c>
      <c r="G660" s="223">
        <f>SUMIF(G636:G659,"&gt;=0",G636:G659)</f>
        <v>0</v>
      </c>
      <c r="H660" s="225">
        <f t="shared" si="246"/>
        <v>0</v>
      </c>
      <c r="I660" s="236">
        <f>IFERROR((('DATA B1'!H661)/(E660))*1000,0)</f>
        <v>0</v>
      </c>
      <c r="J660" s="222" cm="1">
        <f t="array" ref="J660">IFERROR(LOOKUP(2,1/(J635:J659&gt;0),J635:J659-J635),0)</f>
        <v>0</v>
      </c>
      <c r="K660" s="223">
        <f>SUMIF(K636:K659,"&gt;=0",K636:K659)</f>
        <v>0</v>
      </c>
      <c r="L660" s="224" cm="1">
        <f t="array" ref="L660">IFERROR(LOOKUP(2,1/(L635:L659&gt;0),L635:L659-L635),0)</f>
        <v>0</v>
      </c>
      <c r="M660" s="223">
        <f>SUMIF(M636:M659,"&gt;=0",M636:M659)</f>
        <v>0</v>
      </c>
      <c r="N660" s="225">
        <f>IFERROR(M660/K660,0)</f>
        <v>0</v>
      </c>
      <c r="O660" s="226">
        <f>IFERROR((('DATA B2'!H661)/(K660))*1000,0)</f>
        <v>0</v>
      </c>
      <c r="P660" s="224" cm="1">
        <f t="array" ref="P660">IFERROR(LOOKUP(2,1/(P635:P659&gt;0),P635:P659-P635),0)</f>
        <v>0</v>
      </c>
      <c r="Q660" s="223">
        <f>SUMIF(Q636:Q659,"&gt;=0",Q636:Q659)</f>
        <v>0</v>
      </c>
      <c r="R660" s="224" cm="1">
        <f t="array" ref="R660">IFERROR(LOOKUP(2,1/(R635:R659&gt;0),R635:R659-R635),0)</f>
        <v>0</v>
      </c>
      <c r="S660" s="223">
        <f>SUMIF(S636:S659,"&gt;=0",S636:S659)</f>
        <v>0</v>
      </c>
      <c r="T660" s="237">
        <f t="shared" si="239"/>
        <v>0</v>
      </c>
      <c r="U660" s="226">
        <f>IFERROR(('DATA B3'!E661+'DATA B3'!F661)/Q660*1000,0)</f>
        <v>0</v>
      </c>
    </row>
    <row r="661" spans="2:21" ht="15" customHeight="1">
      <c r="B661" s="291">
        <f>SUM('DATA B1'!B662:B687)</f>
        <v>46048</v>
      </c>
      <c r="C661" s="97">
        <v>0.29166666666666669</v>
      </c>
      <c r="D661" s="84">
        <f>'DATA B1'!D662</f>
        <v>0</v>
      </c>
      <c r="E661" s="5">
        <f>SUM(E659)</f>
        <v>0</v>
      </c>
      <c r="F661" s="80">
        <f>'DATA B1'!E662</f>
        <v>0</v>
      </c>
      <c r="G661" s="80">
        <f>SUM(G659)</f>
        <v>0</v>
      </c>
      <c r="H661" s="28">
        <f t="shared" si="246"/>
        <v>0</v>
      </c>
      <c r="I661" s="45"/>
      <c r="J661" s="50">
        <f>'DATA B2'!D662</f>
        <v>0</v>
      </c>
      <c r="K661" s="82">
        <f>SUM(K659)</f>
        <v>0</v>
      </c>
      <c r="L661" s="80">
        <f>'DATA B2'!E662</f>
        <v>0</v>
      </c>
      <c r="M661" s="80">
        <f>SUM(M659)</f>
        <v>0</v>
      </c>
      <c r="N661" s="28">
        <f>IFERROR(M661/K661,0)</f>
        <v>0</v>
      </c>
      <c r="O661" s="103"/>
      <c r="P661" s="94">
        <f>'DATA B3'!C662</f>
        <v>0</v>
      </c>
      <c r="Q661" s="91">
        <f>SUM(Q659)</f>
        <v>0</v>
      </c>
      <c r="R661" s="80">
        <f>'DATA B3'!D662</f>
        <v>0</v>
      </c>
      <c r="S661" s="80">
        <f>SUM(S659)</f>
        <v>0</v>
      </c>
      <c r="T661" s="15">
        <f>IFERROR(S661/Q661,0)</f>
        <v>0</v>
      </c>
      <c r="U661" s="15"/>
    </row>
    <row r="662" spans="2:21">
      <c r="B662" s="292"/>
      <c r="C662" s="97">
        <v>0.33333333333333298</v>
      </c>
      <c r="D662" s="84">
        <f>'DATA B1'!D663</f>
        <v>0</v>
      </c>
      <c r="E662" s="5">
        <f t="shared" ref="E662:E668" si="247">SUM(D662-D661)</f>
        <v>0</v>
      </c>
      <c r="F662" s="80">
        <f>'DATA B1'!E663</f>
        <v>0</v>
      </c>
      <c r="G662" s="80">
        <f>SUM(F662-F661)</f>
        <v>0</v>
      </c>
      <c r="H662" s="28">
        <f t="shared" si="246"/>
        <v>0</v>
      </c>
      <c r="I662" s="45">
        <f>IFERROR((('DATA B1'!G663-'DATA B1'!G662)/('WATER_STEAM RATIO'!D662-'WATER_STEAM RATIO'!D661))*1000,0)</f>
        <v>0</v>
      </c>
      <c r="J662" s="50">
        <f>'DATA B2'!D663</f>
        <v>0</v>
      </c>
      <c r="K662" s="82">
        <f>SUM(J662-J661)</f>
        <v>0</v>
      </c>
      <c r="L662" s="80">
        <f>'DATA B2'!E663</f>
        <v>0</v>
      </c>
      <c r="M662" s="80">
        <f>SUM(L662-L661)</f>
        <v>0</v>
      </c>
      <c r="N662" s="28">
        <f t="shared" ref="N662:N685" si="248">IFERROR(M662/K662,0)</f>
        <v>0</v>
      </c>
      <c r="O662" s="51">
        <f>IFERROR((('DATA B2'!F663-'DATA B2'!F662)/(K662))*1000,0)</f>
        <v>0</v>
      </c>
      <c r="P662" s="94">
        <f>'DATA B3'!C663</f>
        <v>0</v>
      </c>
      <c r="Q662" s="91">
        <f>SUM(P662-P661)</f>
        <v>0</v>
      </c>
      <c r="R662" s="80">
        <f>'DATA B3'!D663</f>
        <v>0</v>
      </c>
      <c r="S662" s="80">
        <f>SUM(R662-R661)</f>
        <v>0</v>
      </c>
      <c r="T662" s="15">
        <f t="shared" ref="T662:T686" si="249">IFERROR(S662/Q662,0)</f>
        <v>0</v>
      </c>
      <c r="U662" s="15">
        <f>IFERROR((('DATA B3'!E663-'DATA B3'!E662)+('DATA B3'!F663-'DATA B3'!F662))/('WATER_STEAM RATIO'!P662-'WATER_STEAM RATIO'!P661),0)</f>
        <v>0</v>
      </c>
    </row>
    <row r="663" spans="2:21">
      <c r="B663" s="292"/>
      <c r="C663" s="97">
        <v>0.375</v>
      </c>
      <c r="D663" s="84">
        <f>'DATA B1'!D664</f>
        <v>0</v>
      </c>
      <c r="E663" s="5">
        <f t="shared" si="247"/>
        <v>0</v>
      </c>
      <c r="F663" s="80">
        <f>'DATA B1'!E664</f>
        <v>0</v>
      </c>
      <c r="G663" s="80">
        <f t="shared" ref="G663:G685" si="250">SUM(F663-F662)</f>
        <v>0</v>
      </c>
      <c r="H663" s="28">
        <f t="shared" si="246"/>
        <v>0</v>
      </c>
      <c r="I663" s="45">
        <f>IFERROR((('DATA B1'!G664-'DATA B1'!G663)/('WATER_STEAM RATIO'!D663-'WATER_STEAM RATIO'!D662))*1000,0)</f>
        <v>0</v>
      </c>
      <c r="J663" s="50">
        <f>'DATA B2'!D664</f>
        <v>0</v>
      </c>
      <c r="K663" s="82">
        <f t="shared" ref="K663:K684" si="251">SUM(J663-J662)</f>
        <v>0</v>
      </c>
      <c r="L663" s="80">
        <f>'DATA B2'!E664</f>
        <v>0</v>
      </c>
      <c r="M663" s="80">
        <f t="shared" ref="M663:M685" si="252">SUM(L663-L662)</f>
        <v>0</v>
      </c>
      <c r="N663" s="28">
        <f t="shared" si="248"/>
        <v>0</v>
      </c>
      <c r="O663" s="51">
        <f>IFERROR((('DATA B2'!F664-'DATA B2'!F663)/(K663))*1000,0)</f>
        <v>0</v>
      </c>
      <c r="P663" s="94">
        <f>'DATA B3'!C664</f>
        <v>0</v>
      </c>
      <c r="Q663" s="91">
        <f t="shared" ref="Q663:Q685" si="253">SUM(P663-P662)</f>
        <v>0</v>
      </c>
      <c r="R663" s="80">
        <f>'DATA B3'!D664</f>
        <v>0</v>
      </c>
      <c r="S663" s="80">
        <f t="shared" ref="S663:S685" si="254">SUM(R663-R662)</f>
        <v>0</v>
      </c>
      <c r="T663" s="15">
        <f t="shared" si="249"/>
        <v>0</v>
      </c>
      <c r="U663" s="15">
        <f>IFERROR((('DATA B3'!E664-'DATA B3'!E663)+('DATA B3'!F664-'DATA B3'!F663))/('WATER_STEAM RATIO'!P663-'WATER_STEAM RATIO'!P662),0)</f>
        <v>0</v>
      </c>
    </row>
    <row r="664" spans="2:21">
      <c r="B664" s="292"/>
      <c r="C664" s="97">
        <v>0.41666666666666702</v>
      </c>
      <c r="D664" s="84">
        <f>'DATA B1'!D665</f>
        <v>0</v>
      </c>
      <c r="E664" s="5">
        <f t="shared" si="247"/>
        <v>0</v>
      </c>
      <c r="F664" s="80">
        <f>'DATA B1'!E665</f>
        <v>0</v>
      </c>
      <c r="G664" s="80">
        <f t="shared" si="250"/>
        <v>0</v>
      </c>
      <c r="H664" s="28">
        <f t="shared" si="246"/>
        <v>0</v>
      </c>
      <c r="I664" s="45">
        <f>IFERROR((('DATA B1'!G665-'DATA B1'!G664)/('WATER_STEAM RATIO'!D664-'WATER_STEAM RATIO'!D663))*1000,0)</f>
        <v>0</v>
      </c>
      <c r="J664" s="50">
        <f>'DATA B2'!D665</f>
        <v>0</v>
      </c>
      <c r="K664" s="82">
        <f t="shared" si="251"/>
        <v>0</v>
      </c>
      <c r="L664" s="80">
        <f>'DATA B2'!E665</f>
        <v>0</v>
      </c>
      <c r="M664" s="80">
        <f t="shared" si="252"/>
        <v>0</v>
      </c>
      <c r="N664" s="28">
        <f t="shared" si="248"/>
        <v>0</v>
      </c>
      <c r="O664" s="51">
        <f>IFERROR((('DATA B2'!F665-'DATA B2'!F664)/(K664))*1000,0)</f>
        <v>0</v>
      </c>
      <c r="P664" s="94">
        <f>'DATA B3'!C665</f>
        <v>0</v>
      </c>
      <c r="Q664" s="91">
        <f t="shared" si="253"/>
        <v>0</v>
      </c>
      <c r="R664" s="80">
        <f>'DATA B3'!D665</f>
        <v>0</v>
      </c>
      <c r="S664" s="80">
        <f t="shared" si="254"/>
        <v>0</v>
      </c>
      <c r="T664" s="15">
        <f t="shared" si="249"/>
        <v>0</v>
      </c>
      <c r="U664" s="15">
        <f>IFERROR((('DATA B3'!E665-'DATA B3'!E664)+('DATA B3'!F665-'DATA B3'!F664))/('WATER_STEAM RATIO'!P664-'WATER_STEAM RATIO'!P663),0)</f>
        <v>0</v>
      </c>
    </row>
    <row r="665" spans="2:21">
      <c r="B665" s="292"/>
      <c r="C665" s="97">
        <v>0.45833333333333298</v>
      </c>
      <c r="D665" s="84">
        <f>'DATA B1'!D666</f>
        <v>0</v>
      </c>
      <c r="E665" s="5">
        <f t="shared" si="247"/>
        <v>0</v>
      </c>
      <c r="F665" s="80">
        <f>'DATA B1'!E666</f>
        <v>0</v>
      </c>
      <c r="G665" s="80">
        <f t="shared" si="250"/>
        <v>0</v>
      </c>
      <c r="H665" s="28">
        <f t="shared" si="246"/>
        <v>0</v>
      </c>
      <c r="I665" s="45">
        <f>IFERROR((('DATA B1'!G666-'DATA B1'!G665)/('WATER_STEAM RATIO'!D665-'WATER_STEAM RATIO'!D664))*1000,0)</f>
        <v>0</v>
      </c>
      <c r="J665" s="50">
        <f>'DATA B2'!D666</f>
        <v>0</v>
      </c>
      <c r="K665" s="82">
        <f t="shared" si="251"/>
        <v>0</v>
      </c>
      <c r="L665" s="80">
        <f>'DATA B2'!E666</f>
        <v>0</v>
      </c>
      <c r="M665" s="80">
        <f t="shared" si="252"/>
        <v>0</v>
      </c>
      <c r="N665" s="28">
        <f t="shared" si="248"/>
        <v>0</v>
      </c>
      <c r="O665" s="51">
        <f>IFERROR((('DATA B2'!F666-'DATA B2'!F665)/(K665))*1000,0)</f>
        <v>0</v>
      </c>
      <c r="P665" s="94">
        <f>'DATA B3'!C666</f>
        <v>0</v>
      </c>
      <c r="Q665" s="91">
        <f t="shared" si="253"/>
        <v>0</v>
      </c>
      <c r="R665" s="80">
        <f>'DATA B3'!D666</f>
        <v>0</v>
      </c>
      <c r="S665" s="80">
        <f t="shared" si="254"/>
        <v>0</v>
      </c>
      <c r="T665" s="15">
        <f t="shared" si="249"/>
        <v>0</v>
      </c>
      <c r="U665" s="15">
        <f>IFERROR((('DATA B3'!E666-'DATA B3'!E665)+('DATA B3'!F666-'DATA B3'!F665))/('WATER_STEAM RATIO'!P665-'WATER_STEAM RATIO'!P664),0)</f>
        <v>0</v>
      </c>
    </row>
    <row r="666" spans="2:21">
      <c r="B666" s="292"/>
      <c r="C666" s="97">
        <v>0.5</v>
      </c>
      <c r="D666" s="84">
        <f>'DATA B1'!D667</f>
        <v>0</v>
      </c>
      <c r="E666" s="5">
        <f t="shared" si="247"/>
        <v>0</v>
      </c>
      <c r="F666" s="80">
        <f>'DATA B1'!E667</f>
        <v>0</v>
      </c>
      <c r="G666" s="80">
        <f t="shared" si="250"/>
        <v>0</v>
      </c>
      <c r="H666" s="28">
        <f t="shared" si="246"/>
        <v>0</v>
      </c>
      <c r="I666" s="45">
        <f>IFERROR((('DATA B1'!G667-'DATA B1'!G666)/('WATER_STEAM RATIO'!D666-'WATER_STEAM RATIO'!D665))*1000,0)</f>
        <v>0</v>
      </c>
      <c r="J666" s="50">
        <f>'DATA B2'!D667</f>
        <v>0</v>
      </c>
      <c r="K666" s="82">
        <f t="shared" si="251"/>
        <v>0</v>
      </c>
      <c r="L666" s="80">
        <f>'DATA B2'!E667</f>
        <v>0</v>
      </c>
      <c r="M666" s="80">
        <f t="shared" si="252"/>
        <v>0</v>
      </c>
      <c r="N666" s="28">
        <f t="shared" si="248"/>
        <v>0</v>
      </c>
      <c r="O666" s="51">
        <f>IFERROR((('DATA B2'!F667-'DATA B2'!F666)/(K666))*1000,0)</f>
        <v>0</v>
      </c>
      <c r="P666" s="94">
        <f>'DATA B3'!C667</f>
        <v>0</v>
      </c>
      <c r="Q666" s="91">
        <f t="shared" si="253"/>
        <v>0</v>
      </c>
      <c r="R666" s="80">
        <f>'DATA B3'!D667</f>
        <v>0</v>
      </c>
      <c r="S666" s="80">
        <f t="shared" si="254"/>
        <v>0</v>
      </c>
      <c r="T666" s="15">
        <f t="shared" si="249"/>
        <v>0</v>
      </c>
      <c r="U666" s="15">
        <f>IFERROR((('DATA B3'!E667-'DATA B3'!E666)+('DATA B3'!F667-'DATA B3'!F666))/('WATER_STEAM RATIO'!P666-'WATER_STEAM RATIO'!P665),0)</f>
        <v>0</v>
      </c>
    </row>
    <row r="667" spans="2:21">
      <c r="B667" s="292"/>
      <c r="C667" s="97">
        <v>0.54166666666666696</v>
      </c>
      <c r="D667" s="84">
        <f>'DATA B1'!D668</f>
        <v>0</v>
      </c>
      <c r="E667" s="5">
        <f t="shared" si="247"/>
        <v>0</v>
      </c>
      <c r="F667" s="80">
        <f>'DATA B1'!E668</f>
        <v>0</v>
      </c>
      <c r="G667" s="80">
        <f t="shared" si="250"/>
        <v>0</v>
      </c>
      <c r="H667" s="28">
        <f t="shared" si="246"/>
        <v>0</v>
      </c>
      <c r="I667" s="45">
        <f>IFERROR((('DATA B1'!G668-'DATA B1'!G667)/('WATER_STEAM RATIO'!D667-'WATER_STEAM RATIO'!D666))*1000,0)</f>
        <v>0</v>
      </c>
      <c r="J667" s="50">
        <f>'DATA B2'!D668</f>
        <v>0</v>
      </c>
      <c r="K667" s="82">
        <f t="shared" si="251"/>
        <v>0</v>
      </c>
      <c r="L667" s="80">
        <f>'DATA B2'!E668</f>
        <v>0</v>
      </c>
      <c r="M667" s="80">
        <f t="shared" si="252"/>
        <v>0</v>
      </c>
      <c r="N667" s="28">
        <f t="shared" si="248"/>
        <v>0</v>
      </c>
      <c r="O667" s="51">
        <f>IFERROR((('DATA B2'!F668-'DATA B2'!F667)/(K667))*1000,0)</f>
        <v>0</v>
      </c>
      <c r="P667" s="94">
        <f>'DATA B3'!C668</f>
        <v>0</v>
      </c>
      <c r="Q667" s="91">
        <f t="shared" si="253"/>
        <v>0</v>
      </c>
      <c r="R667" s="80">
        <f>'DATA B3'!D668</f>
        <v>0</v>
      </c>
      <c r="S667" s="80">
        <f t="shared" si="254"/>
        <v>0</v>
      </c>
      <c r="T667" s="15">
        <f t="shared" si="249"/>
        <v>0</v>
      </c>
      <c r="U667" s="15">
        <f>IFERROR((('DATA B3'!E668-'DATA B3'!E667)+('DATA B3'!F668-'DATA B3'!F667))/('WATER_STEAM RATIO'!P667-'WATER_STEAM RATIO'!P666),0)</f>
        <v>0</v>
      </c>
    </row>
    <row r="668" spans="2:21">
      <c r="B668" s="292"/>
      <c r="C668" s="97">
        <v>0.58333333333333304</v>
      </c>
      <c r="D668" s="84">
        <f>'DATA B1'!D669</f>
        <v>0</v>
      </c>
      <c r="E668" s="5">
        <f t="shared" si="247"/>
        <v>0</v>
      </c>
      <c r="F668" s="80">
        <f>'DATA B1'!E669</f>
        <v>0</v>
      </c>
      <c r="G668" s="80">
        <f t="shared" si="250"/>
        <v>0</v>
      </c>
      <c r="H668" s="28">
        <f t="shared" si="246"/>
        <v>0</v>
      </c>
      <c r="I668" s="45">
        <f>IFERROR((('DATA B1'!G669-'DATA B1'!G668)/('WATER_STEAM RATIO'!D668-'WATER_STEAM RATIO'!D667))*1000,0)</f>
        <v>0</v>
      </c>
      <c r="J668" s="50">
        <f>'DATA B2'!D669</f>
        <v>0</v>
      </c>
      <c r="K668" s="82">
        <f t="shared" si="251"/>
        <v>0</v>
      </c>
      <c r="L668" s="80">
        <f>'DATA B2'!E669</f>
        <v>0</v>
      </c>
      <c r="M668" s="80">
        <f t="shared" si="252"/>
        <v>0</v>
      </c>
      <c r="N668" s="28">
        <f t="shared" si="248"/>
        <v>0</v>
      </c>
      <c r="O668" s="51">
        <f>IFERROR((('DATA B2'!F669-'DATA B2'!F668)/(K668))*1000,0)</f>
        <v>0</v>
      </c>
      <c r="P668" s="94">
        <f>'DATA B3'!C669</f>
        <v>0</v>
      </c>
      <c r="Q668" s="91">
        <f t="shared" si="253"/>
        <v>0</v>
      </c>
      <c r="R668" s="80">
        <f>'DATA B3'!D669</f>
        <v>0</v>
      </c>
      <c r="S668" s="80">
        <f t="shared" si="254"/>
        <v>0</v>
      </c>
      <c r="T668" s="15">
        <f t="shared" si="249"/>
        <v>0</v>
      </c>
      <c r="U668" s="15">
        <f>IFERROR((('DATA B3'!E669-'DATA B3'!E668)+('DATA B3'!F669-'DATA B3'!F668))/('WATER_STEAM RATIO'!P668-'WATER_STEAM RATIO'!P667),0)</f>
        <v>0</v>
      </c>
    </row>
    <row r="669" spans="2:21">
      <c r="B669" s="292"/>
      <c r="C669" s="97">
        <v>0.625</v>
      </c>
      <c r="D669" s="84">
        <f>'DATA B1'!D670</f>
        <v>0</v>
      </c>
      <c r="E669" s="5">
        <f t="shared" ref="E669:E685" si="255">SUM(D669-D668)</f>
        <v>0</v>
      </c>
      <c r="F669" s="80">
        <f>'DATA B1'!E670</f>
        <v>0</v>
      </c>
      <c r="G669" s="80">
        <f t="shared" si="250"/>
        <v>0</v>
      </c>
      <c r="H669" s="28">
        <f t="shared" si="246"/>
        <v>0</v>
      </c>
      <c r="I669" s="45">
        <f>IFERROR((('DATA B1'!G670-'DATA B1'!G669)/('WATER_STEAM RATIO'!D669-'WATER_STEAM RATIO'!D668))*1000,0)</f>
        <v>0</v>
      </c>
      <c r="J669" s="50">
        <f>'DATA B2'!D670</f>
        <v>0</v>
      </c>
      <c r="K669" s="82">
        <f t="shared" si="251"/>
        <v>0</v>
      </c>
      <c r="L669" s="80">
        <f>'DATA B2'!E670</f>
        <v>0</v>
      </c>
      <c r="M669" s="80">
        <f t="shared" si="252"/>
        <v>0</v>
      </c>
      <c r="N669" s="28">
        <f t="shared" si="248"/>
        <v>0</v>
      </c>
      <c r="O669" s="51">
        <f>IFERROR((('DATA B2'!F670-'DATA B2'!F669)/(K669))*1000,0)</f>
        <v>0</v>
      </c>
      <c r="P669" s="94">
        <f>'DATA B3'!C670</f>
        <v>0</v>
      </c>
      <c r="Q669" s="91">
        <f t="shared" si="253"/>
        <v>0</v>
      </c>
      <c r="R669" s="80">
        <f>'DATA B3'!D670</f>
        <v>0</v>
      </c>
      <c r="S669" s="80">
        <f t="shared" si="254"/>
        <v>0</v>
      </c>
      <c r="T669" s="15">
        <f t="shared" si="249"/>
        <v>0</v>
      </c>
      <c r="U669" s="15">
        <f>IFERROR((('DATA B3'!E670-'DATA B3'!E669)+('DATA B3'!F670-'DATA B3'!F669))/('WATER_STEAM RATIO'!P669-'WATER_STEAM RATIO'!P668),0)</f>
        <v>0</v>
      </c>
    </row>
    <row r="670" spans="2:21">
      <c r="B670" s="292"/>
      <c r="C670" s="97">
        <v>0.66666666666666596</v>
      </c>
      <c r="D670" s="84">
        <f>'DATA B1'!D671</f>
        <v>0</v>
      </c>
      <c r="E670" s="5">
        <f t="shared" si="255"/>
        <v>0</v>
      </c>
      <c r="F670" s="80">
        <f>'DATA B1'!E671</f>
        <v>0</v>
      </c>
      <c r="G670" s="80">
        <f t="shared" si="250"/>
        <v>0</v>
      </c>
      <c r="H670" s="28">
        <f t="shared" si="246"/>
        <v>0</v>
      </c>
      <c r="I670" s="45">
        <f>IFERROR((('DATA B1'!G671-'DATA B1'!G670)/('WATER_STEAM RATIO'!D670-'WATER_STEAM RATIO'!D669))*1000,0)</f>
        <v>0</v>
      </c>
      <c r="J670" s="50">
        <f>'DATA B2'!D671</f>
        <v>0</v>
      </c>
      <c r="K670" s="82">
        <f>SUM(J670-J669)</f>
        <v>0</v>
      </c>
      <c r="L670" s="80">
        <f>'DATA B2'!E671</f>
        <v>0</v>
      </c>
      <c r="M670" s="80">
        <f t="shared" si="252"/>
        <v>0</v>
      </c>
      <c r="N670" s="28">
        <f t="shared" si="248"/>
        <v>0</v>
      </c>
      <c r="O670" s="51">
        <f>IFERROR((('DATA B2'!F671-'DATA B2'!F670)/(K670))*1000,0)</f>
        <v>0</v>
      </c>
      <c r="P670" s="94">
        <f>'DATA B3'!C671</f>
        <v>0</v>
      </c>
      <c r="Q670" s="91">
        <f t="shared" si="253"/>
        <v>0</v>
      </c>
      <c r="R670" s="80">
        <f>'DATA B3'!D671</f>
        <v>0</v>
      </c>
      <c r="S670" s="80">
        <f t="shared" si="254"/>
        <v>0</v>
      </c>
      <c r="T670" s="15">
        <f t="shared" si="249"/>
        <v>0</v>
      </c>
      <c r="U670" s="15">
        <f>IFERROR((('DATA B3'!E671-'DATA B3'!E670)+('DATA B3'!F671-'DATA B3'!F670))/('WATER_STEAM RATIO'!P670-'WATER_STEAM RATIO'!P669),0)</f>
        <v>0</v>
      </c>
    </row>
    <row r="671" spans="2:21">
      <c r="B671" s="292"/>
      <c r="C671" s="97">
        <v>0.70833333333333304</v>
      </c>
      <c r="D671" s="84">
        <f>'DATA B1'!D672</f>
        <v>0</v>
      </c>
      <c r="E671" s="5">
        <f t="shared" si="255"/>
        <v>0</v>
      </c>
      <c r="F671" s="80">
        <f>'DATA B1'!E672</f>
        <v>0</v>
      </c>
      <c r="G671" s="80">
        <f t="shared" si="250"/>
        <v>0</v>
      </c>
      <c r="H671" s="28">
        <f t="shared" si="246"/>
        <v>0</v>
      </c>
      <c r="I671" s="45">
        <f>IFERROR((('DATA B1'!G672-'DATA B1'!G671)/('WATER_STEAM RATIO'!D671-'WATER_STEAM RATIO'!D670))*1000,0)</f>
        <v>0</v>
      </c>
      <c r="J671" s="50">
        <f>'DATA B2'!D672</f>
        <v>0</v>
      </c>
      <c r="K671" s="82">
        <f t="shared" si="251"/>
        <v>0</v>
      </c>
      <c r="L671" s="80">
        <f>'DATA B2'!E672</f>
        <v>0</v>
      </c>
      <c r="M671" s="80">
        <f t="shared" si="252"/>
        <v>0</v>
      </c>
      <c r="N671" s="28">
        <f t="shared" si="248"/>
        <v>0</v>
      </c>
      <c r="O671" s="51">
        <f>IFERROR((('DATA B2'!F672-'DATA B2'!F671)/(K671))*1000,0)</f>
        <v>0</v>
      </c>
      <c r="P671" s="94">
        <f>'DATA B3'!C672</f>
        <v>0</v>
      </c>
      <c r="Q671" s="91">
        <f t="shared" si="253"/>
        <v>0</v>
      </c>
      <c r="R671" s="80">
        <f>'DATA B3'!D672</f>
        <v>0</v>
      </c>
      <c r="S671" s="80">
        <f t="shared" si="254"/>
        <v>0</v>
      </c>
      <c r="T671" s="15">
        <f t="shared" si="249"/>
        <v>0</v>
      </c>
      <c r="U671" s="15">
        <f>IFERROR((('DATA B3'!E672-'DATA B3'!E671)+('DATA B3'!F672-'DATA B3'!F671))/('WATER_STEAM RATIO'!P671-'WATER_STEAM RATIO'!P670),0)</f>
        <v>0</v>
      </c>
    </row>
    <row r="672" spans="2:21">
      <c r="B672" s="292"/>
      <c r="C672" s="97">
        <v>0.75</v>
      </c>
      <c r="D672" s="84">
        <f>'DATA B1'!D673</f>
        <v>0</v>
      </c>
      <c r="E672" s="5">
        <f t="shared" si="255"/>
        <v>0</v>
      </c>
      <c r="F672" s="80">
        <f>'DATA B1'!E673</f>
        <v>0</v>
      </c>
      <c r="G672" s="80">
        <f t="shared" si="250"/>
        <v>0</v>
      </c>
      <c r="H672" s="28">
        <f t="shared" si="246"/>
        <v>0</v>
      </c>
      <c r="I672" s="45">
        <f>IFERROR((('DATA B1'!G673-'DATA B1'!G672)/('WATER_STEAM RATIO'!D672-'WATER_STEAM RATIO'!D671))*1000,0)</f>
        <v>0</v>
      </c>
      <c r="J672" s="50">
        <f>'DATA B2'!D673</f>
        <v>0</v>
      </c>
      <c r="K672" s="82">
        <f t="shared" si="251"/>
        <v>0</v>
      </c>
      <c r="L672" s="80">
        <f>'DATA B2'!E673</f>
        <v>0</v>
      </c>
      <c r="M672" s="80">
        <f t="shared" si="252"/>
        <v>0</v>
      </c>
      <c r="N672" s="28">
        <f t="shared" si="248"/>
        <v>0</v>
      </c>
      <c r="O672" s="51">
        <f>IFERROR((('DATA B2'!F673-'DATA B2'!F672)/(K672))*1000,0)</f>
        <v>0</v>
      </c>
      <c r="P672" s="94">
        <f>'DATA B3'!C673</f>
        <v>0</v>
      </c>
      <c r="Q672" s="91">
        <f t="shared" si="253"/>
        <v>0</v>
      </c>
      <c r="R672" s="80">
        <f>'DATA B3'!D673</f>
        <v>0</v>
      </c>
      <c r="S672" s="80">
        <f t="shared" si="254"/>
        <v>0</v>
      </c>
      <c r="T672" s="15">
        <f t="shared" si="249"/>
        <v>0</v>
      </c>
      <c r="U672" s="15">
        <f>IFERROR((('DATA B3'!E673-'DATA B3'!E672)+('DATA B3'!F673-'DATA B3'!F672))/('WATER_STEAM RATIO'!P672-'WATER_STEAM RATIO'!P671),0)</f>
        <v>0</v>
      </c>
    </row>
    <row r="673" spans="2:21">
      <c r="B673" s="292"/>
      <c r="C673" s="97">
        <v>0.79166666666666596</v>
      </c>
      <c r="D673" s="84">
        <f>'DATA B1'!D674</f>
        <v>0</v>
      </c>
      <c r="E673" s="5">
        <f t="shared" si="255"/>
        <v>0</v>
      </c>
      <c r="F673" s="80">
        <f>'DATA B1'!E674</f>
        <v>0</v>
      </c>
      <c r="G673" s="80">
        <f t="shared" si="250"/>
        <v>0</v>
      </c>
      <c r="H673" s="28">
        <f t="shared" si="246"/>
        <v>0</v>
      </c>
      <c r="I673" s="45">
        <f>IFERROR((('DATA B1'!G674-'DATA B1'!G673)/('WATER_STEAM RATIO'!D673-'WATER_STEAM RATIO'!D672))*1000,0)</f>
        <v>0</v>
      </c>
      <c r="J673" s="50">
        <f>'DATA B2'!D674</f>
        <v>0</v>
      </c>
      <c r="K673" s="82">
        <f t="shared" si="251"/>
        <v>0</v>
      </c>
      <c r="L673" s="80">
        <f>'DATA B2'!E674</f>
        <v>0</v>
      </c>
      <c r="M673" s="80">
        <f t="shared" si="252"/>
        <v>0</v>
      </c>
      <c r="N673" s="28">
        <f t="shared" si="248"/>
        <v>0</v>
      </c>
      <c r="O673" s="51">
        <f>IFERROR((('DATA B2'!F674-'DATA B2'!F673)/(K673))*1000,0)</f>
        <v>0</v>
      </c>
      <c r="P673" s="94">
        <f>'DATA B3'!C674</f>
        <v>0</v>
      </c>
      <c r="Q673" s="91">
        <f t="shared" si="253"/>
        <v>0</v>
      </c>
      <c r="R673" s="80">
        <f>'DATA B3'!D674</f>
        <v>0</v>
      </c>
      <c r="S673" s="80">
        <f t="shared" si="254"/>
        <v>0</v>
      </c>
      <c r="T673" s="15">
        <f t="shared" si="249"/>
        <v>0</v>
      </c>
      <c r="U673" s="15">
        <f>IFERROR((('DATA B3'!E674-'DATA B3'!E673)+('DATA B3'!F674-'DATA B3'!F673))/('WATER_STEAM RATIO'!P673-'WATER_STEAM RATIO'!P672),0)</f>
        <v>0</v>
      </c>
    </row>
    <row r="674" spans="2:21">
      <c r="B674" s="292"/>
      <c r="C674" s="97">
        <v>0.83333333333333304</v>
      </c>
      <c r="D674" s="84">
        <f>'DATA B1'!D675</f>
        <v>0</v>
      </c>
      <c r="E674" s="5">
        <f t="shared" si="255"/>
        <v>0</v>
      </c>
      <c r="F674" s="80">
        <f>'DATA B1'!E675</f>
        <v>0</v>
      </c>
      <c r="G674" s="80">
        <f t="shared" si="250"/>
        <v>0</v>
      </c>
      <c r="H674" s="28">
        <f t="shared" si="246"/>
        <v>0</v>
      </c>
      <c r="I674" s="45">
        <f>IFERROR((('DATA B1'!G675-'DATA B1'!G674)/('WATER_STEAM RATIO'!D674-'WATER_STEAM RATIO'!D673))*1000,0)</f>
        <v>0</v>
      </c>
      <c r="J674" s="50">
        <f>'DATA B2'!D675</f>
        <v>0</v>
      </c>
      <c r="K674" s="82">
        <f t="shared" si="251"/>
        <v>0</v>
      </c>
      <c r="L674" s="80">
        <f>'DATA B2'!E675</f>
        <v>0</v>
      </c>
      <c r="M674" s="80">
        <f t="shared" si="252"/>
        <v>0</v>
      </c>
      <c r="N674" s="28">
        <f t="shared" si="248"/>
        <v>0</v>
      </c>
      <c r="O674" s="51">
        <f>IFERROR((('DATA B2'!F675-'DATA B2'!F674)/(K674))*1000,0)</f>
        <v>0</v>
      </c>
      <c r="P674" s="94">
        <f>'DATA B3'!C675</f>
        <v>0</v>
      </c>
      <c r="Q674" s="91">
        <f t="shared" si="253"/>
        <v>0</v>
      </c>
      <c r="R674" s="80">
        <f>'DATA B3'!D675</f>
        <v>0</v>
      </c>
      <c r="S674" s="80">
        <f t="shared" si="254"/>
        <v>0</v>
      </c>
      <c r="T674" s="15">
        <f t="shared" si="249"/>
        <v>0</v>
      </c>
      <c r="U674" s="15">
        <f>IFERROR((('DATA B3'!E675-'DATA B3'!E674)+('DATA B3'!F675-'DATA B3'!F674))/('WATER_STEAM RATIO'!P674-'WATER_STEAM RATIO'!P673),0)</f>
        <v>0</v>
      </c>
    </row>
    <row r="675" spans="2:21">
      <c r="B675" s="292"/>
      <c r="C675" s="97">
        <v>0.875</v>
      </c>
      <c r="D675" s="84">
        <f>'DATA B1'!D676</f>
        <v>0</v>
      </c>
      <c r="E675" s="5">
        <f t="shared" si="255"/>
        <v>0</v>
      </c>
      <c r="F675" s="80">
        <f>'DATA B1'!E676</f>
        <v>0</v>
      </c>
      <c r="G675" s="80">
        <f t="shared" si="250"/>
        <v>0</v>
      </c>
      <c r="H675" s="28">
        <f t="shared" si="246"/>
        <v>0</v>
      </c>
      <c r="I675" s="45">
        <f>IFERROR((('DATA B1'!G676-'DATA B1'!G675)/('WATER_STEAM RATIO'!D675-'WATER_STEAM RATIO'!D674))*1000,0)</f>
        <v>0</v>
      </c>
      <c r="J675" s="50">
        <f>'DATA B2'!D676</f>
        <v>0</v>
      </c>
      <c r="K675" s="82">
        <f t="shared" si="251"/>
        <v>0</v>
      </c>
      <c r="L675" s="80">
        <f>'DATA B2'!E676</f>
        <v>0</v>
      </c>
      <c r="M675" s="80">
        <f t="shared" si="252"/>
        <v>0</v>
      </c>
      <c r="N675" s="28">
        <f>IFERROR(M675/K675,0)</f>
        <v>0</v>
      </c>
      <c r="O675" s="51">
        <f>IFERROR((('DATA B2'!F676-'DATA B2'!F675)/(K675))*1000,0)</f>
        <v>0</v>
      </c>
      <c r="P675" s="94">
        <f>'DATA B3'!C676</f>
        <v>0</v>
      </c>
      <c r="Q675" s="91">
        <f t="shared" si="253"/>
        <v>0</v>
      </c>
      <c r="R675" s="80">
        <f>'DATA B3'!D676</f>
        <v>0</v>
      </c>
      <c r="S675" s="80">
        <f t="shared" si="254"/>
        <v>0</v>
      </c>
      <c r="T675" s="15">
        <f t="shared" si="249"/>
        <v>0</v>
      </c>
      <c r="U675" s="15">
        <f>IFERROR((('DATA B3'!E676-'DATA B3'!E675)+('DATA B3'!F676-'DATA B3'!F675))/('WATER_STEAM RATIO'!P675-'WATER_STEAM RATIO'!P674),0)</f>
        <v>0</v>
      </c>
    </row>
    <row r="676" spans="2:21">
      <c r="B676" s="292"/>
      <c r="C676" s="97">
        <v>0.91666666666666596</v>
      </c>
      <c r="D676" s="84">
        <f>'DATA B1'!D677</f>
        <v>0</v>
      </c>
      <c r="E676" s="5">
        <f t="shared" si="255"/>
        <v>0</v>
      </c>
      <c r="F676" s="80">
        <f>'DATA B1'!E677</f>
        <v>0</v>
      </c>
      <c r="G676" s="80">
        <f t="shared" si="250"/>
        <v>0</v>
      </c>
      <c r="H676" s="28">
        <f t="shared" si="246"/>
        <v>0</v>
      </c>
      <c r="I676" s="45">
        <f>IFERROR((('DATA B1'!G677-'DATA B1'!G676)/('WATER_STEAM RATIO'!D676-'WATER_STEAM RATIO'!D675))*1000,0)</f>
        <v>0</v>
      </c>
      <c r="J676" s="50">
        <f>'DATA B2'!D677</f>
        <v>0</v>
      </c>
      <c r="K676" s="82">
        <f t="shared" si="251"/>
        <v>0</v>
      </c>
      <c r="L676" s="80">
        <f>'DATA B2'!E677</f>
        <v>0</v>
      </c>
      <c r="M676" s="80">
        <f t="shared" si="252"/>
        <v>0</v>
      </c>
      <c r="N676" s="28">
        <f t="shared" si="248"/>
        <v>0</v>
      </c>
      <c r="O676" s="51">
        <f>IFERROR((('DATA B2'!F677-'DATA B2'!F676)/(K676))*1000,0)</f>
        <v>0</v>
      </c>
      <c r="P676" s="94">
        <f>'DATA B3'!C677</f>
        <v>0</v>
      </c>
      <c r="Q676" s="91">
        <f t="shared" si="253"/>
        <v>0</v>
      </c>
      <c r="R676" s="80">
        <f>'DATA B3'!D677</f>
        <v>0</v>
      </c>
      <c r="S676" s="80">
        <f t="shared" si="254"/>
        <v>0</v>
      </c>
      <c r="T676" s="15">
        <f t="shared" si="249"/>
        <v>0</v>
      </c>
      <c r="U676" s="15">
        <f>IFERROR((('DATA B3'!E677-'DATA B3'!E676)+('DATA B3'!F677-'DATA B3'!F676))/('WATER_STEAM RATIO'!P676-'WATER_STEAM RATIO'!P675),0)</f>
        <v>0</v>
      </c>
    </row>
    <row r="677" spans="2:21">
      <c r="B677" s="292"/>
      <c r="C677" s="97">
        <v>0.95833333333333304</v>
      </c>
      <c r="D677" s="84">
        <f>'DATA B1'!D678</f>
        <v>0</v>
      </c>
      <c r="E677" s="5">
        <f t="shared" si="255"/>
        <v>0</v>
      </c>
      <c r="F677" s="80">
        <f>'DATA B1'!E678</f>
        <v>0</v>
      </c>
      <c r="G677" s="80">
        <f t="shared" si="250"/>
        <v>0</v>
      </c>
      <c r="H677" s="28">
        <f t="shared" si="246"/>
        <v>0</v>
      </c>
      <c r="I677" s="45">
        <f>IFERROR((('DATA B1'!G678-'DATA B1'!G677)/('WATER_STEAM RATIO'!D677-'WATER_STEAM RATIO'!D676))*1000,0)</f>
        <v>0</v>
      </c>
      <c r="J677" s="50">
        <f>'DATA B2'!D678</f>
        <v>0</v>
      </c>
      <c r="K677" s="82">
        <f>SUM(J677-J676)</f>
        <v>0</v>
      </c>
      <c r="L677" s="80">
        <f>'DATA B2'!E678</f>
        <v>0</v>
      </c>
      <c r="M677" s="80">
        <f t="shared" si="252"/>
        <v>0</v>
      </c>
      <c r="N677" s="28">
        <f t="shared" si="248"/>
        <v>0</v>
      </c>
      <c r="O677" s="51">
        <f>IFERROR((('DATA B2'!F678-'DATA B2'!F677)/(K677))*1000,0)</f>
        <v>0</v>
      </c>
      <c r="P677" s="94">
        <f>'DATA B3'!C678</f>
        <v>0</v>
      </c>
      <c r="Q677" s="91">
        <f t="shared" si="253"/>
        <v>0</v>
      </c>
      <c r="R677" s="80">
        <f>'DATA B3'!D678</f>
        <v>0</v>
      </c>
      <c r="S677" s="80">
        <f t="shared" si="254"/>
        <v>0</v>
      </c>
      <c r="T677" s="15">
        <f t="shared" si="249"/>
        <v>0</v>
      </c>
      <c r="U677" s="15">
        <f>IFERROR((('DATA B3'!E678-'DATA B3'!E677)+('DATA B3'!F678-'DATA B3'!F677))/('WATER_STEAM RATIO'!P677-'WATER_STEAM RATIO'!P676),0)</f>
        <v>0</v>
      </c>
    </row>
    <row r="678" spans="2:21">
      <c r="B678" s="292"/>
      <c r="C678" s="97">
        <v>1</v>
      </c>
      <c r="D678" s="84">
        <f>'DATA B1'!D679</f>
        <v>0</v>
      </c>
      <c r="E678" s="5">
        <f t="shared" si="255"/>
        <v>0</v>
      </c>
      <c r="F678" s="80">
        <f>'DATA B1'!E679</f>
        <v>0</v>
      </c>
      <c r="G678" s="80">
        <f t="shared" si="250"/>
        <v>0</v>
      </c>
      <c r="H678" s="28">
        <f t="shared" si="246"/>
        <v>0</v>
      </c>
      <c r="I678" s="45">
        <f>IFERROR((('DATA B1'!G679-'DATA B1'!G678)/('WATER_STEAM RATIO'!D678-'WATER_STEAM RATIO'!D677))*1000,0)</f>
        <v>0</v>
      </c>
      <c r="J678" s="50">
        <f>'DATA B2'!D679</f>
        <v>0</v>
      </c>
      <c r="K678" s="82">
        <f t="shared" si="251"/>
        <v>0</v>
      </c>
      <c r="L678" s="80">
        <f>'DATA B2'!E679</f>
        <v>0</v>
      </c>
      <c r="M678" s="80">
        <f t="shared" si="252"/>
        <v>0</v>
      </c>
      <c r="N678" s="28">
        <f t="shared" si="248"/>
        <v>0</v>
      </c>
      <c r="O678" s="51">
        <f>IFERROR((('DATA B2'!F679-'DATA B2'!F678)/(K678))*1000,0)</f>
        <v>0</v>
      </c>
      <c r="P678" s="94">
        <f>'DATA B3'!C679</f>
        <v>0</v>
      </c>
      <c r="Q678" s="91">
        <f t="shared" si="253"/>
        <v>0</v>
      </c>
      <c r="R678" s="80">
        <f>'DATA B3'!D679</f>
        <v>0</v>
      </c>
      <c r="S678" s="80">
        <f t="shared" si="254"/>
        <v>0</v>
      </c>
      <c r="T678" s="15">
        <f t="shared" si="249"/>
        <v>0</v>
      </c>
      <c r="U678" s="15">
        <f>IFERROR((('DATA B3'!E679-'DATA B3'!E678)+('DATA B3'!F679-'DATA B3'!F678))/('WATER_STEAM RATIO'!P678-'WATER_STEAM RATIO'!P677),0)</f>
        <v>0</v>
      </c>
    </row>
    <row r="679" spans="2:21">
      <c r="B679" s="292"/>
      <c r="C679" s="97">
        <v>1.0416666666666701</v>
      </c>
      <c r="D679" s="84">
        <f>'DATA B1'!D680</f>
        <v>0</v>
      </c>
      <c r="E679" s="5">
        <f t="shared" si="255"/>
        <v>0</v>
      </c>
      <c r="F679" s="80">
        <f>'DATA B1'!E680</f>
        <v>0</v>
      </c>
      <c r="G679" s="80">
        <f t="shared" si="250"/>
        <v>0</v>
      </c>
      <c r="H679" s="28">
        <f t="shared" si="246"/>
        <v>0</v>
      </c>
      <c r="I679" s="45">
        <f>IFERROR((('DATA B1'!G680-'DATA B1'!G679)/('WATER_STEAM RATIO'!D679-'WATER_STEAM RATIO'!D678))*1000,0)</f>
        <v>0</v>
      </c>
      <c r="J679" s="50">
        <f>'DATA B2'!D680</f>
        <v>0</v>
      </c>
      <c r="K679" s="82">
        <f t="shared" si="251"/>
        <v>0</v>
      </c>
      <c r="L679" s="80">
        <f>'DATA B2'!E680</f>
        <v>0</v>
      </c>
      <c r="M679" s="80">
        <f t="shared" si="252"/>
        <v>0</v>
      </c>
      <c r="N679" s="28">
        <f t="shared" si="248"/>
        <v>0</v>
      </c>
      <c r="O679" s="51">
        <f>IFERROR((('DATA B2'!F680-'DATA B2'!F679)/(K679))*1000,0)</f>
        <v>0</v>
      </c>
      <c r="P679" s="94">
        <f>'DATA B3'!C680</f>
        <v>0</v>
      </c>
      <c r="Q679" s="91">
        <f t="shared" si="253"/>
        <v>0</v>
      </c>
      <c r="R679" s="80">
        <f>'DATA B3'!D680</f>
        <v>0</v>
      </c>
      <c r="S679" s="80">
        <f t="shared" si="254"/>
        <v>0</v>
      </c>
      <c r="T679" s="15">
        <f t="shared" si="249"/>
        <v>0</v>
      </c>
      <c r="U679" s="15">
        <f>IFERROR((('DATA B3'!E680-'DATA B3'!E679)+('DATA B3'!F680-'DATA B3'!F679))/('WATER_STEAM RATIO'!P679-'WATER_STEAM RATIO'!P678),0)</f>
        <v>0</v>
      </c>
    </row>
    <row r="680" spans="2:21">
      <c r="B680" s="292"/>
      <c r="C680" s="97">
        <v>1.0833333333333399</v>
      </c>
      <c r="D680" s="84">
        <f>'DATA B1'!D681</f>
        <v>0</v>
      </c>
      <c r="E680" s="5">
        <f>SUM(D680-D679)</f>
        <v>0</v>
      </c>
      <c r="F680" s="80">
        <f>'DATA B1'!E681</f>
        <v>0</v>
      </c>
      <c r="G680" s="80">
        <f t="shared" si="250"/>
        <v>0</v>
      </c>
      <c r="H680" s="28">
        <f t="shared" si="246"/>
        <v>0</v>
      </c>
      <c r="I680" s="45">
        <f>IFERROR((('DATA B1'!G681-'DATA B1'!G680)/('WATER_STEAM RATIO'!D680-'WATER_STEAM RATIO'!D679))*1000,0)</f>
        <v>0</v>
      </c>
      <c r="J680" s="50">
        <f>'DATA B2'!D681</f>
        <v>0</v>
      </c>
      <c r="K680" s="82">
        <f t="shared" si="251"/>
        <v>0</v>
      </c>
      <c r="L680" s="80">
        <f>'DATA B2'!E681</f>
        <v>0</v>
      </c>
      <c r="M680" s="80">
        <f t="shared" si="252"/>
        <v>0</v>
      </c>
      <c r="N680" s="28">
        <f t="shared" si="248"/>
        <v>0</v>
      </c>
      <c r="O680" s="51">
        <f>IFERROR((('DATA B2'!F681-'DATA B2'!F680)/(K680))*1000,0)</f>
        <v>0</v>
      </c>
      <c r="P680" s="94">
        <f>'DATA B3'!C681</f>
        <v>0</v>
      </c>
      <c r="Q680" s="91">
        <f>SUM(P680-P679)</f>
        <v>0</v>
      </c>
      <c r="R680" s="80">
        <f>'DATA B3'!D681</f>
        <v>0</v>
      </c>
      <c r="S680" s="80">
        <f t="shared" si="254"/>
        <v>0</v>
      </c>
      <c r="T680" s="15">
        <f t="shared" si="249"/>
        <v>0</v>
      </c>
      <c r="U680" s="15">
        <f>IFERROR((('DATA B3'!E681-'DATA B3'!E680)+('DATA B3'!F681-'DATA B3'!F680))/('WATER_STEAM RATIO'!P680-'WATER_STEAM RATIO'!P679),0)</f>
        <v>0</v>
      </c>
    </row>
    <row r="681" spans="2:21">
      <c r="B681" s="292"/>
      <c r="C681" s="97">
        <v>1.125</v>
      </c>
      <c r="D681" s="84">
        <f>'DATA B1'!D682</f>
        <v>0</v>
      </c>
      <c r="E681" s="5">
        <f t="shared" si="255"/>
        <v>0</v>
      </c>
      <c r="F681" s="80">
        <f>'DATA B1'!E682</f>
        <v>0</v>
      </c>
      <c r="G681" s="80">
        <f t="shared" si="250"/>
        <v>0</v>
      </c>
      <c r="H681" s="28">
        <f t="shared" si="246"/>
        <v>0</v>
      </c>
      <c r="I681" s="45">
        <f>IFERROR((('DATA B1'!G682-'DATA B1'!G681)/('WATER_STEAM RATIO'!D681-'WATER_STEAM RATIO'!D680))*1000,0)</f>
        <v>0</v>
      </c>
      <c r="J681" s="50">
        <f>'DATA B2'!D682</f>
        <v>0</v>
      </c>
      <c r="K681" s="82">
        <f t="shared" si="251"/>
        <v>0</v>
      </c>
      <c r="L681" s="80">
        <f>'DATA B2'!E682</f>
        <v>0</v>
      </c>
      <c r="M681" s="80">
        <f t="shared" si="252"/>
        <v>0</v>
      </c>
      <c r="N681" s="28">
        <f t="shared" si="248"/>
        <v>0</v>
      </c>
      <c r="O681" s="51">
        <f>IFERROR((('DATA B2'!F682-'DATA B2'!F681)/(K681))*1000,0)</f>
        <v>0</v>
      </c>
      <c r="P681" s="94">
        <f>'DATA B3'!C682</f>
        <v>0</v>
      </c>
      <c r="Q681" s="91">
        <f t="shared" si="253"/>
        <v>0</v>
      </c>
      <c r="R681" s="80">
        <f>'DATA B3'!D682</f>
        <v>0</v>
      </c>
      <c r="S681" s="80">
        <f t="shared" si="254"/>
        <v>0</v>
      </c>
      <c r="T681" s="15">
        <f t="shared" si="249"/>
        <v>0</v>
      </c>
      <c r="U681" s="15">
        <f>IFERROR((('DATA B3'!E682-'DATA B3'!E681)+('DATA B3'!F682-'DATA B3'!F681))/('WATER_STEAM RATIO'!P681-'WATER_STEAM RATIO'!P680),0)</f>
        <v>0</v>
      </c>
    </row>
    <row r="682" spans="2:21">
      <c r="B682" s="292"/>
      <c r="C682" s="97">
        <v>1.1666666666666701</v>
      </c>
      <c r="D682" s="84">
        <f>'DATA B1'!D683</f>
        <v>0</v>
      </c>
      <c r="E682" s="5">
        <f t="shared" si="255"/>
        <v>0</v>
      </c>
      <c r="F682" s="80">
        <f>'DATA B1'!E683</f>
        <v>0</v>
      </c>
      <c r="G682" s="80">
        <f t="shared" si="250"/>
        <v>0</v>
      </c>
      <c r="H682" s="28">
        <f t="shared" si="246"/>
        <v>0</v>
      </c>
      <c r="I682" s="45">
        <f>IFERROR((('DATA B1'!G683-'DATA B1'!G682)/('WATER_STEAM RATIO'!D682-'WATER_STEAM RATIO'!D681))*1000,0)</f>
        <v>0</v>
      </c>
      <c r="J682" s="50">
        <f>'DATA B2'!D683</f>
        <v>0</v>
      </c>
      <c r="K682" s="82">
        <f t="shared" si="251"/>
        <v>0</v>
      </c>
      <c r="L682" s="80">
        <f>'DATA B2'!E683</f>
        <v>0</v>
      </c>
      <c r="M682" s="80">
        <f t="shared" si="252"/>
        <v>0</v>
      </c>
      <c r="N682" s="28">
        <f t="shared" si="248"/>
        <v>0</v>
      </c>
      <c r="O682" s="51">
        <f>IFERROR((('DATA B2'!F683-'DATA B2'!F682)/(K682))*1000,0)</f>
        <v>0</v>
      </c>
      <c r="P682" s="94">
        <f>'DATA B3'!C683</f>
        <v>0</v>
      </c>
      <c r="Q682" s="91">
        <f t="shared" si="253"/>
        <v>0</v>
      </c>
      <c r="R682" s="80">
        <f>'DATA B3'!D683</f>
        <v>0</v>
      </c>
      <c r="S682" s="80">
        <f t="shared" si="254"/>
        <v>0</v>
      </c>
      <c r="T682" s="15">
        <f t="shared" si="249"/>
        <v>0</v>
      </c>
      <c r="U682" s="15">
        <f>IFERROR((('DATA B3'!E683-'DATA B3'!E682)+('DATA B3'!F683-'DATA B3'!F682))/('WATER_STEAM RATIO'!P682-'WATER_STEAM RATIO'!P681),0)</f>
        <v>0</v>
      </c>
    </row>
    <row r="683" spans="2:21">
      <c r="B683" s="292"/>
      <c r="C683" s="97">
        <v>1.2083333333333399</v>
      </c>
      <c r="D683" s="84">
        <f>'DATA B1'!D684</f>
        <v>0</v>
      </c>
      <c r="E683" s="5">
        <f t="shared" si="255"/>
        <v>0</v>
      </c>
      <c r="F683" s="80">
        <f>'DATA B1'!E684</f>
        <v>0</v>
      </c>
      <c r="G683" s="80">
        <f t="shared" si="250"/>
        <v>0</v>
      </c>
      <c r="H683" s="28">
        <f t="shared" si="246"/>
        <v>0</v>
      </c>
      <c r="I683" s="45">
        <f>IFERROR((('DATA B1'!G684-'DATA B1'!G683)/('WATER_STEAM RATIO'!D683-'WATER_STEAM RATIO'!D682))*1000,0)</f>
        <v>0</v>
      </c>
      <c r="J683" s="50">
        <f>'DATA B2'!D684</f>
        <v>0</v>
      </c>
      <c r="K683" s="82">
        <f t="shared" si="251"/>
        <v>0</v>
      </c>
      <c r="L683" s="80">
        <f>'DATA B2'!E684</f>
        <v>0</v>
      </c>
      <c r="M683" s="80">
        <f t="shared" si="252"/>
        <v>0</v>
      </c>
      <c r="N683" s="28">
        <f t="shared" si="248"/>
        <v>0</v>
      </c>
      <c r="O683" s="51">
        <f>IFERROR((('DATA B2'!F684-'DATA B2'!F683)/(K683))*1000,0)</f>
        <v>0</v>
      </c>
      <c r="P683" s="94">
        <f>'DATA B3'!C684</f>
        <v>0</v>
      </c>
      <c r="Q683" s="91">
        <f t="shared" si="253"/>
        <v>0</v>
      </c>
      <c r="R683" s="80">
        <f>'DATA B3'!D684</f>
        <v>0</v>
      </c>
      <c r="S683" s="80">
        <f t="shared" si="254"/>
        <v>0</v>
      </c>
      <c r="T683" s="15">
        <f t="shared" si="249"/>
        <v>0</v>
      </c>
      <c r="U683" s="15">
        <f>IFERROR((('DATA B3'!E684-'DATA B3'!E683)+('DATA B3'!F684-'DATA B3'!F683))/('WATER_STEAM RATIO'!P683-'WATER_STEAM RATIO'!P682),0)</f>
        <v>0</v>
      </c>
    </row>
    <row r="684" spans="2:21">
      <c r="B684" s="292"/>
      <c r="C684" s="97">
        <v>1.25</v>
      </c>
      <c r="D684" s="84">
        <f>'DATA B1'!D685</f>
        <v>0</v>
      </c>
      <c r="E684" s="5">
        <f t="shared" si="255"/>
        <v>0</v>
      </c>
      <c r="F684" s="80">
        <f>'DATA B1'!E685</f>
        <v>0</v>
      </c>
      <c r="G684" s="80">
        <f t="shared" si="250"/>
        <v>0</v>
      </c>
      <c r="H684" s="28">
        <f t="shared" si="246"/>
        <v>0</v>
      </c>
      <c r="I684" s="45">
        <f>IFERROR((('DATA B1'!G685-'DATA B1'!G684)/('WATER_STEAM RATIO'!D684-'WATER_STEAM RATIO'!D683))*1000,0)</f>
        <v>0</v>
      </c>
      <c r="J684" s="50">
        <f>'DATA B2'!D685</f>
        <v>0</v>
      </c>
      <c r="K684" s="82">
        <f t="shared" si="251"/>
        <v>0</v>
      </c>
      <c r="L684" s="80">
        <f>'DATA B2'!E685</f>
        <v>0</v>
      </c>
      <c r="M684" s="80">
        <f t="shared" si="252"/>
        <v>0</v>
      </c>
      <c r="N684" s="28">
        <f t="shared" si="248"/>
        <v>0</v>
      </c>
      <c r="O684" s="51">
        <f>IFERROR((('DATA B2'!F685-'DATA B2'!F684)/(K684))*1000,0)</f>
        <v>0</v>
      </c>
      <c r="P684" s="94">
        <f>'DATA B3'!C685</f>
        <v>0</v>
      </c>
      <c r="Q684" s="91">
        <f t="shared" si="253"/>
        <v>0</v>
      </c>
      <c r="R684" s="80">
        <f>'DATA B3'!D685</f>
        <v>0</v>
      </c>
      <c r="S684" s="80">
        <f t="shared" si="254"/>
        <v>0</v>
      </c>
      <c r="T684" s="15">
        <f t="shared" si="249"/>
        <v>0</v>
      </c>
      <c r="U684" s="15">
        <f>IFERROR((('DATA B3'!E685-'DATA B3'!E684)+('DATA B3'!F685-'DATA B3'!F684))/('WATER_STEAM RATIO'!P684-'WATER_STEAM RATIO'!P683),0)</f>
        <v>0</v>
      </c>
    </row>
    <row r="685" spans="2:21">
      <c r="B685" s="292"/>
      <c r="C685" s="97">
        <v>1.2916666666666701</v>
      </c>
      <c r="D685" s="84">
        <f>'DATA B1'!D686</f>
        <v>0</v>
      </c>
      <c r="E685" s="5">
        <f t="shared" si="255"/>
        <v>0</v>
      </c>
      <c r="F685" s="80">
        <f>'DATA B1'!E686</f>
        <v>0</v>
      </c>
      <c r="G685" s="80">
        <f t="shared" si="250"/>
        <v>0</v>
      </c>
      <c r="H685" s="28">
        <f t="shared" si="246"/>
        <v>0</v>
      </c>
      <c r="I685" s="45">
        <f>IFERROR((('DATA B1'!G686-'DATA B1'!G685)/('WATER_STEAM RATIO'!D685-'WATER_STEAM RATIO'!D684))*1000,0)</f>
        <v>0</v>
      </c>
      <c r="J685" s="50">
        <f>'DATA B2'!D686</f>
        <v>0</v>
      </c>
      <c r="K685" s="82">
        <f>SUM(J685-J684)</f>
        <v>0</v>
      </c>
      <c r="L685" s="80">
        <f>'DATA B2'!E686</f>
        <v>0</v>
      </c>
      <c r="M685" s="80">
        <f t="shared" si="252"/>
        <v>0</v>
      </c>
      <c r="N685" s="28">
        <f t="shared" si="248"/>
        <v>0</v>
      </c>
      <c r="O685" s="51">
        <f>IFERROR((('DATA B2'!F686-'DATA B2'!F685)/(K685))*1000,0)</f>
        <v>0</v>
      </c>
      <c r="P685" s="94">
        <f>'DATA B3'!C686</f>
        <v>0</v>
      </c>
      <c r="Q685" s="91">
        <f t="shared" si="253"/>
        <v>0</v>
      </c>
      <c r="R685" s="80">
        <f>'DATA B3'!D686</f>
        <v>0</v>
      </c>
      <c r="S685" s="80">
        <f t="shared" si="254"/>
        <v>0</v>
      </c>
      <c r="T685" s="15">
        <f t="shared" si="249"/>
        <v>0</v>
      </c>
      <c r="U685" s="15">
        <f>IFERROR((('DATA B3'!E686-'DATA B3'!E685)+('DATA B3'!F686-'DATA B3'!F685))/('WATER_STEAM RATIO'!P685-'WATER_STEAM RATIO'!P684),0)</f>
        <v>0</v>
      </c>
    </row>
    <row r="686" spans="2:21" ht="15.75" thickBot="1">
      <c r="B686" s="293"/>
      <c r="C686" s="235"/>
      <c r="D686" s="224" cm="1">
        <f t="array" ref="D686">IFERROR(LOOKUP(2,1/(D661:D685&gt;0),D661:D685-D661),0)</f>
        <v>0</v>
      </c>
      <c r="E686" s="223">
        <f>SUMIF(E662:E685,"&gt;=0",E662:E685)</f>
        <v>0</v>
      </c>
      <c r="F686" s="224" cm="1">
        <f t="array" ref="F686">IFERROR(LOOKUP(2,1/(F661:F685&gt;0),F661:F685-F661),0)</f>
        <v>0</v>
      </c>
      <c r="G686" s="223">
        <f>SUMIF(G662:G685,"&gt;=0",G662:G685)</f>
        <v>0</v>
      </c>
      <c r="H686" s="225">
        <f t="shared" si="246"/>
        <v>0</v>
      </c>
      <c r="I686" s="236">
        <f>IFERROR((('DATA B1'!H687)/(E686))*1000,0)</f>
        <v>0</v>
      </c>
      <c r="J686" s="222" cm="1">
        <f t="array" ref="J686">IFERROR(LOOKUP(2,1/(J661:J685&gt;0),J661:J685-J661),0)</f>
        <v>0</v>
      </c>
      <c r="K686" s="223">
        <f>SUMIF(K662:K685,"&gt;=0",K662:K685)</f>
        <v>0</v>
      </c>
      <c r="L686" s="224" cm="1">
        <f t="array" ref="L686">IFERROR(LOOKUP(2,1/(L661:L685&gt;0),L661:L685-L661),0)</f>
        <v>0</v>
      </c>
      <c r="M686" s="223">
        <f>SUMIF(M662:M685,"&gt;=0",M662:M685)</f>
        <v>0</v>
      </c>
      <c r="N686" s="225">
        <f>IFERROR(M686/K686,0)</f>
        <v>0</v>
      </c>
      <c r="O686" s="226">
        <f>IFERROR((('DATA B2'!H687)/(K686))*1000,0)</f>
        <v>0</v>
      </c>
      <c r="P686" s="224" cm="1">
        <f t="array" ref="P686">IFERROR(LOOKUP(2,1/(P661:P685&gt;0),P661:P685-P661),0)</f>
        <v>0</v>
      </c>
      <c r="Q686" s="223">
        <f>SUMIF(Q662:Q685,"&gt;=0",Q662:Q685)</f>
        <v>0</v>
      </c>
      <c r="R686" s="224" cm="1">
        <f t="array" ref="R686">IFERROR(LOOKUP(2,1/(R661:R685&gt;0),R661:R685-R661),0)</f>
        <v>0</v>
      </c>
      <c r="S686" s="223">
        <f>SUMIF(S662:S685,"&gt;=0",S662:S685)</f>
        <v>0</v>
      </c>
      <c r="T686" s="237">
        <f t="shared" si="249"/>
        <v>0</v>
      </c>
      <c r="U686" s="226">
        <f>IFERROR(('DATA B3'!E687+'DATA B3'!F687)/Q686*1000,0)</f>
        <v>0</v>
      </c>
    </row>
    <row r="687" spans="2:21" ht="15" customHeight="1">
      <c r="B687" s="291">
        <f>SUM('DATA B1'!B688:B713)</f>
        <v>46049</v>
      </c>
      <c r="C687" s="97">
        <v>0.29166666666666669</v>
      </c>
      <c r="D687" s="84">
        <f>'DATA B1'!D688</f>
        <v>0</v>
      </c>
      <c r="E687" s="5">
        <f>SUM(E685)</f>
        <v>0</v>
      </c>
      <c r="F687" s="80">
        <f>'DATA B1'!E688</f>
        <v>0</v>
      </c>
      <c r="G687" s="80">
        <f>SUM(G685)</f>
        <v>0</v>
      </c>
      <c r="H687" s="28">
        <f t="shared" si="246"/>
        <v>0</v>
      </c>
      <c r="I687" s="45"/>
      <c r="J687" s="50">
        <f>'DATA B2'!D688</f>
        <v>0</v>
      </c>
      <c r="K687" s="82">
        <f>SUM(K685)</f>
        <v>0</v>
      </c>
      <c r="L687" s="80">
        <f>'DATA B2'!E688</f>
        <v>0</v>
      </c>
      <c r="M687" s="80">
        <f>SUM(M685)</f>
        <v>0</v>
      </c>
      <c r="N687" s="28">
        <f>IFERROR(M687/K687,0)</f>
        <v>0</v>
      </c>
      <c r="O687" s="103"/>
      <c r="P687" s="94">
        <f>'DATA B3'!C688</f>
        <v>0</v>
      </c>
      <c r="Q687" s="91">
        <f>SUM(Q685)</f>
        <v>0</v>
      </c>
      <c r="R687" s="80">
        <f>'DATA B3'!D688</f>
        <v>0</v>
      </c>
      <c r="S687" s="80">
        <f>SUM(S685)</f>
        <v>0</v>
      </c>
      <c r="T687" s="15">
        <f>IFERROR(S687/Q687,0)</f>
        <v>0</v>
      </c>
      <c r="U687" s="15"/>
    </row>
    <row r="688" spans="2:21">
      <c r="B688" s="292"/>
      <c r="C688" s="97">
        <v>0.33333333333333298</v>
      </c>
      <c r="D688" s="84">
        <f>'DATA B1'!D689</f>
        <v>0</v>
      </c>
      <c r="E688" s="5">
        <f t="shared" ref="E688:E694" si="256">SUM(D688-D687)</f>
        <v>0</v>
      </c>
      <c r="F688" s="80">
        <f>'DATA B1'!E689</f>
        <v>0</v>
      </c>
      <c r="G688" s="80">
        <f>SUM(F688-F687)</f>
        <v>0</v>
      </c>
      <c r="H688" s="28">
        <f t="shared" si="246"/>
        <v>0</v>
      </c>
      <c r="I688" s="45">
        <f>IFERROR((('DATA B1'!G689-'DATA B1'!G688)/('WATER_STEAM RATIO'!D688-'WATER_STEAM RATIO'!D687))*1000,0)</f>
        <v>0</v>
      </c>
      <c r="J688" s="50">
        <f>'DATA B2'!D689</f>
        <v>0</v>
      </c>
      <c r="K688" s="82">
        <f>SUM(J688-J687)</f>
        <v>0</v>
      </c>
      <c r="L688" s="80">
        <f>'DATA B2'!E689</f>
        <v>0</v>
      </c>
      <c r="M688" s="80">
        <f>SUM(L688-L687)</f>
        <v>0</v>
      </c>
      <c r="N688" s="28">
        <f t="shared" ref="N688:N711" si="257">IFERROR(M688/K688,0)</f>
        <v>0</v>
      </c>
      <c r="O688" s="51">
        <f>IFERROR((('DATA B2'!F689-'DATA B2'!F688)/(K688))*1000,0)</f>
        <v>0</v>
      </c>
      <c r="P688" s="94">
        <f>'DATA B3'!C689</f>
        <v>0</v>
      </c>
      <c r="Q688" s="91">
        <f>SUM(P688-P687)</f>
        <v>0</v>
      </c>
      <c r="R688" s="80">
        <f>'DATA B3'!D689</f>
        <v>0</v>
      </c>
      <c r="S688" s="80">
        <f>SUM(R688-R687)</f>
        <v>0</v>
      </c>
      <c r="T688" s="15">
        <f t="shared" ref="T688:T712" si="258">IFERROR(S688/Q688,0)</f>
        <v>0</v>
      </c>
      <c r="U688" s="15">
        <f>IFERROR((('DATA B3'!E689-'DATA B3'!E688)+('DATA B3'!F689-'DATA B3'!F688))/('WATER_STEAM RATIO'!P688-'WATER_STEAM RATIO'!P687),0)</f>
        <v>0</v>
      </c>
    </row>
    <row r="689" spans="2:21">
      <c r="B689" s="292"/>
      <c r="C689" s="97">
        <v>0.375</v>
      </c>
      <c r="D689" s="84">
        <f>'DATA B1'!D690</f>
        <v>0</v>
      </c>
      <c r="E689" s="5">
        <f t="shared" si="256"/>
        <v>0</v>
      </c>
      <c r="F689" s="80">
        <f>'DATA B1'!E690</f>
        <v>0</v>
      </c>
      <c r="G689" s="80">
        <f t="shared" ref="G689:G711" si="259">SUM(F689-F688)</f>
        <v>0</v>
      </c>
      <c r="H689" s="28">
        <f t="shared" si="246"/>
        <v>0</v>
      </c>
      <c r="I689" s="45">
        <f>IFERROR((('DATA B1'!G690-'DATA B1'!G689)/('WATER_STEAM RATIO'!D689-'WATER_STEAM RATIO'!D688))*1000,0)</f>
        <v>0</v>
      </c>
      <c r="J689" s="50">
        <f>'DATA B2'!D690</f>
        <v>0</v>
      </c>
      <c r="K689" s="82">
        <f t="shared" ref="K689:K710" si="260">SUM(J689-J688)</f>
        <v>0</v>
      </c>
      <c r="L689" s="80">
        <f>'DATA B2'!E690</f>
        <v>0</v>
      </c>
      <c r="M689" s="80">
        <f t="shared" ref="M689:M711" si="261">SUM(L689-L688)</f>
        <v>0</v>
      </c>
      <c r="N689" s="28">
        <f t="shared" si="257"/>
        <v>0</v>
      </c>
      <c r="O689" s="51">
        <f>IFERROR((('DATA B2'!F690-'DATA B2'!F689)/(K689))*1000,0)</f>
        <v>0</v>
      </c>
      <c r="P689" s="94">
        <f>'DATA B3'!C690</f>
        <v>0</v>
      </c>
      <c r="Q689" s="91">
        <f t="shared" ref="Q689:Q711" si="262">SUM(P689-P688)</f>
        <v>0</v>
      </c>
      <c r="R689" s="80">
        <f>'DATA B3'!D690</f>
        <v>0</v>
      </c>
      <c r="S689" s="80">
        <f t="shared" ref="S689:S711" si="263">SUM(R689-R688)</f>
        <v>0</v>
      </c>
      <c r="T689" s="15">
        <f t="shared" si="258"/>
        <v>0</v>
      </c>
      <c r="U689" s="15">
        <f>IFERROR((('DATA B3'!E690-'DATA B3'!E689)+('DATA B3'!F690-'DATA B3'!F689))/('WATER_STEAM RATIO'!P689-'WATER_STEAM RATIO'!P688),0)</f>
        <v>0</v>
      </c>
    </row>
    <row r="690" spans="2:21">
      <c r="B690" s="292"/>
      <c r="C690" s="97">
        <v>0.41666666666666702</v>
      </c>
      <c r="D690" s="84">
        <f>'DATA B1'!D691</f>
        <v>0</v>
      </c>
      <c r="E690" s="5">
        <f t="shared" si="256"/>
        <v>0</v>
      </c>
      <c r="F690" s="80">
        <f>'DATA B1'!E691</f>
        <v>0</v>
      </c>
      <c r="G690" s="80">
        <f t="shared" si="259"/>
        <v>0</v>
      </c>
      <c r="H690" s="28">
        <f t="shared" si="246"/>
        <v>0</v>
      </c>
      <c r="I690" s="45">
        <f>IFERROR((('DATA B1'!G691-'DATA B1'!G690)/('WATER_STEAM RATIO'!D690-'WATER_STEAM RATIO'!D689))*1000,0)</f>
        <v>0</v>
      </c>
      <c r="J690" s="50">
        <f>'DATA B2'!D691</f>
        <v>0</v>
      </c>
      <c r="K690" s="82">
        <f t="shared" si="260"/>
        <v>0</v>
      </c>
      <c r="L690" s="80">
        <f>'DATA B2'!E691</f>
        <v>0</v>
      </c>
      <c r="M690" s="80">
        <f t="shared" si="261"/>
        <v>0</v>
      </c>
      <c r="N690" s="28">
        <f t="shared" si="257"/>
        <v>0</v>
      </c>
      <c r="O690" s="51">
        <f>IFERROR((('DATA B2'!F691-'DATA B2'!F690)/(K690))*1000,0)</f>
        <v>0</v>
      </c>
      <c r="P690" s="94">
        <f>'DATA B3'!C691</f>
        <v>0</v>
      </c>
      <c r="Q690" s="91">
        <f t="shared" si="262"/>
        <v>0</v>
      </c>
      <c r="R690" s="80">
        <f>'DATA B3'!D691</f>
        <v>0</v>
      </c>
      <c r="S690" s="80">
        <f t="shared" si="263"/>
        <v>0</v>
      </c>
      <c r="T690" s="15">
        <f t="shared" si="258"/>
        <v>0</v>
      </c>
      <c r="U690" s="15">
        <f>IFERROR((('DATA B3'!E691-'DATA B3'!E690)+('DATA B3'!F691-'DATA B3'!F690))/('WATER_STEAM RATIO'!P690-'WATER_STEAM RATIO'!P689),0)</f>
        <v>0</v>
      </c>
    </row>
    <row r="691" spans="2:21">
      <c r="B691" s="292"/>
      <c r="C691" s="97">
        <v>0.45833333333333298</v>
      </c>
      <c r="D691" s="84">
        <f>'DATA B1'!D692</f>
        <v>0</v>
      </c>
      <c r="E691" s="5">
        <f t="shared" si="256"/>
        <v>0</v>
      </c>
      <c r="F691" s="80">
        <f>'DATA B1'!E692</f>
        <v>0</v>
      </c>
      <c r="G691" s="80">
        <f t="shared" si="259"/>
        <v>0</v>
      </c>
      <c r="H691" s="28">
        <f t="shared" si="246"/>
        <v>0</v>
      </c>
      <c r="I691" s="45">
        <f>IFERROR((('DATA B1'!G692-'DATA B1'!G691)/('WATER_STEAM RATIO'!D691-'WATER_STEAM RATIO'!D690))*1000,0)</f>
        <v>0</v>
      </c>
      <c r="J691" s="50">
        <f>'DATA B2'!D692</f>
        <v>0</v>
      </c>
      <c r="K691" s="82">
        <f t="shared" si="260"/>
        <v>0</v>
      </c>
      <c r="L691" s="80">
        <f>'DATA B2'!E692</f>
        <v>0</v>
      </c>
      <c r="M691" s="80">
        <f t="shared" si="261"/>
        <v>0</v>
      </c>
      <c r="N691" s="28">
        <f t="shared" si="257"/>
        <v>0</v>
      </c>
      <c r="O691" s="51">
        <f>IFERROR((('DATA B2'!F692-'DATA B2'!F691)/(K691))*1000,0)</f>
        <v>0</v>
      </c>
      <c r="P691" s="94">
        <f>'DATA B3'!C692</f>
        <v>0</v>
      </c>
      <c r="Q691" s="91">
        <f t="shared" si="262"/>
        <v>0</v>
      </c>
      <c r="R691" s="80">
        <f>'DATA B3'!D692</f>
        <v>0</v>
      </c>
      <c r="S691" s="80">
        <f t="shared" si="263"/>
        <v>0</v>
      </c>
      <c r="T691" s="15">
        <f t="shared" si="258"/>
        <v>0</v>
      </c>
      <c r="U691" s="15">
        <f>IFERROR((('DATA B3'!E692-'DATA B3'!E691)+('DATA B3'!F692-'DATA B3'!F691))/('WATER_STEAM RATIO'!P691-'WATER_STEAM RATIO'!P690),0)</f>
        <v>0</v>
      </c>
    </row>
    <row r="692" spans="2:21">
      <c r="B692" s="292"/>
      <c r="C692" s="97">
        <v>0.5</v>
      </c>
      <c r="D692" s="84">
        <f>'DATA B1'!D693</f>
        <v>0</v>
      </c>
      <c r="E692" s="5">
        <f t="shared" si="256"/>
        <v>0</v>
      </c>
      <c r="F692" s="80">
        <f>'DATA B1'!E693</f>
        <v>0</v>
      </c>
      <c r="G692" s="80">
        <f t="shared" si="259"/>
        <v>0</v>
      </c>
      <c r="H692" s="28">
        <f t="shared" si="246"/>
        <v>0</v>
      </c>
      <c r="I692" s="45">
        <f>IFERROR((('DATA B1'!G693-'DATA B1'!G692)/('WATER_STEAM RATIO'!D692-'WATER_STEAM RATIO'!D691))*1000,0)</f>
        <v>0</v>
      </c>
      <c r="J692" s="50">
        <f>'DATA B2'!D693</f>
        <v>0</v>
      </c>
      <c r="K692" s="82">
        <f t="shared" si="260"/>
        <v>0</v>
      </c>
      <c r="L692" s="80">
        <f>'DATA B2'!E693</f>
        <v>0</v>
      </c>
      <c r="M692" s="80">
        <f t="shared" si="261"/>
        <v>0</v>
      </c>
      <c r="N692" s="28">
        <f t="shared" si="257"/>
        <v>0</v>
      </c>
      <c r="O692" s="51">
        <f>IFERROR((('DATA B2'!F693-'DATA B2'!F692)/(K692))*1000,0)</f>
        <v>0</v>
      </c>
      <c r="P692" s="94">
        <f>'DATA B3'!C693</f>
        <v>0</v>
      </c>
      <c r="Q692" s="91">
        <f t="shared" si="262"/>
        <v>0</v>
      </c>
      <c r="R692" s="80">
        <f>'DATA B3'!D693</f>
        <v>0</v>
      </c>
      <c r="S692" s="80">
        <f t="shared" si="263"/>
        <v>0</v>
      </c>
      <c r="T692" s="15">
        <f t="shared" si="258"/>
        <v>0</v>
      </c>
      <c r="U692" s="15">
        <f>IFERROR((('DATA B3'!E693-'DATA B3'!E692)+('DATA B3'!F693-'DATA B3'!F692))/('WATER_STEAM RATIO'!P692-'WATER_STEAM RATIO'!P691),0)</f>
        <v>0</v>
      </c>
    </row>
    <row r="693" spans="2:21">
      <c r="B693" s="292"/>
      <c r="C693" s="97">
        <v>0.54166666666666696</v>
      </c>
      <c r="D693" s="84">
        <f>'DATA B1'!D694</f>
        <v>0</v>
      </c>
      <c r="E693" s="5">
        <f t="shared" si="256"/>
        <v>0</v>
      </c>
      <c r="F693" s="80">
        <f>'DATA B1'!E694</f>
        <v>0</v>
      </c>
      <c r="G693" s="80">
        <f t="shared" si="259"/>
        <v>0</v>
      </c>
      <c r="H693" s="28">
        <f t="shared" si="246"/>
        <v>0</v>
      </c>
      <c r="I693" s="45">
        <f>IFERROR((('DATA B1'!G694-'DATA B1'!G693)/('WATER_STEAM RATIO'!D693-'WATER_STEAM RATIO'!D692))*1000,0)</f>
        <v>0</v>
      </c>
      <c r="J693" s="50">
        <f>'DATA B2'!D694</f>
        <v>0</v>
      </c>
      <c r="K693" s="82">
        <f t="shared" si="260"/>
        <v>0</v>
      </c>
      <c r="L693" s="80">
        <f>'DATA B2'!E694</f>
        <v>0</v>
      </c>
      <c r="M693" s="80">
        <f t="shared" si="261"/>
        <v>0</v>
      </c>
      <c r="N693" s="28">
        <f t="shared" si="257"/>
        <v>0</v>
      </c>
      <c r="O693" s="51">
        <f>IFERROR((('DATA B2'!F694-'DATA B2'!F693)/(K693))*1000,0)</f>
        <v>0</v>
      </c>
      <c r="P693" s="94">
        <f>'DATA B3'!C694</f>
        <v>0</v>
      </c>
      <c r="Q693" s="91">
        <f t="shared" si="262"/>
        <v>0</v>
      </c>
      <c r="R693" s="80">
        <f>'DATA B3'!D694</f>
        <v>0</v>
      </c>
      <c r="S693" s="80">
        <f t="shared" si="263"/>
        <v>0</v>
      </c>
      <c r="T693" s="15">
        <f t="shared" si="258"/>
        <v>0</v>
      </c>
      <c r="U693" s="15">
        <f>IFERROR((('DATA B3'!E694-'DATA B3'!E693)+('DATA B3'!F694-'DATA B3'!F693))/('WATER_STEAM RATIO'!P693-'WATER_STEAM RATIO'!P692),0)</f>
        <v>0</v>
      </c>
    </row>
    <row r="694" spans="2:21">
      <c r="B694" s="292"/>
      <c r="C694" s="97">
        <v>0.58333333333333304</v>
      </c>
      <c r="D694" s="84">
        <f>'DATA B1'!D695</f>
        <v>0</v>
      </c>
      <c r="E694" s="5">
        <f t="shared" si="256"/>
        <v>0</v>
      </c>
      <c r="F694" s="80">
        <f>'DATA B1'!E695</f>
        <v>0</v>
      </c>
      <c r="G694" s="80">
        <f t="shared" si="259"/>
        <v>0</v>
      </c>
      <c r="H694" s="28">
        <f t="shared" si="246"/>
        <v>0</v>
      </c>
      <c r="I694" s="45">
        <f>IFERROR((('DATA B1'!G695-'DATA B1'!G694)/('WATER_STEAM RATIO'!D694-'WATER_STEAM RATIO'!D693))*1000,0)</f>
        <v>0</v>
      </c>
      <c r="J694" s="50">
        <f>'DATA B2'!D695</f>
        <v>0</v>
      </c>
      <c r="K694" s="82">
        <f t="shared" si="260"/>
        <v>0</v>
      </c>
      <c r="L694" s="80">
        <f>'DATA B2'!E695</f>
        <v>0</v>
      </c>
      <c r="M694" s="80">
        <f t="shared" si="261"/>
        <v>0</v>
      </c>
      <c r="N694" s="28">
        <f t="shared" si="257"/>
        <v>0</v>
      </c>
      <c r="O694" s="51">
        <f>IFERROR((('DATA B2'!F695-'DATA B2'!F694)/(K694))*1000,0)</f>
        <v>0</v>
      </c>
      <c r="P694" s="94">
        <f>'DATA B3'!C695</f>
        <v>0</v>
      </c>
      <c r="Q694" s="91">
        <f t="shared" si="262"/>
        <v>0</v>
      </c>
      <c r="R694" s="80">
        <f>'DATA B3'!D695</f>
        <v>0</v>
      </c>
      <c r="S694" s="80">
        <f t="shared" si="263"/>
        <v>0</v>
      </c>
      <c r="T694" s="15">
        <f t="shared" si="258"/>
        <v>0</v>
      </c>
      <c r="U694" s="15">
        <f>IFERROR((('DATA B3'!E695-'DATA B3'!E694)+('DATA B3'!F695-'DATA B3'!F694))/('WATER_STEAM RATIO'!P694-'WATER_STEAM RATIO'!P693),0)</f>
        <v>0</v>
      </c>
    </row>
    <row r="695" spans="2:21">
      <c r="B695" s="292"/>
      <c r="C695" s="97">
        <v>0.625</v>
      </c>
      <c r="D695" s="84">
        <f>'DATA B1'!D696</f>
        <v>0</v>
      </c>
      <c r="E695" s="5">
        <f t="shared" ref="E695:E711" si="264">SUM(D695-D694)</f>
        <v>0</v>
      </c>
      <c r="F695" s="80">
        <f>'DATA B1'!E696</f>
        <v>0</v>
      </c>
      <c r="G695" s="80">
        <f t="shared" si="259"/>
        <v>0</v>
      </c>
      <c r="H695" s="28">
        <f t="shared" si="246"/>
        <v>0</v>
      </c>
      <c r="I695" s="45">
        <f>IFERROR((('DATA B1'!G696-'DATA B1'!G695)/('WATER_STEAM RATIO'!D695-'WATER_STEAM RATIO'!D694))*1000,0)</f>
        <v>0</v>
      </c>
      <c r="J695" s="50">
        <f>'DATA B2'!D696</f>
        <v>0</v>
      </c>
      <c r="K695" s="82">
        <f t="shared" si="260"/>
        <v>0</v>
      </c>
      <c r="L695" s="80">
        <f>'DATA B2'!E696</f>
        <v>0</v>
      </c>
      <c r="M695" s="80">
        <f t="shared" si="261"/>
        <v>0</v>
      </c>
      <c r="N695" s="28">
        <f t="shared" si="257"/>
        <v>0</v>
      </c>
      <c r="O695" s="51">
        <f>IFERROR((('DATA B2'!F696-'DATA B2'!F695)/(K695))*1000,0)</f>
        <v>0</v>
      </c>
      <c r="P695" s="94">
        <f>'DATA B3'!C696</f>
        <v>0</v>
      </c>
      <c r="Q695" s="91">
        <f t="shared" si="262"/>
        <v>0</v>
      </c>
      <c r="R695" s="80">
        <f>'DATA B3'!D696</f>
        <v>0</v>
      </c>
      <c r="S695" s="80">
        <f t="shared" si="263"/>
        <v>0</v>
      </c>
      <c r="T695" s="15">
        <f t="shared" si="258"/>
        <v>0</v>
      </c>
      <c r="U695" s="15">
        <f>IFERROR((('DATA B3'!E696-'DATA B3'!E695)+('DATA B3'!F696-'DATA B3'!F695))/('WATER_STEAM RATIO'!P695-'WATER_STEAM RATIO'!P694),0)</f>
        <v>0</v>
      </c>
    </row>
    <row r="696" spans="2:21">
      <c r="B696" s="292"/>
      <c r="C696" s="97">
        <v>0.66666666666666596</v>
      </c>
      <c r="D696" s="84">
        <f>'DATA B1'!D697</f>
        <v>0</v>
      </c>
      <c r="E696" s="5">
        <f t="shared" si="264"/>
        <v>0</v>
      </c>
      <c r="F696" s="80">
        <f>'DATA B1'!E697</f>
        <v>0</v>
      </c>
      <c r="G696" s="80">
        <f t="shared" si="259"/>
        <v>0</v>
      </c>
      <c r="H696" s="28">
        <f t="shared" si="246"/>
        <v>0</v>
      </c>
      <c r="I696" s="45">
        <f>IFERROR((('DATA B1'!G697-'DATA B1'!G696)/('WATER_STEAM RATIO'!D696-'WATER_STEAM RATIO'!D695))*1000,0)</f>
        <v>0</v>
      </c>
      <c r="J696" s="50">
        <f>'DATA B2'!D697</f>
        <v>0</v>
      </c>
      <c r="K696" s="82">
        <f>SUM(J696-J695)</f>
        <v>0</v>
      </c>
      <c r="L696" s="80">
        <f>'DATA B2'!E697</f>
        <v>0</v>
      </c>
      <c r="M696" s="80">
        <f t="shared" si="261"/>
        <v>0</v>
      </c>
      <c r="N696" s="28">
        <f t="shared" si="257"/>
        <v>0</v>
      </c>
      <c r="O696" s="51">
        <f>IFERROR((('DATA B2'!F697-'DATA B2'!F696)/(K696))*1000,0)</f>
        <v>0</v>
      </c>
      <c r="P696" s="94">
        <f>'DATA B3'!C697</f>
        <v>0</v>
      </c>
      <c r="Q696" s="91">
        <f t="shared" si="262"/>
        <v>0</v>
      </c>
      <c r="R696" s="80">
        <f>'DATA B3'!D697</f>
        <v>0</v>
      </c>
      <c r="S696" s="80">
        <f t="shared" si="263"/>
        <v>0</v>
      </c>
      <c r="T696" s="15">
        <f t="shared" si="258"/>
        <v>0</v>
      </c>
      <c r="U696" s="15">
        <f>IFERROR((('DATA B3'!E697-'DATA B3'!E696)+('DATA B3'!F697-'DATA B3'!F696))/('WATER_STEAM RATIO'!P696-'WATER_STEAM RATIO'!P695),0)</f>
        <v>0</v>
      </c>
    </row>
    <row r="697" spans="2:21">
      <c r="B697" s="292"/>
      <c r="C697" s="97">
        <v>0.70833333333333304</v>
      </c>
      <c r="D697" s="84">
        <f>'DATA B1'!D698</f>
        <v>0</v>
      </c>
      <c r="E697" s="5">
        <f t="shared" si="264"/>
        <v>0</v>
      </c>
      <c r="F697" s="80">
        <f>'DATA B1'!E698</f>
        <v>0</v>
      </c>
      <c r="G697" s="80">
        <f t="shared" si="259"/>
        <v>0</v>
      </c>
      <c r="H697" s="28">
        <f t="shared" si="246"/>
        <v>0</v>
      </c>
      <c r="I697" s="45">
        <f>IFERROR((('DATA B1'!G698-'DATA B1'!G697)/('WATER_STEAM RATIO'!D697-'WATER_STEAM RATIO'!D696))*1000,0)</f>
        <v>0</v>
      </c>
      <c r="J697" s="50">
        <f>'DATA B2'!D698</f>
        <v>0</v>
      </c>
      <c r="K697" s="82">
        <f t="shared" si="260"/>
        <v>0</v>
      </c>
      <c r="L697" s="80">
        <f>'DATA B2'!E698</f>
        <v>0</v>
      </c>
      <c r="M697" s="80">
        <f t="shared" si="261"/>
        <v>0</v>
      </c>
      <c r="N697" s="28">
        <f t="shared" si="257"/>
        <v>0</v>
      </c>
      <c r="O697" s="51">
        <f>IFERROR((('DATA B2'!F698-'DATA B2'!F697)/(K697))*1000,0)</f>
        <v>0</v>
      </c>
      <c r="P697" s="94">
        <f>'DATA B3'!C698</f>
        <v>0</v>
      </c>
      <c r="Q697" s="91">
        <f t="shared" si="262"/>
        <v>0</v>
      </c>
      <c r="R697" s="80">
        <f>'DATA B3'!D698</f>
        <v>0</v>
      </c>
      <c r="S697" s="80">
        <f t="shared" si="263"/>
        <v>0</v>
      </c>
      <c r="T697" s="15">
        <f t="shared" si="258"/>
        <v>0</v>
      </c>
      <c r="U697" s="15">
        <f>IFERROR((('DATA B3'!E698-'DATA B3'!E697)+('DATA B3'!F698-'DATA B3'!F697))/('WATER_STEAM RATIO'!P697-'WATER_STEAM RATIO'!P696),0)</f>
        <v>0</v>
      </c>
    </row>
    <row r="698" spans="2:21">
      <c r="B698" s="292"/>
      <c r="C698" s="97">
        <v>0.75</v>
      </c>
      <c r="D698" s="84">
        <f>'DATA B1'!D699</f>
        <v>0</v>
      </c>
      <c r="E698" s="5">
        <f t="shared" si="264"/>
        <v>0</v>
      </c>
      <c r="F698" s="80">
        <f>'DATA B1'!E699</f>
        <v>0</v>
      </c>
      <c r="G698" s="80">
        <f t="shared" si="259"/>
        <v>0</v>
      </c>
      <c r="H698" s="28">
        <f t="shared" si="246"/>
        <v>0</v>
      </c>
      <c r="I698" s="45">
        <f>IFERROR((('DATA B1'!G699-'DATA B1'!G698)/('WATER_STEAM RATIO'!D698-'WATER_STEAM RATIO'!D697))*1000,0)</f>
        <v>0</v>
      </c>
      <c r="J698" s="50">
        <f>'DATA B2'!D699</f>
        <v>0</v>
      </c>
      <c r="K698" s="82">
        <f t="shared" si="260"/>
        <v>0</v>
      </c>
      <c r="L698" s="80">
        <f>'DATA B2'!E699</f>
        <v>0</v>
      </c>
      <c r="M698" s="80">
        <f t="shared" si="261"/>
        <v>0</v>
      </c>
      <c r="N698" s="28">
        <f t="shared" si="257"/>
        <v>0</v>
      </c>
      <c r="O698" s="51">
        <f>IFERROR((('DATA B2'!F699-'DATA B2'!F698)/(K698))*1000,0)</f>
        <v>0</v>
      </c>
      <c r="P698" s="94">
        <f>'DATA B3'!C699</f>
        <v>0</v>
      </c>
      <c r="Q698" s="91">
        <f t="shared" si="262"/>
        <v>0</v>
      </c>
      <c r="R698" s="80">
        <f>'DATA B3'!D699</f>
        <v>0</v>
      </c>
      <c r="S698" s="80">
        <f t="shared" si="263"/>
        <v>0</v>
      </c>
      <c r="T698" s="15">
        <f t="shared" si="258"/>
        <v>0</v>
      </c>
      <c r="U698" s="15">
        <f>IFERROR((('DATA B3'!E699-'DATA B3'!E698)+('DATA B3'!F699-'DATA B3'!F698))/('WATER_STEAM RATIO'!P698-'WATER_STEAM RATIO'!P697),0)</f>
        <v>0</v>
      </c>
    </row>
    <row r="699" spans="2:21">
      <c r="B699" s="292"/>
      <c r="C699" s="97">
        <v>0.79166666666666596</v>
      </c>
      <c r="D699" s="84">
        <f>'DATA B1'!D700</f>
        <v>0</v>
      </c>
      <c r="E699" s="5">
        <f t="shared" si="264"/>
        <v>0</v>
      </c>
      <c r="F699" s="80">
        <f>'DATA B1'!E700</f>
        <v>0</v>
      </c>
      <c r="G699" s="80">
        <f t="shared" si="259"/>
        <v>0</v>
      </c>
      <c r="H699" s="28">
        <f t="shared" si="246"/>
        <v>0</v>
      </c>
      <c r="I699" s="45">
        <f>IFERROR((('DATA B1'!G700-'DATA B1'!G699)/('WATER_STEAM RATIO'!D699-'WATER_STEAM RATIO'!D698))*1000,0)</f>
        <v>0</v>
      </c>
      <c r="J699" s="50">
        <f>'DATA B2'!D700</f>
        <v>0</v>
      </c>
      <c r="K699" s="82">
        <f t="shared" si="260"/>
        <v>0</v>
      </c>
      <c r="L699" s="80">
        <f>'DATA B2'!E700</f>
        <v>0</v>
      </c>
      <c r="M699" s="80">
        <f t="shared" si="261"/>
        <v>0</v>
      </c>
      <c r="N699" s="28">
        <f t="shared" si="257"/>
        <v>0</v>
      </c>
      <c r="O699" s="51">
        <f>IFERROR((('DATA B2'!F700-'DATA B2'!F699)/(K699))*1000,0)</f>
        <v>0</v>
      </c>
      <c r="P699" s="94">
        <f>'DATA B3'!C700</f>
        <v>0</v>
      </c>
      <c r="Q699" s="91">
        <f t="shared" si="262"/>
        <v>0</v>
      </c>
      <c r="R699" s="80">
        <f>'DATA B3'!D700</f>
        <v>0</v>
      </c>
      <c r="S699" s="80">
        <f t="shared" si="263"/>
        <v>0</v>
      </c>
      <c r="T699" s="15">
        <f t="shared" si="258"/>
        <v>0</v>
      </c>
      <c r="U699" s="15">
        <f>IFERROR((('DATA B3'!E700-'DATA B3'!E699)+('DATA B3'!F700-'DATA B3'!F699))/('WATER_STEAM RATIO'!P699-'WATER_STEAM RATIO'!P698),0)</f>
        <v>0</v>
      </c>
    </row>
    <row r="700" spans="2:21">
      <c r="B700" s="292"/>
      <c r="C700" s="97">
        <v>0.83333333333333304</v>
      </c>
      <c r="D700" s="84">
        <f>'DATA B1'!D701</f>
        <v>0</v>
      </c>
      <c r="E700" s="5">
        <f t="shared" si="264"/>
        <v>0</v>
      </c>
      <c r="F700" s="80">
        <f>'DATA B1'!E701</f>
        <v>0</v>
      </c>
      <c r="G700" s="80">
        <f t="shared" si="259"/>
        <v>0</v>
      </c>
      <c r="H700" s="28">
        <f t="shared" si="246"/>
        <v>0</v>
      </c>
      <c r="I700" s="45">
        <f>IFERROR((('DATA B1'!G701-'DATA B1'!G700)/('WATER_STEAM RATIO'!D700-'WATER_STEAM RATIO'!D699))*1000,0)</f>
        <v>0</v>
      </c>
      <c r="J700" s="50">
        <f>'DATA B2'!D701</f>
        <v>0</v>
      </c>
      <c r="K700" s="82">
        <f t="shared" si="260"/>
        <v>0</v>
      </c>
      <c r="L700" s="80">
        <f>'DATA B2'!E701</f>
        <v>0</v>
      </c>
      <c r="M700" s="80">
        <f t="shared" si="261"/>
        <v>0</v>
      </c>
      <c r="N700" s="28">
        <f t="shared" si="257"/>
        <v>0</v>
      </c>
      <c r="O700" s="51">
        <f>IFERROR((('DATA B2'!F701-'DATA B2'!F700)/(K700))*1000,0)</f>
        <v>0</v>
      </c>
      <c r="P700" s="94">
        <f>'DATA B3'!C701</f>
        <v>0</v>
      </c>
      <c r="Q700" s="91">
        <f t="shared" si="262"/>
        <v>0</v>
      </c>
      <c r="R700" s="80">
        <f>'DATA B3'!D701</f>
        <v>0</v>
      </c>
      <c r="S700" s="80">
        <f t="shared" si="263"/>
        <v>0</v>
      </c>
      <c r="T700" s="15">
        <f t="shared" si="258"/>
        <v>0</v>
      </c>
      <c r="U700" s="15">
        <f>IFERROR((('DATA B3'!E701-'DATA B3'!E700)+('DATA B3'!F701-'DATA B3'!F700))/('WATER_STEAM RATIO'!P700-'WATER_STEAM RATIO'!P699),0)</f>
        <v>0</v>
      </c>
    </row>
    <row r="701" spans="2:21">
      <c r="B701" s="292"/>
      <c r="C701" s="97">
        <v>0.875</v>
      </c>
      <c r="D701" s="84">
        <f>'DATA B1'!D702</f>
        <v>0</v>
      </c>
      <c r="E701" s="5">
        <f t="shared" si="264"/>
        <v>0</v>
      </c>
      <c r="F701" s="80">
        <f>'DATA B1'!E702</f>
        <v>0</v>
      </c>
      <c r="G701" s="80">
        <f t="shared" si="259"/>
        <v>0</v>
      </c>
      <c r="H701" s="28">
        <f t="shared" si="246"/>
        <v>0</v>
      </c>
      <c r="I701" s="45">
        <f>IFERROR((('DATA B1'!G702-'DATA B1'!G701)/('WATER_STEAM RATIO'!D701-'WATER_STEAM RATIO'!D700))*1000,0)</f>
        <v>0</v>
      </c>
      <c r="J701" s="50">
        <f>'DATA B2'!D702</f>
        <v>0</v>
      </c>
      <c r="K701" s="82">
        <f t="shared" si="260"/>
        <v>0</v>
      </c>
      <c r="L701" s="80">
        <f>'DATA B2'!E702</f>
        <v>0</v>
      </c>
      <c r="M701" s="80">
        <f t="shared" si="261"/>
        <v>0</v>
      </c>
      <c r="N701" s="28">
        <f>IFERROR(M701/K701,0)</f>
        <v>0</v>
      </c>
      <c r="O701" s="51">
        <f>IFERROR((('DATA B2'!F702-'DATA B2'!F701)/(K701))*1000,0)</f>
        <v>0</v>
      </c>
      <c r="P701" s="94">
        <f>'DATA B3'!C702</f>
        <v>0</v>
      </c>
      <c r="Q701" s="91">
        <f t="shared" si="262"/>
        <v>0</v>
      </c>
      <c r="R701" s="80">
        <f>'DATA B3'!D702</f>
        <v>0</v>
      </c>
      <c r="S701" s="80">
        <f t="shared" si="263"/>
        <v>0</v>
      </c>
      <c r="T701" s="15">
        <f t="shared" si="258"/>
        <v>0</v>
      </c>
      <c r="U701" s="15">
        <f>IFERROR((('DATA B3'!E702-'DATA B3'!E701)+('DATA B3'!F702-'DATA B3'!F701))/('WATER_STEAM RATIO'!P701-'WATER_STEAM RATIO'!P700),0)</f>
        <v>0</v>
      </c>
    </row>
    <row r="702" spans="2:21">
      <c r="B702" s="292"/>
      <c r="C702" s="97">
        <v>0.91666666666666596</v>
      </c>
      <c r="D702" s="84">
        <f>'DATA B1'!D703</f>
        <v>0</v>
      </c>
      <c r="E702" s="5">
        <f t="shared" si="264"/>
        <v>0</v>
      </c>
      <c r="F702" s="80">
        <f>'DATA B1'!E703</f>
        <v>0</v>
      </c>
      <c r="G702" s="80">
        <f t="shared" si="259"/>
        <v>0</v>
      </c>
      <c r="H702" s="28">
        <f t="shared" si="246"/>
        <v>0</v>
      </c>
      <c r="I702" s="45">
        <f>IFERROR((('DATA B1'!G703-'DATA B1'!G702)/('WATER_STEAM RATIO'!D702-'WATER_STEAM RATIO'!D701))*1000,0)</f>
        <v>0</v>
      </c>
      <c r="J702" s="50">
        <f>'DATA B2'!D703</f>
        <v>0</v>
      </c>
      <c r="K702" s="82">
        <f t="shared" si="260"/>
        <v>0</v>
      </c>
      <c r="L702" s="80">
        <f>'DATA B2'!E703</f>
        <v>0</v>
      </c>
      <c r="M702" s="80">
        <f t="shared" si="261"/>
        <v>0</v>
      </c>
      <c r="N702" s="28">
        <f t="shared" si="257"/>
        <v>0</v>
      </c>
      <c r="O702" s="51">
        <f>IFERROR((('DATA B2'!F703-'DATA B2'!F702)/(K702))*1000,0)</f>
        <v>0</v>
      </c>
      <c r="P702" s="94">
        <f>'DATA B3'!C703</f>
        <v>0</v>
      </c>
      <c r="Q702" s="91">
        <f t="shared" si="262"/>
        <v>0</v>
      </c>
      <c r="R702" s="80">
        <f>'DATA B3'!D703</f>
        <v>0</v>
      </c>
      <c r="S702" s="80">
        <f t="shared" si="263"/>
        <v>0</v>
      </c>
      <c r="T702" s="15">
        <f t="shared" si="258"/>
        <v>0</v>
      </c>
      <c r="U702" s="15">
        <f>IFERROR((('DATA B3'!E703-'DATA B3'!E702)+('DATA B3'!F703-'DATA B3'!F702))/('WATER_STEAM RATIO'!P702-'WATER_STEAM RATIO'!P701),0)</f>
        <v>0</v>
      </c>
    </row>
    <row r="703" spans="2:21">
      <c r="B703" s="292"/>
      <c r="C703" s="97">
        <v>0.95833333333333304</v>
      </c>
      <c r="D703" s="84">
        <f>'DATA B1'!D704</f>
        <v>0</v>
      </c>
      <c r="E703" s="5">
        <f t="shared" si="264"/>
        <v>0</v>
      </c>
      <c r="F703" s="80">
        <f>'DATA B1'!E704</f>
        <v>0</v>
      </c>
      <c r="G703" s="80">
        <f t="shared" si="259"/>
        <v>0</v>
      </c>
      <c r="H703" s="28">
        <f t="shared" si="246"/>
        <v>0</v>
      </c>
      <c r="I703" s="45">
        <f>IFERROR((('DATA B1'!G704-'DATA B1'!G703)/('WATER_STEAM RATIO'!D703-'WATER_STEAM RATIO'!D702))*1000,0)</f>
        <v>0</v>
      </c>
      <c r="J703" s="50">
        <f>'DATA B2'!D704</f>
        <v>0</v>
      </c>
      <c r="K703" s="82">
        <f>SUM(J703-J702)</f>
        <v>0</v>
      </c>
      <c r="L703" s="80">
        <f>'DATA B2'!E704</f>
        <v>0</v>
      </c>
      <c r="M703" s="80">
        <f t="shared" si="261"/>
        <v>0</v>
      </c>
      <c r="N703" s="28">
        <f t="shared" si="257"/>
        <v>0</v>
      </c>
      <c r="O703" s="51">
        <f>IFERROR((('DATA B2'!F704-'DATA B2'!F703)/(K703))*1000,0)</f>
        <v>0</v>
      </c>
      <c r="P703" s="94">
        <f>'DATA B3'!C704</f>
        <v>0</v>
      </c>
      <c r="Q703" s="91">
        <f t="shared" si="262"/>
        <v>0</v>
      </c>
      <c r="R703" s="80">
        <f>'DATA B3'!D704</f>
        <v>0</v>
      </c>
      <c r="S703" s="80">
        <f t="shared" si="263"/>
        <v>0</v>
      </c>
      <c r="T703" s="15">
        <f t="shared" si="258"/>
        <v>0</v>
      </c>
      <c r="U703" s="15">
        <f>IFERROR((('DATA B3'!E704-'DATA B3'!E703)+('DATA B3'!F704-'DATA B3'!F703))/('WATER_STEAM RATIO'!P703-'WATER_STEAM RATIO'!P702),0)</f>
        <v>0</v>
      </c>
    </row>
    <row r="704" spans="2:21">
      <c r="B704" s="292"/>
      <c r="C704" s="97">
        <v>1</v>
      </c>
      <c r="D704" s="84">
        <f>'DATA B1'!D705</f>
        <v>0</v>
      </c>
      <c r="E704" s="5">
        <f t="shared" si="264"/>
        <v>0</v>
      </c>
      <c r="F704" s="80">
        <f>'DATA B1'!E705</f>
        <v>0</v>
      </c>
      <c r="G704" s="80">
        <f t="shared" si="259"/>
        <v>0</v>
      </c>
      <c r="H704" s="28">
        <f t="shared" si="246"/>
        <v>0</v>
      </c>
      <c r="I704" s="45">
        <f>IFERROR((('DATA B1'!G705-'DATA B1'!G704)/('WATER_STEAM RATIO'!D704-'WATER_STEAM RATIO'!D703))*1000,0)</f>
        <v>0</v>
      </c>
      <c r="J704" s="50">
        <f>'DATA B2'!D705</f>
        <v>0</v>
      </c>
      <c r="K704" s="82">
        <f t="shared" si="260"/>
        <v>0</v>
      </c>
      <c r="L704" s="80">
        <f>'DATA B2'!E705</f>
        <v>0</v>
      </c>
      <c r="M704" s="80">
        <f t="shared" si="261"/>
        <v>0</v>
      </c>
      <c r="N704" s="28">
        <f t="shared" si="257"/>
        <v>0</v>
      </c>
      <c r="O704" s="51">
        <f>IFERROR((('DATA B2'!F705-'DATA B2'!F704)/(K704))*1000,0)</f>
        <v>0</v>
      </c>
      <c r="P704" s="94">
        <f>'DATA B3'!C705</f>
        <v>0</v>
      </c>
      <c r="Q704" s="91">
        <f t="shared" si="262"/>
        <v>0</v>
      </c>
      <c r="R704" s="80">
        <f>'DATA B3'!D705</f>
        <v>0</v>
      </c>
      <c r="S704" s="80">
        <f t="shared" si="263"/>
        <v>0</v>
      </c>
      <c r="T704" s="15">
        <f t="shared" si="258"/>
        <v>0</v>
      </c>
      <c r="U704" s="15">
        <f>IFERROR((('DATA B3'!E705-'DATA B3'!E704)+('DATA B3'!F705-'DATA B3'!F704))/('WATER_STEAM RATIO'!P704-'WATER_STEAM RATIO'!P703),0)</f>
        <v>0</v>
      </c>
    </row>
    <row r="705" spans="2:21">
      <c r="B705" s="292"/>
      <c r="C705" s="97">
        <v>1.0416666666666701</v>
      </c>
      <c r="D705" s="84">
        <f>'DATA B1'!D706</f>
        <v>0</v>
      </c>
      <c r="E705" s="5">
        <f t="shared" si="264"/>
        <v>0</v>
      </c>
      <c r="F705" s="80">
        <f>'DATA B1'!E706</f>
        <v>0</v>
      </c>
      <c r="G705" s="80">
        <f t="shared" si="259"/>
        <v>0</v>
      </c>
      <c r="H705" s="28">
        <f t="shared" si="246"/>
        <v>0</v>
      </c>
      <c r="I705" s="45">
        <f>IFERROR((('DATA B1'!G706-'DATA B1'!G705)/('WATER_STEAM RATIO'!D705-'WATER_STEAM RATIO'!D704))*1000,0)</f>
        <v>0</v>
      </c>
      <c r="J705" s="50">
        <f>'DATA B2'!D706</f>
        <v>0</v>
      </c>
      <c r="K705" s="82">
        <f t="shared" si="260"/>
        <v>0</v>
      </c>
      <c r="L705" s="80">
        <f>'DATA B2'!E706</f>
        <v>0</v>
      </c>
      <c r="M705" s="80">
        <f t="shared" si="261"/>
        <v>0</v>
      </c>
      <c r="N705" s="28">
        <f t="shared" si="257"/>
        <v>0</v>
      </c>
      <c r="O705" s="51">
        <f>IFERROR((('DATA B2'!F706-'DATA B2'!F705)/(K705))*1000,0)</f>
        <v>0</v>
      </c>
      <c r="P705" s="94">
        <f>'DATA B3'!C706</f>
        <v>0</v>
      </c>
      <c r="Q705" s="91">
        <f t="shared" si="262"/>
        <v>0</v>
      </c>
      <c r="R705" s="80">
        <f>'DATA B3'!D706</f>
        <v>0</v>
      </c>
      <c r="S705" s="80">
        <f t="shared" si="263"/>
        <v>0</v>
      </c>
      <c r="T705" s="15">
        <f t="shared" si="258"/>
        <v>0</v>
      </c>
      <c r="U705" s="15">
        <f>IFERROR((('DATA B3'!E706-'DATA B3'!E705)+('DATA B3'!F706-'DATA B3'!F705))/('WATER_STEAM RATIO'!P705-'WATER_STEAM RATIO'!P704),0)</f>
        <v>0</v>
      </c>
    </row>
    <row r="706" spans="2:21">
      <c r="B706" s="292"/>
      <c r="C706" s="97">
        <v>1.0833333333333399</v>
      </c>
      <c r="D706" s="84">
        <f>'DATA B1'!D707</f>
        <v>0</v>
      </c>
      <c r="E706" s="5">
        <f>SUM(D706-D705)</f>
        <v>0</v>
      </c>
      <c r="F706" s="80">
        <f>'DATA B1'!E707</f>
        <v>0</v>
      </c>
      <c r="G706" s="80">
        <f t="shared" si="259"/>
        <v>0</v>
      </c>
      <c r="H706" s="28">
        <f t="shared" si="246"/>
        <v>0</v>
      </c>
      <c r="I706" s="45">
        <f>IFERROR((('DATA B1'!G707-'DATA B1'!G706)/('WATER_STEAM RATIO'!D706-'WATER_STEAM RATIO'!D705))*1000,0)</f>
        <v>0</v>
      </c>
      <c r="J706" s="50">
        <f>'DATA B2'!D707</f>
        <v>0</v>
      </c>
      <c r="K706" s="82">
        <f t="shared" si="260"/>
        <v>0</v>
      </c>
      <c r="L706" s="80">
        <f>'DATA B2'!E707</f>
        <v>0</v>
      </c>
      <c r="M706" s="80">
        <f t="shared" si="261"/>
        <v>0</v>
      </c>
      <c r="N706" s="28">
        <f t="shared" si="257"/>
        <v>0</v>
      </c>
      <c r="O706" s="51">
        <f>IFERROR((('DATA B2'!F707-'DATA B2'!F706)/(K706))*1000,0)</f>
        <v>0</v>
      </c>
      <c r="P706" s="94">
        <f>'DATA B3'!C707</f>
        <v>0</v>
      </c>
      <c r="Q706" s="91">
        <f>SUM(P706-P705)</f>
        <v>0</v>
      </c>
      <c r="R706" s="80">
        <f>'DATA B3'!D707</f>
        <v>0</v>
      </c>
      <c r="S706" s="80">
        <f t="shared" si="263"/>
        <v>0</v>
      </c>
      <c r="T706" s="15">
        <f t="shared" si="258"/>
        <v>0</v>
      </c>
      <c r="U706" s="15">
        <f>IFERROR((('DATA B3'!E707-'DATA B3'!E706)+('DATA B3'!F707-'DATA B3'!F706))/('WATER_STEAM RATIO'!P706-'WATER_STEAM RATIO'!P705),0)</f>
        <v>0</v>
      </c>
    </row>
    <row r="707" spans="2:21">
      <c r="B707" s="292"/>
      <c r="C707" s="97">
        <v>1.125</v>
      </c>
      <c r="D707" s="84">
        <f>'DATA B1'!D708</f>
        <v>0</v>
      </c>
      <c r="E707" s="5">
        <f t="shared" si="264"/>
        <v>0</v>
      </c>
      <c r="F707" s="80">
        <f>'DATA B1'!E708</f>
        <v>0</v>
      </c>
      <c r="G707" s="80">
        <f t="shared" si="259"/>
        <v>0</v>
      </c>
      <c r="H707" s="28">
        <f t="shared" si="246"/>
        <v>0</v>
      </c>
      <c r="I707" s="45">
        <f>IFERROR((('DATA B1'!G708-'DATA B1'!G707)/('WATER_STEAM RATIO'!D707-'WATER_STEAM RATIO'!D706))*1000,0)</f>
        <v>0</v>
      </c>
      <c r="J707" s="50">
        <f>'DATA B2'!D708</f>
        <v>0</v>
      </c>
      <c r="K707" s="82">
        <f t="shared" si="260"/>
        <v>0</v>
      </c>
      <c r="L707" s="80">
        <f>'DATA B2'!E708</f>
        <v>0</v>
      </c>
      <c r="M707" s="80">
        <f t="shared" si="261"/>
        <v>0</v>
      </c>
      <c r="N707" s="28">
        <f t="shared" si="257"/>
        <v>0</v>
      </c>
      <c r="O707" s="51">
        <f>IFERROR((('DATA B2'!F708-'DATA B2'!F707)/(K707))*1000,0)</f>
        <v>0</v>
      </c>
      <c r="P707" s="94">
        <f>'DATA B3'!C708</f>
        <v>0</v>
      </c>
      <c r="Q707" s="91">
        <f t="shared" si="262"/>
        <v>0</v>
      </c>
      <c r="R707" s="80">
        <f>'DATA B3'!D708</f>
        <v>0</v>
      </c>
      <c r="S707" s="80">
        <f t="shared" si="263"/>
        <v>0</v>
      </c>
      <c r="T707" s="15">
        <f t="shared" si="258"/>
        <v>0</v>
      </c>
      <c r="U707" s="15">
        <f>IFERROR((('DATA B3'!E708-'DATA B3'!E707)+('DATA B3'!F708-'DATA B3'!F707))/('WATER_STEAM RATIO'!P707-'WATER_STEAM RATIO'!P706),0)</f>
        <v>0</v>
      </c>
    </row>
    <row r="708" spans="2:21">
      <c r="B708" s="292"/>
      <c r="C708" s="97">
        <v>1.1666666666666701</v>
      </c>
      <c r="D708" s="84">
        <f>'DATA B1'!D709</f>
        <v>0</v>
      </c>
      <c r="E708" s="5">
        <f t="shared" si="264"/>
        <v>0</v>
      </c>
      <c r="F708" s="80">
        <f>'DATA B1'!E709</f>
        <v>0</v>
      </c>
      <c r="G708" s="80">
        <f t="shared" si="259"/>
        <v>0</v>
      </c>
      <c r="H708" s="28">
        <f t="shared" si="246"/>
        <v>0</v>
      </c>
      <c r="I708" s="45">
        <f>IFERROR((('DATA B1'!G709-'DATA B1'!G708)/('WATER_STEAM RATIO'!D708-'WATER_STEAM RATIO'!D707))*1000,0)</f>
        <v>0</v>
      </c>
      <c r="J708" s="50">
        <f>'DATA B2'!D709</f>
        <v>0</v>
      </c>
      <c r="K708" s="82">
        <f t="shared" si="260"/>
        <v>0</v>
      </c>
      <c r="L708" s="80">
        <f>'DATA B2'!E709</f>
        <v>0</v>
      </c>
      <c r="M708" s="80">
        <f t="shared" si="261"/>
        <v>0</v>
      </c>
      <c r="N708" s="28">
        <f t="shared" si="257"/>
        <v>0</v>
      </c>
      <c r="O708" s="51">
        <f>IFERROR((('DATA B2'!F709-'DATA B2'!F708)/(K708))*1000,0)</f>
        <v>0</v>
      </c>
      <c r="P708" s="94">
        <f>'DATA B3'!C709</f>
        <v>0</v>
      </c>
      <c r="Q708" s="91">
        <f t="shared" si="262"/>
        <v>0</v>
      </c>
      <c r="R708" s="80">
        <f>'DATA B3'!D709</f>
        <v>0</v>
      </c>
      <c r="S708" s="80">
        <f t="shared" si="263"/>
        <v>0</v>
      </c>
      <c r="T708" s="15">
        <f t="shared" si="258"/>
        <v>0</v>
      </c>
      <c r="U708" s="15">
        <f>IFERROR((('DATA B3'!E709-'DATA B3'!E708)+('DATA B3'!F709-'DATA B3'!F708))/('WATER_STEAM RATIO'!P708-'WATER_STEAM RATIO'!P707),0)</f>
        <v>0</v>
      </c>
    </row>
    <row r="709" spans="2:21">
      <c r="B709" s="292"/>
      <c r="C709" s="97">
        <v>1.2083333333333399</v>
      </c>
      <c r="D709" s="84">
        <f>'DATA B1'!D710</f>
        <v>0</v>
      </c>
      <c r="E709" s="5">
        <f t="shared" si="264"/>
        <v>0</v>
      </c>
      <c r="F709" s="80">
        <f>'DATA B1'!E710</f>
        <v>0</v>
      </c>
      <c r="G709" s="80">
        <f t="shared" si="259"/>
        <v>0</v>
      </c>
      <c r="H709" s="28">
        <f t="shared" si="246"/>
        <v>0</v>
      </c>
      <c r="I709" s="45">
        <f>IFERROR((('DATA B1'!G710-'DATA B1'!G709)/('WATER_STEAM RATIO'!D709-'WATER_STEAM RATIO'!D708))*1000,0)</f>
        <v>0</v>
      </c>
      <c r="J709" s="50">
        <f>'DATA B2'!D710</f>
        <v>0</v>
      </c>
      <c r="K709" s="82">
        <f t="shared" si="260"/>
        <v>0</v>
      </c>
      <c r="L709" s="80">
        <f>'DATA B2'!E710</f>
        <v>0</v>
      </c>
      <c r="M709" s="80">
        <f t="shared" si="261"/>
        <v>0</v>
      </c>
      <c r="N709" s="28">
        <f t="shared" si="257"/>
        <v>0</v>
      </c>
      <c r="O709" s="51">
        <f>IFERROR((('DATA B2'!F710-'DATA B2'!F709)/(K709))*1000,0)</f>
        <v>0</v>
      </c>
      <c r="P709" s="94">
        <f>'DATA B3'!C710</f>
        <v>0</v>
      </c>
      <c r="Q709" s="91">
        <f t="shared" si="262"/>
        <v>0</v>
      </c>
      <c r="R709" s="80">
        <f>'DATA B3'!D710</f>
        <v>0</v>
      </c>
      <c r="S709" s="80">
        <f t="shared" si="263"/>
        <v>0</v>
      </c>
      <c r="T709" s="15">
        <f t="shared" si="258"/>
        <v>0</v>
      </c>
      <c r="U709" s="15">
        <f>IFERROR((('DATA B3'!E710-'DATA B3'!E709)+('DATA B3'!F710-'DATA B3'!F709))/('WATER_STEAM RATIO'!P709-'WATER_STEAM RATIO'!P708),0)</f>
        <v>0</v>
      </c>
    </row>
    <row r="710" spans="2:21">
      <c r="B710" s="292"/>
      <c r="C710" s="97">
        <v>1.25</v>
      </c>
      <c r="D710" s="84">
        <f>'DATA B1'!D711</f>
        <v>0</v>
      </c>
      <c r="E710" s="5">
        <f t="shared" si="264"/>
        <v>0</v>
      </c>
      <c r="F710" s="80">
        <f>'DATA B1'!E711</f>
        <v>0</v>
      </c>
      <c r="G710" s="80">
        <f t="shared" si="259"/>
        <v>0</v>
      </c>
      <c r="H710" s="28">
        <f t="shared" si="246"/>
        <v>0</v>
      </c>
      <c r="I710" s="45">
        <f>IFERROR((('DATA B1'!G711-'DATA B1'!G710)/('WATER_STEAM RATIO'!D710-'WATER_STEAM RATIO'!D709))*1000,0)</f>
        <v>0</v>
      </c>
      <c r="J710" s="50">
        <f>'DATA B2'!D711</f>
        <v>0</v>
      </c>
      <c r="K710" s="82">
        <f t="shared" si="260"/>
        <v>0</v>
      </c>
      <c r="L710" s="80">
        <f>'DATA B2'!E711</f>
        <v>0</v>
      </c>
      <c r="M710" s="80">
        <f t="shared" si="261"/>
        <v>0</v>
      </c>
      <c r="N710" s="28">
        <f t="shared" si="257"/>
        <v>0</v>
      </c>
      <c r="O710" s="51">
        <f>IFERROR((('DATA B2'!F711-'DATA B2'!F710)/(K710))*1000,0)</f>
        <v>0</v>
      </c>
      <c r="P710" s="94">
        <f>'DATA B3'!C711</f>
        <v>0</v>
      </c>
      <c r="Q710" s="91">
        <f t="shared" si="262"/>
        <v>0</v>
      </c>
      <c r="R710" s="80">
        <f>'DATA B3'!D711</f>
        <v>0</v>
      </c>
      <c r="S710" s="80">
        <f t="shared" si="263"/>
        <v>0</v>
      </c>
      <c r="T710" s="15">
        <f t="shared" si="258"/>
        <v>0</v>
      </c>
      <c r="U710" s="15">
        <f>IFERROR((('DATA B3'!E711-'DATA B3'!E710)+('DATA B3'!F711-'DATA B3'!F710))/('WATER_STEAM RATIO'!P710-'WATER_STEAM RATIO'!P709),0)</f>
        <v>0</v>
      </c>
    </row>
    <row r="711" spans="2:21">
      <c r="B711" s="292"/>
      <c r="C711" s="97">
        <v>1.2916666666666701</v>
      </c>
      <c r="D711" s="84">
        <f>'DATA B1'!D712</f>
        <v>0</v>
      </c>
      <c r="E711" s="5">
        <f t="shared" si="264"/>
        <v>0</v>
      </c>
      <c r="F711" s="80">
        <f>'DATA B1'!E712</f>
        <v>0</v>
      </c>
      <c r="G711" s="80">
        <f t="shared" si="259"/>
        <v>0</v>
      </c>
      <c r="H711" s="28">
        <f t="shared" si="246"/>
        <v>0</v>
      </c>
      <c r="I711" s="45">
        <f>IFERROR((('DATA B1'!G712-'DATA B1'!G711)/('WATER_STEAM RATIO'!D711-'WATER_STEAM RATIO'!D710))*1000,0)</f>
        <v>0</v>
      </c>
      <c r="J711" s="50">
        <f>'DATA B2'!D712</f>
        <v>0</v>
      </c>
      <c r="K711" s="82">
        <f>SUM(J711-J710)</f>
        <v>0</v>
      </c>
      <c r="L711" s="80">
        <f>'DATA B2'!E712</f>
        <v>0</v>
      </c>
      <c r="M711" s="80">
        <f t="shared" si="261"/>
        <v>0</v>
      </c>
      <c r="N711" s="28">
        <f t="shared" si="257"/>
        <v>0</v>
      </c>
      <c r="O711" s="51">
        <f>IFERROR((('DATA B2'!F712-'DATA B2'!F711)/(K711))*1000,0)</f>
        <v>0</v>
      </c>
      <c r="P711" s="94">
        <f>'DATA B3'!C712</f>
        <v>0</v>
      </c>
      <c r="Q711" s="91">
        <f t="shared" si="262"/>
        <v>0</v>
      </c>
      <c r="R711" s="80">
        <f>'DATA B3'!D712</f>
        <v>0</v>
      </c>
      <c r="S711" s="80">
        <f t="shared" si="263"/>
        <v>0</v>
      </c>
      <c r="T711" s="15">
        <f t="shared" si="258"/>
        <v>0</v>
      </c>
      <c r="U711" s="15">
        <f>IFERROR((('DATA B3'!E712-'DATA B3'!E711)+('DATA B3'!F712-'DATA B3'!F711))/('WATER_STEAM RATIO'!P711-'WATER_STEAM RATIO'!P710),0)</f>
        <v>0</v>
      </c>
    </row>
    <row r="712" spans="2:21" ht="15.75" thickBot="1">
      <c r="B712" s="293"/>
      <c r="C712" s="235"/>
      <c r="D712" s="224" cm="1">
        <f t="array" ref="D712">IFERROR(LOOKUP(2,1/(D687:D711&gt;0),D687:D711-D687),0)</f>
        <v>0</v>
      </c>
      <c r="E712" s="223">
        <f>SUMIF(E688:E711,"&gt;=0",E688:E711)</f>
        <v>0</v>
      </c>
      <c r="F712" s="224" cm="1">
        <f t="array" ref="F712">IFERROR(LOOKUP(2,1/(F687:F711&gt;0),F687:F711-F687),0)</f>
        <v>0</v>
      </c>
      <c r="G712" s="223">
        <f>SUMIF(G688:G711,"&gt;=0",G688:G711)</f>
        <v>0</v>
      </c>
      <c r="H712" s="225">
        <f t="shared" si="246"/>
        <v>0</v>
      </c>
      <c r="I712" s="236">
        <f>IFERROR((('DATA B1'!H713)/(E712))*1000,0)</f>
        <v>0</v>
      </c>
      <c r="J712" s="222" cm="1">
        <f t="array" ref="J712">IFERROR(LOOKUP(2,1/(J687:J711&gt;0),J687:J711-J687),0)</f>
        <v>0</v>
      </c>
      <c r="K712" s="223">
        <f>SUMIF(K688:K711,"&gt;=0",K688:K711)</f>
        <v>0</v>
      </c>
      <c r="L712" s="224" cm="1">
        <f t="array" ref="L712">IFERROR(LOOKUP(2,1/(L687:L711&gt;0),L687:L711-L687),0)</f>
        <v>0</v>
      </c>
      <c r="M712" s="223">
        <f>SUMIF(M688:M711,"&gt;=0",M688:M711)</f>
        <v>0</v>
      </c>
      <c r="N712" s="225">
        <f>IFERROR(M712/K712,0)</f>
        <v>0</v>
      </c>
      <c r="O712" s="226">
        <f>IFERROR((('DATA B2'!H713)/(K712))*1000,0)</f>
        <v>0</v>
      </c>
      <c r="P712" s="224" cm="1">
        <f t="array" ref="P712">IFERROR(LOOKUP(2,1/(P687:P711&gt;0),P687:P711-P687),0)</f>
        <v>0</v>
      </c>
      <c r="Q712" s="223">
        <f>SUMIF(Q688:Q711,"&gt;=0",Q688:Q711)</f>
        <v>0</v>
      </c>
      <c r="R712" s="224" cm="1">
        <f t="array" ref="R712">IFERROR(LOOKUP(2,1/(R687:R711&gt;0),R687:R711-R687),0)</f>
        <v>0</v>
      </c>
      <c r="S712" s="223">
        <f>SUMIF(S688:S711,"&gt;=0",S688:S711)</f>
        <v>0</v>
      </c>
      <c r="T712" s="237">
        <f t="shared" si="258"/>
        <v>0</v>
      </c>
      <c r="U712" s="226">
        <f>IFERROR(('DATA B3'!E713+'DATA B3'!F713)/Q712*1000,0)</f>
        <v>0</v>
      </c>
    </row>
    <row r="713" spans="2:21" ht="15" customHeight="1">
      <c r="B713" s="291">
        <f>SUM('DATA B1'!B714:B739)</f>
        <v>46050</v>
      </c>
      <c r="C713" s="97">
        <v>0.29166666666666669</v>
      </c>
      <c r="D713" s="84">
        <f>'DATA B1'!D714</f>
        <v>0</v>
      </c>
      <c r="E713" s="5">
        <f>SUM(E711)</f>
        <v>0</v>
      </c>
      <c r="F713" s="80">
        <f>'DATA B1'!E714</f>
        <v>0</v>
      </c>
      <c r="G713" s="80">
        <f>SUM(G711)</f>
        <v>0</v>
      </c>
      <c r="H713" s="28">
        <f t="shared" si="246"/>
        <v>0</v>
      </c>
      <c r="I713" s="45"/>
      <c r="J713" s="50">
        <f>'DATA B2'!D714</f>
        <v>0</v>
      </c>
      <c r="K713" s="82">
        <f>SUM(K711)</f>
        <v>0</v>
      </c>
      <c r="L713" s="80">
        <f>'DATA B2'!E714</f>
        <v>0</v>
      </c>
      <c r="M713" s="80">
        <f>SUM(M711)</f>
        <v>0</v>
      </c>
      <c r="N713" s="28">
        <f>IFERROR(M713/K713,0)</f>
        <v>0</v>
      </c>
      <c r="O713" s="103"/>
      <c r="P713" s="94">
        <f>'DATA B3'!C714</f>
        <v>0</v>
      </c>
      <c r="Q713" s="91">
        <f>SUM(Q711)</f>
        <v>0</v>
      </c>
      <c r="R713" s="80">
        <f>'DATA B3'!D714</f>
        <v>0</v>
      </c>
      <c r="S713" s="80">
        <f>SUM(S711)</f>
        <v>0</v>
      </c>
      <c r="T713" s="15">
        <f>IFERROR(S713/Q713,0)</f>
        <v>0</v>
      </c>
      <c r="U713" s="15"/>
    </row>
    <row r="714" spans="2:21">
      <c r="B714" s="292"/>
      <c r="C714" s="97">
        <v>0.33333333333333298</v>
      </c>
      <c r="D714" s="84">
        <f>'DATA B1'!D715</f>
        <v>0</v>
      </c>
      <c r="E714" s="5">
        <f t="shared" ref="E714:E720" si="265">SUM(D714-D713)</f>
        <v>0</v>
      </c>
      <c r="F714" s="80">
        <f>'DATA B1'!E715</f>
        <v>0</v>
      </c>
      <c r="G714" s="80">
        <f>SUM(F714-F713)</f>
        <v>0</v>
      </c>
      <c r="H714" s="28">
        <f t="shared" si="246"/>
        <v>0</v>
      </c>
      <c r="I714" s="45">
        <f>IFERROR((('DATA B1'!G715-'DATA B1'!G714)/('WATER_STEAM RATIO'!D714-'WATER_STEAM RATIO'!D713))*1000,0)</f>
        <v>0</v>
      </c>
      <c r="J714" s="50">
        <f>'DATA B2'!D715</f>
        <v>0</v>
      </c>
      <c r="K714" s="82">
        <f>SUM(J714-J713)</f>
        <v>0</v>
      </c>
      <c r="L714" s="80">
        <f>'DATA B2'!E715</f>
        <v>0</v>
      </c>
      <c r="M714" s="80">
        <f>SUM(L714-L713)</f>
        <v>0</v>
      </c>
      <c r="N714" s="28">
        <f t="shared" ref="N714:N737" si="266">IFERROR(M714/K714,0)</f>
        <v>0</v>
      </c>
      <c r="O714" s="51">
        <f>IFERROR((('DATA B2'!F715-'DATA B2'!F714)/(K714))*1000,0)</f>
        <v>0</v>
      </c>
      <c r="P714" s="94">
        <f>'DATA B3'!C715</f>
        <v>0</v>
      </c>
      <c r="Q714" s="91">
        <f>SUM(P714-P713)</f>
        <v>0</v>
      </c>
      <c r="R714" s="80">
        <f>'DATA B3'!D715</f>
        <v>0</v>
      </c>
      <c r="S714" s="80">
        <f>SUM(R714-R713)</f>
        <v>0</v>
      </c>
      <c r="T714" s="15">
        <f t="shared" ref="T714:T738" si="267">IFERROR(S714/Q714,0)</f>
        <v>0</v>
      </c>
      <c r="U714" s="15">
        <f>IFERROR((('DATA B3'!E715-'DATA B3'!E714)+('DATA B3'!F715-'DATA B3'!F714))/('WATER_STEAM RATIO'!P714-'WATER_STEAM RATIO'!P713),0)</f>
        <v>0</v>
      </c>
    </row>
    <row r="715" spans="2:21">
      <c r="B715" s="292"/>
      <c r="C715" s="97">
        <v>0.375</v>
      </c>
      <c r="D715" s="84">
        <f>'DATA B1'!D716</f>
        <v>0</v>
      </c>
      <c r="E715" s="5">
        <f t="shared" si="265"/>
        <v>0</v>
      </c>
      <c r="F715" s="80">
        <f>'DATA B1'!E716</f>
        <v>0</v>
      </c>
      <c r="G715" s="80">
        <f t="shared" ref="G715:G737" si="268">SUM(F715-F714)</f>
        <v>0</v>
      </c>
      <c r="H715" s="28">
        <f t="shared" si="246"/>
        <v>0</v>
      </c>
      <c r="I715" s="45">
        <f>IFERROR((('DATA B1'!G716-'DATA B1'!G715)/('WATER_STEAM RATIO'!D715-'WATER_STEAM RATIO'!D714))*1000,0)</f>
        <v>0</v>
      </c>
      <c r="J715" s="50">
        <f>'DATA B2'!D716</f>
        <v>0</v>
      </c>
      <c r="K715" s="82">
        <f t="shared" ref="K715:K736" si="269">SUM(J715-J714)</f>
        <v>0</v>
      </c>
      <c r="L715" s="80">
        <f>'DATA B2'!E716</f>
        <v>0</v>
      </c>
      <c r="M715" s="80">
        <f t="shared" ref="M715:M737" si="270">SUM(L715-L714)</f>
        <v>0</v>
      </c>
      <c r="N715" s="28">
        <f t="shared" si="266"/>
        <v>0</v>
      </c>
      <c r="O715" s="51">
        <f>IFERROR((('DATA B2'!F716-'DATA B2'!F715)/(K715))*1000,0)</f>
        <v>0</v>
      </c>
      <c r="P715" s="94">
        <f>'DATA B3'!C716</f>
        <v>0</v>
      </c>
      <c r="Q715" s="91">
        <f t="shared" ref="Q715:Q737" si="271">SUM(P715-P714)</f>
        <v>0</v>
      </c>
      <c r="R715" s="80">
        <f>'DATA B3'!D716</f>
        <v>0</v>
      </c>
      <c r="S715" s="80">
        <f t="shared" ref="S715:S737" si="272">SUM(R715-R714)</f>
        <v>0</v>
      </c>
      <c r="T715" s="15">
        <f t="shared" si="267"/>
        <v>0</v>
      </c>
      <c r="U715" s="15">
        <f>IFERROR((('DATA B3'!E716-'DATA B3'!E715)+('DATA B3'!F716-'DATA B3'!F715))/('WATER_STEAM RATIO'!P715-'WATER_STEAM RATIO'!P714),0)</f>
        <v>0</v>
      </c>
    </row>
    <row r="716" spans="2:21">
      <c r="B716" s="292"/>
      <c r="C716" s="97">
        <v>0.41666666666666702</v>
      </c>
      <c r="D716" s="84">
        <f>'DATA B1'!D717</f>
        <v>0</v>
      </c>
      <c r="E716" s="5">
        <f t="shared" si="265"/>
        <v>0</v>
      </c>
      <c r="F716" s="80">
        <f>'DATA B1'!E717</f>
        <v>0</v>
      </c>
      <c r="G716" s="80">
        <f t="shared" si="268"/>
        <v>0</v>
      </c>
      <c r="H716" s="28">
        <f t="shared" si="246"/>
        <v>0</v>
      </c>
      <c r="I716" s="45">
        <f>IFERROR((('DATA B1'!G717-'DATA B1'!G716)/('WATER_STEAM RATIO'!D716-'WATER_STEAM RATIO'!D715))*1000,0)</f>
        <v>0</v>
      </c>
      <c r="J716" s="50">
        <f>'DATA B2'!D717</f>
        <v>0</v>
      </c>
      <c r="K716" s="82">
        <f t="shared" si="269"/>
        <v>0</v>
      </c>
      <c r="L716" s="80">
        <f>'DATA B2'!E717</f>
        <v>0</v>
      </c>
      <c r="M716" s="80">
        <f t="shared" si="270"/>
        <v>0</v>
      </c>
      <c r="N716" s="28">
        <f t="shared" si="266"/>
        <v>0</v>
      </c>
      <c r="O716" s="51">
        <f>IFERROR((('DATA B2'!F717-'DATA B2'!F716)/(K716))*1000,0)</f>
        <v>0</v>
      </c>
      <c r="P716" s="94">
        <f>'DATA B3'!C717</f>
        <v>0</v>
      </c>
      <c r="Q716" s="91">
        <f t="shared" si="271"/>
        <v>0</v>
      </c>
      <c r="R716" s="80">
        <f>'DATA B3'!D717</f>
        <v>0</v>
      </c>
      <c r="S716" s="80">
        <f t="shared" si="272"/>
        <v>0</v>
      </c>
      <c r="T716" s="15">
        <f t="shared" si="267"/>
        <v>0</v>
      </c>
      <c r="U716" s="15">
        <f>IFERROR((('DATA B3'!E717-'DATA B3'!E716)+('DATA B3'!F717-'DATA B3'!F716))/('WATER_STEAM RATIO'!P716-'WATER_STEAM RATIO'!P715),0)</f>
        <v>0</v>
      </c>
    </row>
    <row r="717" spans="2:21">
      <c r="B717" s="292"/>
      <c r="C717" s="97">
        <v>0.45833333333333298</v>
      </c>
      <c r="D717" s="84">
        <f>'DATA B1'!D718</f>
        <v>0</v>
      </c>
      <c r="E717" s="5">
        <f t="shared" si="265"/>
        <v>0</v>
      </c>
      <c r="F717" s="80">
        <f>'DATA B1'!E718</f>
        <v>0</v>
      </c>
      <c r="G717" s="80">
        <f t="shared" si="268"/>
        <v>0</v>
      </c>
      <c r="H717" s="28">
        <f t="shared" si="246"/>
        <v>0</v>
      </c>
      <c r="I717" s="45">
        <f>IFERROR((('DATA B1'!G718-'DATA B1'!G717)/('WATER_STEAM RATIO'!D717-'WATER_STEAM RATIO'!D716))*1000,0)</f>
        <v>0</v>
      </c>
      <c r="J717" s="50">
        <f>'DATA B2'!D718</f>
        <v>0</v>
      </c>
      <c r="K717" s="82">
        <f t="shared" si="269"/>
        <v>0</v>
      </c>
      <c r="L717" s="80">
        <f>'DATA B2'!E718</f>
        <v>0</v>
      </c>
      <c r="M717" s="80">
        <f t="shared" si="270"/>
        <v>0</v>
      </c>
      <c r="N717" s="28">
        <f t="shared" si="266"/>
        <v>0</v>
      </c>
      <c r="O717" s="51">
        <f>IFERROR((('DATA B2'!F718-'DATA B2'!F717)/(K717))*1000,0)</f>
        <v>0</v>
      </c>
      <c r="P717" s="94">
        <f>'DATA B3'!C718</f>
        <v>0</v>
      </c>
      <c r="Q717" s="91">
        <f t="shared" si="271"/>
        <v>0</v>
      </c>
      <c r="R717" s="80">
        <f>'DATA B3'!D718</f>
        <v>0</v>
      </c>
      <c r="S717" s="80">
        <f t="shared" si="272"/>
        <v>0</v>
      </c>
      <c r="T717" s="15">
        <f t="shared" si="267"/>
        <v>0</v>
      </c>
      <c r="U717" s="15">
        <f>IFERROR((('DATA B3'!E718-'DATA B3'!E717)+('DATA B3'!F718-'DATA B3'!F717))/('WATER_STEAM RATIO'!P717-'WATER_STEAM RATIO'!P716),0)</f>
        <v>0</v>
      </c>
    </row>
    <row r="718" spans="2:21">
      <c r="B718" s="292"/>
      <c r="C718" s="97">
        <v>0.5</v>
      </c>
      <c r="D718" s="84">
        <f>'DATA B1'!D719</f>
        <v>0</v>
      </c>
      <c r="E718" s="5">
        <f t="shared" si="265"/>
        <v>0</v>
      </c>
      <c r="F718" s="80">
        <f>'DATA B1'!E719</f>
        <v>0</v>
      </c>
      <c r="G718" s="80">
        <f t="shared" si="268"/>
        <v>0</v>
      </c>
      <c r="H718" s="28">
        <f t="shared" ref="H718:H781" si="273" xml:space="preserve"> IFERROR(G718/E718,0)</f>
        <v>0</v>
      </c>
      <c r="I718" s="45">
        <f>IFERROR((('DATA B1'!G719-'DATA B1'!G718)/('WATER_STEAM RATIO'!D718-'WATER_STEAM RATIO'!D717))*1000,0)</f>
        <v>0</v>
      </c>
      <c r="J718" s="50">
        <f>'DATA B2'!D719</f>
        <v>0</v>
      </c>
      <c r="K718" s="82">
        <f t="shared" si="269"/>
        <v>0</v>
      </c>
      <c r="L718" s="80">
        <f>'DATA B2'!E719</f>
        <v>0</v>
      </c>
      <c r="M718" s="80">
        <f t="shared" si="270"/>
        <v>0</v>
      </c>
      <c r="N718" s="28">
        <f t="shared" si="266"/>
        <v>0</v>
      </c>
      <c r="O718" s="51">
        <f>IFERROR((('DATA B2'!F719-'DATA B2'!F718)/(K718))*1000,0)</f>
        <v>0</v>
      </c>
      <c r="P718" s="94">
        <f>'DATA B3'!C719</f>
        <v>0</v>
      </c>
      <c r="Q718" s="91">
        <f t="shared" si="271"/>
        <v>0</v>
      </c>
      <c r="R718" s="80">
        <f>'DATA B3'!D719</f>
        <v>0</v>
      </c>
      <c r="S718" s="80">
        <f t="shared" si="272"/>
        <v>0</v>
      </c>
      <c r="T718" s="15">
        <f t="shared" si="267"/>
        <v>0</v>
      </c>
      <c r="U718" s="15">
        <f>IFERROR((('DATA B3'!E719-'DATA B3'!E718)+('DATA B3'!F719-'DATA B3'!F718))/('WATER_STEAM RATIO'!P718-'WATER_STEAM RATIO'!P717),0)</f>
        <v>0</v>
      </c>
    </row>
    <row r="719" spans="2:21">
      <c r="B719" s="292"/>
      <c r="C719" s="97">
        <v>0.54166666666666696</v>
      </c>
      <c r="D719" s="84">
        <f>'DATA B1'!D720</f>
        <v>0</v>
      </c>
      <c r="E719" s="5">
        <f t="shared" si="265"/>
        <v>0</v>
      </c>
      <c r="F719" s="80">
        <f>'DATA B1'!E720</f>
        <v>0</v>
      </c>
      <c r="G719" s="80">
        <f t="shared" si="268"/>
        <v>0</v>
      </c>
      <c r="H719" s="28">
        <f t="shared" si="273"/>
        <v>0</v>
      </c>
      <c r="I719" s="45">
        <f>IFERROR((('DATA B1'!G720-'DATA B1'!G719)/('WATER_STEAM RATIO'!D719-'WATER_STEAM RATIO'!D718))*1000,0)</f>
        <v>0</v>
      </c>
      <c r="J719" s="50">
        <f>'DATA B2'!D720</f>
        <v>0</v>
      </c>
      <c r="K719" s="82">
        <f t="shared" si="269"/>
        <v>0</v>
      </c>
      <c r="L719" s="80">
        <f>'DATA B2'!E720</f>
        <v>0</v>
      </c>
      <c r="M719" s="80">
        <f t="shared" si="270"/>
        <v>0</v>
      </c>
      <c r="N719" s="28">
        <f t="shared" si="266"/>
        <v>0</v>
      </c>
      <c r="O719" s="51">
        <f>IFERROR((('DATA B2'!F720-'DATA B2'!F719)/(K719))*1000,0)</f>
        <v>0</v>
      </c>
      <c r="P719" s="94">
        <f>'DATA B3'!C720</f>
        <v>0</v>
      </c>
      <c r="Q719" s="91">
        <f t="shared" si="271"/>
        <v>0</v>
      </c>
      <c r="R719" s="80">
        <f>'DATA B3'!D720</f>
        <v>0</v>
      </c>
      <c r="S719" s="80">
        <f t="shared" si="272"/>
        <v>0</v>
      </c>
      <c r="T719" s="15">
        <f t="shared" si="267"/>
        <v>0</v>
      </c>
      <c r="U719" s="15">
        <f>IFERROR((('DATA B3'!E720-'DATA B3'!E719)+('DATA B3'!F720-'DATA B3'!F719))/('WATER_STEAM RATIO'!P719-'WATER_STEAM RATIO'!P718),0)</f>
        <v>0</v>
      </c>
    </row>
    <row r="720" spans="2:21">
      <c r="B720" s="292"/>
      <c r="C720" s="97">
        <v>0.58333333333333304</v>
      </c>
      <c r="D720" s="84">
        <f>'DATA B1'!D721</f>
        <v>0</v>
      </c>
      <c r="E720" s="5">
        <f t="shared" si="265"/>
        <v>0</v>
      </c>
      <c r="F720" s="80">
        <f>'DATA B1'!E721</f>
        <v>0</v>
      </c>
      <c r="G720" s="80">
        <f t="shared" si="268"/>
        <v>0</v>
      </c>
      <c r="H720" s="28">
        <f t="shared" si="273"/>
        <v>0</v>
      </c>
      <c r="I720" s="45">
        <f>IFERROR((('DATA B1'!G721-'DATA B1'!G720)/('WATER_STEAM RATIO'!D720-'WATER_STEAM RATIO'!D719))*1000,0)</f>
        <v>0</v>
      </c>
      <c r="J720" s="50">
        <f>'DATA B2'!D721</f>
        <v>0</v>
      </c>
      <c r="K720" s="82">
        <f t="shared" si="269"/>
        <v>0</v>
      </c>
      <c r="L720" s="80">
        <f>'DATA B2'!E721</f>
        <v>0</v>
      </c>
      <c r="M720" s="80">
        <f t="shared" si="270"/>
        <v>0</v>
      </c>
      <c r="N720" s="28">
        <f t="shared" si="266"/>
        <v>0</v>
      </c>
      <c r="O720" s="51">
        <f>IFERROR((('DATA B2'!F721-'DATA B2'!F720)/(K720))*1000,0)</f>
        <v>0</v>
      </c>
      <c r="P720" s="94">
        <f>'DATA B3'!C721</f>
        <v>0</v>
      </c>
      <c r="Q720" s="91">
        <f t="shared" si="271"/>
        <v>0</v>
      </c>
      <c r="R720" s="80">
        <f>'DATA B3'!D721</f>
        <v>0</v>
      </c>
      <c r="S720" s="80">
        <f t="shared" si="272"/>
        <v>0</v>
      </c>
      <c r="T720" s="15">
        <f t="shared" si="267"/>
        <v>0</v>
      </c>
      <c r="U720" s="15">
        <f>IFERROR((('DATA B3'!E721-'DATA B3'!E720)+('DATA B3'!F721-'DATA B3'!F720))/('WATER_STEAM RATIO'!P720-'WATER_STEAM RATIO'!P719),0)</f>
        <v>0</v>
      </c>
    </row>
    <row r="721" spans="2:21">
      <c r="B721" s="292"/>
      <c r="C721" s="97">
        <v>0.625</v>
      </c>
      <c r="D721" s="84">
        <f>'DATA B1'!D722</f>
        <v>0</v>
      </c>
      <c r="E721" s="5">
        <f t="shared" ref="E721:E737" si="274">SUM(D721-D720)</f>
        <v>0</v>
      </c>
      <c r="F721" s="80">
        <f>'DATA B1'!E722</f>
        <v>0</v>
      </c>
      <c r="G721" s="80">
        <f t="shared" si="268"/>
        <v>0</v>
      </c>
      <c r="H721" s="28">
        <f t="shared" si="273"/>
        <v>0</v>
      </c>
      <c r="I721" s="45">
        <f>IFERROR((('DATA B1'!G722-'DATA B1'!G721)/('WATER_STEAM RATIO'!D721-'WATER_STEAM RATIO'!D720))*1000,0)</f>
        <v>0</v>
      </c>
      <c r="J721" s="50">
        <f>'DATA B2'!D722</f>
        <v>0</v>
      </c>
      <c r="K721" s="82">
        <f t="shared" si="269"/>
        <v>0</v>
      </c>
      <c r="L721" s="80">
        <f>'DATA B2'!E722</f>
        <v>0</v>
      </c>
      <c r="M721" s="80">
        <f t="shared" si="270"/>
        <v>0</v>
      </c>
      <c r="N721" s="28">
        <f t="shared" si="266"/>
        <v>0</v>
      </c>
      <c r="O721" s="51">
        <f>IFERROR((('DATA B2'!F722-'DATA B2'!F721)/(K721))*1000,0)</f>
        <v>0</v>
      </c>
      <c r="P721" s="94">
        <f>'DATA B3'!C722</f>
        <v>0</v>
      </c>
      <c r="Q721" s="91">
        <f t="shared" si="271"/>
        <v>0</v>
      </c>
      <c r="R721" s="80">
        <f>'DATA B3'!D722</f>
        <v>0</v>
      </c>
      <c r="S721" s="80">
        <f t="shared" si="272"/>
        <v>0</v>
      </c>
      <c r="T721" s="15">
        <f t="shared" si="267"/>
        <v>0</v>
      </c>
      <c r="U721" s="15">
        <f>IFERROR((('DATA B3'!E722-'DATA B3'!E721)+('DATA B3'!F722-'DATA B3'!F721))/('WATER_STEAM RATIO'!P721-'WATER_STEAM RATIO'!P720),0)</f>
        <v>0</v>
      </c>
    </row>
    <row r="722" spans="2:21">
      <c r="B722" s="292"/>
      <c r="C722" s="97">
        <v>0.66666666666666596</v>
      </c>
      <c r="D722" s="84">
        <f>'DATA B1'!D723</f>
        <v>0</v>
      </c>
      <c r="E722" s="5">
        <f t="shared" si="274"/>
        <v>0</v>
      </c>
      <c r="F722" s="80">
        <f>'DATA B1'!E723</f>
        <v>0</v>
      </c>
      <c r="G722" s="80">
        <f t="shared" si="268"/>
        <v>0</v>
      </c>
      <c r="H722" s="28">
        <f t="shared" si="273"/>
        <v>0</v>
      </c>
      <c r="I722" s="45">
        <f>IFERROR((('DATA B1'!G723-'DATA B1'!G722)/('WATER_STEAM RATIO'!D722-'WATER_STEAM RATIO'!D721))*1000,0)</f>
        <v>0</v>
      </c>
      <c r="J722" s="50">
        <f>'DATA B2'!D723</f>
        <v>0</v>
      </c>
      <c r="K722" s="82">
        <f>SUM(J722-J721)</f>
        <v>0</v>
      </c>
      <c r="L722" s="80">
        <f>'DATA B2'!E723</f>
        <v>0</v>
      </c>
      <c r="M722" s="80">
        <f t="shared" si="270"/>
        <v>0</v>
      </c>
      <c r="N722" s="28">
        <f t="shared" si="266"/>
        <v>0</v>
      </c>
      <c r="O722" s="51">
        <f>IFERROR((('DATA B2'!F723-'DATA B2'!F722)/(K722))*1000,0)</f>
        <v>0</v>
      </c>
      <c r="P722" s="94">
        <f>'DATA B3'!C723</f>
        <v>0</v>
      </c>
      <c r="Q722" s="91">
        <f t="shared" si="271"/>
        <v>0</v>
      </c>
      <c r="R722" s="80">
        <f>'DATA B3'!D723</f>
        <v>0</v>
      </c>
      <c r="S722" s="80">
        <f t="shared" si="272"/>
        <v>0</v>
      </c>
      <c r="T722" s="15">
        <f t="shared" si="267"/>
        <v>0</v>
      </c>
      <c r="U722" s="15">
        <f>IFERROR((('DATA B3'!E723-'DATA B3'!E722)+('DATA B3'!F723-'DATA B3'!F722))/('WATER_STEAM RATIO'!P722-'WATER_STEAM RATIO'!P721),0)</f>
        <v>0</v>
      </c>
    </row>
    <row r="723" spans="2:21">
      <c r="B723" s="292"/>
      <c r="C723" s="97">
        <v>0.70833333333333304</v>
      </c>
      <c r="D723" s="84">
        <f>'DATA B1'!D724</f>
        <v>0</v>
      </c>
      <c r="E723" s="5">
        <f t="shared" si="274"/>
        <v>0</v>
      </c>
      <c r="F723" s="80">
        <f>'DATA B1'!E724</f>
        <v>0</v>
      </c>
      <c r="G723" s="80">
        <f t="shared" si="268"/>
        <v>0</v>
      </c>
      <c r="H723" s="28">
        <f t="shared" si="273"/>
        <v>0</v>
      </c>
      <c r="I723" s="45">
        <f>IFERROR((('DATA B1'!G724-'DATA B1'!G723)/('WATER_STEAM RATIO'!D723-'WATER_STEAM RATIO'!D722))*1000,0)</f>
        <v>0</v>
      </c>
      <c r="J723" s="50">
        <f>'DATA B2'!D724</f>
        <v>0</v>
      </c>
      <c r="K723" s="82">
        <f t="shared" si="269"/>
        <v>0</v>
      </c>
      <c r="L723" s="80">
        <f>'DATA B2'!E724</f>
        <v>0</v>
      </c>
      <c r="M723" s="80">
        <f t="shared" si="270"/>
        <v>0</v>
      </c>
      <c r="N723" s="28">
        <f t="shared" si="266"/>
        <v>0</v>
      </c>
      <c r="O723" s="51">
        <f>IFERROR((('DATA B2'!F724-'DATA B2'!F723)/(K723))*1000,0)</f>
        <v>0</v>
      </c>
      <c r="P723" s="94">
        <f>'DATA B3'!C724</f>
        <v>0</v>
      </c>
      <c r="Q723" s="91">
        <f t="shared" si="271"/>
        <v>0</v>
      </c>
      <c r="R723" s="80">
        <f>'DATA B3'!D724</f>
        <v>0</v>
      </c>
      <c r="S723" s="80">
        <f t="shared" si="272"/>
        <v>0</v>
      </c>
      <c r="T723" s="15">
        <f t="shared" si="267"/>
        <v>0</v>
      </c>
      <c r="U723" s="15">
        <f>IFERROR((('DATA B3'!E724-'DATA B3'!E723)+('DATA B3'!F724-'DATA B3'!F723))/('WATER_STEAM RATIO'!P723-'WATER_STEAM RATIO'!P722),0)</f>
        <v>0</v>
      </c>
    </row>
    <row r="724" spans="2:21">
      <c r="B724" s="292"/>
      <c r="C724" s="97">
        <v>0.75</v>
      </c>
      <c r="D724" s="84">
        <f>'DATA B1'!D725</f>
        <v>0</v>
      </c>
      <c r="E724" s="5">
        <f t="shared" si="274"/>
        <v>0</v>
      </c>
      <c r="F724" s="80">
        <f>'DATA B1'!E725</f>
        <v>0</v>
      </c>
      <c r="G724" s="80">
        <f t="shared" si="268"/>
        <v>0</v>
      </c>
      <c r="H724" s="28">
        <f t="shared" si="273"/>
        <v>0</v>
      </c>
      <c r="I724" s="45">
        <f>IFERROR((('DATA B1'!G725-'DATA B1'!G724)/('WATER_STEAM RATIO'!D724-'WATER_STEAM RATIO'!D723))*1000,0)</f>
        <v>0</v>
      </c>
      <c r="J724" s="50">
        <f>'DATA B2'!D725</f>
        <v>0</v>
      </c>
      <c r="K724" s="82">
        <f t="shared" si="269"/>
        <v>0</v>
      </c>
      <c r="L724" s="80">
        <f>'DATA B2'!E725</f>
        <v>0</v>
      </c>
      <c r="M724" s="80">
        <f t="shared" si="270"/>
        <v>0</v>
      </c>
      <c r="N724" s="28">
        <f t="shared" si="266"/>
        <v>0</v>
      </c>
      <c r="O724" s="51">
        <f>IFERROR((('DATA B2'!F725-'DATA B2'!F724)/(K724))*1000,0)</f>
        <v>0</v>
      </c>
      <c r="P724" s="94">
        <f>'DATA B3'!C725</f>
        <v>0</v>
      </c>
      <c r="Q724" s="91">
        <f t="shared" si="271"/>
        <v>0</v>
      </c>
      <c r="R724" s="80">
        <f>'DATA B3'!D725</f>
        <v>0</v>
      </c>
      <c r="S724" s="80">
        <f t="shared" si="272"/>
        <v>0</v>
      </c>
      <c r="T724" s="15">
        <f t="shared" si="267"/>
        <v>0</v>
      </c>
      <c r="U724" s="15">
        <f>IFERROR((('DATA B3'!E725-'DATA B3'!E724)+('DATA B3'!F725-'DATA B3'!F724))/('WATER_STEAM RATIO'!P724-'WATER_STEAM RATIO'!P723),0)</f>
        <v>0</v>
      </c>
    </row>
    <row r="725" spans="2:21">
      <c r="B725" s="292"/>
      <c r="C725" s="97">
        <v>0.79166666666666596</v>
      </c>
      <c r="D725" s="84">
        <f>'DATA B1'!D726</f>
        <v>0</v>
      </c>
      <c r="E725" s="5">
        <f t="shared" si="274"/>
        <v>0</v>
      </c>
      <c r="F725" s="80">
        <f>'DATA B1'!E726</f>
        <v>0</v>
      </c>
      <c r="G725" s="80">
        <f t="shared" si="268"/>
        <v>0</v>
      </c>
      <c r="H725" s="28">
        <f t="shared" si="273"/>
        <v>0</v>
      </c>
      <c r="I725" s="45">
        <f>IFERROR((('DATA B1'!G726-'DATA B1'!G725)/('WATER_STEAM RATIO'!D725-'WATER_STEAM RATIO'!D724))*1000,0)</f>
        <v>0</v>
      </c>
      <c r="J725" s="50">
        <f>'DATA B2'!D726</f>
        <v>0</v>
      </c>
      <c r="K725" s="82">
        <f t="shared" si="269"/>
        <v>0</v>
      </c>
      <c r="L725" s="80">
        <f>'DATA B2'!E726</f>
        <v>0</v>
      </c>
      <c r="M725" s="80">
        <f t="shared" si="270"/>
        <v>0</v>
      </c>
      <c r="N725" s="28">
        <f t="shared" si="266"/>
        <v>0</v>
      </c>
      <c r="O725" s="51">
        <f>IFERROR((('DATA B2'!F726-'DATA B2'!F725)/(K725))*1000,0)</f>
        <v>0</v>
      </c>
      <c r="P725" s="94">
        <f>'DATA B3'!C726</f>
        <v>0</v>
      </c>
      <c r="Q725" s="91">
        <f t="shared" si="271"/>
        <v>0</v>
      </c>
      <c r="R725" s="80">
        <f>'DATA B3'!D726</f>
        <v>0</v>
      </c>
      <c r="S725" s="80">
        <f t="shared" si="272"/>
        <v>0</v>
      </c>
      <c r="T725" s="15">
        <f t="shared" si="267"/>
        <v>0</v>
      </c>
      <c r="U725" s="15">
        <f>IFERROR((('DATA B3'!E726-'DATA B3'!E725)+('DATA B3'!F726-'DATA B3'!F725))/('WATER_STEAM RATIO'!P725-'WATER_STEAM RATIO'!P724),0)</f>
        <v>0</v>
      </c>
    </row>
    <row r="726" spans="2:21">
      <c r="B726" s="292"/>
      <c r="C726" s="97">
        <v>0.83333333333333304</v>
      </c>
      <c r="D726" s="84">
        <f>'DATA B1'!D727</f>
        <v>0</v>
      </c>
      <c r="E726" s="5">
        <f t="shared" si="274"/>
        <v>0</v>
      </c>
      <c r="F726" s="80">
        <f>'DATA B1'!E727</f>
        <v>0</v>
      </c>
      <c r="G726" s="80">
        <f t="shared" si="268"/>
        <v>0</v>
      </c>
      <c r="H726" s="28">
        <f t="shared" si="273"/>
        <v>0</v>
      </c>
      <c r="I726" s="45">
        <f>IFERROR((('DATA B1'!G727-'DATA B1'!G726)/('WATER_STEAM RATIO'!D726-'WATER_STEAM RATIO'!D725))*1000,0)</f>
        <v>0</v>
      </c>
      <c r="J726" s="50">
        <f>'DATA B2'!D727</f>
        <v>0</v>
      </c>
      <c r="K726" s="82">
        <f t="shared" si="269"/>
        <v>0</v>
      </c>
      <c r="L726" s="80">
        <f>'DATA B2'!E727</f>
        <v>0</v>
      </c>
      <c r="M726" s="80">
        <f t="shared" si="270"/>
        <v>0</v>
      </c>
      <c r="N726" s="28">
        <f t="shared" si="266"/>
        <v>0</v>
      </c>
      <c r="O726" s="51">
        <f>IFERROR((('DATA B2'!F727-'DATA B2'!F726)/(K726))*1000,0)</f>
        <v>0</v>
      </c>
      <c r="P726" s="94">
        <f>'DATA B3'!C727</f>
        <v>0</v>
      </c>
      <c r="Q726" s="91">
        <f t="shared" si="271"/>
        <v>0</v>
      </c>
      <c r="R726" s="80">
        <f>'DATA B3'!D727</f>
        <v>0</v>
      </c>
      <c r="S726" s="80">
        <f t="shared" si="272"/>
        <v>0</v>
      </c>
      <c r="T726" s="15">
        <f t="shared" si="267"/>
        <v>0</v>
      </c>
      <c r="U726" s="15">
        <f>IFERROR((('DATA B3'!E727-'DATA B3'!E726)+('DATA B3'!F727-'DATA B3'!F726))/('WATER_STEAM RATIO'!P726-'WATER_STEAM RATIO'!P725),0)</f>
        <v>0</v>
      </c>
    </row>
    <row r="727" spans="2:21">
      <c r="B727" s="292"/>
      <c r="C727" s="97">
        <v>0.875</v>
      </c>
      <c r="D727" s="84">
        <f>'DATA B1'!D728</f>
        <v>0</v>
      </c>
      <c r="E727" s="5">
        <f t="shared" si="274"/>
        <v>0</v>
      </c>
      <c r="F727" s="80">
        <f>'DATA B1'!E728</f>
        <v>0</v>
      </c>
      <c r="G727" s="80">
        <f t="shared" si="268"/>
        <v>0</v>
      </c>
      <c r="H727" s="28">
        <f t="shared" si="273"/>
        <v>0</v>
      </c>
      <c r="I727" s="45">
        <f>IFERROR((('DATA B1'!G728-'DATA B1'!G727)/('WATER_STEAM RATIO'!D727-'WATER_STEAM RATIO'!D726))*1000,0)</f>
        <v>0</v>
      </c>
      <c r="J727" s="50">
        <f>'DATA B2'!D728</f>
        <v>0</v>
      </c>
      <c r="K727" s="82">
        <f t="shared" si="269"/>
        <v>0</v>
      </c>
      <c r="L727" s="80">
        <f>'DATA B2'!E728</f>
        <v>0</v>
      </c>
      <c r="M727" s="80">
        <f t="shared" si="270"/>
        <v>0</v>
      </c>
      <c r="N727" s="28">
        <f>IFERROR(M727/K727,0)</f>
        <v>0</v>
      </c>
      <c r="O727" s="51">
        <f>IFERROR((('DATA B2'!F728-'DATA B2'!F727)/(K727))*1000,0)</f>
        <v>0</v>
      </c>
      <c r="P727" s="94">
        <f>'DATA B3'!C728</f>
        <v>0</v>
      </c>
      <c r="Q727" s="91">
        <f t="shared" si="271"/>
        <v>0</v>
      </c>
      <c r="R727" s="80">
        <f>'DATA B3'!D728</f>
        <v>0</v>
      </c>
      <c r="S727" s="80">
        <f t="shared" si="272"/>
        <v>0</v>
      </c>
      <c r="T727" s="15">
        <f t="shared" si="267"/>
        <v>0</v>
      </c>
      <c r="U727" s="15">
        <f>IFERROR((('DATA B3'!E728-'DATA B3'!E727)+('DATA B3'!F728-'DATA B3'!F727))/('WATER_STEAM RATIO'!P727-'WATER_STEAM RATIO'!P726),0)</f>
        <v>0</v>
      </c>
    </row>
    <row r="728" spans="2:21">
      <c r="B728" s="292"/>
      <c r="C728" s="97">
        <v>0.91666666666666596</v>
      </c>
      <c r="D728" s="84">
        <f>'DATA B1'!D729</f>
        <v>0</v>
      </c>
      <c r="E728" s="5">
        <f t="shared" si="274"/>
        <v>0</v>
      </c>
      <c r="F728" s="80">
        <f>'DATA B1'!E729</f>
        <v>0</v>
      </c>
      <c r="G728" s="80">
        <f t="shared" si="268"/>
        <v>0</v>
      </c>
      <c r="H728" s="28">
        <f t="shared" si="273"/>
        <v>0</v>
      </c>
      <c r="I728" s="45">
        <f>IFERROR((('DATA B1'!G729-'DATA B1'!G728)/('WATER_STEAM RATIO'!D728-'WATER_STEAM RATIO'!D727))*1000,0)</f>
        <v>0</v>
      </c>
      <c r="J728" s="50">
        <f>'DATA B2'!D729</f>
        <v>0</v>
      </c>
      <c r="K728" s="82">
        <f t="shared" si="269"/>
        <v>0</v>
      </c>
      <c r="L728" s="80">
        <f>'DATA B2'!E729</f>
        <v>0</v>
      </c>
      <c r="M728" s="80">
        <f t="shared" si="270"/>
        <v>0</v>
      </c>
      <c r="N728" s="28">
        <f t="shared" si="266"/>
        <v>0</v>
      </c>
      <c r="O728" s="51">
        <f>IFERROR((('DATA B2'!F729-'DATA B2'!F728)/(K728))*1000,0)</f>
        <v>0</v>
      </c>
      <c r="P728" s="94">
        <f>'DATA B3'!C729</f>
        <v>0</v>
      </c>
      <c r="Q728" s="91">
        <f t="shared" si="271"/>
        <v>0</v>
      </c>
      <c r="R728" s="80">
        <f>'DATA B3'!D729</f>
        <v>0</v>
      </c>
      <c r="S728" s="80">
        <f t="shared" si="272"/>
        <v>0</v>
      </c>
      <c r="T728" s="15">
        <f t="shared" si="267"/>
        <v>0</v>
      </c>
      <c r="U728" s="15">
        <f>IFERROR((('DATA B3'!E729-'DATA B3'!E728)+('DATA B3'!F729-'DATA B3'!F728))/('WATER_STEAM RATIO'!P728-'WATER_STEAM RATIO'!P727),0)</f>
        <v>0</v>
      </c>
    </row>
    <row r="729" spans="2:21">
      <c r="B729" s="292"/>
      <c r="C729" s="97">
        <v>0.95833333333333304</v>
      </c>
      <c r="D729" s="84">
        <f>'DATA B1'!D730</f>
        <v>0</v>
      </c>
      <c r="E729" s="5">
        <f t="shared" si="274"/>
        <v>0</v>
      </c>
      <c r="F729" s="80">
        <f>'DATA B1'!E730</f>
        <v>0</v>
      </c>
      <c r="G729" s="80">
        <f t="shared" si="268"/>
        <v>0</v>
      </c>
      <c r="H729" s="28">
        <f t="shared" si="273"/>
        <v>0</v>
      </c>
      <c r="I729" s="45">
        <f>IFERROR((('DATA B1'!G730-'DATA B1'!G729)/('WATER_STEAM RATIO'!D729-'WATER_STEAM RATIO'!D728))*1000,0)</f>
        <v>0</v>
      </c>
      <c r="J729" s="50">
        <f>'DATA B2'!D730</f>
        <v>0</v>
      </c>
      <c r="K729" s="82">
        <f>SUM(J729-J728)</f>
        <v>0</v>
      </c>
      <c r="L729" s="80">
        <f>'DATA B2'!E730</f>
        <v>0</v>
      </c>
      <c r="M729" s="80">
        <f t="shared" si="270"/>
        <v>0</v>
      </c>
      <c r="N729" s="28">
        <f t="shared" si="266"/>
        <v>0</v>
      </c>
      <c r="O729" s="51">
        <f>IFERROR((('DATA B2'!F730-'DATA B2'!F729)/(K729))*1000,0)</f>
        <v>0</v>
      </c>
      <c r="P729" s="94">
        <f>'DATA B3'!C730</f>
        <v>0</v>
      </c>
      <c r="Q729" s="91">
        <f t="shared" si="271"/>
        <v>0</v>
      </c>
      <c r="R729" s="80">
        <f>'DATA B3'!D730</f>
        <v>0</v>
      </c>
      <c r="S729" s="80">
        <f t="shared" si="272"/>
        <v>0</v>
      </c>
      <c r="T729" s="15">
        <f t="shared" si="267"/>
        <v>0</v>
      </c>
      <c r="U729" s="15">
        <f>IFERROR((('DATA B3'!E730-'DATA B3'!E729)+('DATA B3'!F730-'DATA B3'!F729))/('WATER_STEAM RATIO'!P729-'WATER_STEAM RATIO'!P728),0)</f>
        <v>0</v>
      </c>
    </row>
    <row r="730" spans="2:21">
      <c r="B730" s="292"/>
      <c r="C730" s="97">
        <v>1</v>
      </c>
      <c r="D730" s="84">
        <f>'DATA B1'!D731</f>
        <v>0</v>
      </c>
      <c r="E730" s="5">
        <f t="shared" si="274"/>
        <v>0</v>
      </c>
      <c r="F730" s="80">
        <f>'DATA B1'!E731</f>
        <v>0</v>
      </c>
      <c r="G730" s="80">
        <f t="shared" si="268"/>
        <v>0</v>
      </c>
      <c r="H730" s="28">
        <f t="shared" si="273"/>
        <v>0</v>
      </c>
      <c r="I730" s="45">
        <f>IFERROR((('DATA B1'!G731-'DATA B1'!G730)/('WATER_STEAM RATIO'!D730-'WATER_STEAM RATIO'!D729))*1000,0)</f>
        <v>0</v>
      </c>
      <c r="J730" s="50">
        <f>'DATA B2'!D731</f>
        <v>0</v>
      </c>
      <c r="K730" s="82">
        <f t="shared" si="269"/>
        <v>0</v>
      </c>
      <c r="L730" s="80">
        <f>'DATA B2'!E731</f>
        <v>0</v>
      </c>
      <c r="M730" s="80">
        <f t="shared" si="270"/>
        <v>0</v>
      </c>
      <c r="N730" s="28">
        <f t="shared" si="266"/>
        <v>0</v>
      </c>
      <c r="O730" s="51">
        <f>IFERROR((('DATA B2'!F731-'DATA B2'!F730)/(K730))*1000,0)</f>
        <v>0</v>
      </c>
      <c r="P730" s="94">
        <f>'DATA B3'!C731</f>
        <v>0</v>
      </c>
      <c r="Q730" s="91">
        <f t="shared" si="271"/>
        <v>0</v>
      </c>
      <c r="R730" s="80">
        <f>'DATA B3'!D731</f>
        <v>0</v>
      </c>
      <c r="S730" s="80">
        <f t="shared" si="272"/>
        <v>0</v>
      </c>
      <c r="T730" s="15">
        <f t="shared" si="267"/>
        <v>0</v>
      </c>
      <c r="U730" s="15">
        <f>IFERROR((('DATA B3'!E731-'DATA B3'!E730)+('DATA B3'!F731-'DATA B3'!F730))/('WATER_STEAM RATIO'!P730-'WATER_STEAM RATIO'!P729),0)</f>
        <v>0</v>
      </c>
    </row>
    <row r="731" spans="2:21">
      <c r="B731" s="292"/>
      <c r="C731" s="97">
        <v>1.0416666666666701</v>
      </c>
      <c r="D731" s="84">
        <f>'DATA B1'!D732</f>
        <v>0</v>
      </c>
      <c r="E731" s="5">
        <f t="shared" si="274"/>
        <v>0</v>
      </c>
      <c r="F731" s="80">
        <f>'DATA B1'!E732</f>
        <v>0</v>
      </c>
      <c r="G731" s="80">
        <f t="shared" si="268"/>
        <v>0</v>
      </c>
      <c r="H731" s="28">
        <f t="shared" si="273"/>
        <v>0</v>
      </c>
      <c r="I731" s="45">
        <f>IFERROR((('DATA B1'!G732-'DATA B1'!G731)/('WATER_STEAM RATIO'!D731-'WATER_STEAM RATIO'!D730))*1000,0)</f>
        <v>0</v>
      </c>
      <c r="J731" s="50">
        <f>'DATA B2'!D732</f>
        <v>0</v>
      </c>
      <c r="K731" s="82">
        <f t="shared" si="269"/>
        <v>0</v>
      </c>
      <c r="L731" s="80">
        <f>'DATA B2'!E732</f>
        <v>0</v>
      </c>
      <c r="M731" s="80">
        <f t="shared" si="270"/>
        <v>0</v>
      </c>
      <c r="N731" s="28">
        <f t="shared" si="266"/>
        <v>0</v>
      </c>
      <c r="O731" s="51">
        <f>IFERROR((('DATA B2'!F732-'DATA B2'!F731)/(K731))*1000,0)</f>
        <v>0</v>
      </c>
      <c r="P731" s="94">
        <f>'DATA B3'!C732</f>
        <v>0</v>
      </c>
      <c r="Q731" s="91">
        <f t="shared" si="271"/>
        <v>0</v>
      </c>
      <c r="R731" s="80">
        <f>'DATA B3'!D732</f>
        <v>0</v>
      </c>
      <c r="S731" s="80">
        <f t="shared" si="272"/>
        <v>0</v>
      </c>
      <c r="T731" s="15">
        <f t="shared" si="267"/>
        <v>0</v>
      </c>
      <c r="U731" s="15">
        <f>IFERROR((('DATA B3'!E732-'DATA B3'!E731)+('DATA B3'!F732-'DATA B3'!F731))/('WATER_STEAM RATIO'!P731-'WATER_STEAM RATIO'!P730),0)</f>
        <v>0</v>
      </c>
    </row>
    <row r="732" spans="2:21">
      <c r="B732" s="292"/>
      <c r="C732" s="97">
        <v>1.0833333333333399</v>
      </c>
      <c r="D732" s="84">
        <f>'DATA B1'!D733</f>
        <v>0</v>
      </c>
      <c r="E732" s="5">
        <f>SUM(D732-D731)</f>
        <v>0</v>
      </c>
      <c r="F732" s="80">
        <f>'DATA B1'!E733</f>
        <v>0</v>
      </c>
      <c r="G732" s="80">
        <f t="shared" si="268"/>
        <v>0</v>
      </c>
      <c r="H732" s="28">
        <f t="shared" si="273"/>
        <v>0</v>
      </c>
      <c r="I732" s="45">
        <f>IFERROR((('DATA B1'!G733-'DATA B1'!G732)/('WATER_STEAM RATIO'!D732-'WATER_STEAM RATIO'!D731))*1000,0)</f>
        <v>0</v>
      </c>
      <c r="J732" s="50">
        <f>'DATA B2'!D733</f>
        <v>0</v>
      </c>
      <c r="K732" s="82">
        <f t="shared" si="269"/>
        <v>0</v>
      </c>
      <c r="L732" s="80">
        <f>'DATA B2'!E733</f>
        <v>0</v>
      </c>
      <c r="M732" s="80">
        <f t="shared" si="270"/>
        <v>0</v>
      </c>
      <c r="N732" s="28">
        <f t="shared" si="266"/>
        <v>0</v>
      </c>
      <c r="O732" s="51">
        <f>IFERROR((('DATA B2'!F733-'DATA B2'!F732)/(K732))*1000,0)</f>
        <v>0</v>
      </c>
      <c r="P732" s="94">
        <f>'DATA B3'!C733</f>
        <v>0</v>
      </c>
      <c r="Q732" s="91">
        <f>SUM(P732-P731)</f>
        <v>0</v>
      </c>
      <c r="R732" s="80">
        <f>'DATA B3'!D733</f>
        <v>0</v>
      </c>
      <c r="S732" s="80">
        <f t="shared" si="272"/>
        <v>0</v>
      </c>
      <c r="T732" s="15">
        <f t="shared" si="267"/>
        <v>0</v>
      </c>
      <c r="U732" s="15">
        <f>IFERROR((('DATA B3'!E733-'DATA B3'!E732)+('DATA B3'!F733-'DATA B3'!F732))/('WATER_STEAM RATIO'!P732-'WATER_STEAM RATIO'!P731),0)</f>
        <v>0</v>
      </c>
    </row>
    <row r="733" spans="2:21">
      <c r="B733" s="292"/>
      <c r="C733" s="97">
        <v>1.125</v>
      </c>
      <c r="D733" s="84">
        <f>'DATA B1'!D734</f>
        <v>0</v>
      </c>
      <c r="E733" s="5">
        <f t="shared" si="274"/>
        <v>0</v>
      </c>
      <c r="F733" s="80">
        <f>'DATA B1'!E734</f>
        <v>0</v>
      </c>
      <c r="G733" s="80">
        <f t="shared" si="268"/>
        <v>0</v>
      </c>
      <c r="H733" s="28">
        <f t="shared" si="273"/>
        <v>0</v>
      </c>
      <c r="I733" s="45">
        <f>IFERROR((('DATA B1'!G734-'DATA B1'!G733)/('WATER_STEAM RATIO'!D733-'WATER_STEAM RATIO'!D732))*1000,0)</f>
        <v>0</v>
      </c>
      <c r="J733" s="50">
        <f>'DATA B2'!D734</f>
        <v>0</v>
      </c>
      <c r="K733" s="82">
        <f t="shared" si="269"/>
        <v>0</v>
      </c>
      <c r="L733" s="80">
        <f>'DATA B2'!E734</f>
        <v>0</v>
      </c>
      <c r="M733" s="80">
        <f t="shared" si="270"/>
        <v>0</v>
      </c>
      <c r="N733" s="28">
        <f t="shared" si="266"/>
        <v>0</v>
      </c>
      <c r="O733" s="51">
        <f>IFERROR((('DATA B2'!F734-'DATA B2'!F733)/(K733))*1000,0)</f>
        <v>0</v>
      </c>
      <c r="P733" s="94">
        <f>'DATA B3'!C734</f>
        <v>0</v>
      </c>
      <c r="Q733" s="91">
        <f t="shared" si="271"/>
        <v>0</v>
      </c>
      <c r="R733" s="80">
        <f>'DATA B3'!D734</f>
        <v>0</v>
      </c>
      <c r="S733" s="80">
        <f t="shared" si="272"/>
        <v>0</v>
      </c>
      <c r="T733" s="15">
        <f t="shared" si="267"/>
        <v>0</v>
      </c>
      <c r="U733" s="15">
        <f>IFERROR((('DATA B3'!E734-'DATA B3'!E733)+('DATA B3'!F734-'DATA B3'!F733))/('WATER_STEAM RATIO'!P733-'WATER_STEAM RATIO'!P732),0)</f>
        <v>0</v>
      </c>
    </row>
    <row r="734" spans="2:21">
      <c r="B734" s="292"/>
      <c r="C734" s="97">
        <v>1.1666666666666701</v>
      </c>
      <c r="D734" s="84">
        <f>'DATA B1'!D735</f>
        <v>0</v>
      </c>
      <c r="E734" s="5">
        <f t="shared" si="274"/>
        <v>0</v>
      </c>
      <c r="F734" s="80">
        <f>'DATA B1'!E735</f>
        <v>0</v>
      </c>
      <c r="G734" s="80">
        <f t="shared" si="268"/>
        <v>0</v>
      </c>
      <c r="H734" s="28">
        <f t="shared" si="273"/>
        <v>0</v>
      </c>
      <c r="I734" s="45">
        <f>IFERROR((('DATA B1'!G735-'DATA B1'!G734)/('WATER_STEAM RATIO'!D734-'WATER_STEAM RATIO'!D733))*1000,0)</f>
        <v>0</v>
      </c>
      <c r="J734" s="50">
        <f>'DATA B2'!D735</f>
        <v>0</v>
      </c>
      <c r="K734" s="82">
        <f t="shared" si="269"/>
        <v>0</v>
      </c>
      <c r="L734" s="80">
        <f>'DATA B2'!E735</f>
        <v>0</v>
      </c>
      <c r="M734" s="80">
        <f t="shared" si="270"/>
        <v>0</v>
      </c>
      <c r="N734" s="28">
        <f t="shared" si="266"/>
        <v>0</v>
      </c>
      <c r="O734" s="51">
        <f>IFERROR((('DATA B2'!F735-'DATA B2'!F734)/(K734))*1000,0)</f>
        <v>0</v>
      </c>
      <c r="P734" s="94">
        <f>'DATA B3'!C735</f>
        <v>0</v>
      </c>
      <c r="Q734" s="91">
        <f t="shared" si="271"/>
        <v>0</v>
      </c>
      <c r="R734" s="80">
        <f>'DATA B3'!D735</f>
        <v>0</v>
      </c>
      <c r="S734" s="80">
        <f t="shared" si="272"/>
        <v>0</v>
      </c>
      <c r="T734" s="15">
        <f t="shared" si="267"/>
        <v>0</v>
      </c>
      <c r="U734" s="15">
        <f>IFERROR((('DATA B3'!E735-'DATA B3'!E734)+('DATA B3'!F735-'DATA B3'!F734))/('WATER_STEAM RATIO'!P734-'WATER_STEAM RATIO'!P733),0)</f>
        <v>0</v>
      </c>
    </row>
    <row r="735" spans="2:21">
      <c r="B735" s="292"/>
      <c r="C735" s="97">
        <v>1.2083333333333399</v>
      </c>
      <c r="D735" s="84">
        <f>'DATA B1'!D736</f>
        <v>0</v>
      </c>
      <c r="E735" s="5">
        <f t="shared" si="274"/>
        <v>0</v>
      </c>
      <c r="F735" s="80">
        <f>'DATA B1'!E736</f>
        <v>0</v>
      </c>
      <c r="G735" s="80">
        <f t="shared" si="268"/>
        <v>0</v>
      </c>
      <c r="H735" s="28">
        <f t="shared" si="273"/>
        <v>0</v>
      </c>
      <c r="I735" s="45">
        <f>IFERROR((('DATA B1'!G736-'DATA B1'!G735)/('WATER_STEAM RATIO'!D735-'WATER_STEAM RATIO'!D734))*1000,0)</f>
        <v>0</v>
      </c>
      <c r="J735" s="50">
        <f>'DATA B2'!D736</f>
        <v>0</v>
      </c>
      <c r="K735" s="82">
        <f t="shared" si="269"/>
        <v>0</v>
      </c>
      <c r="L735" s="80">
        <f>'DATA B2'!E736</f>
        <v>0</v>
      </c>
      <c r="M735" s="80">
        <f t="shared" si="270"/>
        <v>0</v>
      </c>
      <c r="N735" s="28">
        <f t="shared" si="266"/>
        <v>0</v>
      </c>
      <c r="O735" s="51">
        <f>IFERROR((('DATA B2'!F736-'DATA B2'!F735)/(K735))*1000,0)</f>
        <v>0</v>
      </c>
      <c r="P735" s="94">
        <f>'DATA B3'!C736</f>
        <v>0</v>
      </c>
      <c r="Q735" s="91">
        <f t="shared" si="271"/>
        <v>0</v>
      </c>
      <c r="R735" s="80">
        <f>'DATA B3'!D736</f>
        <v>0</v>
      </c>
      <c r="S735" s="80">
        <f t="shared" si="272"/>
        <v>0</v>
      </c>
      <c r="T735" s="15">
        <f t="shared" si="267"/>
        <v>0</v>
      </c>
      <c r="U735" s="15">
        <f>IFERROR((('DATA B3'!E736-'DATA B3'!E735)+('DATA B3'!F736-'DATA B3'!F735))/('WATER_STEAM RATIO'!P735-'WATER_STEAM RATIO'!P734),0)</f>
        <v>0</v>
      </c>
    </row>
    <row r="736" spans="2:21">
      <c r="B736" s="292"/>
      <c r="C736" s="97">
        <v>1.25</v>
      </c>
      <c r="D736" s="84">
        <f>'DATA B1'!D737</f>
        <v>0</v>
      </c>
      <c r="E736" s="5">
        <f t="shared" si="274"/>
        <v>0</v>
      </c>
      <c r="F736" s="80">
        <f>'DATA B1'!E737</f>
        <v>0</v>
      </c>
      <c r="G736" s="80">
        <f t="shared" si="268"/>
        <v>0</v>
      </c>
      <c r="H736" s="28">
        <f t="shared" si="273"/>
        <v>0</v>
      </c>
      <c r="I736" s="45">
        <f>IFERROR((('DATA B1'!G737-'DATA B1'!G736)/('WATER_STEAM RATIO'!D736-'WATER_STEAM RATIO'!D735))*1000,0)</f>
        <v>0</v>
      </c>
      <c r="J736" s="50">
        <f>'DATA B2'!D737</f>
        <v>0</v>
      </c>
      <c r="K736" s="82">
        <f t="shared" si="269"/>
        <v>0</v>
      </c>
      <c r="L736" s="80">
        <f>'DATA B2'!E737</f>
        <v>0</v>
      </c>
      <c r="M736" s="80">
        <f t="shared" si="270"/>
        <v>0</v>
      </c>
      <c r="N736" s="28">
        <f t="shared" si="266"/>
        <v>0</v>
      </c>
      <c r="O736" s="51">
        <f>IFERROR((('DATA B2'!F737-'DATA B2'!F736)/(K736))*1000,0)</f>
        <v>0</v>
      </c>
      <c r="P736" s="94">
        <f>'DATA B3'!C737</f>
        <v>0</v>
      </c>
      <c r="Q736" s="91">
        <f t="shared" si="271"/>
        <v>0</v>
      </c>
      <c r="R736" s="80">
        <f>'DATA B3'!D737</f>
        <v>0</v>
      </c>
      <c r="S736" s="80">
        <f t="shared" si="272"/>
        <v>0</v>
      </c>
      <c r="T736" s="15">
        <f t="shared" si="267"/>
        <v>0</v>
      </c>
      <c r="U736" s="15">
        <f>IFERROR((('DATA B3'!E737-'DATA B3'!E736)+('DATA B3'!F737-'DATA B3'!F736))/('WATER_STEAM RATIO'!P736-'WATER_STEAM RATIO'!P735),0)</f>
        <v>0</v>
      </c>
    </row>
    <row r="737" spans="2:21">
      <c r="B737" s="292"/>
      <c r="C737" s="97">
        <v>1.2916666666666701</v>
      </c>
      <c r="D737" s="84">
        <f>'DATA B1'!D738</f>
        <v>0</v>
      </c>
      <c r="E737" s="5">
        <f t="shared" si="274"/>
        <v>0</v>
      </c>
      <c r="F737" s="80">
        <f>'DATA B1'!E738</f>
        <v>0</v>
      </c>
      <c r="G737" s="80">
        <f t="shared" si="268"/>
        <v>0</v>
      </c>
      <c r="H737" s="28">
        <f t="shared" si="273"/>
        <v>0</v>
      </c>
      <c r="I737" s="45">
        <f>IFERROR((('DATA B1'!G738-'DATA B1'!G737)/('WATER_STEAM RATIO'!D737-'WATER_STEAM RATIO'!D736))*1000,0)</f>
        <v>0</v>
      </c>
      <c r="J737" s="50">
        <f>'DATA B2'!D738</f>
        <v>0</v>
      </c>
      <c r="K737" s="82">
        <f>SUM(J737-J736)</f>
        <v>0</v>
      </c>
      <c r="L737" s="80">
        <f>'DATA B2'!E738</f>
        <v>0</v>
      </c>
      <c r="M737" s="80">
        <f t="shared" si="270"/>
        <v>0</v>
      </c>
      <c r="N737" s="28">
        <f t="shared" si="266"/>
        <v>0</v>
      </c>
      <c r="O737" s="51">
        <f>IFERROR((('DATA B2'!F738-'DATA B2'!F737)/(K737))*1000,0)</f>
        <v>0</v>
      </c>
      <c r="P737" s="94">
        <f>'DATA B3'!C738</f>
        <v>0</v>
      </c>
      <c r="Q737" s="91">
        <f t="shared" si="271"/>
        <v>0</v>
      </c>
      <c r="R737" s="80">
        <f>'DATA B3'!D738</f>
        <v>0</v>
      </c>
      <c r="S737" s="80">
        <f t="shared" si="272"/>
        <v>0</v>
      </c>
      <c r="T737" s="15">
        <f t="shared" si="267"/>
        <v>0</v>
      </c>
      <c r="U737" s="15">
        <f>IFERROR((('DATA B3'!E738-'DATA B3'!E737)+('DATA B3'!F738-'DATA B3'!F737))/('WATER_STEAM RATIO'!P737-'WATER_STEAM RATIO'!P736),0)</f>
        <v>0</v>
      </c>
    </row>
    <row r="738" spans="2:21" ht="15.75" thickBot="1">
      <c r="B738" s="293"/>
      <c r="C738" s="235"/>
      <c r="D738" s="224" cm="1">
        <f t="array" ref="D738">IFERROR(LOOKUP(2,1/(D713:D737&gt;0),D713:D737-D713),0)</f>
        <v>0</v>
      </c>
      <c r="E738" s="223">
        <f>SUMIF(E714:E737,"&gt;=0",E714:E737)</f>
        <v>0</v>
      </c>
      <c r="F738" s="224" cm="1">
        <f t="array" ref="F738">IFERROR(LOOKUP(2,1/(F713:F737&gt;0),F713:F737-F713),0)</f>
        <v>0</v>
      </c>
      <c r="G738" s="223">
        <f>SUMIF(G714:G737,"&gt;=0",G714:G737)</f>
        <v>0</v>
      </c>
      <c r="H738" s="225">
        <f t="shared" si="273"/>
        <v>0</v>
      </c>
      <c r="I738" s="236">
        <f>IFERROR((('DATA B1'!H739)/(E738))*1000,0)</f>
        <v>0</v>
      </c>
      <c r="J738" s="222" cm="1">
        <f t="array" ref="J738">IFERROR(LOOKUP(2,1/(J713:J737&gt;0),J713:J737-J713),0)</f>
        <v>0</v>
      </c>
      <c r="K738" s="223">
        <f>SUMIF(K714:K737,"&gt;=0",K714:K737)</f>
        <v>0</v>
      </c>
      <c r="L738" s="224" cm="1">
        <f t="array" ref="L738">IFERROR(LOOKUP(2,1/(L713:L737&gt;0),L713:L737-L713),0)</f>
        <v>0</v>
      </c>
      <c r="M738" s="223">
        <f>SUMIF(M714:M737,"&gt;=0",M714:M737)</f>
        <v>0</v>
      </c>
      <c r="N738" s="225">
        <f>IFERROR(M738/K738,0)</f>
        <v>0</v>
      </c>
      <c r="O738" s="226">
        <f>IFERROR((('DATA B2'!H739)/(K738))*1000,0)</f>
        <v>0</v>
      </c>
      <c r="P738" s="224" cm="1">
        <f t="array" ref="P738">IFERROR(LOOKUP(2,1/(P713:P737&gt;0),P713:P737-P713),0)</f>
        <v>0</v>
      </c>
      <c r="Q738" s="223">
        <f>SUMIF(Q714:Q737,"&gt;=0",Q714:Q737)</f>
        <v>0</v>
      </c>
      <c r="R738" s="224" cm="1">
        <f t="array" ref="R738">IFERROR(LOOKUP(2,1/(R713:R737&gt;0),R713:R737-R713),0)</f>
        <v>0</v>
      </c>
      <c r="S738" s="223">
        <f>SUMIF(S714:S737,"&gt;=0",S714:S737)</f>
        <v>0</v>
      </c>
      <c r="T738" s="237">
        <f t="shared" si="267"/>
        <v>0</v>
      </c>
      <c r="U738" s="226">
        <f>IFERROR(('DATA B3'!E739+'DATA B3'!F739)/Q738*1000,0)</f>
        <v>0</v>
      </c>
    </row>
    <row r="739" spans="2:21" ht="15" customHeight="1">
      <c r="B739" s="291">
        <f>SUM('DATA B1'!B740:B765)</f>
        <v>46051</v>
      </c>
      <c r="C739" s="97">
        <v>0.29166666666666669</v>
      </c>
      <c r="D739" s="84">
        <f>'DATA B1'!D740</f>
        <v>0</v>
      </c>
      <c r="E739" s="5">
        <f>SUM(E737)</f>
        <v>0</v>
      </c>
      <c r="F739" s="80">
        <f>'DATA B1'!E740</f>
        <v>0</v>
      </c>
      <c r="G739" s="80">
        <f>SUM(G737)</f>
        <v>0</v>
      </c>
      <c r="H739" s="28">
        <f t="shared" si="273"/>
        <v>0</v>
      </c>
      <c r="I739" s="45"/>
      <c r="J739" s="50">
        <f>'DATA B2'!D740</f>
        <v>0</v>
      </c>
      <c r="K739" s="82">
        <f>SUM(K737)</f>
        <v>0</v>
      </c>
      <c r="L739" s="80">
        <f>'DATA B2'!E740</f>
        <v>0</v>
      </c>
      <c r="M739" s="80">
        <f>SUM(M737)</f>
        <v>0</v>
      </c>
      <c r="N739" s="28">
        <f>IFERROR(M739/K739,0)</f>
        <v>0</v>
      </c>
      <c r="O739" s="103"/>
      <c r="P739" s="94">
        <f>'DATA B3'!C740</f>
        <v>0</v>
      </c>
      <c r="Q739" s="91">
        <f>SUM(Q737)</f>
        <v>0</v>
      </c>
      <c r="R739" s="80">
        <f>'DATA B3'!D740</f>
        <v>0</v>
      </c>
      <c r="S739" s="80">
        <f>SUM(S737)</f>
        <v>0</v>
      </c>
      <c r="T739" s="15">
        <f>IFERROR(S739/Q739,0)</f>
        <v>0</v>
      </c>
      <c r="U739" s="15"/>
    </row>
    <row r="740" spans="2:21">
      <c r="B740" s="292"/>
      <c r="C740" s="97">
        <v>0.33333333333333298</v>
      </c>
      <c r="D740" s="84">
        <f>'DATA B1'!D741</f>
        <v>0</v>
      </c>
      <c r="E740" s="5">
        <f t="shared" ref="E740:E746" si="275">SUM(D740-D739)</f>
        <v>0</v>
      </c>
      <c r="F740" s="80">
        <f>'DATA B1'!E741</f>
        <v>0</v>
      </c>
      <c r="G740" s="80">
        <f>SUM(F740-F739)</f>
        <v>0</v>
      </c>
      <c r="H740" s="28">
        <f t="shared" si="273"/>
        <v>0</v>
      </c>
      <c r="I740" s="45">
        <f>IFERROR((('DATA B1'!G741-'DATA B1'!G740)/('WATER_STEAM RATIO'!D740-'WATER_STEAM RATIO'!D739))*1000,0)</f>
        <v>0</v>
      </c>
      <c r="J740" s="50">
        <f>'DATA B2'!D741</f>
        <v>0</v>
      </c>
      <c r="K740" s="82">
        <f>SUM(J740-J739)</f>
        <v>0</v>
      </c>
      <c r="L740" s="80">
        <f>'DATA B2'!E741</f>
        <v>0</v>
      </c>
      <c r="M740" s="80">
        <f>SUM(L740-L739)</f>
        <v>0</v>
      </c>
      <c r="N740" s="28">
        <f t="shared" ref="N740:N763" si="276">IFERROR(M740/K740,0)</f>
        <v>0</v>
      </c>
      <c r="O740" s="51">
        <f>IFERROR((('DATA B2'!F741-'DATA B2'!F740)/(K740))*1000,0)</f>
        <v>0</v>
      </c>
      <c r="P740" s="94">
        <f>'DATA B3'!C741</f>
        <v>0</v>
      </c>
      <c r="Q740" s="91">
        <f>SUM(P740-P739)</f>
        <v>0</v>
      </c>
      <c r="R740" s="80">
        <f>'DATA B3'!D741</f>
        <v>0</v>
      </c>
      <c r="S740" s="80">
        <f>SUM(R740-R739)</f>
        <v>0</v>
      </c>
      <c r="T740" s="15">
        <f t="shared" ref="T740:T764" si="277">IFERROR(S740/Q740,0)</f>
        <v>0</v>
      </c>
      <c r="U740" s="15">
        <f>IFERROR((('DATA B3'!E741-'DATA B3'!E740)+('DATA B3'!F741-'DATA B3'!F740))/('WATER_STEAM RATIO'!P740-'WATER_STEAM RATIO'!P739),0)</f>
        <v>0</v>
      </c>
    </row>
    <row r="741" spans="2:21">
      <c r="B741" s="292"/>
      <c r="C741" s="97">
        <v>0.375</v>
      </c>
      <c r="D741" s="84">
        <f>'DATA B1'!D742</f>
        <v>0</v>
      </c>
      <c r="E741" s="5">
        <f t="shared" si="275"/>
        <v>0</v>
      </c>
      <c r="F741" s="80">
        <f>'DATA B1'!E742</f>
        <v>0</v>
      </c>
      <c r="G741" s="80">
        <f t="shared" ref="G741:G763" si="278">SUM(F741-F740)</f>
        <v>0</v>
      </c>
      <c r="H741" s="28">
        <f t="shared" si="273"/>
        <v>0</v>
      </c>
      <c r="I741" s="45">
        <f>IFERROR((('DATA B1'!G742-'DATA B1'!G741)/('WATER_STEAM RATIO'!D741-'WATER_STEAM RATIO'!D740))*1000,0)</f>
        <v>0</v>
      </c>
      <c r="J741" s="50">
        <f>'DATA B2'!D742</f>
        <v>0</v>
      </c>
      <c r="K741" s="82">
        <f t="shared" ref="K741:K762" si="279">SUM(J741-J740)</f>
        <v>0</v>
      </c>
      <c r="L741" s="80">
        <f>'DATA B2'!E742</f>
        <v>0</v>
      </c>
      <c r="M741" s="80">
        <f t="shared" ref="M741:M763" si="280">SUM(L741-L740)</f>
        <v>0</v>
      </c>
      <c r="N741" s="28">
        <f t="shared" si="276"/>
        <v>0</v>
      </c>
      <c r="O741" s="51">
        <f>IFERROR((('DATA B2'!F742-'DATA B2'!F741)/(K741))*1000,0)</f>
        <v>0</v>
      </c>
      <c r="P741" s="94">
        <f>'DATA B3'!C742</f>
        <v>0</v>
      </c>
      <c r="Q741" s="91">
        <f t="shared" ref="Q741:Q763" si="281">SUM(P741-P740)</f>
        <v>0</v>
      </c>
      <c r="R741" s="80">
        <f>'DATA B3'!D742</f>
        <v>0</v>
      </c>
      <c r="S741" s="80">
        <f t="shared" ref="S741:S763" si="282">SUM(R741-R740)</f>
        <v>0</v>
      </c>
      <c r="T741" s="15">
        <f t="shared" si="277"/>
        <v>0</v>
      </c>
      <c r="U741" s="15">
        <f>IFERROR((('DATA B3'!E742-'DATA B3'!E741)+('DATA B3'!F742-'DATA B3'!F741))/('WATER_STEAM RATIO'!P741-'WATER_STEAM RATIO'!P740),0)</f>
        <v>0</v>
      </c>
    </row>
    <row r="742" spans="2:21">
      <c r="B742" s="292"/>
      <c r="C742" s="97">
        <v>0.41666666666666702</v>
      </c>
      <c r="D742" s="84">
        <f>'DATA B1'!D743</f>
        <v>0</v>
      </c>
      <c r="E742" s="5">
        <f t="shared" si="275"/>
        <v>0</v>
      </c>
      <c r="F742" s="80">
        <f>'DATA B1'!E743</f>
        <v>0</v>
      </c>
      <c r="G742" s="80">
        <f t="shared" si="278"/>
        <v>0</v>
      </c>
      <c r="H742" s="28">
        <f t="shared" si="273"/>
        <v>0</v>
      </c>
      <c r="I742" s="45">
        <f>IFERROR((('DATA B1'!G743-'DATA B1'!G742)/('WATER_STEAM RATIO'!D742-'WATER_STEAM RATIO'!D741))*1000,0)</f>
        <v>0</v>
      </c>
      <c r="J742" s="50">
        <f>'DATA B2'!D743</f>
        <v>0</v>
      </c>
      <c r="K742" s="82">
        <f t="shared" si="279"/>
        <v>0</v>
      </c>
      <c r="L742" s="80">
        <f>'DATA B2'!E743</f>
        <v>0</v>
      </c>
      <c r="M742" s="80">
        <f t="shared" si="280"/>
        <v>0</v>
      </c>
      <c r="N742" s="28">
        <f t="shared" si="276"/>
        <v>0</v>
      </c>
      <c r="O742" s="51">
        <f>IFERROR((('DATA B2'!F743-'DATA B2'!F742)/(K742))*1000,0)</f>
        <v>0</v>
      </c>
      <c r="P742" s="94">
        <f>'DATA B3'!C743</f>
        <v>0</v>
      </c>
      <c r="Q742" s="91">
        <f t="shared" si="281"/>
        <v>0</v>
      </c>
      <c r="R742" s="80">
        <f>'DATA B3'!D743</f>
        <v>0</v>
      </c>
      <c r="S742" s="80">
        <f t="shared" si="282"/>
        <v>0</v>
      </c>
      <c r="T742" s="15">
        <f t="shared" si="277"/>
        <v>0</v>
      </c>
      <c r="U742" s="15">
        <f>IFERROR((('DATA B3'!E743-'DATA B3'!E742)+('DATA B3'!F743-'DATA B3'!F742))/('WATER_STEAM RATIO'!P742-'WATER_STEAM RATIO'!P741),0)</f>
        <v>0</v>
      </c>
    </row>
    <row r="743" spans="2:21">
      <c r="B743" s="292"/>
      <c r="C743" s="97">
        <v>0.45833333333333298</v>
      </c>
      <c r="D743" s="84">
        <f>'DATA B1'!D744</f>
        <v>0</v>
      </c>
      <c r="E743" s="5">
        <f t="shared" si="275"/>
        <v>0</v>
      </c>
      <c r="F743" s="80">
        <f>'DATA B1'!E744</f>
        <v>0</v>
      </c>
      <c r="G743" s="80">
        <f t="shared" si="278"/>
        <v>0</v>
      </c>
      <c r="H743" s="28">
        <f t="shared" si="273"/>
        <v>0</v>
      </c>
      <c r="I743" s="45">
        <f>IFERROR((('DATA B1'!G744-'DATA B1'!G743)/('WATER_STEAM RATIO'!D743-'WATER_STEAM RATIO'!D742))*1000,0)</f>
        <v>0</v>
      </c>
      <c r="J743" s="50">
        <f>'DATA B2'!D744</f>
        <v>0</v>
      </c>
      <c r="K743" s="82">
        <f t="shared" si="279"/>
        <v>0</v>
      </c>
      <c r="L743" s="80">
        <f>'DATA B2'!E744</f>
        <v>0</v>
      </c>
      <c r="M743" s="80">
        <f t="shared" si="280"/>
        <v>0</v>
      </c>
      <c r="N743" s="28">
        <f t="shared" si="276"/>
        <v>0</v>
      </c>
      <c r="O743" s="51">
        <f>IFERROR((('DATA B2'!F744-'DATA B2'!F743)/(K743))*1000,0)</f>
        <v>0</v>
      </c>
      <c r="P743" s="94">
        <f>'DATA B3'!C744</f>
        <v>0</v>
      </c>
      <c r="Q743" s="91">
        <f t="shared" si="281"/>
        <v>0</v>
      </c>
      <c r="R743" s="80">
        <f>'DATA B3'!D744</f>
        <v>0</v>
      </c>
      <c r="S743" s="80">
        <f t="shared" si="282"/>
        <v>0</v>
      </c>
      <c r="T743" s="15">
        <f t="shared" si="277"/>
        <v>0</v>
      </c>
      <c r="U743" s="15">
        <f>IFERROR((('DATA B3'!E744-'DATA B3'!E743)+('DATA B3'!F744-'DATA B3'!F743))/('WATER_STEAM RATIO'!P743-'WATER_STEAM RATIO'!P742),0)</f>
        <v>0</v>
      </c>
    </row>
    <row r="744" spans="2:21">
      <c r="B744" s="292"/>
      <c r="C744" s="97">
        <v>0.5</v>
      </c>
      <c r="D744" s="84">
        <f>'DATA B1'!D745</f>
        <v>0</v>
      </c>
      <c r="E744" s="5">
        <f t="shared" si="275"/>
        <v>0</v>
      </c>
      <c r="F744" s="80">
        <f>'DATA B1'!E745</f>
        <v>0</v>
      </c>
      <c r="G744" s="80">
        <f t="shared" si="278"/>
        <v>0</v>
      </c>
      <c r="H744" s="28">
        <f t="shared" si="273"/>
        <v>0</v>
      </c>
      <c r="I744" s="45">
        <f>IFERROR((('DATA B1'!G745-'DATA B1'!G744)/('WATER_STEAM RATIO'!D744-'WATER_STEAM RATIO'!D743))*1000,0)</f>
        <v>0</v>
      </c>
      <c r="J744" s="50">
        <f>'DATA B2'!D745</f>
        <v>0</v>
      </c>
      <c r="K744" s="82">
        <f t="shared" si="279"/>
        <v>0</v>
      </c>
      <c r="L744" s="80">
        <f>'DATA B2'!E745</f>
        <v>0</v>
      </c>
      <c r="M744" s="80">
        <f t="shared" si="280"/>
        <v>0</v>
      </c>
      <c r="N744" s="28">
        <f t="shared" si="276"/>
        <v>0</v>
      </c>
      <c r="O744" s="51">
        <f>IFERROR((('DATA B2'!F745-'DATA B2'!F744)/(K744))*1000,0)</f>
        <v>0</v>
      </c>
      <c r="P744" s="94">
        <f>'DATA B3'!C745</f>
        <v>0</v>
      </c>
      <c r="Q744" s="91">
        <f t="shared" si="281"/>
        <v>0</v>
      </c>
      <c r="R744" s="80">
        <f>'DATA B3'!D745</f>
        <v>0</v>
      </c>
      <c r="S744" s="80">
        <f t="shared" si="282"/>
        <v>0</v>
      </c>
      <c r="T744" s="15">
        <f t="shared" si="277"/>
        <v>0</v>
      </c>
      <c r="U744" s="15">
        <f>IFERROR((('DATA B3'!E745-'DATA B3'!E744)+('DATA B3'!F745-'DATA B3'!F744))/('WATER_STEAM RATIO'!P744-'WATER_STEAM RATIO'!P743),0)</f>
        <v>0</v>
      </c>
    </row>
    <row r="745" spans="2:21">
      <c r="B745" s="292"/>
      <c r="C745" s="97">
        <v>0.54166666666666696</v>
      </c>
      <c r="D745" s="84">
        <f>'DATA B1'!D746</f>
        <v>0</v>
      </c>
      <c r="E745" s="5">
        <f t="shared" si="275"/>
        <v>0</v>
      </c>
      <c r="F745" s="80">
        <f>'DATA B1'!E746</f>
        <v>0</v>
      </c>
      <c r="G745" s="80">
        <f t="shared" si="278"/>
        <v>0</v>
      </c>
      <c r="H745" s="28">
        <f t="shared" si="273"/>
        <v>0</v>
      </c>
      <c r="I745" s="45">
        <f>IFERROR((('DATA B1'!G746-'DATA B1'!G745)/('WATER_STEAM RATIO'!D745-'WATER_STEAM RATIO'!D744))*1000,0)</f>
        <v>0</v>
      </c>
      <c r="J745" s="50">
        <f>'DATA B2'!D746</f>
        <v>0</v>
      </c>
      <c r="K745" s="82">
        <f t="shared" si="279"/>
        <v>0</v>
      </c>
      <c r="L745" s="80">
        <f>'DATA B2'!E746</f>
        <v>0</v>
      </c>
      <c r="M745" s="80">
        <f t="shared" si="280"/>
        <v>0</v>
      </c>
      <c r="N745" s="28">
        <f t="shared" si="276"/>
        <v>0</v>
      </c>
      <c r="O745" s="51">
        <f>IFERROR((('DATA B2'!F746-'DATA B2'!F745)/(K745))*1000,0)</f>
        <v>0</v>
      </c>
      <c r="P745" s="94">
        <f>'DATA B3'!C746</f>
        <v>0</v>
      </c>
      <c r="Q745" s="91">
        <f t="shared" si="281"/>
        <v>0</v>
      </c>
      <c r="R745" s="80">
        <f>'DATA B3'!D746</f>
        <v>0</v>
      </c>
      <c r="S745" s="80">
        <f t="shared" si="282"/>
        <v>0</v>
      </c>
      <c r="T745" s="15">
        <f t="shared" si="277"/>
        <v>0</v>
      </c>
      <c r="U745" s="15">
        <f>IFERROR((('DATA B3'!E746-'DATA B3'!E745)+('DATA B3'!F746-'DATA B3'!F745))/('WATER_STEAM RATIO'!P745-'WATER_STEAM RATIO'!P744),0)</f>
        <v>0</v>
      </c>
    </row>
    <row r="746" spans="2:21">
      <c r="B746" s="292"/>
      <c r="C746" s="97">
        <v>0.58333333333333304</v>
      </c>
      <c r="D746" s="84">
        <f>'DATA B1'!D747</f>
        <v>0</v>
      </c>
      <c r="E746" s="5">
        <f t="shared" si="275"/>
        <v>0</v>
      </c>
      <c r="F746" s="80">
        <f>'DATA B1'!E747</f>
        <v>0</v>
      </c>
      <c r="G746" s="80">
        <f t="shared" si="278"/>
        <v>0</v>
      </c>
      <c r="H746" s="28">
        <f t="shared" si="273"/>
        <v>0</v>
      </c>
      <c r="I746" s="45">
        <f>IFERROR((('DATA B1'!G747-'DATA B1'!G746)/('WATER_STEAM RATIO'!D746-'WATER_STEAM RATIO'!D745))*1000,0)</f>
        <v>0</v>
      </c>
      <c r="J746" s="50">
        <f>'DATA B2'!D747</f>
        <v>0</v>
      </c>
      <c r="K746" s="82">
        <f t="shared" si="279"/>
        <v>0</v>
      </c>
      <c r="L746" s="80">
        <f>'DATA B2'!E747</f>
        <v>0</v>
      </c>
      <c r="M746" s="80">
        <f t="shared" si="280"/>
        <v>0</v>
      </c>
      <c r="N746" s="28">
        <f t="shared" si="276"/>
        <v>0</v>
      </c>
      <c r="O746" s="51">
        <f>IFERROR((('DATA B2'!F747-'DATA B2'!F746)/(K746))*1000,0)</f>
        <v>0</v>
      </c>
      <c r="P746" s="94">
        <f>'DATA B3'!C747</f>
        <v>0</v>
      </c>
      <c r="Q746" s="91">
        <f t="shared" si="281"/>
        <v>0</v>
      </c>
      <c r="R746" s="80">
        <f>'DATA B3'!D747</f>
        <v>0</v>
      </c>
      <c r="S746" s="80">
        <f t="shared" si="282"/>
        <v>0</v>
      </c>
      <c r="T746" s="15">
        <f t="shared" si="277"/>
        <v>0</v>
      </c>
      <c r="U746" s="15">
        <f>IFERROR((('DATA B3'!E747-'DATA B3'!E746)+('DATA B3'!F747-'DATA B3'!F746))/('WATER_STEAM RATIO'!P746-'WATER_STEAM RATIO'!P745),0)</f>
        <v>0</v>
      </c>
    </row>
    <row r="747" spans="2:21">
      <c r="B747" s="292"/>
      <c r="C747" s="97">
        <v>0.625</v>
      </c>
      <c r="D747" s="84">
        <f>'DATA B1'!D748</f>
        <v>0</v>
      </c>
      <c r="E747" s="5">
        <f t="shared" ref="E747:E763" si="283">SUM(D747-D746)</f>
        <v>0</v>
      </c>
      <c r="F747" s="80">
        <f>'DATA B1'!E748</f>
        <v>0</v>
      </c>
      <c r="G747" s="80">
        <f t="shared" si="278"/>
        <v>0</v>
      </c>
      <c r="H747" s="28">
        <f t="shared" si="273"/>
        <v>0</v>
      </c>
      <c r="I747" s="45">
        <f>IFERROR((('DATA B1'!G748-'DATA B1'!G747)/('WATER_STEAM RATIO'!D747-'WATER_STEAM RATIO'!D746))*1000,0)</f>
        <v>0</v>
      </c>
      <c r="J747" s="50">
        <f>'DATA B2'!D748</f>
        <v>0</v>
      </c>
      <c r="K747" s="82">
        <f t="shared" si="279"/>
        <v>0</v>
      </c>
      <c r="L747" s="80">
        <f>'DATA B2'!E748</f>
        <v>0</v>
      </c>
      <c r="M747" s="80">
        <f t="shared" si="280"/>
        <v>0</v>
      </c>
      <c r="N747" s="28">
        <f t="shared" si="276"/>
        <v>0</v>
      </c>
      <c r="O747" s="51">
        <f>IFERROR((('DATA B2'!F748-'DATA B2'!F747)/(K747))*1000,0)</f>
        <v>0</v>
      </c>
      <c r="P747" s="94">
        <f>'DATA B3'!C748</f>
        <v>0</v>
      </c>
      <c r="Q747" s="91">
        <f t="shared" si="281"/>
        <v>0</v>
      </c>
      <c r="R747" s="80">
        <f>'DATA B3'!D748</f>
        <v>0</v>
      </c>
      <c r="S747" s="80">
        <f t="shared" si="282"/>
        <v>0</v>
      </c>
      <c r="T747" s="15">
        <f t="shared" si="277"/>
        <v>0</v>
      </c>
      <c r="U747" s="15">
        <f>IFERROR((('DATA B3'!E748-'DATA B3'!E747)+('DATA B3'!F748-'DATA B3'!F747))/('WATER_STEAM RATIO'!P747-'WATER_STEAM RATIO'!P746),0)</f>
        <v>0</v>
      </c>
    </row>
    <row r="748" spans="2:21">
      <c r="B748" s="292"/>
      <c r="C748" s="97">
        <v>0.66666666666666596</v>
      </c>
      <c r="D748" s="84">
        <f>'DATA B1'!D749</f>
        <v>0</v>
      </c>
      <c r="E748" s="5">
        <f t="shared" si="283"/>
        <v>0</v>
      </c>
      <c r="F748" s="80">
        <f>'DATA B1'!E749</f>
        <v>0</v>
      </c>
      <c r="G748" s="80">
        <f t="shared" si="278"/>
        <v>0</v>
      </c>
      <c r="H748" s="28">
        <f t="shared" si="273"/>
        <v>0</v>
      </c>
      <c r="I748" s="45">
        <f>IFERROR((('DATA B1'!G749-'DATA B1'!G748)/('WATER_STEAM RATIO'!D748-'WATER_STEAM RATIO'!D747))*1000,0)</f>
        <v>0</v>
      </c>
      <c r="J748" s="50">
        <f>'DATA B2'!D749</f>
        <v>0</v>
      </c>
      <c r="K748" s="82">
        <f>SUM(J748-J747)</f>
        <v>0</v>
      </c>
      <c r="L748" s="80">
        <f>'DATA B2'!E749</f>
        <v>0</v>
      </c>
      <c r="M748" s="80">
        <f t="shared" si="280"/>
        <v>0</v>
      </c>
      <c r="N748" s="28">
        <f t="shared" si="276"/>
        <v>0</v>
      </c>
      <c r="O748" s="51">
        <f>IFERROR((('DATA B2'!F749-'DATA B2'!F748)/(K748))*1000,0)</f>
        <v>0</v>
      </c>
      <c r="P748" s="94">
        <f>'DATA B3'!C749</f>
        <v>0</v>
      </c>
      <c r="Q748" s="91">
        <f t="shared" si="281"/>
        <v>0</v>
      </c>
      <c r="R748" s="80">
        <f>'DATA B3'!D749</f>
        <v>0</v>
      </c>
      <c r="S748" s="80">
        <f t="shared" si="282"/>
        <v>0</v>
      </c>
      <c r="T748" s="15">
        <f t="shared" si="277"/>
        <v>0</v>
      </c>
      <c r="U748" s="15">
        <f>IFERROR((('DATA B3'!E749-'DATA B3'!E748)+('DATA B3'!F749-'DATA B3'!F748))/('WATER_STEAM RATIO'!P748-'WATER_STEAM RATIO'!P747),0)</f>
        <v>0</v>
      </c>
    </row>
    <row r="749" spans="2:21">
      <c r="B749" s="292"/>
      <c r="C749" s="97">
        <v>0.70833333333333304</v>
      </c>
      <c r="D749" s="84">
        <f>'DATA B1'!D750</f>
        <v>0</v>
      </c>
      <c r="E749" s="5">
        <f t="shared" si="283"/>
        <v>0</v>
      </c>
      <c r="F749" s="80">
        <f>'DATA B1'!E750</f>
        <v>0</v>
      </c>
      <c r="G749" s="80">
        <f t="shared" si="278"/>
        <v>0</v>
      </c>
      <c r="H749" s="28">
        <f t="shared" si="273"/>
        <v>0</v>
      </c>
      <c r="I749" s="45">
        <f>IFERROR((('DATA B1'!G750-'DATA B1'!G749)/('WATER_STEAM RATIO'!D749-'WATER_STEAM RATIO'!D748))*1000,0)</f>
        <v>0</v>
      </c>
      <c r="J749" s="50">
        <f>'DATA B2'!D750</f>
        <v>0</v>
      </c>
      <c r="K749" s="82">
        <f t="shared" si="279"/>
        <v>0</v>
      </c>
      <c r="L749" s="80">
        <f>'DATA B2'!E750</f>
        <v>0</v>
      </c>
      <c r="M749" s="80">
        <f t="shared" si="280"/>
        <v>0</v>
      </c>
      <c r="N749" s="28">
        <f t="shared" si="276"/>
        <v>0</v>
      </c>
      <c r="O749" s="51">
        <f>IFERROR((('DATA B2'!F750-'DATA B2'!F749)/(K749))*1000,0)</f>
        <v>0</v>
      </c>
      <c r="P749" s="94">
        <f>'DATA B3'!C750</f>
        <v>0</v>
      </c>
      <c r="Q749" s="91">
        <f t="shared" si="281"/>
        <v>0</v>
      </c>
      <c r="R749" s="80">
        <f>'DATA B3'!D750</f>
        <v>0</v>
      </c>
      <c r="S749" s="80">
        <f t="shared" si="282"/>
        <v>0</v>
      </c>
      <c r="T749" s="15">
        <f t="shared" si="277"/>
        <v>0</v>
      </c>
      <c r="U749" s="15">
        <f>IFERROR((('DATA B3'!E750-'DATA B3'!E749)+('DATA B3'!F750-'DATA B3'!F749))/('WATER_STEAM RATIO'!P749-'WATER_STEAM RATIO'!P748),0)</f>
        <v>0</v>
      </c>
    </row>
    <row r="750" spans="2:21">
      <c r="B750" s="292"/>
      <c r="C750" s="97">
        <v>0.75</v>
      </c>
      <c r="D750" s="84">
        <f>'DATA B1'!D751</f>
        <v>0</v>
      </c>
      <c r="E750" s="5">
        <f t="shared" si="283"/>
        <v>0</v>
      </c>
      <c r="F750" s="80">
        <f>'DATA B1'!E751</f>
        <v>0</v>
      </c>
      <c r="G750" s="80">
        <f t="shared" si="278"/>
        <v>0</v>
      </c>
      <c r="H750" s="28">
        <f t="shared" si="273"/>
        <v>0</v>
      </c>
      <c r="I750" s="45">
        <f>IFERROR((('DATA B1'!G751-'DATA B1'!G750)/('WATER_STEAM RATIO'!D750-'WATER_STEAM RATIO'!D749))*1000,0)</f>
        <v>0</v>
      </c>
      <c r="J750" s="50">
        <f>'DATA B2'!D751</f>
        <v>0</v>
      </c>
      <c r="K750" s="82">
        <f t="shared" si="279"/>
        <v>0</v>
      </c>
      <c r="L750" s="80">
        <f>'DATA B2'!E751</f>
        <v>0</v>
      </c>
      <c r="M750" s="80">
        <f t="shared" si="280"/>
        <v>0</v>
      </c>
      <c r="N750" s="28">
        <f t="shared" si="276"/>
        <v>0</v>
      </c>
      <c r="O750" s="51">
        <f>IFERROR((('DATA B2'!F751-'DATA B2'!F750)/(K750))*1000,0)</f>
        <v>0</v>
      </c>
      <c r="P750" s="94">
        <f>'DATA B3'!C751</f>
        <v>0</v>
      </c>
      <c r="Q750" s="91">
        <f t="shared" si="281"/>
        <v>0</v>
      </c>
      <c r="R750" s="80">
        <f>'DATA B3'!D751</f>
        <v>0</v>
      </c>
      <c r="S750" s="80">
        <f t="shared" si="282"/>
        <v>0</v>
      </c>
      <c r="T750" s="15">
        <f t="shared" si="277"/>
        <v>0</v>
      </c>
      <c r="U750" s="15">
        <f>IFERROR((('DATA B3'!E751-'DATA B3'!E750)+('DATA B3'!F751-'DATA B3'!F750))/('WATER_STEAM RATIO'!P750-'WATER_STEAM RATIO'!P749),0)</f>
        <v>0</v>
      </c>
    </row>
    <row r="751" spans="2:21">
      <c r="B751" s="292"/>
      <c r="C751" s="97">
        <v>0.79166666666666596</v>
      </c>
      <c r="D751" s="84">
        <f>'DATA B1'!D752</f>
        <v>0</v>
      </c>
      <c r="E751" s="5">
        <f t="shared" si="283"/>
        <v>0</v>
      </c>
      <c r="F751" s="80">
        <f>'DATA B1'!E752</f>
        <v>0</v>
      </c>
      <c r="G751" s="80">
        <f t="shared" si="278"/>
        <v>0</v>
      </c>
      <c r="H751" s="28">
        <f t="shared" si="273"/>
        <v>0</v>
      </c>
      <c r="I751" s="45">
        <f>IFERROR((('DATA B1'!G752-'DATA B1'!G751)/('WATER_STEAM RATIO'!D751-'WATER_STEAM RATIO'!D750))*1000,0)</f>
        <v>0</v>
      </c>
      <c r="J751" s="50">
        <f>'DATA B2'!D752</f>
        <v>0</v>
      </c>
      <c r="K751" s="82">
        <f t="shared" si="279"/>
        <v>0</v>
      </c>
      <c r="L751" s="80">
        <f>'DATA B2'!E752</f>
        <v>0</v>
      </c>
      <c r="M751" s="80">
        <f t="shared" si="280"/>
        <v>0</v>
      </c>
      <c r="N751" s="28">
        <f t="shared" si="276"/>
        <v>0</v>
      </c>
      <c r="O751" s="51">
        <f>IFERROR((('DATA B2'!F752-'DATA B2'!F751)/(K751))*1000,0)</f>
        <v>0</v>
      </c>
      <c r="P751" s="94">
        <f>'DATA B3'!C752</f>
        <v>0</v>
      </c>
      <c r="Q751" s="91">
        <f t="shared" si="281"/>
        <v>0</v>
      </c>
      <c r="R751" s="80">
        <f>'DATA B3'!D752</f>
        <v>0</v>
      </c>
      <c r="S751" s="80">
        <f t="shared" si="282"/>
        <v>0</v>
      </c>
      <c r="T751" s="15">
        <f t="shared" si="277"/>
        <v>0</v>
      </c>
      <c r="U751" s="15">
        <f>IFERROR((('DATA B3'!E752-'DATA B3'!E751)+('DATA B3'!F752-'DATA B3'!F751))/('WATER_STEAM RATIO'!P751-'WATER_STEAM RATIO'!P750),0)</f>
        <v>0</v>
      </c>
    </row>
    <row r="752" spans="2:21">
      <c r="B752" s="292"/>
      <c r="C752" s="97">
        <v>0.83333333333333304</v>
      </c>
      <c r="D752" s="84">
        <f>'DATA B1'!D753</f>
        <v>0</v>
      </c>
      <c r="E752" s="5">
        <f t="shared" si="283"/>
        <v>0</v>
      </c>
      <c r="F752" s="80">
        <f>'DATA B1'!E753</f>
        <v>0</v>
      </c>
      <c r="G752" s="80">
        <f t="shared" si="278"/>
        <v>0</v>
      </c>
      <c r="H752" s="28">
        <f t="shared" si="273"/>
        <v>0</v>
      </c>
      <c r="I752" s="45">
        <f>IFERROR((('DATA B1'!G753-'DATA B1'!G752)/('WATER_STEAM RATIO'!D752-'WATER_STEAM RATIO'!D751))*1000,0)</f>
        <v>0</v>
      </c>
      <c r="J752" s="50">
        <f>'DATA B2'!D753</f>
        <v>0</v>
      </c>
      <c r="K752" s="82">
        <f t="shared" si="279"/>
        <v>0</v>
      </c>
      <c r="L752" s="80">
        <f>'DATA B2'!E753</f>
        <v>0</v>
      </c>
      <c r="M752" s="80">
        <f t="shared" si="280"/>
        <v>0</v>
      </c>
      <c r="N752" s="28">
        <f t="shared" si="276"/>
        <v>0</v>
      </c>
      <c r="O752" s="51">
        <f>IFERROR((('DATA B2'!F753-'DATA B2'!F752)/(K752))*1000,0)</f>
        <v>0</v>
      </c>
      <c r="P752" s="94">
        <f>'DATA B3'!C753</f>
        <v>0</v>
      </c>
      <c r="Q752" s="91">
        <f t="shared" si="281"/>
        <v>0</v>
      </c>
      <c r="R752" s="80">
        <f>'DATA B3'!D753</f>
        <v>0</v>
      </c>
      <c r="S752" s="80">
        <f t="shared" si="282"/>
        <v>0</v>
      </c>
      <c r="T752" s="15">
        <f t="shared" si="277"/>
        <v>0</v>
      </c>
      <c r="U752" s="15">
        <f>IFERROR((('DATA B3'!E753-'DATA B3'!E752)+('DATA B3'!F753-'DATA B3'!F752))/('WATER_STEAM RATIO'!P752-'WATER_STEAM RATIO'!P751),0)</f>
        <v>0</v>
      </c>
    </row>
    <row r="753" spans="2:21">
      <c r="B753" s="292"/>
      <c r="C753" s="97">
        <v>0.875</v>
      </c>
      <c r="D753" s="84">
        <f>'DATA B1'!D754</f>
        <v>0</v>
      </c>
      <c r="E753" s="5">
        <f t="shared" si="283"/>
        <v>0</v>
      </c>
      <c r="F753" s="80">
        <f>'DATA B1'!E754</f>
        <v>0</v>
      </c>
      <c r="G753" s="80">
        <f t="shared" si="278"/>
        <v>0</v>
      </c>
      <c r="H753" s="28">
        <f t="shared" si="273"/>
        <v>0</v>
      </c>
      <c r="I753" s="45">
        <f>IFERROR((('DATA B1'!G754-'DATA B1'!G753)/('WATER_STEAM RATIO'!D753-'WATER_STEAM RATIO'!D752))*1000,0)</f>
        <v>0</v>
      </c>
      <c r="J753" s="50">
        <f>'DATA B2'!D754</f>
        <v>0</v>
      </c>
      <c r="K753" s="82">
        <f t="shared" si="279"/>
        <v>0</v>
      </c>
      <c r="L753" s="80">
        <f>'DATA B2'!E754</f>
        <v>0</v>
      </c>
      <c r="M753" s="80">
        <f t="shared" si="280"/>
        <v>0</v>
      </c>
      <c r="N753" s="28">
        <f>IFERROR(M753/K753,0)</f>
        <v>0</v>
      </c>
      <c r="O753" s="51">
        <f>IFERROR((('DATA B2'!F754-'DATA B2'!F753)/(K753))*1000,0)</f>
        <v>0</v>
      </c>
      <c r="P753" s="94">
        <f>'DATA B3'!C754</f>
        <v>0</v>
      </c>
      <c r="Q753" s="91">
        <f t="shared" si="281"/>
        <v>0</v>
      </c>
      <c r="R753" s="80">
        <f>'DATA B3'!D754</f>
        <v>0</v>
      </c>
      <c r="S753" s="80">
        <f t="shared" si="282"/>
        <v>0</v>
      </c>
      <c r="T753" s="15">
        <f t="shared" si="277"/>
        <v>0</v>
      </c>
      <c r="U753" s="15">
        <f>IFERROR((('DATA B3'!E754-'DATA B3'!E753)+('DATA B3'!F754-'DATA B3'!F753))/('WATER_STEAM RATIO'!P753-'WATER_STEAM RATIO'!P752),0)</f>
        <v>0</v>
      </c>
    </row>
    <row r="754" spans="2:21">
      <c r="B754" s="292"/>
      <c r="C754" s="97">
        <v>0.91666666666666596</v>
      </c>
      <c r="D754" s="84">
        <f>'DATA B1'!D755</f>
        <v>0</v>
      </c>
      <c r="E754" s="5">
        <f t="shared" si="283"/>
        <v>0</v>
      </c>
      <c r="F754" s="80">
        <f>'DATA B1'!E755</f>
        <v>0</v>
      </c>
      <c r="G754" s="80">
        <f t="shared" si="278"/>
        <v>0</v>
      </c>
      <c r="H754" s="28">
        <f t="shared" si="273"/>
        <v>0</v>
      </c>
      <c r="I754" s="45">
        <f>IFERROR((('DATA B1'!G755-'DATA B1'!G754)/('WATER_STEAM RATIO'!D754-'WATER_STEAM RATIO'!D753))*1000,0)</f>
        <v>0</v>
      </c>
      <c r="J754" s="50">
        <f>'DATA B2'!D755</f>
        <v>0</v>
      </c>
      <c r="K754" s="82">
        <f t="shared" si="279"/>
        <v>0</v>
      </c>
      <c r="L754" s="80">
        <f>'DATA B2'!E755</f>
        <v>0</v>
      </c>
      <c r="M754" s="80">
        <f t="shared" si="280"/>
        <v>0</v>
      </c>
      <c r="N754" s="28">
        <f t="shared" si="276"/>
        <v>0</v>
      </c>
      <c r="O754" s="51">
        <f>IFERROR((('DATA B2'!F755-'DATA B2'!F754)/(K754))*1000,0)</f>
        <v>0</v>
      </c>
      <c r="P754" s="94">
        <f>'DATA B3'!C755</f>
        <v>0</v>
      </c>
      <c r="Q754" s="91">
        <f t="shared" si="281"/>
        <v>0</v>
      </c>
      <c r="R754" s="80">
        <f>'DATA B3'!D755</f>
        <v>0</v>
      </c>
      <c r="S754" s="80">
        <f t="shared" si="282"/>
        <v>0</v>
      </c>
      <c r="T754" s="15">
        <f t="shared" si="277"/>
        <v>0</v>
      </c>
      <c r="U754" s="15">
        <f>IFERROR((('DATA B3'!E755-'DATA B3'!E754)+('DATA B3'!F755-'DATA B3'!F754))/('WATER_STEAM RATIO'!P754-'WATER_STEAM RATIO'!P753),0)</f>
        <v>0</v>
      </c>
    </row>
    <row r="755" spans="2:21">
      <c r="B755" s="292"/>
      <c r="C755" s="97">
        <v>0.95833333333333304</v>
      </c>
      <c r="D755" s="84">
        <f>'DATA B1'!D756</f>
        <v>0</v>
      </c>
      <c r="E755" s="5">
        <f t="shared" si="283"/>
        <v>0</v>
      </c>
      <c r="F755" s="80">
        <f>'DATA B1'!E756</f>
        <v>0</v>
      </c>
      <c r="G755" s="80">
        <f t="shared" si="278"/>
        <v>0</v>
      </c>
      <c r="H755" s="28">
        <f t="shared" si="273"/>
        <v>0</v>
      </c>
      <c r="I755" s="45">
        <f>IFERROR((('DATA B1'!G756-'DATA B1'!G755)/('WATER_STEAM RATIO'!D755-'WATER_STEAM RATIO'!D754))*1000,0)</f>
        <v>0</v>
      </c>
      <c r="J755" s="50">
        <f>'DATA B2'!D756</f>
        <v>0</v>
      </c>
      <c r="K755" s="82">
        <f>SUM(J755-J754)</f>
        <v>0</v>
      </c>
      <c r="L755" s="80">
        <f>'DATA B2'!E756</f>
        <v>0</v>
      </c>
      <c r="M755" s="80">
        <f t="shared" si="280"/>
        <v>0</v>
      </c>
      <c r="N755" s="28">
        <f t="shared" si="276"/>
        <v>0</v>
      </c>
      <c r="O755" s="51">
        <f>IFERROR((('DATA B2'!F756-'DATA B2'!F755)/(K755))*1000,0)</f>
        <v>0</v>
      </c>
      <c r="P755" s="94">
        <f>'DATA B3'!C756</f>
        <v>0</v>
      </c>
      <c r="Q755" s="91">
        <f t="shared" si="281"/>
        <v>0</v>
      </c>
      <c r="R755" s="80">
        <f>'DATA B3'!D756</f>
        <v>0</v>
      </c>
      <c r="S755" s="80">
        <f t="shared" si="282"/>
        <v>0</v>
      </c>
      <c r="T755" s="15">
        <f t="shared" si="277"/>
        <v>0</v>
      </c>
      <c r="U755" s="15">
        <f>IFERROR((('DATA B3'!E756-'DATA B3'!E755)+('DATA B3'!F756-'DATA B3'!F755))/('WATER_STEAM RATIO'!P755-'WATER_STEAM RATIO'!P754),0)</f>
        <v>0</v>
      </c>
    </row>
    <row r="756" spans="2:21">
      <c r="B756" s="292"/>
      <c r="C756" s="97">
        <v>1</v>
      </c>
      <c r="D756" s="84">
        <f>'DATA B1'!D757</f>
        <v>0</v>
      </c>
      <c r="E756" s="5">
        <f t="shared" si="283"/>
        <v>0</v>
      </c>
      <c r="F756" s="80">
        <f>'DATA B1'!E757</f>
        <v>0</v>
      </c>
      <c r="G756" s="80">
        <f t="shared" si="278"/>
        <v>0</v>
      </c>
      <c r="H756" s="28">
        <f t="shared" si="273"/>
        <v>0</v>
      </c>
      <c r="I756" s="45">
        <f>IFERROR((('DATA B1'!G757-'DATA B1'!G756)/('WATER_STEAM RATIO'!D756-'WATER_STEAM RATIO'!D755))*1000,0)</f>
        <v>0</v>
      </c>
      <c r="J756" s="50">
        <f>'DATA B2'!D757</f>
        <v>0</v>
      </c>
      <c r="K756" s="82">
        <f t="shared" si="279"/>
        <v>0</v>
      </c>
      <c r="L756" s="80">
        <f>'DATA B2'!E757</f>
        <v>0</v>
      </c>
      <c r="M756" s="80">
        <f t="shared" si="280"/>
        <v>0</v>
      </c>
      <c r="N756" s="28">
        <f t="shared" si="276"/>
        <v>0</v>
      </c>
      <c r="O756" s="51">
        <f>IFERROR((('DATA B2'!F757-'DATA B2'!F756)/(K756))*1000,0)</f>
        <v>0</v>
      </c>
      <c r="P756" s="94">
        <f>'DATA B3'!C757</f>
        <v>0</v>
      </c>
      <c r="Q756" s="91">
        <f t="shared" si="281"/>
        <v>0</v>
      </c>
      <c r="R756" s="80">
        <f>'DATA B3'!D757</f>
        <v>0</v>
      </c>
      <c r="S756" s="80">
        <f t="shared" si="282"/>
        <v>0</v>
      </c>
      <c r="T756" s="15">
        <f t="shared" si="277"/>
        <v>0</v>
      </c>
      <c r="U756" s="15">
        <f>IFERROR((('DATA B3'!E757-'DATA B3'!E756)+('DATA B3'!F757-'DATA B3'!F756))/('WATER_STEAM RATIO'!P756-'WATER_STEAM RATIO'!P755),0)</f>
        <v>0</v>
      </c>
    </row>
    <row r="757" spans="2:21">
      <c r="B757" s="292"/>
      <c r="C757" s="97">
        <v>1.0416666666666701</v>
      </c>
      <c r="D757" s="84">
        <f>'DATA B1'!D758</f>
        <v>0</v>
      </c>
      <c r="E757" s="5">
        <f t="shared" si="283"/>
        <v>0</v>
      </c>
      <c r="F757" s="80">
        <f>'DATA B1'!E758</f>
        <v>0</v>
      </c>
      <c r="G757" s="80">
        <f t="shared" si="278"/>
        <v>0</v>
      </c>
      <c r="H757" s="28">
        <f t="shared" si="273"/>
        <v>0</v>
      </c>
      <c r="I757" s="45">
        <f>IFERROR((('DATA B1'!G758-'DATA B1'!G757)/('WATER_STEAM RATIO'!D757-'WATER_STEAM RATIO'!D756))*1000,0)</f>
        <v>0</v>
      </c>
      <c r="J757" s="50">
        <f>'DATA B2'!D758</f>
        <v>0</v>
      </c>
      <c r="K757" s="82">
        <f t="shared" si="279"/>
        <v>0</v>
      </c>
      <c r="L757" s="80">
        <f>'DATA B2'!E758</f>
        <v>0</v>
      </c>
      <c r="M757" s="80">
        <f t="shared" si="280"/>
        <v>0</v>
      </c>
      <c r="N757" s="28">
        <f t="shared" si="276"/>
        <v>0</v>
      </c>
      <c r="O757" s="51">
        <f>IFERROR((('DATA B2'!F758-'DATA B2'!F757)/(K757))*1000,0)</f>
        <v>0</v>
      </c>
      <c r="P757" s="94">
        <f>'DATA B3'!C758</f>
        <v>0</v>
      </c>
      <c r="Q757" s="91">
        <f t="shared" si="281"/>
        <v>0</v>
      </c>
      <c r="R757" s="80">
        <f>'DATA B3'!D758</f>
        <v>0</v>
      </c>
      <c r="S757" s="80">
        <f t="shared" si="282"/>
        <v>0</v>
      </c>
      <c r="T757" s="15">
        <f t="shared" si="277"/>
        <v>0</v>
      </c>
      <c r="U757" s="15">
        <f>IFERROR((('DATA B3'!E758-'DATA B3'!E757)+('DATA B3'!F758-'DATA B3'!F757))/('WATER_STEAM RATIO'!P757-'WATER_STEAM RATIO'!P756),0)</f>
        <v>0</v>
      </c>
    </row>
    <row r="758" spans="2:21">
      <c r="B758" s="292"/>
      <c r="C758" s="97">
        <v>1.0833333333333399</v>
      </c>
      <c r="D758" s="84">
        <f>'DATA B1'!D759</f>
        <v>0</v>
      </c>
      <c r="E758" s="5">
        <f>SUM(D758-D757)</f>
        <v>0</v>
      </c>
      <c r="F758" s="80">
        <f>'DATA B1'!E759</f>
        <v>0</v>
      </c>
      <c r="G758" s="80">
        <f t="shared" si="278"/>
        <v>0</v>
      </c>
      <c r="H758" s="28">
        <f t="shared" si="273"/>
        <v>0</v>
      </c>
      <c r="I758" s="45">
        <f>IFERROR((('DATA B1'!G759-'DATA B1'!G758)/('WATER_STEAM RATIO'!D758-'WATER_STEAM RATIO'!D757))*1000,0)</f>
        <v>0</v>
      </c>
      <c r="J758" s="50">
        <f>'DATA B2'!D759</f>
        <v>0</v>
      </c>
      <c r="K758" s="82">
        <f t="shared" si="279"/>
        <v>0</v>
      </c>
      <c r="L758" s="80">
        <f>'DATA B2'!E759</f>
        <v>0</v>
      </c>
      <c r="M758" s="80">
        <f t="shared" si="280"/>
        <v>0</v>
      </c>
      <c r="N758" s="28">
        <f t="shared" si="276"/>
        <v>0</v>
      </c>
      <c r="O758" s="51">
        <f>IFERROR((('DATA B2'!F759-'DATA B2'!F758)/(K758))*1000,0)</f>
        <v>0</v>
      </c>
      <c r="P758" s="94">
        <f>'DATA B3'!C759</f>
        <v>0</v>
      </c>
      <c r="Q758" s="91">
        <f>SUM(P758-P757)</f>
        <v>0</v>
      </c>
      <c r="R758" s="80">
        <f>'DATA B3'!D759</f>
        <v>0</v>
      </c>
      <c r="S758" s="80">
        <f t="shared" si="282"/>
        <v>0</v>
      </c>
      <c r="T758" s="15">
        <f t="shared" si="277"/>
        <v>0</v>
      </c>
      <c r="U758" s="15">
        <f>IFERROR((('DATA B3'!E759-'DATA B3'!E758)+('DATA B3'!F759-'DATA B3'!F758))/('WATER_STEAM RATIO'!P758-'WATER_STEAM RATIO'!P757),0)</f>
        <v>0</v>
      </c>
    </row>
    <row r="759" spans="2:21">
      <c r="B759" s="292"/>
      <c r="C759" s="97">
        <v>1.125</v>
      </c>
      <c r="D759" s="84">
        <f>'DATA B1'!D760</f>
        <v>0</v>
      </c>
      <c r="E759" s="5">
        <f t="shared" si="283"/>
        <v>0</v>
      </c>
      <c r="F759" s="80">
        <f>'DATA B1'!E760</f>
        <v>0</v>
      </c>
      <c r="G759" s="80">
        <f t="shared" si="278"/>
        <v>0</v>
      </c>
      <c r="H759" s="28">
        <f t="shared" si="273"/>
        <v>0</v>
      </c>
      <c r="I759" s="45">
        <f>IFERROR((('DATA B1'!G760-'DATA B1'!G759)/('WATER_STEAM RATIO'!D759-'WATER_STEAM RATIO'!D758))*1000,0)</f>
        <v>0</v>
      </c>
      <c r="J759" s="50">
        <f>'DATA B2'!D760</f>
        <v>0</v>
      </c>
      <c r="K759" s="82">
        <f t="shared" si="279"/>
        <v>0</v>
      </c>
      <c r="L759" s="80">
        <f>'DATA B2'!E760</f>
        <v>0</v>
      </c>
      <c r="M759" s="80">
        <f t="shared" si="280"/>
        <v>0</v>
      </c>
      <c r="N759" s="28">
        <f t="shared" si="276"/>
        <v>0</v>
      </c>
      <c r="O759" s="51">
        <f>IFERROR((('DATA B2'!F760-'DATA B2'!F759)/(K759))*1000,0)</f>
        <v>0</v>
      </c>
      <c r="P759" s="94">
        <f>'DATA B3'!C760</f>
        <v>0</v>
      </c>
      <c r="Q759" s="91">
        <f t="shared" si="281"/>
        <v>0</v>
      </c>
      <c r="R759" s="80">
        <f>'DATA B3'!D760</f>
        <v>0</v>
      </c>
      <c r="S759" s="80">
        <f t="shared" si="282"/>
        <v>0</v>
      </c>
      <c r="T759" s="15">
        <f t="shared" si="277"/>
        <v>0</v>
      </c>
      <c r="U759" s="15">
        <f>IFERROR((('DATA B3'!E760-'DATA B3'!E759)+('DATA B3'!F760-'DATA B3'!F759))/('WATER_STEAM RATIO'!P759-'WATER_STEAM RATIO'!P758),0)</f>
        <v>0</v>
      </c>
    </row>
    <row r="760" spans="2:21">
      <c r="B760" s="292"/>
      <c r="C760" s="97">
        <v>1.1666666666666701</v>
      </c>
      <c r="D760" s="84">
        <f>'DATA B1'!D761</f>
        <v>0</v>
      </c>
      <c r="E760" s="5">
        <f t="shared" si="283"/>
        <v>0</v>
      </c>
      <c r="F760" s="80">
        <f>'DATA B1'!E761</f>
        <v>0</v>
      </c>
      <c r="G760" s="80">
        <f t="shared" si="278"/>
        <v>0</v>
      </c>
      <c r="H760" s="28">
        <f t="shared" si="273"/>
        <v>0</v>
      </c>
      <c r="I760" s="45">
        <f>IFERROR((('DATA B1'!G761-'DATA B1'!G760)/('WATER_STEAM RATIO'!D760-'WATER_STEAM RATIO'!D759))*1000,0)</f>
        <v>0</v>
      </c>
      <c r="J760" s="50">
        <f>'DATA B2'!D761</f>
        <v>0</v>
      </c>
      <c r="K760" s="82">
        <f t="shared" si="279"/>
        <v>0</v>
      </c>
      <c r="L760" s="80">
        <f>'DATA B2'!E761</f>
        <v>0</v>
      </c>
      <c r="M760" s="80">
        <f t="shared" si="280"/>
        <v>0</v>
      </c>
      <c r="N760" s="28">
        <f t="shared" si="276"/>
        <v>0</v>
      </c>
      <c r="O760" s="51">
        <f>IFERROR((('DATA B2'!F761-'DATA B2'!F760)/(K760))*1000,0)</f>
        <v>0</v>
      </c>
      <c r="P760" s="94">
        <f>'DATA B3'!C761</f>
        <v>0</v>
      </c>
      <c r="Q760" s="91">
        <f t="shared" si="281"/>
        <v>0</v>
      </c>
      <c r="R760" s="80">
        <f>'DATA B3'!D761</f>
        <v>0</v>
      </c>
      <c r="S760" s="80">
        <f t="shared" si="282"/>
        <v>0</v>
      </c>
      <c r="T760" s="15">
        <f t="shared" si="277"/>
        <v>0</v>
      </c>
      <c r="U760" s="15">
        <f>IFERROR((('DATA B3'!E761-'DATA B3'!E760)+('DATA B3'!F761-'DATA B3'!F760))/('WATER_STEAM RATIO'!P760-'WATER_STEAM RATIO'!P759),0)</f>
        <v>0</v>
      </c>
    </row>
    <row r="761" spans="2:21">
      <c r="B761" s="292"/>
      <c r="C761" s="97">
        <v>1.2083333333333399</v>
      </c>
      <c r="D761" s="84">
        <f>'DATA B1'!D762</f>
        <v>0</v>
      </c>
      <c r="E761" s="5">
        <f t="shared" si="283"/>
        <v>0</v>
      </c>
      <c r="F761" s="80">
        <f>'DATA B1'!E762</f>
        <v>0</v>
      </c>
      <c r="G761" s="80">
        <f t="shared" si="278"/>
        <v>0</v>
      </c>
      <c r="H761" s="28">
        <f t="shared" si="273"/>
        <v>0</v>
      </c>
      <c r="I761" s="45">
        <f>IFERROR((('DATA B1'!G762-'DATA B1'!G761)/('WATER_STEAM RATIO'!D761-'WATER_STEAM RATIO'!D760))*1000,0)</f>
        <v>0</v>
      </c>
      <c r="J761" s="50">
        <f>'DATA B2'!D762</f>
        <v>0</v>
      </c>
      <c r="K761" s="82">
        <f t="shared" si="279"/>
        <v>0</v>
      </c>
      <c r="L761" s="80">
        <f>'DATA B2'!E762</f>
        <v>0</v>
      </c>
      <c r="M761" s="80">
        <f t="shared" si="280"/>
        <v>0</v>
      </c>
      <c r="N761" s="28">
        <f t="shared" si="276"/>
        <v>0</v>
      </c>
      <c r="O761" s="51">
        <f>IFERROR((('DATA B2'!F762-'DATA B2'!F761)/(K761))*1000,0)</f>
        <v>0</v>
      </c>
      <c r="P761" s="94">
        <f>'DATA B3'!C762</f>
        <v>0</v>
      </c>
      <c r="Q761" s="91">
        <f t="shared" si="281"/>
        <v>0</v>
      </c>
      <c r="R761" s="80">
        <f>'DATA B3'!D762</f>
        <v>0</v>
      </c>
      <c r="S761" s="80">
        <f t="shared" si="282"/>
        <v>0</v>
      </c>
      <c r="T761" s="15">
        <f t="shared" si="277"/>
        <v>0</v>
      </c>
      <c r="U761" s="15">
        <f>IFERROR((('DATA B3'!E762-'DATA B3'!E761)+('DATA B3'!F762-'DATA B3'!F761))/('WATER_STEAM RATIO'!P761-'WATER_STEAM RATIO'!P760),0)</f>
        <v>0</v>
      </c>
    </row>
    <row r="762" spans="2:21">
      <c r="B762" s="292"/>
      <c r="C762" s="97">
        <v>1.25</v>
      </c>
      <c r="D762" s="84">
        <f>'DATA B1'!D763</f>
        <v>0</v>
      </c>
      <c r="E762" s="5">
        <f t="shared" si="283"/>
        <v>0</v>
      </c>
      <c r="F762" s="80">
        <f>'DATA B1'!E763</f>
        <v>0</v>
      </c>
      <c r="G762" s="80">
        <f t="shared" si="278"/>
        <v>0</v>
      </c>
      <c r="H762" s="28">
        <f t="shared" si="273"/>
        <v>0</v>
      </c>
      <c r="I762" s="45">
        <f>IFERROR((('DATA B1'!G763-'DATA B1'!G762)/('WATER_STEAM RATIO'!D762-'WATER_STEAM RATIO'!D761))*1000,0)</f>
        <v>0</v>
      </c>
      <c r="J762" s="50">
        <f>'DATA B2'!D763</f>
        <v>0</v>
      </c>
      <c r="K762" s="82">
        <f t="shared" si="279"/>
        <v>0</v>
      </c>
      <c r="L762" s="80">
        <f>'DATA B2'!E763</f>
        <v>0</v>
      </c>
      <c r="M762" s="80">
        <f t="shared" si="280"/>
        <v>0</v>
      </c>
      <c r="N762" s="28">
        <f t="shared" si="276"/>
        <v>0</v>
      </c>
      <c r="O762" s="51">
        <f>IFERROR((('DATA B2'!F763-'DATA B2'!F762)/(K762))*1000,0)</f>
        <v>0</v>
      </c>
      <c r="P762" s="94">
        <f>'DATA B3'!C763</f>
        <v>0</v>
      </c>
      <c r="Q762" s="91">
        <f t="shared" si="281"/>
        <v>0</v>
      </c>
      <c r="R762" s="80">
        <f>'DATA B3'!D763</f>
        <v>0</v>
      </c>
      <c r="S762" s="80">
        <f t="shared" si="282"/>
        <v>0</v>
      </c>
      <c r="T762" s="15">
        <f t="shared" si="277"/>
        <v>0</v>
      </c>
      <c r="U762" s="15">
        <f>IFERROR((('DATA B3'!E763-'DATA B3'!E762)+('DATA B3'!F763-'DATA B3'!F762))/('WATER_STEAM RATIO'!P762-'WATER_STEAM RATIO'!P761),0)</f>
        <v>0</v>
      </c>
    </row>
    <row r="763" spans="2:21">
      <c r="B763" s="292"/>
      <c r="C763" s="97">
        <v>1.2916666666666701</v>
      </c>
      <c r="D763" s="84">
        <f>'DATA B1'!D764</f>
        <v>0</v>
      </c>
      <c r="E763" s="5">
        <f t="shared" si="283"/>
        <v>0</v>
      </c>
      <c r="F763" s="80">
        <f>'DATA B1'!E764</f>
        <v>0</v>
      </c>
      <c r="G763" s="80">
        <f t="shared" si="278"/>
        <v>0</v>
      </c>
      <c r="H763" s="28">
        <f t="shared" si="273"/>
        <v>0</v>
      </c>
      <c r="I763" s="45">
        <f>IFERROR((('DATA B1'!G764-'DATA B1'!G763)/('WATER_STEAM RATIO'!D763-'WATER_STEAM RATIO'!D762))*1000,0)</f>
        <v>0</v>
      </c>
      <c r="J763" s="50">
        <f>'DATA B2'!D764</f>
        <v>0</v>
      </c>
      <c r="K763" s="82">
        <f>SUM(J763-J762)</f>
        <v>0</v>
      </c>
      <c r="L763" s="80">
        <f>'DATA B2'!E764</f>
        <v>0</v>
      </c>
      <c r="M763" s="80">
        <f t="shared" si="280"/>
        <v>0</v>
      </c>
      <c r="N763" s="28">
        <f t="shared" si="276"/>
        <v>0</v>
      </c>
      <c r="O763" s="51">
        <f>IFERROR((('DATA B2'!F764-'DATA B2'!F763)/(K763))*1000,0)</f>
        <v>0</v>
      </c>
      <c r="P763" s="94">
        <f>'DATA B3'!C764</f>
        <v>0</v>
      </c>
      <c r="Q763" s="91">
        <f t="shared" si="281"/>
        <v>0</v>
      </c>
      <c r="R763" s="80">
        <f>'DATA B3'!D764</f>
        <v>0</v>
      </c>
      <c r="S763" s="80">
        <f t="shared" si="282"/>
        <v>0</v>
      </c>
      <c r="T763" s="15">
        <f t="shared" si="277"/>
        <v>0</v>
      </c>
      <c r="U763" s="15">
        <f>IFERROR((('DATA B3'!E764-'DATA B3'!E763)+('DATA B3'!F764-'DATA B3'!F763))/('WATER_STEAM RATIO'!P763-'WATER_STEAM RATIO'!P762),0)</f>
        <v>0</v>
      </c>
    </row>
    <row r="764" spans="2:21" ht="15.75" thickBot="1">
      <c r="B764" s="293"/>
      <c r="C764" s="235"/>
      <c r="D764" s="224" cm="1">
        <f t="array" ref="D764">IFERROR(LOOKUP(2,1/(D739:D763&gt;0),D739:D763-D739),0)</f>
        <v>0</v>
      </c>
      <c r="E764" s="223">
        <f>SUMIF(E740:E763,"&gt;=0",E740:E763)</f>
        <v>0</v>
      </c>
      <c r="F764" s="224" cm="1">
        <f t="array" ref="F764">IFERROR(LOOKUP(2,1/(F739:F763&gt;0),F739:F763-F739),0)</f>
        <v>0</v>
      </c>
      <c r="G764" s="223">
        <f>SUMIF(G740:G763,"&gt;=0",G740:G763)</f>
        <v>0</v>
      </c>
      <c r="H764" s="225">
        <f t="shared" si="273"/>
        <v>0</v>
      </c>
      <c r="I764" s="236">
        <f>IFERROR((('DATA B1'!H765)/(E764))*1000,0)</f>
        <v>0</v>
      </c>
      <c r="J764" s="222" cm="1">
        <f t="array" ref="J764">IFERROR(LOOKUP(2,1/(J739:J763&gt;0),J739:J763-J739),0)</f>
        <v>0</v>
      </c>
      <c r="K764" s="223">
        <f>SUMIF(K740:K763,"&gt;=0",K740:K763)</f>
        <v>0</v>
      </c>
      <c r="L764" s="224" cm="1">
        <f t="array" ref="L764">IFERROR(LOOKUP(2,1/(L739:L763&gt;0),L739:L763-L739),0)</f>
        <v>0</v>
      </c>
      <c r="M764" s="223">
        <f>SUMIF(M740:M763,"&gt;=0",M740:M763)</f>
        <v>0</v>
      </c>
      <c r="N764" s="225">
        <f>IFERROR(M764/K764,0)</f>
        <v>0</v>
      </c>
      <c r="O764" s="226">
        <f>IFERROR((('DATA B2'!H765)/(K764))*1000,0)</f>
        <v>0</v>
      </c>
      <c r="P764" s="224" cm="1">
        <f t="array" ref="P764">IFERROR(LOOKUP(2,1/(P739:P763&gt;0),P739:P763-P739),0)</f>
        <v>0</v>
      </c>
      <c r="Q764" s="223">
        <f>SUMIF(Q740:Q763,"&gt;=0",Q740:Q763)</f>
        <v>0</v>
      </c>
      <c r="R764" s="224" cm="1">
        <f t="array" ref="R764">IFERROR(LOOKUP(2,1/(R739:R763&gt;0),R739:R763-R739),0)</f>
        <v>0</v>
      </c>
      <c r="S764" s="223">
        <f>SUMIF(S740:S763,"&gt;=0",S740:S763)</f>
        <v>0</v>
      </c>
      <c r="T764" s="237">
        <f t="shared" si="277"/>
        <v>0</v>
      </c>
      <c r="U764" s="226">
        <f>IFERROR(('DATA B3'!E765+'DATA B3'!F765)/Q764*1000,0)</f>
        <v>0</v>
      </c>
    </row>
    <row r="765" spans="2:21" ht="15" customHeight="1">
      <c r="B765" s="291">
        <f>SUM('DATA B1'!B766:B791)</f>
        <v>46052</v>
      </c>
      <c r="C765" s="97">
        <v>0.29166666666666669</v>
      </c>
      <c r="D765" s="84">
        <f>'DATA B1'!D766</f>
        <v>0</v>
      </c>
      <c r="E765" s="5">
        <f>SUM(E763)</f>
        <v>0</v>
      </c>
      <c r="F765" s="80">
        <f>'DATA B1'!E766</f>
        <v>0</v>
      </c>
      <c r="G765" s="80">
        <f>SUM(G763)</f>
        <v>0</v>
      </c>
      <c r="H765" s="28">
        <f t="shared" si="273"/>
        <v>0</v>
      </c>
      <c r="I765" s="45"/>
      <c r="J765" s="50">
        <f>'DATA B2'!D766</f>
        <v>0</v>
      </c>
      <c r="K765" s="82">
        <f>SUM(K763)</f>
        <v>0</v>
      </c>
      <c r="L765" s="80">
        <f>'DATA B2'!E766</f>
        <v>0</v>
      </c>
      <c r="M765" s="80">
        <f>SUM(M763)</f>
        <v>0</v>
      </c>
      <c r="N765" s="28">
        <f>IFERROR(M765/K765,0)</f>
        <v>0</v>
      </c>
      <c r="O765" s="103"/>
      <c r="P765" s="94">
        <f>'DATA B3'!C766</f>
        <v>0</v>
      </c>
      <c r="Q765" s="91">
        <f>SUM(Q763)</f>
        <v>0</v>
      </c>
      <c r="R765" s="80">
        <f>'DATA B3'!D766</f>
        <v>0</v>
      </c>
      <c r="S765" s="80">
        <f>SUM(S763)</f>
        <v>0</v>
      </c>
      <c r="T765" s="15">
        <f>IFERROR(S765/Q765,0)</f>
        <v>0</v>
      </c>
      <c r="U765" s="15"/>
    </row>
    <row r="766" spans="2:21">
      <c r="B766" s="292"/>
      <c r="C766" s="97">
        <v>0.33333333333333298</v>
      </c>
      <c r="D766" s="84">
        <f>'DATA B1'!D767</f>
        <v>0</v>
      </c>
      <c r="E766" s="5">
        <f t="shared" ref="E766:E772" si="284">SUM(D766-D765)</f>
        <v>0</v>
      </c>
      <c r="F766" s="80">
        <f>'DATA B1'!E767</f>
        <v>0</v>
      </c>
      <c r="G766" s="80">
        <f>SUM(F766-F765)</f>
        <v>0</v>
      </c>
      <c r="H766" s="28">
        <f t="shared" si="273"/>
        <v>0</v>
      </c>
      <c r="I766" s="45">
        <f>IFERROR((('DATA B1'!G767-'DATA B1'!G766)/('WATER_STEAM RATIO'!D766-'WATER_STEAM RATIO'!D765))*1000,0)</f>
        <v>0</v>
      </c>
      <c r="J766" s="50">
        <f>'DATA B2'!D767</f>
        <v>0</v>
      </c>
      <c r="K766" s="82">
        <f>SUM(J766-J765)</f>
        <v>0</v>
      </c>
      <c r="L766" s="80">
        <f>'DATA B2'!E767</f>
        <v>0</v>
      </c>
      <c r="M766" s="80">
        <f>SUM(L766-L765)</f>
        <v>0</v>
      </c>
      <c r="N766" s="28">
        <f t="shared" ref="N766:N789" si="285">IFERROR(M766/K766,0)</f>
        <v>0</v>
      </c>
      <c r="O766" s="51">
        <f>IFERROR((('DATA B2'!F767-'DATA B2'!F766)/(K766))*1000,0)</f>
        <v>0</v>
      </c>
      <c r="P766" s="94">
        <f>'DATA B3'!C767</f>
        <v>0</v>
      </c>
      <c r="Q766" s="91">
        <f>SUM(P766-P765)</f>
        <v>0</v>
      </c>
      <c r="R766" s="80">
        <f>'DATA B3'!D767</f>
        <v>0</v>
      </c>
      <c r="S766" s="80">
        <f>SUM(R766-R765)</f>
        <v>0</v>
      </c>
      <c r="T766" s="15">
        <f t="shared" ref="T766:T790" si="286">IFERROR(S766/Q766,0)</f>
        <v>0</v>
      </c>
      <c r="U766" s="15">
        <f>IFERROR((('DATA B3'!E767-'DATA B3'!E766)+('DATA B3'!F767-'DATA B3'!F766))/('WATER_STEAM RATIO'!P766-'WATER_STEAM RATIO'!P765),0)</f>
        <v>0</v>
      </c>
    </row>
    <row r="767" spans="2:21">
      <c r="B767" s="292"/>
      <c r="C767" s="97">
        <v>0.375</v>
      </c>
      <c r="D767" s="84">
        <f>'DATA B1'!D768</f>
        <v>0</v>
      </c>
      <c r="E767" s="5">
        <f t="shared" si="284"/>
        <v>0</v>
      </c>
      <c r="F767" s="80">
        <f>'DATA B1'!E768</f>
        <v>0</v>
      </c>
      <c r="G767" s="80">
        <f t="shared" ref="G767:G789" si="287">SUM(F767-F766)</f>
        <v>0</v>
      </c>
      <c r="H767" s="28">
        <f t="shared" si="273"/>
        <v>0</v>
      </c>
      <c r="I767" s="45">
        <f>IFERROR((('DATA B1'!G768-'DATA B1'!G767)/('WATER_STEAM RATIO'!D767-'WATER_STEAM RATIO'!D766))*1000,0)</f>
        <v>0</v>
      </c>
      <c r="J767" s="50">
        <f>'DATA B2'!D768</f>
        <v>0</v>
      </c>
      <c r="K767" s="82">
        <f t="shared" ref="K767:K788" si="288">SUM(J767-J766)</f>
        <v>0</v>
      </c>
      <c r="L767" s="80">
        <f>'DATA B2'!E768</f>
        <v>0</v>
      </c>
      <c r="M767" s="80">
        <f t="shared" ref="M767:M789" si="289">SUM(L767-L766)</f>
        <v>0</v>
      </c>
      <c r="N767" s="28">
        <f t="shared" si="285"/>
        <v>0</v>
      </c>
      <c r="O767" s="51">
        <f>IFERROR((('DATA B2'!F768-'DATA B2'!F767)/(K767))*1000,0)</f>
        <v>0</v>
      </c>
      <c r="P767" s="94">
        <f>'DATA B3'!C768</f>
        <v>0</v>
      </c>
      <c r="Q767" s="91">
        <f t="shared" ref="Q767:Q789" si="290">SUM(P767-P766)</f>
        <v>0</v>
      </c>
      <c r="R767" s="80">
        <f>'DATA B3'!D768</f>
        <v>0</v>
      </c>
      <c r="S767" s="80">
        <f t="shared" ref="S767:S789" si="291">SUM(R767-R766)</f>
        <v>0</v>
      </c>
      <c r="T767" s="15">
        <f t="shared" si="286"/>
        <v>0</v>
      </c>
      <c r="U767" s="15">
        <f>IFERROR((('DATA B3'!E768-'DATA B3'!E767)+('DATA B3'!F768-'DATA B3'!F767))/('WATER_STEAM RATIO'!P767-'WATER_STEAM RATIO'!P766),0)</f>
        <v>0</v>
      </c>
    </row>
    <row r="768" spans="2:21">
      <c r="B768" s="292"/>
      <c r="C768" s="97">
        <v>0.41666666666666702</v>
      </c>
      <c r="D768" s="84">
        <f>'DATA B1'!D769</f>
        <v>0</v>
      </c>
      <c r="E768" s="5">
        <f t="shared" si="284"/>
        <v>0</v>
      </c>
      <c r="F768" s="80">
        <f>'DATA B1'!E769</f>
        <v>0</v>
      </c>
      <c r="G768" s="80">
        <f t="shared" si="287"/>
        <v>0</v>
      </c>
      <c r="H768" s="28">
        <f t="shared" si="273"/>
        <v>0</v>
      </c>
      <c r="I768" s="45">
        <f>IFERROR((('DATA B1'!G769-'DATA B1'!G768)/('WATER_STEAM RATIO'!D768-'WATER_STEAM RATIO'!D767))*1000,0)</f>
        <v>0</v>
      </c>
      <c r="J768" s="50">
        <f>'DATA B2'!D769</f>
        <v>0</v>
      </c>
      <c r="K768" s="82">
        <f t="shared" si="288"/>
        <v>0</v>
      </c>
      <c r="L768" s="80">
        <f>'DATA B2'!E769</f>
        <v>0</v>
      </c>
      <c r="M768" s="80">
        <f t="shared" si="289"/>
        <v>0</v>
      </c>
      <c r="N768" s="28">
        <f t="shared" si="285"/>
        <v>0</v>
      </c>
      <c r="O768" s="51">
        <f>IFERROR((('DATA B2'!F769-'DATA B2'!F768)/(K768))*1000,0)</f>
        <v>0</v>
      </c>
      <c r="P768" s="94">
        <f>'DATA B3'!C769</f>
        <v>0</v>
      </c>
      <c r="Q768" s="91">
        <f t="shared" si="290"/>
        <v>0</v>
      </c>
      <c r="R768" s="80">
        <f>'DATA B3'!D769</f>
        <v>0</v>
      </c>
      <c r="S768" s="80">
        <f t="shared" si="291"/>
        <v>0</v>
      </c>
      <c r="T768" s="15">
        <f t="shared" si="286"/>
        <v>0</v>
      </c>
      <c r="U768" s="15">
        <f>IFERROR((('DATA B3'!E769-'DATA B3'!E768)+('DATA B3'!F769-'DATA B3'!F768))/('WATER_STEAM RATIO'!P768-'WATER_STEAM RATIO'!P767),0)</f>
        <v>0</v>
      </c>
    </row>
    <row r="769" spans="2:21">
      <c r="B769" s="292"/>
      <c r="C769" s="97">
        <v>0.45833333333333298</v>
      </c>
      <c r="D769" s="84">
        <f>'DATA B1'!D770</f>
        <v>0</v>
      </c>
      <c r="E769" s="5">
        <f t="shared" si="284"/>
        <v>0</v>
      </c>
      <c r="F769" s="80">
        <f>'DATA B1'!E770</f>
        <v>0</v>
      </c>
      <c r="G769" s="80">
        <f t="shared" si="287"/>
        <v>0</v>
      </c>
      <c r="H769" s="28">
        <f t="shared" si="273"/>
        <v>0</v>
      </c>
      <c r="I769" s="45">
        <f>IFERROR((('DATA B1'!G770-'DATA B1'!G769)/('WATER_STEAM RATIO'!D769-'WATER_STEAM RATIO'!D768))*1000,0)</f>
        <v>0</v>
      </c>
      <c r="J769" s="50">
        <f>'DATA B2'!D770</f>
        <v>0</v>
      </c>
      <c r="K769" s="82">
        <f t="shared" si="288"/>
        <v>0</v>
      </c>
      <c r="L769" s="80">
        <f>'DATA B2'!E770</f>
        <v>0</v>
      </c>
      <c r="M769" s="80">
        <f t="shared" si="289"/>
        <v>0</v>
      </c>
      <c r="N769" s="28">
        <f t="shared" si="285"/>
        <v>0</v>
      </c>
      <c r="O769" s="51">
        <f>IFERROR((('DATA B2'!F770-'DATA B2'!F769)/(K769))*1000,0)</f>
        <v>0</v>
      </c>
      <c r="P769" s="94">
        <f>'DATA B3'!C770</f>
        <v>0</v>
      </c>
      <c r="Q769" s="91">
        <f t="shared" si="290"/>
        <v>0</v>
      </c>
      <c r="R769" s="80">
        <f>'DATA B3'!D770</f>
        <v>0</v>
      </c>
      <c r="S769" s="80">
        <f t="shared" si="291"/>
        <v>0</v>
      </c>
      <c r="T769" s="15">
        <f t="shared" si="286"/>
        <v>0</v>
      </c>
      <c r="U769" s="15">
        <f>IFERROR((('DATA B3'!E770-'DATA B3'!E769)+('DATA B3'!F770-'DATA B3'!F769))/('WATER_STEAM RATIO'!P769-'WATER_STEAM RATIO'!P768),0)</f>
        <v>0</v>
      </c>
    </row>
    <row r="770" spans="2:21">
      <c r="B770" s="292"/>
      <c r="C770" s="97">
        <v>0.5</v>
      </c>
      <c r="D770" s="84">
        <f>'DATA B1'!D771</f>
        <v>0</v>
      </c>
      <c r="E770" s="5">
        <f t="shared" si="284"/>
        <v>0</v>
      </c>
      <c r="F770" s="80">
        <f>'DATA B1'!E771</f>
        <v>0</v>
      </c>
      <c r="G770" s="80">
        <f t="shared" si="287"/>
        <v>0</v>
      </c>
      <c r="H770" s="28">
        <f t="shared" si="273"/>
        <v>0</v>
      </c>
      <c r="I770" s="45">
        <f>IFERROR((('DATA B1'!G771-'DATA B1'!G770)/('WATER_STEAM RATIO'!D770-'WATER_STEAM RATIO'!D769))*1000,0)</f>
        <v>0</v>
      </c>
      <c r="J770" s="50">
        <f>'DATA B2'!D771</f>
        <v>0</v>
      </c>
      <c r="K770" s="82">
        <f t="shared" si="288"/>
        <v>0</v>
      </c>
      <c r="L770" s="80">
        <f>'DATA B2'!E771</f>
        <v>0</v>
      </c>
      <c r="M770" s="80">
        <f t="shared" si="289"/>
        <v>0</v>
      </c>
      <c r="N770" s="28">
        <f t="shared" si="285"/>
        <v>0</v>
      </c>
      <c r="O770" s="51">
        <f>IFERROR((('DATA B2'!F771-'DATA B2'!F770)/(K770))*1000,0)</f>
        <v>0</v>
      </c>
      <c r="P770" s="94">
        <f>'DATA B3'!C771</f>
        <v>0</v>
      </c>
      <c r="Q770" s="91">
        <f t="shared" si="290"/>
        <v>0</v>
      </c>
      <c r="R770" s="80">
        <f>'DATA B3'!D771</f>
        <v>0</v>
      </c>
      <c r="S770" s="80">
        <f t="shared" si="291"/>
        <v>0</v>
      </c>
      <c r="T770" s="15">
        <f t="shared" si="286"/>
        <v>0</v>
      </c>
      <c r="U770" s="15">
        <f>IFERROR((('DATA B3'!E771-'DATA B3'!E770)+('DATA B3'!F771-'DATA B3'!F770))/('WATER_STEAM RATIO'!P770-'WATER_STEAM RATIO'!P769),0)</f>
        <v>0</v>
      </c>
    </row>
    <row r="771" spans="2:21">
      <c r="B771" s="292"/>
      <c r="C771" s="97">
        <v>0.54166666666666696</v>
      </c>
      <c r="D771" s="84">
        <f>'DATA B1'!D772</f>
        <v>0</v>
      </c>
      <c r="E771" s="5">
        <f t="shared" si="284"/>
        <v>0</v>
      </c>
      <c r="F771" s="80">
        <f>'DATA B1'!E772</f>
        <v>0</v>
      </c>
      <c r="G771" s="80">
        <f t="shared" si="287"/>
        <v>0</v>
      </c>
      <c r="H771" s="28">
        <f t="shared" si="273"/>
        <v>0</v>
      </c>
      <c r="I771" s="45">
        <f>IFERROR((('DATA B1'!G772-'DATA B1'!G771)/('WATER_STEAM RATIO'!D771-'WATER_STEAM RATIO'!D770))*1000,0)</f>
        <v>0</v>
      </c>
      <c r="J771" s="50">
        <f>'DATA B2'!D772</f>
        <v>0</v>
      </c>
      <c r="K771" s="82">
        <f t="shared" si="288"/>
        <v>0</v>
      </c>
      <c r="L771" s="80">
        <f>'DATA B2'!E772</f>
        <v>0</v>
      </c>
      <c r="M771" s="80">
        <f t="shared" si="289"/>
        <v>0</v>
      </c>
      <c r="N771" s="28">
        <f t="shared" si="285"/>
        <v>0</v>
      </c>
      <c r="O771" s="51">
        <f>IFERROR((('DATA B2'!F772-'DATA B2'!F771)/(K771))*1000,0)</f>
        <v>0</v>
      </c>
      <c r="P771" s="94">
        <f>'DATA B3'!C772</f>
        <v>0</v>
      </c>
      <c r="Q771" s="91">
        <f t="shared" si="290"/>
        <v>0</v>
      </c>
      <c r="R771" s="80">
        <f>'DATA B3'!D772</f>
        <v>0</v>
      </c>
      <c r="S771" s="80">
        <f t="shared" si="291"/>
        <v>0</v>
      </c>
      <c r="T771" s="15">
        <f t="shared" si="286"/>
        <v>0</v>
      </c>
      <c r="U771" s="15">
        <f>IFERROR((('DATA B3'!E772-'DATA B3'!E771)+('DATA B3'!F772-'DATA B3'!F771))/('WATER_STEAM RATIO'!P771-'WATER_STEAM RATIO'!P770),0)</f>
        <v>0</v>
      </c>
    </row>
    <row r="772" spans="2:21">
      <c r="B772" s="292"/>
      <c r="C772" s="97">
        <v>0.58333333333333304</v>
      </c>
      <c r="D772" s="84">
        <f>'DATA B1'!D773</f>
        <v>0</v>
      </c>
      <c r="E772" s="5">
        <f t="shared" si="284"/>
        <v>0</v>
      </c>
      <c r="F772" s="80">
        <f>'DATA B1'!E773</f>
        <v>0</v>
      </c>
      <c r="G772" s="80">
        <f t="shared" si="287"/>
        <v>0</v>
      </c>
      <c r="H772" s="28">
        <f t="shared" si="273"/>
        <v>0</v>
      </c>
      <c r="I772" s="45">
        <f>IFERROR((('DATA B1'!G773-'DATA B1'!G772)/('WATER_STEAM RATIO'!D772-'WATER_STEAM RATIO'!D771))*1000,0)</f>
        <v>0</v>
      </c>
      <c r="J772" s="50">
        <f>'DATA B2'!D773</f>
        <v>0</v>
      </c>
      <c r="K772" s="82">
        <f t="shared" si="288"/>
        <v>0</v>
      </c>
      <c r="L772" s="80">
        <f>'DATA B2'!E773</f>
        <v>0</v>
      </c>
      <c r="M772" s="80">
        <f t="shared" si="289"/>
        <v>0</v>
      </c>
      <c r="N772" s="28">
        <f t="shared" si="285"/>
        <v>0</v>
      </c>
      <c r="O772" s="51">
        <f>IFERROR((('DATA B2'!F773-'DATA B2'!F772)/(K772))*1000,0)</f>
        <v>0</v>
      </c>
      <c r="P772" s="94">
        <f>'DATA B3'!C773</f>
        <v>0</v>
      </c>
      <c r="Q772" s="91">
        <f t="shared" si="290"/>
        <v>0</v>
      </c>
      <c r="R772" s="80">
        <f>'DATA B3'!D773</f>
        <v>0</v>
      </c>
      <c r="S772" s="80">
        <f t="shared" si="291"/>
        <v>0</v>
      </c>
      <c r="T772" s="15">
        <f t="shared" si="286"/>
        <v>0</v>
      </c>
      <c r="U772" s="15">
        <f>IFERROR((('DATA B3'!E773-'DATA B3'!E772)+('DATA B3'!F773-'DATA B3'!F772))/('WATER_STEAM RATIO'!P772-'WATER_STEAM RATIO'!P771),0)</f>
        <v>0</v>
      </c>
    </row>
    <row r="773" spans="2:21">
      <c r="B773" s="292"/>
      <c r="C773" s="97">
        <v>0.625</v>
      </c>
      <c r="D773" s="84">
        <f>'DATA B1'!D774</f>
        <v>0</v>
      </c>
      <c r="E773" s="5">
        <f t="shared" ref="E773:E789" si="292">SUM(D773-D772)</f>
        <v>0</v>
      </c>
      <c r="F773" s="80">
        <f>'DATA B1'!E774</f>
        <v>0</v>
      </c>
      <c r="G773" s="80">
        <f t="shared" si="287"/>
        <v>0</v>
      </c>
      <c r="H773" s="28">
        <f t="shared" si="273"/>
        <v>0</v>
      </c>
      <c r="I773" s="45">
        <f>IFERROR((('DATA B1'!G774-'DATA B1'!G773)/('WATER_STEAM RATIO'!D773-'WATER_STEAM RATIO'!D772))*1000,0)</f>
        <v>0</v>
      </c>
      <c r="J773" s="50">
        <f>'DATA B2'!D774</f>
        <v>0</v>
      </c>
      <c r="K773" s="82">
        <f t="shared" si="288"/>
        <v>0</v>
      </c>
      <c r="L773" s="80">
        <f>'DATA B2'!E774</f>
        <v>0</v>
      </c>
      <c r="M773" s="80">
        <f t="shared" si="289"/>
        <v>0</v>
      </c>
      <c r="N773" s="28">
        <f t="shared" si="285"/>
        <v>0</v>
      </c>
      <c r="O773" s="51">
        <f>IFERROR((('DATA B2'!F774-'DATA B2'!F773)/(K773))*1000,0)</f>
        <v>0</v>
      </c>
      <c r="P773" s="94">
        <f>'DATA B3'!C774</f>
        <v>0</v>
      </c>
      <c r="Q773" s="91">
        <f t="shared" si="290"/>
        <v>0</v>
      </c>
      <c r="R773" s="80">
        <f>'DATA B3'!D774</f>
        <v>0</v>
      </c>
      <c r="S773" s="80">
        <f t="shared" si="291"/>
        <v>0</v>
      </c>
      <c r="T773" s="15">
        <f t="shared" si="286"/>
        <v>0</v>
      </c>
      <c r="U773" s="15">
        <f>IFERROR((('DATA B3'!E774-'DATA B3'!E773)+('DATA B3'!F774-'DATA B3'!F773))/('WATER_STEAM RATIO'!P773-'WATER_STEAM RATIO'!P772),0)</f>
        <v>0</v>
      </c>
    </row>
    <row r="774" spans="2:21">
      <c r="B774" s="292"/>
      <c r="C774" s="97">
        <v>0.66666666666666596</v>
      </c>
      <c r="D774" s="84">
        <f>'DATA B1'!D775</f>
        <v>0</v>
      </c>
      <c r="E774" s="5">
        <f t="shared" si="292"/>
        <v>0</v>
      </c>
      <c r="F774" s="80">
        <f>'DATA B1'!E775</f>
        <v>0</v>
      </c>
      <c r="G774" s="80">
        <f t="shared" si="287"/>
        <v>0</v>
      </c>
      <c r="H774" s="28">
        <f t="shared" si="273"/>
        <v>0</v>
      </c>
      <c r="I774" s="45">
        <f>IFERROR((('DATA B1'!G775-'DATA B1'!G774)/('WATER_STEAM RATIO'!D774-'WATER_STEAM RATIO'!D773))*1000,0)</f>
        <v>0</v>
      </c>
      <c r="J774" s="50">
        <f>'DATA B2'!D775</f>
        <v>0</v>
      </c>
      <c r="K774" s="82">
        <f>SUM(J774-J773)</f>
        <v>0</v>
      </c>
      <c r="L774" s="80">
        <f>'DATA B2'!E775</f>
        <v>0</v>
      </c>
      <c r="M774" s="80">
        <f t="shared" si="289"/>
        <v>0</v>
      </c>
      <c r="N774" s="28">
        <f t="shared" si="285"/>
        <v>0</v>
      </c>
      <c r="O774" s="51">
        <f>IFERROR((('DATA B2'!F775-'DATA B2'!F774)/(K774))*1000,0)</f>
        <v>0</v>
      </c>
      <c r="P774" s="94">
        <f>'DATA B3'!C775</f>
        <v>0</v>
      </c>
      <c r="Q774" s="91">
        <f t="shared" si="290"/>
        <v>0</v>
      </c>
      <c r="R774" s="80">
        <f>'DATA B3'!D775</f>
        <v>0</v>
      </c>
      <c r="S774" s="80">
        <f t="shared" si="291"/>
        <v>0</v>
      </c>
      <c r="T774" s="15">
        <f t="shared" si="286"/>
        <v>0</v>
      </c>
      <c r="U774" s="15">
        <f>IFERROR((('DATA B3'!E775-'DATA B3'!E774)+('DATA B3'!F775-'DATA B3'!F774))/('WATER_STEAM RATIO'!P774-'WATER_STEAM RATIO'!P773),0)</f>
        <v>0</v>
      </c>
    </row>
    <row r="775" spans="2:21">
      <c r="B775" s="292"/>
      <c r="C775" s="97">
        <v>0.70833333333333304</v>
      </c>
      <c r="D775" s="84">
        <f>'DATA B1'!D776</f>
        <v>0</v>
      </c>
      <c r="E775" s="5">
        <f t="shared" si="292"/>
        <v>0</v>
      </c>
      <c r="F775" s="80">
        <f>'DATA B1'!E776</f>
        <v>0</v>
      </c>
      <c r="G775" s="80">
        <f t="shared" si="287"/>
        <v>0</v>
      </c>
      <c r="H775" s="28">
        <f t="shared" si="273"/>
        <v>0</v>
      </c>
      <c r="I775" s="45">
        <f>IFERROR((('DATA B1'!G776-'DATA B1'!G775)/('WATER_STEAM RATIO'!D775-'WATER_STEAM RATIO'!D774))*1000,0)</f>
        <v>0</v>
      </c>
      <c r="J775" s="50">
        <f>'DATA B2'!D776</f>
        <v>0</v>
      </c>
      <c r="K775" s="82">
        <f t="shared" si="288"/>
        <v>0</v>
      </c>
      <c r="L775" s="80">
        <f>'DATA B2'!E776</f>
        <v>0</v>
      </c>
      <c r="M775" s="80">
        <f t="shared" si="289"/>
        <v>0</v>
      </c>
      <c r="N775" s="28">
        <f t="shared" si="285"/>
        <v>0</v>
      </c>
      <c r="O775" s="51">
        <f>IFERROR((('DATA B2'!F776-'DATA B2'!F775)/(K775))*1000,0)</f>
        <v>0</v>
      </c>
      <c r="P775" s="94">
        <f>'DATA B3'!C776</f>
        <v>0</v>
      </c>
      <c r="Q775" s="91">
        <f t="shared" si="290"/>
        <v>0</v>
      </c>
      <c r="R775" s="80">
        <f>'DATA B3'!D776</f>
        <v>0</v>
      </c>
      <c r="S775" s="80">
        <f t="shared" si="291"/>
        <v>0</v>
      </c>
      <c r="T775" s="15">
        <f t="shared" si="286"/>
        <v>0</v>
      </c>
      <c r="U775" s="15">
        <f>IFERROR((('DATA B3'!E776-'DATA B3'!E775)+('DATA B3'!F776-'DATA B3'!F775))/('WATER_STEAM RATIO'!P775-'WATER_STEAM RATIO'!P774),0)</f>
        <v>0</v>
      </c>
    </row>
    <row r="776" spans="2:21">
      <c r="B776" s="292"/>
      <c r="C776" s="97">
        <v>0.75</v>
      </c>
      <c r="D776" s="84">
        <f>'DATA B1'!D777</f>
        <v>0</v>
      </c>
      <c r="E776" s="5">
        <f t="shared" si="292"/>
        <v>0</v>
      </c>
      <c r="F776" s="80">
        <f>'DATA B1'!E777</f>
        <v>0</v>
      </c>
      <c r="G776" s="80">
        <f t="shared" si="287"/>
        <v>0</v>
      </c>
      <c r="H776" s="28">
        <f t="shared" si="273"/>
        <v>0</v>
      </c>
      <c r="I776" s="45">
        <f>IFERROR((('DATA B1'!G777-'DATA B1'!G776)/('WATER_STEAM RATIO'!D776-'WATER_STEAM RATIO'!D775))*1000,0)</f>
        <v>0</v>
      </c>
      <c r="J776" s="50">
        <f>'DATA B2'!D777</f>
        <v>0</v>
      </c>
      <c r="K776" s="82">
        <f t="shared" si="288"/>
        <v>0</v>
      </c>
      <c r="L776" s="80">
        <f>'DATA B2'!E777</f>
        <v>0</v>
      </c>
      <c r="M776" s="80">
        <f t="shared" si="289"/>
        <v>0</v>
      </c>
      <c r="N776" s="28">
        <f t="shared" si="285"/>
        <v>0</v>
      </c>
      <c r="O776" s="51">
        <f>IFERROR((('DATA B2'!F777-'DATA B2'!F776)/(K776))*1000,0)</f>
        <v>0</v>
      </c>
      <c r="P776" s="94">
        <f>'DATA B3'!C777</f>
        <v>0</v>
      </c>
      <c r="Q776" s="91">
        <f t="shared" si="290"/>
        <v>0</v>
      </c>
      <c r="R776" s="80">
        <f>'DATA B3'!D777</f>
        <v>0</v>
      </c>
      <c r="S776" s="80">
        <f t="shared" si="291"/>
        <v>0</v>
      </c>
      <c r="T776" s="15">
        <f t="shared" si="286"/>
        <v>0</v>
      </c>
      <c r="U776" s="15">
        <f>IFERROR((('DATA B3'!E777-'DATA B3'!E776)+('DATA B3'!F777-'DATA B3'!F776))/('WATER_STEAM RATIO'!P776-'WATER_STEAM RATIO'!P775),0)</f>
        <v>0</v>
      </c>
    </row>
    <row r="777" spans="2:21">
      <c r="B777" s="292"/>
      <c r="C777" s="97">
        <v>0.79166666666666596</v>
      </c>
      <c r="D777" s="84">
        <f>'DATA B1'!D778</f>
        <v>0</v>
      </c>
      <c r="E777" s="5">
        <f t="shared" si="292"/>
        <v>0</v>
      </c>
      <c r="F777" s="80">
        <f>'DATA B1'!E778</f>
        <v>0</v>
      </c>
      <c r="G777" s="80">
        <f t="shared" si="287"/>
        <v>0</v>
      </c>
      <c r="H777" s="28">
        <f t="shared" si="273"/>
        <v>0</v>
      </c>
      <c r="I777" s="45">
        <f>IFERROR((('DATA B1'!G778-'DATA B1'!G777)/('WATER_STEAM RATIO'!D777-'WATER_STEAM RATIO'!D776))*1000,0)</f>
        <v>0</v>
      </c>
      <c r="J777" s="50">
        <f>'DATA B2'!D778</f>
        <v>0</v>
      </c>
      <c r="K777" s="82">
        <f t="shared" si="288"/>
        <v>0</v>
      </c>
      <c r="L777" s="80">
        <f>'DATA B2'!E778</f>
        <v>0</v>
      </c>
      <c r="M777" s="80">
        <f t="shared" si="289"/>
        <v>0</v>
      </c>
      <c r="N777" s="28">
        <f t="shared" si="285"/>
        <v>0</v>
      </c>
      <c r="O777" s="51">
        <f>IFERROR((('DATA B2'!F778-'DATA B2'!F777)/(K777))*1000,0)</f>
        <v>0</v>
      </c>
      <c r="P777" s="94">
        <f>'DATA B3'!C778</f>
        <v>0</v>
      </c>
      <c r="Q777" s="91">
        <f t="shared" si="290"/>
        <v>0</v>
      </c>
      <c r="R777" s="80">
        <f>'DATA B3'!D778</f>
        <v>0</v>
      </c>
      <c r="S777" s="80">
        <f t="shared" si="291"/>
        <v>0</v>
      </c>
      <c r="T777" s="15">
        <f t="shared" si="286"/>
        <v>0</v>
      </c>
      <c r="U777" s="15">
        <f>IFERROR((('DATA B3'!E778-'DATA B3'!E777)+('DATA B3'!F778-'DATA B3'!F777))/('WATER_STEAM RATIO'!P777-'WATER_STEAM RATIO'!P776),0)</f>
        <v>0</v>
      </c>
    </row>
    <row r="778" spans="2:21">
      <c r="B778" s="292"/>
      <c r="C778" s="97">
        <v>0.83333333333333304</v>
      </c>
      <c r="D778" s="84">
        <f>'DATA B1'!D779</f>
        <v>0</v>
      </c>
      <c r="E778" s="5">
        <f t="shared" si="292"/>
        <v>0</v>
      </c>
      <c r="F778" s="80">
        <f>'DATA B1'!E779</f>
        <v>0</v>
      </c>
      <c r="G778" s="80">
        <f t="shared" si="287"/>
        <v>0</v>
      </c>
      <c r="H778" s="28">
        <f t="shared" si="273"/>
        <v>0</v>
      </c>
      <c r="I778" s="45">
        <f>IFERROR((('DATA B1'!G779-'DATA B1'!G778)/('WATER_STEAM RATIO'!D778-'WATER_STEAM RATIO'!D777))*1000,0)</f>
        <v>0</v>
      </c>
      <c r="J778" s="50">
        <f>'DATA B2'!D779</f>
        <v>0</v>
      </c>
      <c r="K778" s="82">
        <f t="shared" si="288"/>
        <v>0</v>
      </c>
      <c r="L778" s="80">
        <f>'DATA B2'!E779</f>
        <v>0</v>
      </c>
      <c r="M778" s="80">
        <f t="shared" si="289"/>
        <v>0</v>
      </c>
      <c r="N778" s="28">
        <f t="shared" si="285"/>
        <v>0</v>
      </c>
      <c r="O778" s="51">
        <f>IFERROR((('DATA B2'!F779-'DATA B2'!F778)/(K778))*1000,0)</f>
        <v>0</v>
      </c>
      <c r="P778" s="94">
        <f>'DATA B3'!C779</f>
        <v>0</v>
      </c>
      <c r="Q778" s="91">
        <f t="shared" si="290"/>
        <v>0</v>
      </c>
      <c r="R778" s="80">
        <f>'DATA B3'!D779</f>
        <v>0</v>
      </c>
      <c r="S778" s="80">
        <f t="shared" si="291"/>
        <v>0</v>
      </c>
      <c r="T778" s="15">
        <f t="shared" si="286"/>
        <v>0</v>
      </c>
      <c r="U778" s="15">
        <f>IFERROR((('DATA B3'!E779-'DATA B3'!E778)+('DATA B3'!F779-'DATA B3'!F778))/('WATER_STEAM RATIO'!P778-'WATER_STEAM RATIO'!P777),0)</f>
        <v>0</v>
      </c>
    </row>
    <row r="779" spans="2:21">
      <c r="B779" s="292"/>
      <c r="C779" s="97">
        <v>0.875</v>
      </c>
      <c r="D779" s="84">
        <f>'DATA B1'!D780</f>
        <v>0</v>
      </c>
      <c r="E779" s="5">
        <f t="shared" si="292"/>
        <v>0</v>
      </c>
      <c r="F779" s="80">
        <f>'DATA B1'!E780</f>
        <v>0</v>
      </c>
      <c r="G779" s="80">
        <f t="shared" si="287"/>
        <v>0</v>
      </c>
      <c r="H779" s="28">
        <f t="shared" si="273"/>
        <v>0</v>
      </c>
      <c r="I779" s="45">
        <f>IFERROR((('DATA B1'!G780-'DATA B1'!G779)/('WATER_STEAM RATIO'!D779-'WATER_STEAM RATIO'!D778))*1000,0)</f>
        <v>0</v>
      </c>
      <c r="J779" s="50">
        <f>'DATA B2'!D780</f>
        <v>0</v>
      </c>
      <c r="K779" s="82">
        <f t="shared" si="288"/>
        <v>0</v>
      </c>
      <c r="L779" s="80">
        <f>'DATA B2'!E780</f>
        <v>0</v>
      </c>
      <c r="M779" s="80">
        <f t="shared" si="289"/>
        <v>0</v>
      </c>
      <c r="N779" s="28">
        <f>IFERROR(M779/K779,0)</f>
        <v>0</v>
      </c>
      <c r="O779" s="51">
        <f>IFERROR((('DATA B2'!F780-'DATA B2'!F779)/(K779))*1000,0)</f>
        <v>0</v>
      </c>
      <c r="P779" s="94">
        <f>'DATA B3'!C780</f>
        <v>0</v>
      </c>
      <c r="Q779" s="91">
        <f t="shared" si="290"/>
        <v>0</v>
      </c>
      <c r="R779" s="80">
        <f>'DATA B3'!D780</f>
        <v>0</v>
      </c>
      <c r="S779" s="80">
        <f t="shared" si="291"/>
        <v>0</v>
      </c>
      <c r="T779" s="15">
        <f t="shared" si="286"/>
        <v>0</v>
      </c>
      <c r="U779" s="15">
        <f>IFERROR((('DATA B3'!E780-'DATA B3'!E779)+('DATA B3'!F780-'DATA B3'!F779))/('WATER_STEAM RATIO'!P779-'WATER_STEAM RATIO'!P778),0)</f>
        <v>0</v>
      </c>
    </row>
    <row r="780" spans="2:21">
      <c r="B780" s="292"/>
      <c r="C780" s="97">
        <v>0.91666666666666596</v>
      </c>
      <c r="D780" s="84">
        <f>'DATA B1'!D781</f>
        <v>0</v>
      </c>
      <c r="E780" s="5">
        <f t="shared" si="292"/>
        <v>0</v>
      </c>
      <c r="F780" s="80">
        <f>'DATA B1'!E781</f>
        <v>0</v>
      </c>
      <c r="G780" s="80">
        <f t="shared" si="287"/>
        <v>0</v>
      </c>
      <c r="H780" s="28">
        <f t="shared" si="273"/>
        <v>0</v>
      </c>
      <c r="I780" s="45">
        <f>IFERROR((('DATA B1'!G781-'DATA B1'!G780)/('WATER_STEAM RATIO'!D780-'WATER_STEAM RATIO'!D779))*1000,0)</f>
        <v>0</v>
      </c>
      <c r="J780" s="50">
        <f>'DATA B2'!D781</f>
        <v>0</v>
      </c>
      <c r="K780" s="82">
        <f t="shared" si="288"/>
        <v>0</v>
      </c>
      <c r="L780" s="80">
        <f>'DATA B2'!E781</f>
        <v>0</v>
      </c>
      <c r="M780" s="80">
        <f t="shared" si="289"/>
        <v>0</v>
      </c>
      <c r="N780" s="28">
        <f t="shared" si="285"/>
        <v>0</v>
      </c>
      <c r="O780" s="51">
        <f>IFERROR((('DATA B2'!F781-'DATA B2'!F780)/(K780))*1000,0)</f>
        <v>0</v>
      </c>
      <c r="P780" s="94">
        <f>'DATA B3'!C781</f>
        <v>0</v>
      </c>
      <c r="Q780" s="91">
        <f t="shared" si="290"/>
        <v>0</v>
      </c>
      <c r="R780" s="80">
        <f>'DATA B3'!D781</f>
        <v>0</v>
      </c>
      <c r="S780" s="80">
        <f t="shared" si="291"/>
        <v>0</v>
      </c>
      <c r="T780" s="15">
        <f t="shared" si="286"/>
        <v>0</v>
      </c>
      <c r="U780" s="15">
        <f>IFERROR((('DATA B3'!E781-'DATA B3'!E780)+('DATA B3'!F781-'DATA B3'!F780))/('WATER_STEAM RATIO'!P780-'WATER_STEAM RATIO'!P779),0)</f>
        <v>0</v>
      </c>
    </row>
    <row r="781" spans="2:21">
      <c r="B781" s="292"/>
      <c r="C781" s="97">
        <v>0.95833333333333304</v>
      </c>
      <c r="D781" s="84">
        <f>'DATA B1'!D782</f>
        <v>0</v>
      </c>
      <c r="E781" s="5">
        <f t="shared" si="292"/>
        <v>0</v>
      </c>
      <c r="F781" s="80">
        <f>'DATA B1'!E782</f>
        <v>0</v>
      </c>
      <c r="G781" s="80">
        <f t="shared" si="287"/>
        <v>0</v>
      </c>
      <c r="H781" s="28">
        <f t="shared" si="273"/>
        <v>0</v>
      </c>
      <c r="I781" s="45">
        <f>IFERROR((('DATA B1'!G782-'DATA B1'!G781)/('WATER_STEAM RATIO'!D781-'WATER_STEAM RATIO'!D780))*1000,0)</f>
        <v>0</v>
      </c>
      <c r="J781" s="50">
        <f>'DATA B2'!D782</f>
        <v>0</v>
      </c>
      <c r="K781" s="82">
        <f>SUM(J781-J780)</f>
        <v>0</v>
      </c>
      <c r="L781" s="80">
        <f>'DATA B2'!E782</f>
        <v>0</v>
      </c>
      <c r="M781" s="80">
        <f t="shared" si="289"/>
        <v>0</v>
      </c>
      <c r="N781" s="28">
        <f t="shared" si="285"/>
        <v>0</v>
      </c>
      <c r="O781" s="51">
        <f>IFERROR((('DATA B2'!F782-'DATA B2'!F781)/(K781))*1000,0)</f>
        <v>0</v>
      </c>
      <c r="P781" s="94">
        <f>'DATA B3'!C782</f>
        <v>0</v>
      </c>
      <c r="Q781" s="91">
        <f t="shared" si="290"/>
        <v>0</v>
      </c>
      <c r="R781" s="80">
        <f>'DATA B3'!D782</f>
        <v>0</v>
      </c>
      <c r="S781" s="80">
        <f t="shared" si="291"/>
        <v>0</v>
      </c>
      <c r="T781" s="15">
        <f t="shared" si="286"/>
        <v>0</v>
      </c>
      <c r="U781" s="15">
        <f>IFERROR((('DATA B3'!E782-'DATA B3'!E781)+('DATA B3'!F782-'DATA B3'!F781))/('WATER_STEAM RATIO'!P781-'WATER_STEAM RATIO'!P780),0)</f>
        <v>0</v>
      </c>
    </row>
    <row r="782" spans="2:21">
      <c r="B782" s="292"/>
      <c r="C782" s="97">
        <v>1</v>
      </c>
      <c r="D782" s="84">
        <f>'DATA B1'!D783</f>
        <v>0</v>
      </c>
      <c r="E782" s="5">
        <f t="shared" si="292"/>
        <v>0</v>
      </c>
      <c r="F782" s="80">
        <f>'DATA B1'!E783</f>
        <v>0</v>
      </c>
      <c r="G782" s="80">
        <f t="shared" si="287"/>
        <v>0</v>
      </c>
      <c r="H782" s="28">
        <f t="shared" ref="H782:H816" si="293" xml:space="preserve"> IFERROR(G782/E782,0)</f>
        <v>0</v>
      </c>
      <c r="I782" s="45">
        <f>IFERROR((('DATA B1'!G783-'DATA B1'!G782)/('WATER_STEAM RATIO'!D782-'WATER_STEAM RATIO'!D781))*1000,0)</f>
        <v>0</v>
      </c>
      <c r="J782" s="50">
        <f>'DATA B2'!D783</f>
        <v>0</v>
      </c>
      <c r="K782" s="82">
        <f t="shared" si="288"/>
        <v>0</v>
      </c>
      <c r="L782" s="80">
        <f>'DATA B2'!E783</f>
        <v>0</v>
      </c>
      <c r="M782" s="80">
        <f t="shared" si="289"/>
        <v>0</v>
      </c>
      <c r="N782" s="28">
        <f t="shared" si="285"/>
        <v>0</v>
      </c>
      <c r="O782" s="51">
        <f>IFERROR((('DATA B2'!F783-'DATA B2'!F782)/(K782))*1000,0)</f>
        <v>0</v>
      </c>
      <c r="P782" s="94">
        <f>'DATA B3'!C783</f>
        <v>0</v>
      </c>
      <c r="Q782" s="91">
        <f t="shared" si="290"/>
        <v>0</v>
      </c>
      <c r="R782" s="80">
        <f>'DATA B3'!D783</f>
        <v>0</v>
      </c>
      <c r="S782" s="80">
        <f t="shared" si="291"/>
        <v>0</v>
      </c>
      <c r="T782" s="15">
        <f t="shared" si="286"/>
        <v>0</v>
      </c>
      <c r="U782" s="15">
        <f>IFERROR((('DATA B3'!E783-'DATA B3'!E782)+('DATA B3'!F783-'DATA B3'!F782))/('WATER_STEAM RATIO'!P782-'WATER_STEAM RATIO'!P781),0)</f>
        <v>0</v>
      </c>
    </row>
    <row r="783" spans="2:21">
      <c r="B783" s="292"/>
      <c r="C783" s="97">
        <v>1.0416666666666701</v>
      </c>
      <c r="D783" s="84">
        <f>'DATA B1'!D784</f>
        <v>0</v>
      </c>
      <c r="E783" s="5">
        <f t="shared" si="292"/>
        <v>0</v>
      </c>
      <c r="F783" s="80">
        <f>'DATA B1'!E784</f>
        <v>0</v>
      </c>
      <c r="G783" s="80">
        <f t="shared" si="287"/>
        <v>0</v>
      </c>
      <c r="H783" s="28">
        <f t="shared" si="293"/>
        <v>0</v>
      </c>
      <c r="I783" s="45">
        <f>IFERROR((('DATA B1'!G784-'DATA B1'!G783)/('WATER_STEAM RATIO'!D783-'WATER_STEAM RATIO'!D782))*1000,0)</f>
        <v>0</v>
      </c>
      <c r="J783" s="50">
        <f>'DATA B2'!D784</f>
        <v>0</v>
      </c>
      <c r="K783" s="82">
        <f t="shared" si="288"/>
        <v>0</v>
      </c>
      <c r="L783" s="80">
        <f>'DATA B2'!E784</f>
        <v>0</v>
      </c>
      <c r="M783" s="80">
        <f t="shared" si="289"/>
        <v>0</v>
      </c>
      <c r="N783" s="28">
        <f t="shared" si="285"/>
        <v>0</v>
      </c>
      <c r="O783" s="51">
        <f>IFERROR((('DATA B2'!F784-'DATA B2'!F783)/(K783))*1000,0)</f>
        <v>0</v>
      </c>
      <c r="P783" s="94">
        <f>'DATA B3'!C784</f>
        <v>0</v>
      </c>
      <c r="Q783" s="91">
        <f t="shared" si="290"/>
        <v>0</v>
      </c>
      <c r="R783" s="80">
        <f>'DATA B3'!D784</f>
        <v>0</v>
      </c>
      <c r="S783" s="80">
        <f t="shared" si="291"/>
        <v>0</v>
      </c>
      <c r="T783" s="15">
        <f t="shared" si="286"/>
        <v>0</v>
      </c>
      <c r="U783" s="15">
        <f>IFERROR((('DATA B3'!E784-'DATA B3'!E783)+('DATA B3'!F784-'DATA B3'!F783))/('WATER_STEAM RATIO'!P783-'WATER_STEAM RATIO'!P782),0)</f>
        <v>0</v>
      </c>
    </row>
    <row r="784" spans="2:21">
      <c r="B784" s="292"/>
      <c r="C784" s="97">
        <v>1.0833333333333399</v>
      </c>
      <c r="D784" s="84">
        <f>'DATA B1'!D785</f>
        <v>0</v>
      </c>
      <c r="E784" s="5">
        <f>SUM(D784-D783)</f>
        <v>0</v>
      </c>
      <c r="F784" s="80">
        <f>'DATA B1'!E785</f>
        <v>0</v>
      </c>
      <c r="G784" s="80">
        <f t="shared" si="287"/>
        <v>0</v>
      </c>
      <c r="H784" s="28">
        <f t="shared" si="293"/>
        <v>0</v>
      </c>
      <c r="I784" s="45">
        <f>IFERROR((('DATA B1'!G785-'DATA B1'!G784)/('WATER_STEAM RATIO'!D784-'WATER_STEAM RATIO'!D783))*1000,0)</f>
        <v>0</v>
      </c>
      <c r="J784" s="50">
        <f>'DATA B2'!D785</f>
        <v>0</v>
      </c>
      <c r="K784" s="82">
        <f t="shared" si="288"/>
        <v>0</v>
      </c>
      <c r="L784" s="80">
        <f>'DATA B2'!E785</f>
        <v>0</v>
      </c>
      <c r="M784" s="80">
        <f t="shared" si="289"/>
        <v>0</v>
      </c>
      <c r="N784" s="28">
        <f t="shared" si="285"/>
        <v>0</v>
      </c>
      <c r="O784" s="51">
        <f>IFERROR((('DATA B2'!F785-'DATA B2'!F784)/(K784))*1000,0)</f>
        <v>0</v>
      </c>
      <c r="P784" s="94">
        <f>'DATA B3'!C785</f>
        <v>0</v>
      </c>
      <c r="Q784" s="91">
        <f>SUM(P784-P783)</f>
        <v>0</v>
      </c>
      <c r="R784" s="80">
        <f>'DATA B3'!D785</f>
        <v>0</v>
      </c>
      <c r="S784" s="80">
        <f t="shared" si="291"/>
        <v>0</v>
      </c>
      <c r="T784" s="15">
        <f t="shared" si="286"/>
        <v>0</v>
      </c>
      <c r="U784" s="15">
        <f>IFERROR((('DATA B3'!E785-'DATA B3'!E784)+('DATA B3'!F785-'DATA B3'!F784))/('WATER_STEAM RATIO'!P784-'WATER_STEAM RATIO'!P783),0)</f>
        <v>0</v>
      </c>
    </row>
    <row r="785" spans="2:21">
      <c r="B785" s="292"/>
      <c r="C785" s="97">
        <v>1.125</v>
      </c>
      <c r="D785" s="84">
        <f>'DATA B1'!D786</f>
        <v>0</v>
      </c>
      <c r="E785" s="5">
        <f t="shared" si="292"/>
        <v>0</v>
      </c>
      <c r="F785" s="80">
        <f>'DATA B1'!E786</f>
        <v>0</v>
      </c>
      <c r="G785" s="80">
        <f t="shared" si="287"/>
        <v>0</v>
      </c>
      <c r="H785" s="28">
        <f t="shared" si="293"/>
        <v>0</v>
      </c>
      <c r="I785" s="45">
        <f>IFERROR((('DATA B1'!G786-'DATA B1'!G785)/('WATER_STEAM RATIO'!D785-'WATER_STEAM RATIO'!D784))*1000,0)</f>
        <v>0</v>
      </c>
      <c r="J785" s="50">
        <f>'DATA B2'!D786</f>
        <v>0</v>
      </c>
      <c r="K785" s="82">
        <f t="shared" si="288"/>
        <v>0</v>
      </c>
      <c r="L785" s="80">
        <f>'DATA B2'!E786</f>
        <v>0</v>
      </c>
      <c r="M785" s="80">
        <f t="shared" si="289"/>
        <v>0</v>
      </c>
      <c r="N785" s="28">
        <f t="shared" si="285"/>
        <v>0</v>
      </c>
      <c r="O785" s="51">
        <f>IFERROR((('DATA B2'!F786-'DATA B2'!F785)/(K785))*1000,0)</f>
        <v>0</v>
      </c>
      <c r="P785" s="94">
        <f>'DATA B3'!C786</f>
        <v>0</v>
      </c>
      <c r="Q785" s="91">
        <f t="shared" si="290"/>
        <v>0</v>
      </c>
      <c r="R785" s="80">
        <f>'DATA B3'!D786</f>
        <v>0</v>
      </c>
      <c r="S785" s="80">
        <f t="shared" si="291"/>
        <v>0</v>
      </c>
      <c r="T785" s="15">
        <f t="shared" si="286"/>
        <v>0</v>
      </c>
      <c r="U785" s="15">
        <f>IFERROR((('DATA B3'!E786-'DATA B3'!E785)+('DATA B3'!F786-'DATA B3'!F785))/('WATER_STEAM RATIO'!P785-'WATER_STEAM RATIO'!P784),0)</f>
        <v>0</v>
      </c>
    </row>
    <row r="786" spans="2:21">
      <c r="B786" s="292"/>
      <c r="C786" s="97">
        <v>1.1666666666666701</v>
      </c>
      <c r="D786" s="84">
        <f>'DATA B1'!D787</f>
        <v>0</v>
      </c>
      <c r="E786" s="5">
        <f t="shared" si="292"/>
        <v>0</v>
      </c>
      <c r="F786" s="80">
        <f>'DATA B1'!E787</f>
        <v>0</v>
      </c>
      <c r="G786" s="80">
        <f t="shared" si="287"/>
        <v>0</v>
      </c>
      <c r="H786" s="28">
        <f t="shared" si="293"/>
        <v>0</v>
      </c>
      <c r="I786" s="45">
        <f>IFERROR((('DATA B1'!G787-'DATA B1'!G786)/('WATER_STEAM RATIO'!D786-'WATER_STEAM RATIO'!D785))*1000,0)</f>
        <v>0</v>
      </c>
      <c r="J786" s="50">
        <f>'DATA B2'!D787</f>
        <v>0</v>
      </c>
      <c r="K786" s="82">
        <f t="shared" si="288"/>
        <v>0</v>
      </c>
      <c r="L786" s="80">
        <f>'DATA B2'!E787</f>
        <v>0</v>
      </c>
      <c r="M786" s="80">
        <f t="shared" si="289"/>
        <v>0</v>
      </c>
      <c r="N786" s="28">
        <f t="shared" si="285"/>
        <v>0</v>
      </c>
      <c r="O786" s="51">
        <f>IFERROR((('DATA B2'!F787-'DATA B2'!F786)/(K786))*1000,0)</f>
        <v>0</v>
      </c>
      <c r="P786" s="94">
        <f>'DATA B3'!C787</f>
        <v>0</v>
      </c>
      <c r="Q786" s="91">
        <f t="shared" si="290"/>
        <v>0</v>
      </c>
      <c r="R786" s="80">
        <f>'DATA B3'!D787</f>
        <v>0</v>
      </c>
      <c r="S786" s="80">
        <f t="shared" si="291"/>
        <v>0</v>
      </c>
      <c r="T786" s="15">
        <f t="shared" si="286"/>
        <v>0</v>
      </c>
      <c r="U786" s="15">
        <f>IFERROR((('DATA B3'!E787-'DATA B3'!E786)+('DATA B3'!F787-'DATA B3'!F786))/('WATER_STEAM RATIO'!P786-'WATER_STEAM RATIO'!P785),0)</f>
        <v>0</v>
      </c>
    </row>
    <row r="787" spans="2:21">
      <c r="B787" s="292"/>
      <c r="C787" s="97">
        <v>1.2083333333333399</v>
      </c>
      <c r="D787" s="84">
        <f>'DATA B1'!D788</f>
        <v>0</v>
      </c>
      <c r="E787" s="5">
        <f t="shared" si="292"/>
        <v>0</v>
      </c>
      <c r="F787" s="80">
        <f>'DATA B1'!E788</f>
        <v>0</v>
      </c>
      <c r="G787" s="80">
        <f t="shared" si="287"/>
        <v>0</v>
      </c>
      <c r="H787" s="28">
        <f t="shared" si="293"/>
        <v>0</v>
      </c>
      <c r="I787" s="45">
        <f>IFERROR((('DATA B1'!G788-'DATA B1'!G787)/('WATER_STEAM RATIO'!D787-'WATER_STEAM RATIO'!D786))*1000,0)</f>
        <v>0</v>
      </c>
      <c r="J787" s="50">
        <f>'DATA B2'!D788</f>
        <v>0</v>
      </c>
      <c r="K787" s="82">
        <f t="shared" si="288"/>
        <v>0</v>
      </c>
      <c r="L787" s="80">
        <f>'DATA B2'!E788</f>
        <v>0</v>
      </c>
      <c r="M787" s="80">
        <f t="shared" si="289"/>
        <v>0</v>
      </c>
      <c r="N787" s="28">
        <f t="shared" si="285"/>
        <v>0</v>
      </c>
      <c r="O787" s="51">
        <f>IFERROR((('DATA B2'!F788-'DATA B2'!F787)/(K787))*1000,0)</f>
        <v>0</v>
      </c>
      <c r="P787" s="94">
        <f>'DATA B3'!C788</f>
        <v>0</v>
      </c>
      <c r="Q787" s="91">
        <f t="shared" si="290"/>
        <v>0</v>
      </c>
      <c r="R787" s="80">
        <f>'DATA B3'!D788</f>
        <v>0</v>
      </c>
      <c r="S787" s="80">
        <f t="shared" si="291"/>
        <v>0</v>
      </c>
      <c r="T787" s="15">
        <f t="shared" si="286"/>
        <v>0</v>
      </c>
      <c r="U787" s="15">
        <f>IFERROR((('DATA B3'!E788-'DATA B3'!E787)+('DATA B3'!F788-'DATA B3'!F787))/('WATER_STEAM RATIO'!P787-'WATER_STEAM RATIO'!P786),0)</f>
        <v>0</v>
      </c>
    </row>
    <row r="788" spans="2:21">
      <c r="B788" s="292"/>
      <c r="C788" s="97">
        <v>1.25</v>
      </c>
      <c r="D788" s="84">
        <f>'DATA B1'!D789</f>
        <v>0</v>
      </c>
      <c r="E788" s="5">
        <f t="shared" si="292"/>
        <v>0</v>
      </c>
      <c r="F788" s="80">
        <f>'DATA B1'!E789</f>
        <v>0</v>
      </c>
      <c r="G788" s="80">
        <f t="shared" si="287"/>
        <v>0</v>
      </c>
      <c r="H788" s="28">
        <f t="shared" si="293"/>
        <v>0</v>
      </c>
      <c r="I788" s="45">
        <f>IFERROR((('DATA B1'!G789-'DATA B1'!G788)/('WATER_STEAM RATIO'!D788-'WATER_STEAM RATIO'!D787))*1000,0)</f>
        <v>0</v>
      </c>
      <c r="J788" s="50">
        <f>'DATA B2'!D789</f>
        <v>0</v>
      </c>
      <c r="K788" s="82">
        <f t="shared" si="288"/>
        <v>0</v>
      </c>
      <c r="L788" s="80">
        <f>'DATA B2'!E789</f>
        <v>0</v>
      </c>
      <c r="M788" s="80">
        <f t="shared" si="289"/>
        <v>0</v>
      </c>
      <c r="N788" s="28">
        <f t="shared" si="285"/>
        <v>0</v>
      </c>
      <c r="O788" s="51">
        <f>IFERROR((('DATA B2'!F789-'DATA B2'!F788)/(K788))*1000,0)</f>
        <v>0</v>
      </c>
      <c r="P788" s="94">
        <f>'DATA B3'!C789</f>
        <v>0</v>
      </c>
      <c r="Q788" s="91">
        <f t="shared" si="290"/>
        <v>0</v>
      </c>
      <c r="R788" s="80">
        <f>'DATA B3'!D789</f>
        <v>0</v>
      </c>
      <c r="S788" s="80">
        <f t="shared" si="291"/>
        <v>0</v>
      </c>
      <c r="T788" s="15">
        <f t="shared" si="286"/>
        <v>0</v>
      </c>
      <c r="U788" s="15">
        <f>IFERROR((('DATA B3'!E789-'DATA B3'!E788)+('DATA B3'!F789-'DATA B3'!F788))/('WATER_STEAM RATIO'!P788-'WATER_STEAM RATIO'!P787),0)</f>
        <v>0</v>
      </c>
    </row>
    <row r="789" spans="2:21">
      <c r="B789" s="292"/>
      <c r="C789" s="97">
        <v>1.2916666666666701</v>
      </c>
      <c r="D789" s="84">
        <f>'DATA B1'!D790</f>
        <v>0</v>
      </c>
      <c r="E789" s="5">
        <f t="shared" si="292"/>
        <v>0</v>
      </c>
      <c r="F789" s="80">
        <f>'DATA B1'!E790</f>
        <v>0</v>
      </c>
      <c r="G789" s="80">
        <f t="shared" si="287"/>
        <v>0</v>
      </c>
      <c r="H789" s="28">
        <f t="shared" si="293"/>
        <v>0</v>
      </c>
      <c r="I789" s="45">
        <f>IFERROR((('DATA B1'!G790-'DATA B1'!G789)/('WATER_STEAM RATIO'!D789-'WATER_STEAM RATIO'!D788))*1000,0)</f>
        <v>0</v>
      </c>
      <c r="J789" s="50">
        <f>'DATA B2'!D790</f>
        <v>0</v>
      </c>
      <c r="K789" s="82">
        <f>SUM(J789-J788)</f>
        <v>0</v>
      </c>
      <c r="L789" s="80">
        <f>'DATA B2'!E790</f>
        <v>0</v>
      </c>
      <c r="M789" s="80">
        <f t="shared" si="289"/>
        <v>0</v>
      </c>
      <c r="N789" s="28">
        <f t="shared" si="285"/>
        <v>0</v>
      </c>
      <c r="O789" s="51">
        <f>IFERROR((('DATA B2'!F790-'DATA B2'!F789)/(K789))*1000,0)</f>
        <v>0</v>
      </c>
      <c r="P789" s="94">
        <f>'DATA B3'!C790</f>
        <v>0</v>
      </c>
      <c r="Q789" s="91">
        <f t="shared" si="290"/>
        <v>0</v>
      </c>
      <c r="R789" s="80">
        <f>'DATA B3'!D790</f>
        <v>0</v>
      </c>
      <c r="S789" s="80">
        <f t="shared" si="291"/>
        <v>0</v>
      </c>
      <c r="T789" s="15">
        <f t="shared" si="286"/>
        <v>0</v>
      </c>
      <c r="U789" s="15">
        <f>IFERROR((('DATA B3'!E790-'DATA B3'!E789)+('DATA B3'!F790-'DATA B3'!F789))/('WATER_STEAM RATIO'!P789-'WATER_STEAM RATIO'!P788),0)</f>
        <v>0</v>
      </c>
    </row>
    <row r="790" spans="2:21" ht="15.75" thickBot="1">
      <c r="B790" s="293"/>
      <c r="C790" s="235"/>
      <c r="D790" s="224" cm="1">
        <f t="array" ref="D790">IFERROR(LOOKUP(2,1/(D765:D789&gt;0),D765:D789-D765),0)</f>
        <v>0</v>
      </c>
      <c r="E790" s="223">
        <f>SUMIF(E766:E789,"&gt;=0",E766:E789)</f>
        <v>0</v>
      </c>
      <c r="F790" s="224" cm="1">
        <f t="array" ref="F790">IFERROR(LOOKUP(2,1/(F765:F789&gt;0),F765:F789-F765),0)</f>
        <v>0</v>
      </c>
      <c r="G790" s="223">
        <f>SUMIF(G766:G789,"&gt;=0",G766:G789)</f>
        <v>0</v>
      </c>
      <c r="H790" s="225">
        <f t="shared" si="293"/>
        <v>0</v>
      </c>
      <c r="I790" s="236">
        <f>IFERROR((('DATA B1'!H791)/(E790))*1000,0)</f>
        <v>0</v>
      </c>
      <c r="J790" s="222" cm="1">
        <f t="array" ref="J790">IFERROR(LOOKUP(2,1/(J765:J789&gt;0),J765:J789-J765),0)</f>
        <v>0</v>
      </c>
      <c r="K790" s="223">
        <f>SUMIF(K766:K789,"&gt;=0",K766:K789)</f>
        <v>0</v>
      </c>
      <c r="L790" s="224" cm="1">
        <f t="array" ref="L790">IFERROR(LOOKUP(2,1/(L765:L789&gt;0),L765:L789-L765),0)</f>
        <v>0</v>
      </c>
      <c r="M790" s="223">
        <f>SUMIF(M766:M789,"&gt;=0",M766:M789)</f>
        <v>0</v>
      </c>
      <c r="N790" s="225">
        <f>IFERROR(M790/K790,0)</f>
        <v>0</v>
      </c>
      <c r="O790" s="226">
        <f>IFERROR((('DATA B2'!H791)/(K790))*1000,0)</f>
        <v>0</v>
      </c>
      <c r="P790" s="224" cm="1">
        <f t="array" ref="P790">IFERROR(LOOKUP(2,1/(P765:P789&gt;0),P765:P789-P765),0)</f>
        <v>0</v>
      </c>
      <c r="Q790" s="223">
        <f>SUMIF(Q766:Q789,"&gt;=0",Q766:Q789)</f>
        <v>0</v>
      </c>
      <c r="R790" s="224" cm="1">
        <f t="array" ref="R790">IFERROR(LOOKUP(2,1/(R765:R789&gt;0),R765:R789-R765),0)</f>
        <v>0</v>
      </c>
      <c r="S790" s="223">
        <f>SUMIF(S766:S789,"&gt;=0",S766:S789)</f>
        <v>0</v>
      </c>
      <c r="T790" s="237">
        <f t="shared" si="286"/>
        <v>0</v>
      </c>
      <c r="U790" s="226">
        <f>IFERROR(('DATA B3'!E791+'DATA B3'!F791)/Q790*1000,0)</f>
        <v>0</v>
      </c>
    </row>
    <row r="791" spans="2:21" ht="15" customHeight="1">
      <c r="B791" s="291">
        <f>SUM('DATA B1'!B792:B817)</f>
        <v>46053</v>
      </c>
      <c r="C791" s="97">
        <v>0.29166666666666669</v>
      </c>
      <c r="D791" s="84">
        <f>'DATA B1'!D792</f>
        <v>0</v>
      </c>
      <c r="E791" s="5">
        <f>SUM(E789)</f>
        <v>0</v>
      </c>
      <c r="F791" s="80">
        <f>'DATA B1'!E792</f>
        <v>0</v>
      </c>
      <c r="G791" s="80">
        <f>SUM(G789)</f>
        <v>0</v>
      </c>
      <c r="H791" s="28">
        <f t="shared" si="293"/>
        <v>0</v>
      </c>
      <c r="I791" s="45"/>
      <c r="J791" s="50">
        <f>'DATA B2'!D792</f>
        <v>0</v>
      </c>
      <c r="K791" s="82">
        <f>SUM(K789)</f>
        <v>0</v>
      </c>
      <c r="L791" s="80">
        <f>'DATA B2'!E792</f>
        <v>0</v>
      </c>
      <c r="M791" s="80">
        <f>SUM(M789)</f>
        <v>0</v>
      </c>
      <c r="N791" s="28">
        <f>IFERROR(M791/K791,0)</f>
        <v>0</v>
      </c>
      <c r="O791" s="103"/>
      <c r="P791" s="94">
        <f>'DATA B3'!C792</f>
        <v>0</v>
      </c>
      <c r="Q791" s="91">
        <f>SUM(Q789)</f>
        <v>0</v>
      </c>
      <c r="R791" s="80">
        <f>'DATA B3'!D792</f>
        <v>0</v>
      </c>
      <c r="S791" s="80">
        <f>SUM(S789)</f>
        <v>0</v>
      </c>
      <c r="T791" s="15">
        <f>IFERROR(S791/Q791,0)</f>
        <v>0</v>
      </c>
      <c r="U791" s="15"/>
    </row>
    <row r="792" spans="2:21">
      <c r="B792" s="292"/>
      <c r="C792" s="97">
        <v>0.33333333333333298</v>
      </c>
      <c r="D792" s="84">
        <f>'DATA B1'!D793</f>
        <v>0</v>
      </c>
      <c r="E792" s="5">
        <f t="shared" ref="E792:E798" si="294">SUM(D792-D791)</f>
        <v>0</v>
      </c>
      <c r="F792" s="80">
        <f>'DATA B1'!E793</f>
        <v>0</v>
      </c>
      <c r="G792" s="80">
        <f>SUM(F792-F791)</f>
        <v>0</v>
      </c>
      <c r="H792" s="28">
        <f t="shared" si="293"/>
        <v>0</v>
      </c>
      <c r="I792" s="45">
        <f>IFERROR((('DATA B1'!G793-'DATA B1'!G792)/('WATER_STEAM RATIO'!D792-'WATER_STEAM RATIO'!D791))*1000,0)</f>
        <v>0</v>
      </c>
      <c r="J792" s="50">
        <f>'DATA B2'!D793</f>
        <v>0</v>
      </c>
      <c r="K792" s="82">
        <f>SUM(J792-J791)</f>
        <v>0</v>
      </c>
      <c r="L792" s="80">
        <f>'DATA B2'!E793</f>
        <v>0</v>
      </c>
      <c r="M792" s="80">
        <f>SUM(L792-L791)</f>
        <v>0</v>
      </c>
      <c r="N792" s="28">
        <f t="shared" ref="N792:N815" si="295">IFERROR(M792/K792,0)</f>
        <v>0</v>
      </c>
      <c r="O792" s="51">
        <f>IFERROR((('DATA B2'!F793-'DATA B2'!F792)/(K792))*1000,0)</f>
        <v>0</v>
      </c>
      <c r="P792" s="94">
        <f>'DATA B3'!C793</f>
        <v>0</v>
      </c>
      <c r="Q792" s="91">
        <f>SUM(P792-P791)</f>
        <v>0</v>
      </c>
      <c r="R792" s="80">
        <f>'DATA B3'!D793</f>
        <v>0</v>
      </c>
      <c r="S792" s="80">
        <f>SUM(R792-R791)</f>
        <v>0</v>
      </c>
      <c r="T792" s="15">
        <f t="shared" ref="T792:T816" si="296">IFERROR(S792/Q792,0)</f>
        <v>0</v>
      </c>
      <c r="U792" s="15">
        <f>IFERROR((('DATA B3'!E793-'DATA B3'!E792)+('DATA B3'!F793-'DATA B3'!F792))/('WATER_STEAM RATIO'!P792-'WATER_STEAM RATIO'!P791),0)</f>
        <v>0</v>
      </c>
    </row>
    <row r="793" spans="2:21">
      <c r="B793" s="292"/>
      <c r="C793" s="97">
        <v>0.375</v>
      </c>
      <c r="D793" s="84">
        <f>'DATA B1'!D794</f>
        <v>0</v>
      </c>
      <c r="E793" s="5">
        <f t="shared" si="294"/>
        <v>0</v>
      </c>
      <c r="F793" s="80">
        <f>'DATA B1'!E794</f>
        <v>0</v>
      </c>
      <c r="G793" s="80">
        <f t="shared" ref="G793:G815" si="297">SUM(F793-F792)</f>
        <v>0</v>
      </c>
      <c r="H793" s="28">
        <f t="shared" si="293"/>
        <v>0</v>
      </c>
      <c r="I793" s="45">
        <f>IFERROR((('DATA B1'!G794-'DATA B1'!G793)/('WATER_STEAM RATIO'!D793-'WATER_STEAM RATIO'!D792))*1000,0)</f>
        <v>0</v>
      </c>
      <c r="J793" s="50">
        <f>'DATA B2'!D794</f>
        <v>0</v>
      </c>
      <c r="K793" s="82">
        <f t="shared" ref="K793:K814" si="298">SUM(J793-J792)</f>
        <v>0</v>
      </c>
      <c r="L793" s="80">
        <f>'DATA B2'!E794</f>
        <v>0</v>
      </c>
      <c r="M793" s="80">
        <f t="shared" ref="M793:M815" si="299">SUM(L793-L792)</f>
        <v>0</v>
      </c>
      <c r="N793" s="28">
        <f t="shared" si="295"/>
        <v>0</v>
      </c>
      <c r="O793" s="51">
        <f>IFERROR((('DATA B2'!F794-'DATA B2'!F793)/(K793))*1000,0)</f>
        <v>0</v>
      </c>
      <c r="P793" s="94">
        <f>'DATA B3'!C794</f>
        <v>0</v>
      </c>
      <c r="Q793" s="91">
        <f t="shared" ref="Q793:Q815" si="300">SUM(P793-P792)</f>
        <v>0</v>
      </c>
      <c r="R793" s="80">
        <f>'DATA B3'!D794</f>
        <v>0</v>
      </c>
      <c r="S793" s="80">
        <f t="shared" ref="S793:S815" si="301">SUM(R793-R792)</f>
        <v>0</v>
      </c>
      <c r="T793" s="15">
        <f t="shared" si="296"/>
        <v>0</v>
      </c>
      <c r="U793" s="15">
        <f>IFERROR((('DATA B3'!E794-'DATA B3'!E793)+('DATA B3'!F794-'DATA B3'!F793))/('WATER_STEAM RATIO'!P793-'WATER_STEAM RATIO'!P792),0)</f>
        <v>0</v>
      </c>
    </row>
    <row r="794" spans="2:21">
      <c r="B794" s="292"/>
      <c r="C794" s="97">
        <v>0.41666666666666702</v>
      </c>
      <c r="D794" s="84">
        <f>'DATA B1'!D795</f>
        <v>0</v>
      </c>
      <c r="E794" s="5">
        <f t="shared" si="294"/>
        <v>0</v>
      </c>
      <c r="F794" s="80">
        <f>'DATA B1'!E795</f>
        <v>0</v>
      </c>
      <c r="G794" s="80">
        <f t="shared" si="297"/>
        <v>0</v>
      </c>
      <c r="H794" s="28">
        <f t="shared" si="293"/>
        <v>0</v>
      </c>
      <c r="I794" s="45">
        <f>IFERROR((('DATA B1'!G795-'DATA B1'!G794)/('WATER_STEAM RATIO'!D794-'WATER_STEAM RATIO'!D793))*1000,0)</f>
        <v>0</v>
      </c>
      <c r="J794" s="50">
        <f>'DATA B2'!D795</f>
        <v>0</v>
      </c>
      <c r="K794" s="82">
        <f t="shared" si="298"/>
        <v>0</v>
      </c>
      <c r="L794" s="80">
        <f>'DATA B2'!E795</f>
        <v>0</v>
      </c>
      <c r="M794" s="80">
        <f t="shared" si="299"/>
        <v>0</v>
      </c>
      <c r="N794" s="28">
        <f t="shared" si="295"/>
        <v>0</v>
      </c>
      <c r="O794" s="51">
        <f>IFERROR((('DATA B2'!F795-'DATA B2'!F794)/(K794))*1000,0)</f>
        <v>0</v>
      </c>
      <c r="P794" s="94">
        <f>'DATA B3'!C795</f>
        <v>0</v>
      </c>
      <c r="Q794" s="91">
        <f t="shared" si="300"/>
        <v>0</v>
      </c>
      <c r="R794" s="80">
        <f>'DATA B3'!D795</f>
        <v>0</v>
      </c>
      <c r="S794" s="80">
        <f t="shared" si="301"/>
        <v>0</v>
      </c>
      <c r="T794" s="15">
        <f t="shared" si="296"/>
        <v>0</v>
      </c>
      <c r="U794" s="15">
        <f>IFERROR((('DATA B3'!E795-'DATA B3'!E794)+('DATA B3'!F795-'DATA B3'!F794))/('WATER_STEAM RATIO'!P794-'WATER_STEAM RATIO'!P793),0)</f>
        <v>0</v>
      </c>
    </row>
    <row r="795" spans="2:21">
      <c r="B795" s="292"/>
      <c r="C795" s="97">
        <v>0.45833333333333298</v>
      </c>
      <c r="D795" s="84">
        <f>'DATA B1'!D796</f>
        <v>0</v>
      </c>
      <c r="E795" s="5">
        <f t="shared" si="294"/>
        <v>0</v>
      </c>
      <c r="F795" s="80">
        <f>'DATA B1'!E796</f>
        <v>0</v>
      </c>
      <c r="G795" s="80">
        <f t="shared" si="297"/>
        <v>0</v>
      </c>
      <c r="H795" s="28">
        <f t="shared" si="293"/>
        <v>0</v>
      </c>
      <c r="I795" s="45">
        <f>IFERROR((('DATA B1'!G796-'DATA B1'!G795)/('WATER_STEAM RATIO'!D795-'WATER_STEAM RATIO'!D794))*1000,0)</f>
        <v>0</v>
      </c>
      <c r="J795" s="50">
        <f>'DATA B2'!D796</f>
        <v>0</v>
      </c>
      <c r="K795" s="82">
        <f t="shared" si="298"/>
        <v>0</v>
      </c>
      <c r="L795" s="80">
        <f>'DATA B2'!E796</f>
        <v>0</v>
      </c>
      <c r="M795" s="80">
        <f t="shared" si="299"/>
        <v>0</v>
      </c>
      <c r="N795" s="28">
        <f t="shared" si="295"/>
        <v>0</v>
      </c>
      <c r="O795" s="51">
        <f>IFERROR((('DATA B2'!F796-'DATA B2'!F795)/(K795))*1000,0)</f>
        <v>0</v>
      </c>
      <c r="P795" s="94">
        <f>'DATA B3'!C796</f>
        <v>0</v>
      </c>
      <c r="Q795" s="91">
        <f t="shared" si="300"/>
        <v>0</v>
      </c>
      <c r="R795" s="80">
        <f>'DATA B3'!D796</f>
        <v>0</v>
      </c>
      <c r="S795" s="80">
        <f t="shared" si="301"/>
        <v>0</v>
      </c>
      <c r="T795" s="15">
        <f t="shared" si="296"/>
        <v>0</v>
      </c>
      <c r="U795" s="15">
        <f>IFERROR((('DATA B3'!E796-'DATA B3'!E795)+('DATA B3'!F796-'DATA B3'!F795))/('WATER_STEAM RATIO'!P795-'WATER_STEAM RATIO'!P794),0)</f>
        <v>0</v>
      </c>
    </row>
    <row r="796" spans="2:21">
      <c r="B796" s="292"/>
      <c r="C796" s="97">
        <v>0.5</v>
      </c>
      <c r="D796" s="84">
        <f>'DATA B1'!D797</f>
        <v>0</v>
      </c>
      <c r="E796" s="5">
        <f t="shared" si="294"/>
        <v>0</v>
      </c>
      <c r="F796" s="80">
        <f>'DATA B1'!E797</f>
        <v>0</v>
      </c>
      <c r="G796" s="80">
        <f t="shared" si="297"/>
        <v>0</v>
      </c>
      <c r="H796" s="28">
        <f t="shared" si="293"/>
        <v>0</v>
      </c>
      <c r="I796" s="45">
        <f>IFERROR((('DATA B1'!G797-'DATA B1'!G796)/('WATER_STEAM RATIO'!D796-'WATER_STEAM RATIO'!D795))*1000,0)</f>
        <v>0</v>
      </c>
      <c r="J796" s="50">
        <f>'DATA B2'!D797</f>
        <v>0</v>
      </c>
      <c r="K796" s="82">
        <f t="shared" si="298"/>
        <v>0</v>
      </c>
      <c r="L796" s="80">
        <f>'DATA B2'!E797</f>
        <v>0</v>
      </c>
      <c r="M796" s="80">
        <f t="shared" si="299"/>
        <v>0</v>
      </c>
      <c r="N796" s="28">
        <f t="shared" si="295"/>
        <v>0</v>
      </c>
      <c r="O796" s="51">
        <f>IFERROR((('DATA B2'!F797-'DATA B2'!F796)/(K796))*1000,0)</f>
        <v>0</v>
      </c>
      <c r="P796" s="94">
        <f>'DATA B3'!C797</f>
        <v>0</v>
      </c>
      <c r="Q796" s="91">
        <f t="shared" si="300"/>
        <v>0</v>
      </c>
      <c r="R796" s="80">
        <f>'DATA B3'!D797</f>
        <v>0</v>
      </c>
      <c r="S796" s="80">
        <f t="shared" si="301"/>
        <v>0</v>
      </c>
      <c r="T796" s="15">
        <f t="shared" si="296"/>
        <v>0</v>
      </c>
      <c r="U796" s="15">
        <f>IFERROR((('DATA B3'!E797-'DATA B3'!E796)+('DATA B3'!F797-'DATA B3'!F796))/('WATER_STEAM RATIO'!P796-'WATER_STEAM RATIO'!P795),0)</f>
        <v>0</v>
      </c>
    </row>
    <row r="797" spans="2:21">
      <c r="B797" s="292"/>
      <c r="C797" s="97">
        <v>0.54166666666666696</v>
      </c>
      <c r="D797" s="84">
        <f>'DATA B1'!D798</f>
        <v>0</v>
      </c>
      <c r="E797" s="5">
        <f t="shared" si="294"/>
        <v>0</v>
      </c>
      <c r="F797" s="80">
        <f>'DATA B1'!E798</f>
        <v>0</v>
      </c>
      <c r="G797" s="80">
        <f t="shared" si="297"/>
        <v>0</v>
      </c>
      <c r="H797" s="28">
        <f t="shared" si="293"/>
        <v>0</v>
      </c>
      <c r="I797" s="45">
        <f>IFERROR((('DATA B1'!G798-'DATA B1'!G797)/('WATER_STEAM RATIO'!D797-'WATER_STEAM RATIO'!D796))*1000,0)</f>
        <v>0</v>
      </c>
      <c r="J797" s="50">
        <f>'DATA B2'!D798</f>
        <v>0</v>
      </c>
      <c r="K797" s="82">
        <f t="shared" si="298"/>
        <v>0</v>
      </c>
      <c r="L797" s="80">
        <f>'DATA B2'!E798</f>
        <v>0</v>
      </c>
      <c r="M797" s="80">
        <f t="shared" si="299"/>
        <v>0</v>
      </c>
      <c r="N797" s="28">
        <f t="shared" si="295"/>
        <v>0</v>
      </c>
      <c r="O797" s="51">
        <f>IFERROR((('DATA B2'!F798-'DATA B2'!F797)/(K797))*1000,0)</f>
        <v>0</v>
      </c>
      <c r="P797" s="94">
        <f>'DATA B3'!C798</f>
        <v>0</v>
      </c>
      <c r="Q797" s="91">
        <f t="shared" si="300"/>
        <v>0</v>
      </c>
      <c r="R797" s="80">
        <f>'DATA B3'!D798</f>
        <v>0</v>
      </c>
      <c r="S797" s="80">
        <f t="shared" si="301"/>
        <v>0</v>
      </c>
      <c r="T797" s="15">
        <f t="shared" si="296"/>
        <v>0</v>
      </c>
      <c r="U797" s="15">
        <f>IFERROR((('DATA B3'!E798-'DATA B3'!E797)+('DATA B3'!F798-'DATA B3'!F797))/('WATER_STEAM RATIO'!P797-'WATER_STEAM RATIO'!P796),0)</f>
        <v>0</v>
      </c>
    </row>
    <row r="798" spans="2:21">
      <c r="B798" s="292"/>
      <c r="C798" s="97">
        <v>0.58333333333333304</v>
      </c>
      <c r="D798" s="84">
        <f>'DATA B1'!D799</f>
        <v>0</v>
      </c>
      <c r="E798" s="5">
        <f t="shared" si="294"/>
        <v>0</v>
      </c>
      <c r="F798" s="80">
        <f>'DATA B1'!E799</f>
        <v>0</v>
      </c>
      <c r="G798" s="80">
        <f t="shared" si="297"/>
        <v>0</v>
      </c>
      <c r="H798" s="28">
        <f t="shared" si="293"/>
        <v>0</v>
      </c>
      <c r="I798" s="45">
        <f>IFERROR((('DATA B1'!G799-'DATA B1'!G798)/('WATER_STEAM RATIO'!D798-'WATER_STEAM RATIO'!D797))*1000,0)</f>
        <v>0</v>
      </c>
      <c r="J798" s="50">
        <f>'DATA B2'!D799</f>
        <v>0</v>
      </c>
      <c r="K798" s="82">
        <f t="shared" si="298"/>
        <v>0</v>
      </c>
      <c r="L798" s="80">
        <f>'DATA B2'!E799</f>
        <v>0</v>
      </c>
      <c r="M798" s="80">
        <f t="shared" si="299"/>
        <v>0</v>
      </c>
      <c r="N798" s="28">
        <f t="shared" si="295"/>
        <v>0</v>
      </c>
      <c r="O798" s="51">
        <f>IFERROR((('DATA B2'!F799-'DATA B2'!F798)/(K798))*1000,0)</f>
        <v>0</v>
      </c>
      <c r="P798" s="94">
        <f>'DATA B3'!C799</f>
        <v>0</v>
      </c>
      <c r="Q798" s="91">
        <f t="shared" si="300"/>
        <v>0</v>
      </c>
      <c r="R798" s="80">
        <f>'DATA B3'!D799</f>
        <v>0</v>
      </c>
      <c r="S798" s="80">
        <f t="shared" si="301"/>
        <v>0</v>
      </c>
      <c r="T798" s="15">
        <f t="shared" si="296"/>
        <v>0</v>
      </c>
      <c r="U798" s="15">
        <f>IFERROR((('DATA B3'!E799-'DATA B3'!E798)+('DATA B3'!F799-'DATA B3'!F798))/('WATER_STEAM RATIO'!P798-'WATER_STEAM RATIO'!P797),0)</f>
        <v>0</v>
      </c>
    </row>
    <row r="799" spans="2:21">
      <c r="B799" s="292"/>
      <c r="C799" s="97">
        <v>0.625</v>
      </c>
      <c r="D799" s="84">
        <f>'DATA B1'!D800</f>
        <v>0</v>
      </c>
      <c r="E799" s="5">
        <f t="shared" ref="E799:E815" si="302">SUM(D799-D798)</f>
        <v>0</v>
      </c>
      <c r="F799" s="80">
        <f>'DATA B1'!E800</f>
        <v>0</v>
      </c>
      <c r="G799" s="80">
        <f t="shared" si="297"/>
        <v>0</v>
      </c>
      <c r="H799" s="28">
        <f t="shared" si="293"/>
        <v>0</v>
      </c>
      <c r="I799" s="45">
        <f>IFERROR((('DATA B1'!G800-'DATA B1'!G799)/('WATER_STEAM RATIO'!D799-'WATER_STEAM RATIO'!D798))*1000,0)</f>
        <v>0</v>
      </c>
      <c r="J799" s="50">
        <f>'DATA B2'!D800</f>
        <v>0</v>
      </c>
      <c r="K799" s="82">
        <f t="shared" si="298"/>
        <v>0</v>
      </c>
      <c r="L799" s="80">
        <f>'DATA B2'!E800</f>
        <v>0</v>
      </c>
      <c r="M799" s="80">
        <f t="shared" si="299"/>
        <v>0</v>
      </c>
      <c r="N799" s="28">
        <f t="shared" si="295"/>
        <v>0</v>
      </c>
      <c r="O799" s="51">
        <f>IFERROR((('DATA B2'!F800-'DATA B2'!F799)/(K799))*1000,0)</f>
        <v>0</v>
      </c>
      <c r="P799" s="94">
        <f>'DATA B3'!C800</f>
        <v>0</v>
      </c>
      <c r="Q799" s="91">
        <f t="shared" si="300"/>
        <v>0</v>
      </c>
      <c r="R799" s="80">
        <f>'DATA B3'!D800</f>
        <v>0</v>
      </c>
      <c r="S799" s="80">
        <f t="shared" si="301"/>
        <v>0</v>
      </c>
      <c r="T799" s="15">
        <f t="shared" si="296"/>
        <v>0</v>
      </c>
      <c r="U799" s="15">
        <f>IFERROR((('DATA B3'!E800-'DATA B3'!E799)+('DATA B3'!F800-'DATA B3'!F799))/('WATER_STEAM RATIO'!P799-'WATER_STEAM RATIO'!P798),0)</f>
        <v>0</v>
      </c>
    </row>
    <row r="800" spans="2:21">
      <c r="B800" s="292"/>
      <c r="C800" s="97">
        <v>0.66666666666666596</v>
      </c>
      <c r="D800" s="84">
        <f>'DATA B1'!D801</f>
        <v>0</v>
      </c>
      <c r="E800" s="5">
        <f t="shared" si="302"/>
        <v>0</v>
      </c>
      <c r="F800" s="80">
        <f>'DATA B1'!E801</f>
        <v>0</v>
      </c>
      <c r="G800" s="80">
        <f t="shared" si="297"/>
        <v>0</v>
      </c>
      <c r="H800" s="28">
        <f t="shared" si="293"/>
        <v>0</v>
      </c>
      <c r="I800" s="45">
        <f>IFERROR((('DATA B1'!G801-'DATA B1'!G800)/('WATER_STEAM RATIO'!D800-'WATER_STEAM RATIO'!D799))*1000,0)</f>
        <v>0</v>
      </c>
      <c r="J800" s="50">
        <f>'DATA B2'!D801</f>
        <v>0</v>
      </c>
      <c r="K800" s="82">
        <f>SUM(J800-J799)</f>
        <v>0</v>
      </c>
      <c r="L800" s="80">
        <f>'DATA B2'!E801</f>
        <v>0</v>
      </c>
      <c r="M800" s="80">
        <f t="shared" si="299"/>
        <v>0</v>
      </c>
      <c r="N800" s="28">
        <f t="shared" si="295"/>
        <v>0</v>
      </c>
      <c r="O800" s="51">
        <f>IFERROR((('DATA B2'!F801-'DATA B2'!F800)/(K800))*1000,0)</f>
        <v>0</v>
      </c>
      <c r="P800" s="94">
        <f>'DATA B3'!C801</f>
        <v>0</v>
      </c>
      <c r="Q800" s="91">
        <f t="shared" si="300"/>
        <v>0</v>
      </c>
      <c r="R800" s="80">
        <f>'DATA B3'!D801</f>
        <v>0</v>
      </c>
      <c r="S800" s="80">
        <f t="shared" si="301"/>
        <v>0</v>
      </c>
      <c r="T800" s="15">
        <f t="shared" si="296"/>
        <v>0</v>
      </c>
      <c r="U800" s="15">
        <f>IFERROR((('DATA B3'!E801-'DATA B3'!E800)+('DATA B3'!F801-'DATA B3'!F800))/('WATER_STEAM RATIO'!P800-'WATER_STEAM RATIO'!P799),0)</f>
        <v>0</v>
      </c>
    </row>
    <row r="801" spans="2:21">
      <c r="B801" s="292"/>
      <c r="C801" s="97">
        <v>0.70833333333333304</v>
      </c>
      <c r="D801" s="84">
        <f>'DATA B1'!D802</f>
        <v>0</v>
      </c>
      <c r="E801" s="5">
        <f t="shared" si="302"/>
        <v>0</v>
      </c>
      <c r="F801" s="80">
        <f>'DATA B1'!E802</f>
        <v>0</v>
      </c>
      <c r="G801" s="80">
        <f t="shared" si="297"/>
        <v>0</v>
      </c>
      <c r="H801" s="28">
        <f t="shared" si="293"/>
        <v>0</v>
      </c>
      <c r="I801" s="45">
        <f>IFERROR((('DATA B1'!G802-'DATA B1'!G801)/('WATER_STEAM RATIO'!D801-'WATER_STEAM RATIO'!D800))*1000,0)</f>
        <v>0</v>
      </c>
      <c r="J801" s="50">
        <f>'DATA B2'!D802</f>
        <v>0</v>
      </c>
      <c r="K801" s="82">
        <f t="shared" si="298"/>
        <v>0</v>
      </c>
      <c r="L801" s="80">
        <f>'DATA B2'!E802</f>
        <v>0</v>
      </c>
      <c r="M801" s="80">
        <f t="shared" si="299"/>
        <v>0</v>
      </c>
      <c r="N801" s="28">
        <f t="shared" si="295"/>
        <v>0</v>
      </c>
      <c r="O801" s="51">
        <f>IFERROR((('DATA B2'!F802-'DATA B2'!F801)/(K801))*1000,0)</f>
        <v>0</v>
      </c>
      <c r="P801" s="94">
        <f>'DATA B3'!C802</f>
        <v>0</v>
      </c>
      <c r="Q801" s="91">
        <f t="shared" si="300"/>
        <v>0</v>
      </c>
      <c r="R801" s="80">
        <f>'DATA B3'!D802</f>
        <v>0</v>
      </c>
      <c r="S801" s="80">
        <f t="shared" si="301"/>
        <v>0</v>
      </c>
      <c r="T801" s="15">
        <f t="shared" si="296"/>
        <v>0</v>
      </c>
      <c r="U801" s="15">
        <f>IFERROR((('DATA B3'!E802-'DATA B3'!E801)+('DATA B3'!F802-'DATA B3'!F801))/('WATER_STEAM RATIO'!P801-'WATER_STEAM RATIO'!P800),0)</f>
        <v>0</v>
      </c>
    </row>
    <row r="802" spans="2:21">
      <c r="B802" s="292"/>
      <c r="C802" s="97">
        <v>0.75</v>
      </c>
      <c r="D802" s="84">
        <f>'DATA B1'!D803</f>
        <v>0</v>
      </c>
      <c r="E802" s="5">
        <f t="shared" si="302"/>
        <v>0</v>
      </c>
      <c r="F802" s="80">
        <f>'DATA B1'!E803</f>
        <v>0</v>
      </c>
      <c r="G802" s="80">
        <f t="shared" si="297"/>
        <v>0</v>
      </c>
      <c r="H802" s="28">
        <f t="shared" si="293"/>
        <v>0</v>
      </c>
      <c r="I802" s="45">
        <f>IFERROR((('DATA B1'!G803-'DATA B1'!G802)/('WATER_STEAM RATIO'!D802-'WATER_STEAM RATIO'!D801))*1000,0)</f>
        <v>0</v>
      </c>
      <c r="J802" s="50">
        <f>'DATA B2'!D803</f>
        <v>0</v>
      </c>
      <c r="K802" s="82">
        <f t="shared" si="298"/>
        <v>0</v>
      </c>
      <c r="L802" s="80">
        <f>'DATA B2'!E803</f>
        <v>0</v>
      </c>
      <c r="M802" s="80">
        <f t="shared" si="299"/>
        <v>0</v>
      </c>
      <c r="N802" s="28">
        <f t="shared" si="295"/>
        <v>0</v>
      </c>
      <c r="O802" s="51">
        <f>IFERROR((('DATA B2'!F803-'DATA B2'!F802)/(K802))*1000,0)</f>
        <v>0</v>
      </c>
      <c r="P802" s="94">
        <f>'DATA B3'!C803</f>
        <v>0</v>
      </c>
      <c r="Q802" s="91">
        <f t="shared" si="300"/>
        <v>0</v>
      </c>
      <c r="R802" s="80">
        <f>'DATA B3'!D803</f>
        <v>0</v>
      </c>
      <c r="S802" s="80">
        <f t="shared" si="301"/>
        <v>0</v>
      </c>
      <c r="T802" s="15">
        <f t="shared" si="296"/>
        <v>0</v>
      </c>
      <c r="U802" s="15">
        <f>IFERROR((('DATA B3'!E803-'DATA B3'!E802)+('DATA B3'!F803-'DATA B3'!F802))/('WATER_STEAM RATIO'!P802-'WATER_STEAM RATIO'!P801),0)</f>
        <v>0</v>
      </c>
    </row>
    <row r="803" spans="2:21">
      <c r="B803" s="292"/>
      <c r="C803" s="97">
        <v>0.79166666666666596</v>
      </c>
      <c r="D803" s="84">
        <f>'DATA B1'!D804</f>
        <v>0</v>
      </c>
      <c r="E803" s="5">
        <f t="shared" si="302"/>
        <v>0</v>
      </c>
      <c r="F803" s="80">
        <f>'DATA B1'!E804</f>
        <v>0</v>
      </c>
      <c r="G803" s="80">
        <f t="shared" si="297"/>
        <v>0</v>
      </c>
      <c r="H803" s="28">
        <f t="shared" si="293"/>
        <v>0</v>
      </c>
      <c r="I803" s="45">
        <f>IFERROR((('DATA B1'!G804-'DATA B1'!G803)/('WATER_STEAM RATIO'!D803-'WATER_STEAM RATIO'!D802))*1000,0)</f>
        <v>0</v>
      </c>
      <c r="J803" s="50">
        <f>'DATA B2'!D804</f>
        <v>0</v>
      </c>
      <c r="K803" s="82">
        <f t="shared" si="298"/>
        <v>0</v>
      </c>
      <c r="L803" s="80">
        <f>'DATA B2'!E804</f>
        <v>0</v>
      </c>
      <c r="M803" s="80">
        <f t="shared" si="299"/>
        <v>0</v>
      </c>
      <c r="N803" s="28">
        <f t="shared" si="295"/>
        <v>0</v>
      </c>
      <c r="O803" s="51">
        <f>IFERROR((('DATA B2'!F804-'DATA B2'!F803)/(K803))*1000,0)</f>
        <v>0</v>
      </c>
      <c r="P803" s="94">
        <f>'DATA B3'!C804</f>
        <v>0</v>
      </c>
      <c r="Q803" s="91">
        <f t="shared" si="300"/>
        <v>0</v>
      </c>
      <c r="R803" s="80">
        <f>'DATA B3'!D804</f>
        <v>0</v>
      </c>
      <c r="S803" s="80">
        <f t="shared" si="301"/>
        <v>0</v>
      </c>
      <c r="T803" s="15">
        <f t="shared" si="296"/>
        <v>0</v>
      </c>
      <c r="U803" s="15">
        <f>IFERROR((('DATA B3'!E804-'DATA B3'!E803)+('DATA B3'!F804-'DATA B3'!F803))/('WATER_STEAM RATIO'!P803-'WATER_STEAM RATIO'!P802),0)</f>
        <v>0</v>
      </c>
    </row>
    <row r="804" spans="2:21">
      <c r="B804" s="292"/>
      <c r="C804" s="97">
        <v>0.83333333333333304</v>
      </c>
      <c r="D804" s="84">
        <f>'DATA B1'!D805</f>
        <v>0</v>
      </c>
      <c r="E804" s="5">
        <f t="shared" si="302"/>
        <v>0</v>
      </c>
      <c r="F804" s="80">
        <f>'DATA B1'!E805</f>
        <v>0</v>
      </c>
      <c r="G804" s="80">
        <f t="shared" si="297"/>
        <v>0</v>
      </c>
      <c r="H804" s="28">
        <f t="shared" si="293"/>
        <v>0</v>
      </c>
      <c r="I804" s="45">
        <f>IFERROR((('DATA B1'!G805-'DATA B1'!G804)/('WATER_STEAM RATIO'!D804-'WATER_STEAM RATIO'!D803))*1000,0)</f>
        <v>0</v>
      </c>
      <c r="J804" s="50">
        <f>'DATA B2'!D805</f>
        <v>0</v>
      </c>
      <c r="K804" s="82">
        <f t="shared" si="298"/>
        <v>0</v>
      </c>
      <c r="L804" s="80">
        <f>'DATA B2'!E805</f>
        <v>0</v>
      </c>
      <c r="M804" s="80">
        <f t="shared" si="299"/>
        <v>0</v>
      </c>
      <c r="N804" s="28">
        <f t="shared" si="295"/>
        <v>0</v>
      </c>
      <c r="O804" s="51">
        <f>IFERROR((('DATA B2'!F805-'DATA B2'!F804)/(K804))*1000,0)</f>
        <v>0</v>
      </c>
      <c r="P804" s="94">
        <f>'DATA B3'!C805</f>
        <v>0</v>
      </c>
      <c r="Q804" s="91">
        <f t="shared" si="300"/>
        <v>0</v>
      </c>
      <c r="R804" s="80">
        <f>'DATA B3'!D805</f>
        <v>0</v>
      </c>
      <c r="S804" s="80">
        <f t="shared" si="301"/>
        <v>0</v>
      </c>
      <c r="T804" s="15">
        <f t="shared" si="296"/>
        <v>0</v>
      </c>
      <c r="U804" s="15">
        <f>IFERROR((('DATA B3'!E805-'DATA B3'!E804)+('DATA B3'!F805-'DATA B3'!F804))/('WATER_STEAM RATIO'!P804-'WATER_STEAM RATIO'!P803),0)</f>
        <v>0</v>
      </c>
    </row>
    <row r="805" spans="2:21">
      <c r="B805" s="292"/>
      <c r="C805" s="97">
        <v>0.875</v>
      </c>
      <c r="D805" s="98">
        <f>'DATA B1'!D806</f>
        <v>0</v>
      </c>
      <c r="E805" s="83">
        <f t="shared" si="302"/>
        <v>0</v>
      </c>
      <c r="F805" s="80">
        <f>'DATA B1'!E806</f>
        <v>0</v>
      </c>
      <c r="G805" s="80">
        <f t="shared" si="297"/>
        <v>0</v>
      </c>
      <c r="H805" s="28">
        <f t="shared" si="293"/>
        <v>0</v>
      </c>
      <c r="I805" s="45">
        <f>IFERROR((('DATA B1'!G806-'DATA B1'!G805)/('WATER_STEAM RATIO'!D805-'WATER_STEAM RATIO'!D804))*1000,0)</f>
        <v>0</v>
      </c>
      <c r="J805" s="50">
        <f>'DATA B2'!D806</f>
        <v>0</v>
      </c>
      <c r="K805" s="82">
        <f t="shared" si="298"/>
        <v>0</v>
      </c>
      <c r="L805" s="80">
        <f>'DATA B2'!E806</f>
        <v>0</v>
      </c>
      <c r="M805" s="80">
        <f t="shared" si="299"/>
        <v>0</v>
      </c>
      <c r="N805" s="28">
        <f>IFERROR(M805/K805,0)</f>
        <v>0</v>
      </c>
      <c r="O805" s="51">
        <f>IFERROR((('DATA B2'!F806-'DATA B2'!F805)/(K805))*1000,0)</f>
        <v>0</v>
      </c>
      <c r="P805" s="94">
        <f>'DATA B3'!C806</f>
        <v>0</v>
      </c>
      <c r="Q805" s="91">
        <f t="shared" si="300"/>
        <v>0</v>
      </c>
      <c r="R805" s="80">
        <f>'DATA B3'!D806</f>
        <v>0</v>
      </c>
      <c r="S805" s="80">
        <f t="shared" si="301"/>
        <v>0</v>
      </c>
      <c r="T805" s="15">
        <f t="shared" si="296"/>
        <v>0</v>
      </c>
      <c r="U805" s="15">
        <f>IFERROR((('DATA B3'!E806-'DATA B3'!E805)+('DATA B3'!F806-'DATA B3'!F805))/('WATER_STEAM RATIO'!P805-'WATER_STEAM RATIO'!P804),0)</f>
        <v>0</v>
      </c>
    </row>
    <row r="806" spans="2:21">
      <c r="B806" s="292"/>
      <c r="C806" s="97">
        <v>0.91666666666666596</v>
      </c>
      <c r="D806" s="84">
        <f>'DATA B1'!D807</f>
        <v>0</v>
      </c>
      <c r="E806" s="5">
        <f t="shared" si="302"/>
        <v>0</v>
      </c>
      <c r="F806" s="80">
        <f>'DATA B1'!E807</f>
        <v>0</v>
      </c>
      <c r="G806" s="80">
        <f t="shared" si="297"/>
        <v>0</v>
      </c>
      <c r="H806" s="28">
        <f t="shared" si="293"/>
        <v>0</v>
      </c>
      <c r="I806" s="45">
        <f>IFERROR((('DATA B1'!G807-'DATA B1'!G806)/('WATER_STEAM RATIO'!D806-'WATER_STEAM RATIO'!D805))*1000,0)</f>
        <v>0</v>
      </c>
      <c r="J806" s="50">
        <f>'DATA B2'!D807</f>
        <v>0</v>
      </c>
      <c r="K806" s="82">
        <f t="shared" si="298"/>
        <v>0</v>
      </c>
      <c r="L806" s="80">
        <f>'DATA B2'!E807</f>
        <v>0</v>
      </c>
      <c r="M806" s="80">
        <f t="shared" si="299"/>
        <v>0</v>
      </c>
      <c r="N806" s="28">
        <f t="shared" si="295"/>
        <v>0</v>
      </c>
      <c r="O806" s="51">
        <f>IFERROR((('DATA B2'!F807-'DATA B2'!F806)/(K806))*1000,0)</f>
        <v>0</v>
      </c>
      <c r="P806" s="94">
        <f>'DATA B3'!C807</f>
        <v>0</v>
      </c>
      <c r="Q806" s="91">
        <f t="shared" si="300"/>
        <v>0</v>
      </c>
      <c r="R806" s="80">
        <f>'DATA B3'!D807</f>
        <v>0</v>
      </c>
      <c r="S806" s="80">
        <f t="shared" si="301"/>
        <v>0</v>
      </c>
      <c r="T806" s="15">
        <f t="shared" si="296"/>
        <v>0</v>
      </c>
      <c r="U806" s="15">
        <f>IFERROR((('DATA B3'!E807-'DATA B3'!E806)+('DATA B3'!F807-'DATA B3'!F806))/('WATER_STEAM RATIO'!P806-'WATER_STEAM RATIO'!P805),0)</f>
        <v>0</v>
      </c>
    </row>
    <row r="807" spans="2:21">
      <c r="B807" s="292"/>
      <c r="C807" s="97">
        <v>0.95833333333333304</v>
      </c>
      <c r="D807" s="84">
        <f>'DATA B1'!D808</f>
        <v>0</v>
      </c>
      <c r="E807" s="5">
        <f t="shared" si="302"/>
        <v>0</v>
      </c>
      <c r="F807" s="80">
        <f>'DATA B1'!E808</f>
        <v>0</v>
      </c>
      <c r="G807" s="80">
        <f t="shared" si="297"/>
        <v>0</v>
      </c>
      <c r="H807" s="28">
        <f t="shared" si="293"/>
        <v>0</v>
      </c>
      <c r="I807" s="45">
        <f>IFERROR((('DATA B1'!G808-'DATA B1'!G807)/('WATER_STEAM RATIO'!D807-'WATER_STEAM RATIO'!D806))*1000,0)</f>
        <v>0</v>
      </c>
      <c r="J807" s="50">
        <f>'DATA B2'!D808</f>
        <v>0</v>
      </c>
      <c r="K807" s="82">
        <f>SUM(J807-J806)</f>
        <v>0</v>
      </c>
      <c r="L807" s="80">
        <f>'DATA B2'!E808</f>
        <v>0</v>
      </c>
      <c r="M807" s="80">
        <f t="shared" si="299"/>
        <v>0</v>
      </c>
      <c r="N807" s="28">
        <f t="shared" si="295"/>
        <v>0</v>
      </c>
      <c r="O807" s="51">
        <f>IFERROR((('DATA B2'!F808-'DATA B2'!F807)/(K807))*1000,0)</f>
        <v>0</v>
      </c>
      <c r="P807" s="94">
        <f>'DATA B3'!C808</f>
        <v>0</v>
      </c>
      <c r="Q807" s="91">
        <f t="shared" si="300"/>
        <v>0</v>
      </c>
      <c r="R807" s="80">
        <f>'DATA B3'!D808</f>
        <v>0</v>
      </c>
      <c r="S807" s="80">
        <f t="shared" si="301"/>
        <v>0</v>
      </c>
      <c r="T807" s="15">
        <f t="shared" si="296"/>
        <v>0</v>
      </c>
      <c r="U807" s="15">
        <f>IFERROR((('DATA B3'!E808-'DATA B3'!E807)+('DATA B3'!F808-'DATA B3'!F807))/('WATER_STEAM RATIO'!P807-'WATER_STEAM RATIO'!P806),0)</f>
        <v>0</v>
      </c>
    </row>
    <row r="808" spans="2:21">
      <c r="B808" s="292"/>
      <c r="C808" s="97">
        <v>1</v>
      </c>
      <c r="D808" s="84">
        <f>'DATA B1'!D809</f>
        <v>0</v>
      </c>
      <c r="E808" s="5">
        <f t="shared" si="302"/>
        <v>0</v>
      </c>
      <c r="F808" s="80">
        <f>'DATA B1'!E809</f>
        <v>0</v>
      </c>
      <c r="G808" s="80">
        <f t="shared" si="297"/>
        <v>0</v>
      </c>
      <c r="H808" s="28">
        <f t="shared" si="293"/>
        <v>0</v>
      </c>
      <c r="I808" s="45">
        <f>IFERROR((('DATA B1'!G809-'DATA B1'!G808)/('WATER_STEAM RATIO'!D808-'WATER_STEAM RATIO'!D807))*1000,0)</f>
        <v>0</v>
      </c>
      <c r="J808" s="50">
        <f>'DATA B2'!D809</f>
        <v>0</v>
      </c>
      <c r="K808" s="82">
        <f t="shared" si="298"/>
        <v>0</v>
      </c>
      <c r="L808" s="80">
        <f>'DATA B2'!E809</f>
        <v>0</v>
      </c>
      <c r="M808" s="80">
        <f t="shared" si="299"/>
        <v>0</v>
      </c>
      <c r="N808" s="28">
        <f t="shared" si="295"/>
        <v>0</v>
      </c>
      <c r="O808" s="51">
        <f>IFERROR((('DATA B2'!F809-'DATA B2'!F808)/(K808))*1000,0)</f>
        <v>0</v>
      </c>
      <c r="P808" s="94">
        <f>'DATA B3'!C809</f>
        <v>0</v>
      </c>
      <c r="Q808" s="91">
        <f t="shared" si="300"/>
        <v>0</v>
      </c>
      <c r="R808" s="80">
        <f>'DATA B3'!D809</f>
        <v>0</v>
      </c>
      <c r="S808" s="80">
        <f t="shared" si="301"/>
        <v>0</v>
      </c>
      <c r="T808" s="15">
        <f t="shared" si="296"/>
        <v>0</v>
      </c>
      <c r="U808" s="15">
        <f>IFERROR((('DATA B3'!E809-'DATA B3'!E808)+('DATA B3'!F809-'DATA B3'!F808))/('WATER_STEAM RATIO'!P808-'WATER_STEAM RATIO'!P807),0)</f>
        <v>0</v>
      </c>
    </row>
    <row r="809" spans="2:21">
      <c r="B809" s="292"/>
      <c r="C809" s="97">
        <v>1.0416666666666701</v>
      </c>
      <c r="D809" s="84">
        <f>'DATA B1'!D810</f>
        <v>0</v>
      </c>
      <c r="E809" s="5">
        <f t="shared" si="302"/>
        <v>0</v>
      </c>
      <c r="F809" s="80">
        <f>'DATA B1'!E810</f>
        <v>0</v>
      </c>
      <c r="G809" s="80">
        <f t="shared" si="297"/>
        <v>0</v>
      </c>
      <c r="H809" s="28">
        <f t="shared" si="293"/>
        <v>0</v>
      </c>
      <c r="I809" s="45">
        <f>IFERROR((('DATA B1'!G810-'DATA B1'!G809)/('WATER_STEAM RATIO'!D809-'WATER_STEAM RATIO'!D808))*1000,0)</f>
        <v>0</v>
      </c>
      <c r="J809" s="50">
        <f>'DATA B2'!D810</f>
        <v>0</v>
      </c>
      <c r="K809" s="82">
        <f t="shared" si="298"/>
        <v>0</v>
      </c>
      <c r="L809" s="80">
        <f>'DATA B2'!E810</f>
        <v>0</v>
      </c>
      <c r="M809" s="80">
        <f t="shared" si="299"/>
        <v>0</v>
      </c>
      <c r="N809" s="28">
        <f t="shared" si="295"/>
        <v>0</v>
      </c>
      <c r="O809" s="51">
        <f>IFERROR((('DATA B2'!F810-'DATA B2'!F809)/(K809))*1000,0)</f>
        <v>0</v>
      </c>
      <c r="P809" s="94">
        <f>'DATA B3'!C810</f>
        <v>0</v>
      </c>
      <c r="Q809" s="91">
        <f t="shared" si="300"/>
        <v>0</v>
      </c>
      <c r="R809" s="80">
        <f>'DATA B3'!D810</f>
        <v>0</v>
      </c>
      <c r="S809" s="80">
        <f t="shared" si="301"/>
        <v>0</v>
      </c>
      <c r="T809" s="15">
        <f t="shared" si="296"/>
        <v>0</v>
      </c>
      <c r="U809" s="15">
        <f>IFERROR((('DATA B3'!E810-'DATA B3'!E809)+('DATA B3'!F810-'DATA B3'!F809))/('WATER_STEAM RATIO'!P809-'WATER_STEAM RATIO'!P808),0)</f>
        <v>0</v>
      </c>
    </row>
    <row r="810" spans="2:21">
      <c r="B810" s="292"/>
      <c r="C810" s="97">
        <v>1.0833333333333399</v>
      </c>
      <c r="D810" s="84">
        <f>'DATA B1'!D811</f>
        <v>0</v>
      </c>
      <c r="E810" s="5">
        <f>SUM(D810-D809)</f>
        <v>0</v>
      </c>
      <c r="F810" s="80">
        <f>'DATA B1'!E811</f>
        <v>0</v>
      </c>
      <c r="G810" s="80">
        <f t="shared" si="297"/>
        <v>0</v>
      </c>
      <c r="H810" s="28">
        <f t="shared" si="293"/>
        <v>0</v>
      </c>
      <c r="I810" s="45">
        <f>IFERROR((('DATA B1'!G811-'DATA B1'!G810)/('WATER_STEAM RATIO'!D810-'WATER_STEAM RATIO'!D809))*1000,0)</f>
        <v>0</v>
      </c>
      <c r="J810" s="50">
        <f>'DATA B2'!D811</f>
        <v>0</v>
      </c>
      <c r="K810" s="82">
        <f t="shared" si="298"/>
        <v>0</v>
      </c>
      <c r="L810" s="80">
        <f>'DATA B2'!E811</f>
        <v>0</v>
      </c>
      <c r="M810" s="80">
        <f t="shared" si="299"/>
        <v>0</v>
      </c>
      <c r="N810" s="28">
        <f t="shared" si="295"/>
        <v>0</v>
      </c>
      <c r="O810" s="51">
        <f>IFERROR((('DATA B2'!F811-'DATA B2'!F810)/(K810))*1000,0)</f>
        <v>0</v>
      </c>
      <c r="P810" s="94">
        <f>'DATA B3'!C811</f>
        <v>0</v>
      </c>
      <c r="Q810" s="91">
        <f>SUM(P810-P809)</f>
        <v>0</v>
      </c>
      <c r="R810" s="80">
        <f>'DATA B3'!D811</f>
        <v>0</v>
      </c>
      <c r="S810" s="80">
        <f t="shared" si="301"/>
        <v>0</v>
      </c>
      <c r="T810" s="15">
        <f t="shared" si="296"/>
        <v>0</v>
      </c>
      <c r="U810" s="15">
        <f>IFERROR((('DATA B3'!E811-'DATA B3'!E810)+('DATA B3'!F811-'DATA B3'!F810))/('WATER_STEAM RATIO'!P810-'WATER_STEAM RATIO'!P809),0)</f>
        <v>0</v>
      </c>
    </row>
    <row r="811" spans="2:21">
      <c r="B811" s="292"/>
      <c r="C811" s="97">
        <v>1.125</v>
      </c>
      <c r="D811" s="84">
        <f>'DATA B1'!D812</f>
        <v>0</v>
      </c>
      <c r="E811" s="5">
        <f t="shared" si="302"/>
        <v>0</v>
      </c>
      <c r="F811" s="80">
        <f>'DATA B1'!E812</f>
        <v>0</v>
      </c>
      <c r="G811" s="80">
        <f t="shared" si="297"/>
        <v>0</v>
      </c>
      <c r="H811" s="28">
        <f t="shared" si="293"/>
        <v>0</v>
      </c>
      <c r="I811" s="45">
        <f>IFERROR((('DATA B1'!G812-'DATA B1'!G811)/('WATER_STEAM RATIO'!D811-'WATER_STEAM RATIO'!D810))*1000,0)</f>
        <v>0</v>
      </c>
      <c r="J811" s="50">
        <f>'DATA B2'!D812</f>
        <v>0</v>
      </c>
      <c r="K811" s="82">
        <f t="shared" si="298"/>
        <v>0</v>
      </c>
      <c r="L811" s="80">
        <f>'DATA B2'!E812</f>
        <v>0</v>
      </c>
      <c r="M811" s="80">
        <f t="shared" si="299"/>
        <v>0</v>
      </c>
      <c r="N811" s="28">
        <f t="shared" si="295"/>
        <v>0</v>
      </c>
      <c r="O811" s="51">
        <f>IFERROR((('DATA B2'!F812-'DATA B2'!F811)/(K811))*1000,0)</f>
        <v>0</v>
      </c>
      <c r="P811" s="94">
        <f>'DATA B3'!C812</f>
        <v>0</v>
      </c>
      <c r="Q811" s="91">
        <f t="shared" si="300"/>
        <v>0</v>
      </c>
      <c r="R811" s="80">
        <f>'DATA B3'!D812</f>
        <v>0</v>
      </c>
      <c r="S811" s="80">
        <f t="shared" si="301"/>
        <v>0</v>
      </c>
      <c r="T811" s="15">
        <f t="shared" si="296"/>
        <v>0</v>
      </c>
      <c r="U811" s="15">
        <f>IFERROR((('DATA B3'!E812-'DATA B3'!E811)+('DATA B3'!F812-'DATA B3'!F811))/('WATER_STEAM RATIO'!P811-'WATER_STEAM RATIO'!P810),0)</f>
        <v>0</v>
      </c>
    </row>
    <row r="812" spans="2:21">
      <c r="B812" s="292"/>
      <c r="C812" s="97">
        <v>1.1666666666666701</v>
      </c>
      <c r="D812" s="84">
        <f>'DATA B1'!D813</f>
        <v>0</v>
      </c>
      <c r="E812" s="5">
        <f t="shared" si="302"/>
        <v>0</v>
      </c>
      <c r="F812" s="80">
        <f>'DATA B1'!E813</f>
        <v>0</v>
      </c>
      <c r="G812" s="80">
        <f t="shared" si="297"/>
        <v>0</v>
      </c>
      <c r="H812" s="28">
        <f t="shared" si="293"/>
        <v>0</v>
      </c>
      <c r="I812" s="45">
        <f>IFERROR((('DATA B1'!G813-'DATA B1'!G812)/('WATER_STEAM RATIO'!D812-'WATER_STEAM RATIO'!D811))*1000,0)</f>
        <v>0</v>
      </c>
      <c r="J812" s="50">
        <f>'DATA B2'!D813</f>
        <v>0</v>
      </c>
      <c r="K812" s="82">
        <f t="shared" si="298"/>
        <v>0</v>
      </c>
      <c r="L812" s="80">
        <f>'DATA B2'!E813</f>
        <v>0</v>
      </c>
      <c r="M812" s="80">
        <f t="shared" si="299"/>
        <v>0</v>
      </c>
      <c r="N812" s="28">
        <f t="shared" si="295"/>
        <v>0</v>
      </c>
      <c r="O812" s="51">
        <f>IFERROR((('DATA B2'!F813-'DATA B2'!F812)/(K812))*1000,0)</f>
        <v>0</v>
      </c>
      <c r="P812" s="94">
        <f>'DATA B3'!C813</f>
        <v>0</v>
      </c>
      <c r="Q812" s="91">
        <f t="shared" si="300"/>
        <v>0</v>
      </c>
      <c r="R812" s="80">
        <f>'DATA B3'!D813</f>
        <v>0</v>
      </c>
      <c r="S812" s="80">
        <f t="shared" si="301"/>
        <v>0</v>
      </c>
      <c r="T812" s="15">
        <f t="shared" si="296"/>
        <v>0</v>
      </c>
      <c r="U812" s="15">
        <f>IFERROR((('DATA B3'!E813-'DATA B3'!E812)+('DATA B3'!F813-'DATA B3'!F812))/('WATER_STEAM RATIO'!P812-'WATER_STEAM RATIO'!P811),0)</f>
        <v>0</v>
      </c>
    </row>
    <row r="813" spans="2:21">
      <c r="B813" s="292"/>
      <c r="C813" s="97">
        <v>1.2083333333333399</v>
      </c>
      <c r="D813" s="84">
        <f>'DATA B1'!D814</f>
        <v>0</v>
      </c>
      <c r="E813" s="5">
        <f t="shared" si="302"/>
        <v>0</v>
      </c>
      <c r="F813" s="80">
        <f>'DATA B1'!E814</f>
        <v>0</v>
      </c>
      <c r="G813" s="80">
        <f t="shared" si="297"/>
        <v>0</v>
      </c>
      <c r="H813" s="28">
        <f t="shared" si="293"/>
        <v>0</v>
      </c>
      <c r="I813" s="45">
        <f>IFERROR((('DATA B1'!G814-'DATA B1'!G813)/('WATER_STEAM RATIO'!D813-'WATER_STEAM RATIO'!D812))*1000,0)</f>
        <v>0</v>
      </c>
      <c r="J813" s="50">
        <f>'DATA B2'!D814</f>
        <v>0</v>
      </c>
      <c r="K813" s="82">
        <f t="shared" si="298"/>
        <v>0</v>
      </c>
      <c r="L813" s="80">
        <f>'DATA B2'!E814</f>
        <v>0</v>
      </c>
      <c r="M813" s="80">
        <f t="shared" si="299"/>
        <v>0</v>
      </c>
      <c r="N813" s="28">
        <f t="shared" si="295"/>
        <v>0</v>
      </c>
      <c r="O813" s="51">
        <f>IFERROR((('DATA B2'!F814-'DATA B2'!F813)/(K813))*1000,0)</f>
        <v>0</v>
      </c>
      <c r="P813" s="94">
        <f>'DATA B3'!C814</f>
        <v>0</v>
      </c>
      <c r="Q813" s="91">
        <f t="shared" si="300"/>
        <v>0</v>
      </c>
      <c r="R813" s="80">
        <f>'DATA B3'!D814</f>
        <v>0</v>
      </c>
      <c r="S813" s="80">
        <f t="shared" si="301"/>
        <v>0</v>
      </c>
      <c r="T813" s="15">
        <f t="shared" si="296"/>
        <v>0</v>
      </c>
      <c r="U813" s="15">
        <f>IFERROR((('DATA B3'!E814-'DATA B3'!E813)+('DATA B3'!F814-'DATA B3'!F813))/('WATER_STEAM RATIO'!P813-'WATER_STEAM RATIO'!P812),0)</f>
        <v>0</v>
      </c>
    </row>
    <row r="814" spans="2:21">
      <c r="B814" s="292"/>
      <c r="C814" s="97">
        <v>1.25</v>
      </c>
      <c r="D814" s="84">
        <f>'DATA B1'!D815</f>
        <v>0</v>
      </c>
      <c r="E814" s="5">
        <f t="shared" si="302"/>
        <v>0</v>
      </c>
      <c r="F814" s="80">
        <f>'DATA B1'!E815</f>
        <v>0</v>
      </c>
      <c r="G814" s="80">
        <f t="shared" si="297"/>
        <v>0</v>
      </c>
      <c r="H814" s="28">
        <f t="shared" si="293"/>
        <v>0</v>
      </c>
      <c r="I814" s="45">
        <f>IFERROR((('DATA B1'!G815-'DATA B1'!G814)/('WATER_STEAM RATIO'!D814-'WATER_STEAM RATIO'!D813))*1000,0)</f>
        <v>0</v>
      </c>
      <c r="J814" s="50">
        <f>'DATA B2'!D815</f>
        <v>0</v>
      </c>
      <c r="K814" s="82">
        <f t="shared" si="298"/>
        <v>0</v>
      </c>
      <c r="L814" s="80">
        <f>'DATA B2'!E815</f>
        <v>0</v>
      </c>
      <c r="M814" s="80">
        <f t="shared" si="299"/>
        <v>0</v>
      </c>
      <c r="N814" s="28">
        <f t="shared" si="295"/>
        <v>0</v>
      </c>
      <c r="O814" s="51">
        <f>IFERROR((('DATA B2'!F815-'DATA B2'!F814)/(K814))*1000,0)</f>
        <v>0</v>
      </c>
      <c r="P814" s="94">
        <f>'DATA B3'!C815</f>
        <v>0</v>
      </c>
      <c r="Q814" s="91">
        <f t="shared" si="300"/>
        <v>0</v>
      </c>
      <c r="R814" s="80">
        <f>'DATA B3'!D815</f>
        <v>0</v>
      </c>
      <c r="S814" s="80">
        <f t="shared" si="301"/>
        <v>0</v>
      </c>
      <c r="T814" s="15">
        <f t="shared" si="296"/>
        <v>0</v>
      </c>
      <c r="U814" s="15">
        <f>IFERROR((('DATA B3'!E815-'DATA B3'!E814)+('DATA B3'!F815-'DATA B3'!F814))/('WATER_STEAM RATIO'!P814-'WATER_STEAM RATIO'!P813),0)</f>
        <v>0</v>
      </c>
    </row>
    <row r="815" spans="2:21">
      <c r="B815" s="292"/>
      <c r="C815" s="97">
        <v>1.2916666666666701</v>
      </c>
      <c r="D815" s="84">
        <f>'DATA B1'!D816</f>
        <v>0</v>
      </c>
      <c r="E815" s="5">
        <f t="shared" si="302"/>
        <v>0</v>
      </c>
      <c r="F815" s="80">
        <f>'DATA B1'!E816</f>
        <v>0</v>
      </c>
      <c r="G815" s="80">
        <f t="shared" si="297"/>
        <v>0</v>
      </c>
      <c r="H815" s="28">
        <f t="shared" si="293"/>
        <v>0</v>
      </c>
      <c r="I815" s="45">
        <f>IFERROR((('DATA B1'!G816-'DATA B1'!G815)/('WATER_STEAM RATIO'!D815-'WATER_STEAM RATIO'!D814))*1000,0)</f>
        <v>0</v>
      </c>
      <c r="J815" s="50">
        <f>'DATA B2'!D816</f>
        <v>0</v>
      </c>
      <c r="K815" s="82">
        <f>SUM(J815-J814)</f>
        <v>0</v>
      </c>
      <c r="L815" s="80">
        <f>'DATA B2'!E816</f>
        <v>0</v>
      </c>
      <c r="M815" s="80">
        <f t="shared" si="299"/>
        <v>0</v>
      </c>
      <c r="N815" s="28">
        <f t="shared" si="295"/>
        <v>0</v>
      </c>
      <c r="O815" s="51">
        <f>IFERROR((('DATA B2'!F816-'DATA B2'!F815)/(K815))*1000,0)</f>
        <v>0</v>
      </c>
      <c r="P815" s="94">
        <f>'DATA B3'!C816</f>
        <v>0</v>
      </c>
      <c r="Q815" s="91">
        <f t="shared" si="300"/>
        <v>0</v>
      </c>
      <c r="R815" s="80">
        <f>'DATA B3'!D816</f>
        <v>0</v>
      </c>
      <c r="S815" s="80">
        <f t="shared" si="301"/>
        <v>0</v>
      </c>
      <c r="T815" s="15">
        <f t="shared" si="296"/>
        <v>0</v>
      </c>
      <c r="U815" s="15">
        <f>IFERROR((('DATA B3'!E816-'DATA B3'!E815)+('DATA B3'!F816-'DATA B3'!F815))/('WATER_STEAM RATIO'!P815-'WATER_STEAM RATIO'!P814),0)</f>
        <v>0</v>
      </c>
    </row>
    <row r="816" spans="2:21" ht="15.75" thickBot="1">
      <c r="B816" s="293"/>
      <c r="C816" s="235"/>
      <c r="D816" s="224" cm="1">
        <f t="array" ref="D816">IFERROR(LOOKUP(2,1/(D791:D815&gt;0),D791:D815-D791),0)</f>
        <v>0</v>
      </c>
      <c r="E816" s="223">
        <f>SUMIF(E792:E815,"&gt;=0",E792:E815)</f>
        <v>0</v>
      </c>
      <c r="F816" s="224" cm="1">
        <f t="array" ref="F816">IFERROR(LOOKUP(2,1/(F791:F815&gt;0),F791:F815-F791),0)</f>
        <v>0</v>
      </c>
      <c r="G816" s="223">
        <f>SUMIF(G792:G815,"&gt;=0",G792:G815)</f>
        <v>0</v>
      </c>
      <c r="H816" s="225">
        <f t="shared" si="293"/>
        <v>0</v>
      </c>
      <c r="I816" s="236">
        <f>IFERROR((('DATA B1'!H817)/(E816))*1000,0)</f>
        <v>0</v>
      </c>
      <c r="J816" s="222" cm="1">
        <f t="array" ref="J816">IFERROR(LOOKUP(2,1/(J791:J815&gt;0),J791:J815-J791),0)</f>
        <v>0</v>
      </c>
      <c r="K816" s="223">
        <f>SUMIF(K792:K815,"&gt;=0",K792:K815)</f>
        <v>0</v>
      </c>
      <c r="L816" s="224" cm="1">
        <f t="array" ref="L816">IFERROR(LOOKUP(2,1/(L791:L815&gt;0),L791:L815-L791),0)</f>
        <v>0</v>
      </c>
      <c r="M816" s="223">
        <f>SUMIF(M792:M815,"&gt;=0",M792:M815)</f>
        <v>0</v>
      </c>
      <c r="N816" s="225">
        <f>IFERROR(M816/K816,0)</f>
        <v>0</v>
      </c>
      <c r="O816" s="226">
        <f>IFERROR((('DATA B2'!H817)/(K816))*1000,0)</f>
        <v>0</v>
      </c>
      <c r="P816" s="224" cm="1">
        <f t="array" ref="P816">IFERROR(LOOKUP(2,1/(P791:P815&gt;0),P791:P815-P791),0)</f>
        <v>0</v>
      </c>
      <c r="Q816" s="223">
        <f>SUMIF(Q792:Q815,"&gt;=0",Q792:Q815)</f>
        <v>0</v>
      </c>
      <c r="R816" s="224" cm="1">
        <f t="array" ref="R816">IFERROR(LOOKUP(2,1/(R791:R815&gt;0),R791:R815-R791),0)</f>
        <v>0</v>
      </c>
      <c r="S816" s="223">
        <f>SUMIF(S792:S815,"&gt;=0",S792:S815)</f>
        <v>0</v>
      </c>
      <c r="T816" s="237">
        <f t="shared" si="296"/>
        <v>0</v>
      </c>
      <c r="U816" s="226">
        <f>IFERROR(('DATA B3'!E817+'DATA B3'!F817)/Q816*1000,0)</f>
        <v>0</v>
      </c>
    </row>
    <row r="825" spans="4:4">
      <c r="D825" s="23"/>
    </row>
  </sheetData>
  <sheetProtection sheet="1" objects="1" scenarios="1"/>
  <mergeCells count="50">
    <mergeCell ref="B5:C6"/>
    <mergeCell ref="S3:T3"/>
    <mergeCell ref="S4:T4"/>
    <mergeCell ref="F2:R4"/>
    <mergeCell ref="B2:E4"/>
    <mergeCell ref="P7:Q8"/>
    <mergeCell ref="R7:S8"/>
    <mergeCell ref="P5:U6"/>
    <mergeCell ref="J5:O6"/>
    <mergeCell ref="D5:I6"/>
    <mergeCell ref="N7:N9"/>
    <mergeCell ref="T7:T9"/>
    <mergeCell ref="L7:M8"/>
    <mergeCell ref="C7:C9"/>
    <mergeCell ref="H7:H9"/>
    <mergeCell ref="F7:G8"/>
    <mergeCell ref="D7:E8"/>
    <mergeCell ref="J7:K8"/>
    <mergeCell ref="B349:B374"/>
    <mergeCell ref="B375:B400"/>
    <mergeCell ref="B583:B608"/>
    <mergeCell ref="B609:B634"/>
    <mergeCell ref="B635:B660"/>
    <mergeCell ref="B427:B452"/>
    <mergeCell ref="B453:B478"/>
    <mergeCell ref="B479:B504"/>
    <mergeCell ref="B505:B530"/>
    <mergeCell ref="B531:B556"/>
    <mergeCell ref="B557:B582"/>
    <mergeCell ref="B765:B790"/>
    <mergeCell ref="B791:B816"/>
    <mergeCell ref="B687:B712"/>
    <mergeCell ref="B713:B738"/>
    <mergeCell ref="B401:B426"/>
    <mergeCell ref="B739:B764"/>
    <mergeCell ref="B661:B686"/>
    <mergeCell ref="B7:B9"/>
    <mergeCell ref="B245:B270"/>
    <mergeCell ref="B271:B296"/>
    <mergeCell ref="B297:B322"/>
    <mergeCell ref="B323:B348"/>
    <mergeCell ref="B11:B36"/>
    <mergeCell ref="B37:B62"/>
    <mergeCell ref="B63:B88"/>
    <mergeCell ref="B89:B114"/>
    <mergeCell ref="B115:B140"/>
    <mergeCell ref="B141:B166"/>
    <mergeCell ref="B167:B192"/>
    <mergeCell ref="B193:B218"/>
    <mergeCell ref="B219:B244"/>
  </mergeCells>
  <pageMargins left="0.70866141732283461" right="0.70866141732283461" top="0.74803149606299213" bottom="0.74803149606299213" header="0.31496062992125984" footer="0.31496062992125984"/>
  <pageSetup paperSize="9" scale="71" fitToHeight="0" pageOrder="overThenDown" orientation="landscape" r:id="rId1"/>
  <rowBreaks count="30" manualBreakCount="30">
    <brk id="36" min="1" max="20" man="1"/>
    <brk id="62" min="1" max="20" man="1"/>
    <brk id="88" min="1" max="20" man="1"/>
    <brk id="114" min="1" max="20" man="1"/>
    <brk id="140" min="1" max="20" man="1"/>
    <brk id="166" min="1" max="20" man="1"/>
    <brk id="192" min="1" max="20" man="1"/>
    <brk id="218" min="1" max="20" man="1"/>
    <brk id="244" min="1" max="20" man="1"/>
    <brk id="270" min="1" max="20" man="1"/>
    <brk id="296" min="1" max="20" man="1"/>
    <brk id="322" min="1" max="20" man="1"/>
    <brk id="348" min="1" max="20" man="1"/>
    <brk id="374" min="1" max="20" man="1"/>
    <brk id="400" min="1" max="20" man="1"/>
    <brk id="426" min="1" max="20" man="1"/>
    <brk id="452" min="1" max="20" man="1"/>
    <brk id="478" min="1" max="20" man="1"/>
    <brk id="504" min="1" max="20" man="1"/>
    <brk id="530" min="1" max="20" man="1"/>
    <brk id="556" min="1" max="20" man="1"/>
    <brk id="582" min="1" max="20" man="1"/>
    <brk id="608" min="1" max="20" man="1"/>
    <brk id="634" min="1" max="20" man="1"/>
    <brk id="660" min="1" max="20" man="1"/>
    <brk id="686" min="1" max="20" man="1"/>
    <brk id="712" min="1" max="20" man="1"/>
    <brk id="738" min="1" max="20" man="1"/>
    <brk id="764" min="1" max="20" man="1"/>
    <brk id="790" min="1" max="20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L42"/>
  <sheetViews>
    <sheetView view="pageBreakPreview" zoomScaleNormal="100" zoomScaleSheetLayoutView="100" workbookViewId="0">
      <pane xSplit="2" ySplit="8" topLeftCell="C9" activePane="bottomRight" state="frozen"/>
      <selection pane="bottomRight" activeCell="K2" sqref="K2:L3"/>
      <selection pane="bottomLeft" activeCell="A11" sqref="A11"/>
      <selection pane="topRight" activeCell="C1" sqref="C1"/>
    </sheetView>
  </sheetViews>
  <sheetFormatPr defaultRowHeight="15"/>
  <cols>
    <col min="1" max="1" width="2.28515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2.7109375" style="14" customWidth="1"/>
    <col min="12" max="12" width="12.7109375" customWidth="1"/>
    <col min="13" max="13" width="15.7109375" customWidth="1"/>
  </cols>
  <sheetData>
    <row r="1" spans="2:12" ht="14.45" customHeight="1"/>
    <row r="2" spans="2:12" ht="14.45" customHeight="1">
      <c r="B2" s="279"/>
      <c r="C2" s="279"/>
      <c r="D2" s="376" t="s">
        <v>68</v>
      </c>
      <c r="E2" s="377"/>
      <c r="F2" s="377"/>
      <c r="G2" s="377"/>
      <c r="H2" s="377"/>
      <c r="I2" s="378"/>
      <c r="J2" s="385" t="s">
        <v>69</v>
      </c>
      <c r="K2" s="370" t="s">
        <v>2</v>
      </c>
      <c r="L2" s="370"/>
    </row>
    <row r="3" spans="2:12" ht="14.45" customHeight="1">
      <c r="B3" s="279"/>
      <c r="C3" s="279"/>
      <c r="D3" s="379"/>
      <c r="E3" s="380"/>
      <c r="F3" s="380"/>
      <c r="G3" s="380"/>
      <c r="H3" s="380"/>
      <c r="I3" s="381"/>
      <c r="J3" s="386"/>
      <c r="K3" s="371"/>
      <c r="L3" s="371"/>
    </row>
    <row r="4" spans="2:12" ht="14.45" customHeight="1">
      <c r="B4" s="279"/>
      <c r="C4" s="279"/>
      <c r="D4" s="382"/>
      <c r="E4" s="383"/>
      <c r="F4" s="383"/>
      <c r="G4" s="383"/>
      <c r="H4" s="383"/>
      <c r="I4" s="384"/>
      <c r="J4" s="387" t="s">
        <v>3</v>
      </c>
      <c r="K4" s="372" t="s">
        <v>70</v>
      </c>
      <c r="L4" s="373"/>
    </row>
    <row r="5" spans="2:12" ht="14.45" customHeight="1">
      <c r="B5" s="279"/>
      <c r="C5" s="279"/>
      <c r="D5" s="73" t="s">
        <v>7</v>
      </c>
      <c r="E5" s="129">
        <f>SUM('DATA B3'!N6)</f>
        <v>46023</v>
      </c>
      <c r="F5" s="127"/>
      <c r="G5" s="127"/>
      <c r="H5" s="127"/>
      <c r="I5" s="128"/>
      <c r="J5" s="388"/>
      <c r="K5" s="374"/>
      <c r="L5" s="375"/>
    </row>
    <row r="6" spans="2:12" ht="14.45" customHeight="1">
      <c r="D6" s="121"/>
    </row>
    <row r="7" spans="2:12" ht="45" customHeight="1">
      <c r="B7" s="285" t="s">
        <v>8</v>
      </c>
      <c r="C7" s="32" t="s">
        <v>71</v>
      </c>
      <c r="D7" s="20" t="s">
        <v>72</v>
      </c>
      <c r="E7" s="365" t="s">
        <v>73</v>
      </c>
      <c r="F7" s="250" t="s">
        <v>74</v>
      </c>
      <c r="G7" s="365" t="s">
        <v>75</v>
      </c>
      <c r="H7" s="367" t="s">
        <v>76</v>
      </c>
      <c r="I7" s="368"/>
      <c r="J7" s="369"/>
      <c r="K7" s="365" t="s">
        <v>77</v>
      </c>
      <c r="L7" s="17" t="s">
        <v>78</v>
      </c>
    </row>
    <row r="8" spans="2:12">
      <c r="B8" s="287"/>
      <c r="C8" s="1" t="s">
        <v>65</v>
      </c>
      <c r="D8" s="2" t="s">
        <v>65</v>
      </c>
      <c r="E8" s="366"/>
      <c r="F8" s="3" t="s">
        <v>65</v>
      </c>
      <c r="G8" s="366"/>
      <c r="H8" s="258" t="s">
        <v>26</v>
      </c>
      <c r="I8" s="258" t="s">
        <v>27</v>
      </c>
      <c r="J8" s="258" t="s">
        <v>12</v>
      </c>
      <c r="K8" s="366"/>
      <c r="L8" s="21" t="s">
        <v>65</v>
      </c>
    </row>
    <row r="9" spans="2:12">
      <c r="B9" s="8">
        <f>SUM('DATA B1'!B12:B37)</f>
        <v>46023</v>
      </c>
      <c r="C9" s="5">
        <f>'DATA B1'!D37</f>
        <v>0</v>
      </c>
      <c r="D9" s="11">
        <f>'DATA B1'!E37</f>
        <v>0</v>
      </c>
      <c r="E9" s="15">
        <f t="shared" ref="E9:E40" si="0">IFERROR(D9/C9,0)</f>
        <v>0</v>
      </c>
      <c r="F9" s="9">
        <f>'DATA B1'!K37</f>
        <v>0</v>
      </c>
      <c r="G9" s="15">
        <f t="shared" ref="G9:G40" si="1">IFERROR(F9/C9,0)</f>
        <v>0</v>
      </c>
      <c r="H9" s="42">
        <f>'DATA B1'!F37</f>
        <v>0</v>
      </c>
      <c r="I9" s="42">
        <f>'DATA B1'!G37</f>
        <v>0</v>
      </c>
      <c r="J9" s="42">
        <f>SUM(H9:I9)</f>
        <v>0</v>
      </c>
      <c r="K9" s="15">
        <f t="shared" ref="K9:K39" si="2">IFERROR(J9/C9,0)*1000</f>
        <v>0</v>
      </c>
      <c r="L9" s="18">
        <f>'DATA B1'!N37</f>
        <v>0</v>
      </c>
    </row>
    <row r="10" spans="2:12" ht="14.45" customHeight="1">
      <c r="B10" s="8">
        <f>SUM('DATA B1'!B38:B63)</f>
        <v>46024</v>
      </c>
      <c r="C10" s="5">
        <f>'DATA B1'!D63</f>
        <v>0</v>
      </c>
      <c r="D10" s="11">
        <f>'DATA B1'!E63</f>
        <v>0</v>
      </c>
      <c r="E10" s="15">
        <f t="shared" si="0"/>
        <v>0</v>
      </c>
      <c r="F10" s="9">
        <f>'DATA B1'!K63</f>
        <v>0</v>
      </c>
      <c r="G10" s="15">
        <f t="shared" si="1"/>
        <v>0</v>
      </c>
      <c r="H10" s="42">
        <f>'DATA B1'!F63</f>
        <v>0</v>
      </c>
      <c r="I10" s="42">
        <f>'DATA B1'!G63</f>
        <v>0</v>
      </c>
      <c r="J10" s="42">
        <f t="shared" ref="J10:J39" si="3">SUM(H10:I10)</f>
        <v>0</v>
      </c>
      <c r="K10" s="15">
        <f t="shared" si="2"/>
        <v>0</v>
      </c>
      <c r="L10" s="18">
        <f>'DATA B1'!N63</f>
        <v>0</v>
      </c>
    </row>
    <row r="11" spans="2:12">
      <c r="B11" s="8">
        <f>SUM('DATA B1'!B64:B89)</f>
        <v>46025</v>
      </c>
      <c r="C11" s="5">
        <f>'DATA B1'!D89</f>
        <v>0</v>
      </c>
      <c r="D11" s="11">
        <f>'DATA B1'!E89</f>
        <v>0</v>
      </c>
      <c r="E11" s="15">
        <f t="shared" si="0"/>
        <v>0</v>
      </c>
      <c r="F11" s="9">
        <f>'DATA B1'!K89</f>
        <v>0</v>
      </c>
      <c r="G11" s="15">
        <f t="shared" si="1"/>
        <v>0</v>
      </c>
      <c r="H11" s="42">
        <f>'DATA B1'!F89</f>
        <v>0</v>
      </c>
      <c r="I11" s="42">
        <f>'DATA B1'!G89</f>
        <v>0</v>
      </c>
      <c r="J11" s="42">
        <f t="shared" si="3"/>
        <v>0</v>
      </c>
      <c r="K11" s="15">
        <f t="shared" si="2"/>
        <v>0</v>
      </c>
      <c r="L11" s="18">
        <f>'DATA B1'!N89</f>
        <v>0</v>
      </c>
    </row>
    <row r="12" spans="2:12">
      <c r="B12" s="8">
        <f>SUM('DATA B1'!B90:B115)</f>
        <v>46026</v>
      </c>
      <c r="C12" s="5">
        <f>'DATA B1'!D115</f>
        <v>0</v>
      </c>
      <c r="D12" s="11">
        <f>'DATA B1'!E115</f>
        <v>0</v>
      </c>
      <c r="E12" s="15">
        <f t="shared" si="0"/>
        <v>0</v>
      </c>
      <c r="F12" s="9">
        <f>'DATA B1'!K115</f>
        <v>0</v>
      </c>
      <c r="G12" s="15">
        <f t="shared" si="1"/>
        <v>0</v>
      </c>
      <c r="H12" s="42">
        <f>'DATA B1'!F115</f>
        <v>0</v>
      </c>
      <c r="I12" s="42">
        <f>'DATA B1'!G115</f>
        <v>0</v>
      </c>
      <c r="J12" s="42">
        <f t="shared" si="3"/>
        <v>0</v>
      </c>
      <c r="K12" s="15">
        <f t="shared" si="2"/>
        <v>0</v>
      </c>
      <c r="L12" s="18">
        <f>'DATA B1'!N115</f>
        <v>0</v>
      </c>
    </row>
    <row r="13" spans="2:12">
      <c r="B13" s="8">
        <f>SUM('DATA B1'!B116:B141)</f>
        <v>46027</v>
      </c>
      <c r="C13" s="5">
        <f>'DATA B1'!D141</f>
        <v>0</v>
      </c>
      <c r="D13" s="11">
        <f>'DATA B1'!E141</f>
        <v>0</v>
      </c>
      <c r="E13" s="15">
        <f t="shared" si="0"/>
        <v>0</v>
      </c>
      <c r="F13" s="9">
        <f>'DATA B1'!K141</f>
        <v>0</v>
      </c>
      <c r="G13" s="15">
        <f t="shared" si="1"/>
        <v>0</v>
      </c>
      <c r="H13" s="42">
        <f>'DATA B1'!F141</f>
        <v>0</v>
      </c>
      <c r="I13" s="42">
        <f>'DATA B1'!G141</f>
        <v>0</v>
      </c>
      <c r="J13" s="42">
        <f t="shared" si="3"/>
        <v>0</v>
      </c>
      <c r="K13" s="15">
        <f t="shared" si="2"/>
        <v>0</v>
      </c>
      <c r="L13" s="18">
        <f>'DATA B1'!N141</f>
        <v>0</v>
      </c>
    </row>
    <row r="14" spans="2:12">
      <c r="B14" s="8">
        <f>SUM('DATA B1'!B142:B167)</f>
        <v>46028</v>
      </c>
      <c r="C14" s="5">
        <f>'DATA B1'!D167</f>
        <v>0</v>
      </c>
      <c r="D14" s="11">
        <f>'DATA B1'!E167</f>
        <v>0</v>
      </c>
      <c r="E14" s="15">
        <f t="shared" si="0"/>
        <v>0</v>
      </c>
      <c r="F14" s="9">
        <f>'DATA B1'!K167</f>
        <v>0</v>
      </c>
      <c r="G14" s="15">
        <f t="shared" si="1"/>
        <v>0</v>
      </c>
      <c r="H14" s="42">
        <f>'DATA B1'!F167</f>
        <v>0</v>
      </c>
      <c r="I14" s="42">
        <f>'DATA B1'!G167</f>
        <v>0</v>
      </c>
      <c r="J14" s="42">
        <f t="shared" si="3"/>
        <v>0</v>
      </c>
      <c r="K14" s="15">
        <f t="shared" si="2"/>
        <v>0</v>
      </c>
      <c r="L14" s="18">
        <f>'DATA B1'!N167</f>
        <v>0</v>
      </c>
    </row>
    <row r="15" spans="2:12">
      <c r="B15" s="8">
        <f>SUM('DATA B1'!B168:B193)</f>
        <v>46029</v>
      </c>
      <c r="C15" s="5">
        <f>'DATA B1'!D193</f>
        <v>0</v>
      </c>
      <c r="D15" s="11">
        <f>'DATA B1'!E193</f>
        <v>0</v>
      </c>
      <c r="E15" s="15">
        <f t="shared" si="0"/>
        <v>0</v>
      </c>
      <c r="F15" s="9">
        <f>'DATA B1'!K193</f>
        <v>0</v>
      </c>
      <c r="G15" s="15">
        <f t="shared" si="1"/>
        <v>0</v>
      </c>
      <c r="H15" s="42">
        <f>'DATA B1'!F193</f>
        <v>0</v>
      </c>
      <c r="I15" s="42">
        <f>'DATA B1'!G193</f>
        <v>0</v>
      </c>
      <c r="J15" s="42">
        <f t="shared" si="3"/>
        <v>0</v>
      </c>
      <c r="K15" s="15">
        <f t="shared" si="2"/>
        <v>0</v>
      </c>
      <c r="L15" s="18">
        <f>'DATA B1'!N193</f>
        <v>0</v>
      </c>
    </row>
    <row r="16" spans="2:12">
      <c r="B16" s="8">
        <f>SUM('DATA B1'!B194:B219)</f>
        <v>46030</v>
      </c>
      <c r="C16" s="5">
        <f>'DATA B1'!D219</f>
        <v>0</v>
      </c>
      <c r="D16" s="11">
        <f>'DATA B1'!E219</f>
        <v>0</v>
      </c>
      <c r="E16" s="15">
        <f t="shared" si="0"/>
        <v>0</v>
      </c>
      <c r="F16" s="9">
        <f>'DATA B1'!K219</f>
        <v>0</v>
      </c>
      <c r="G16" s="15">
        <f t="shared" si="1"/>
        <v>0</v>
      </c>
      <c r="H16" s="42">
        <f>'DATA B1'!F219</f>
        <v>0</v>
      </c>
      <c r="I16" s="42">
        <f>'DATA B1'!G219</f>
        <v>0</v>
      </c>
      <c r="J16" s="42">
        <f t="shared" si="3"/>
        <v>0</v>
      </c>
      <c r="K16" s="15">
        <f t="shared" si="2"/>
        <v>0</v>
      </c>
      <c r="L16" s="18">
        <f>'DATA B1'!N219</f>
        <v>0</v>
      </c>
    </row>
    <row r="17" spans="2:12">
      <c r="B17" s="8">
        <f>SUM('DATA B1'!B220:B245)</f>
        <v>46031</v>
      </c>
      <c r="C17" s="5">
        <f>'DATA B1'!D245</f>
        <v>0</v>
      </c>
      <c r="D17" s="11">
        <f>'DATA B1'!E245</f>
        <v>0</v>
      </c>
      <c r="E17" s="15">
        <f t="shared" si="0"/>
        <v>0</v>
      </c>
      <c r="F17" s="9">
        <f>'DATA B1'!K245</f>
        <v>0</v>
      </c>
      <c r="G17" s="15">
        <f t="shared" si="1"/>
        <v>0</v>
      </c>
      <c r="H17" s="42">
        <f>'DATA B1'!F245</f>
        <v>0</v>
      </c>
      <c r="I17" s="42">
        <f>'DATA B1'!G245</f>
        <v>0</v>
      </c>
      <c r="J17" s="42">
        <f t="shared" si="3"/>
        <v>0</v>
      </c>
      <c r="K17" s="15">
        <f t="shared" si="2"/>
        <v>0</v>
      </c>
      <c r="L17" s="18">
        <f>'DATA B1'!N245</f>
        <v>0</v>
      </c>
    </row>
    <row r="18" spans="2:12">
      <c r="B18" s="8">
        <f>SUM('DATA B1'!B246:B271)</f>
        <v>46032</v>
      </c>
      <c r="C18" s="5">
        <f>'DATA B1'!D271</f>
        <v>0</v>
      </c>
      <c r="D18" s="11">
        <f>'DATA B1'!E271</f>
        <v>0</v>
      </c>
      <c r="E18" s="15">
        <f t="shared" si="0"/>
        <v>0</v>
      </c>
      <c r="F18" s="9">
        <f>'DATA B1'!K271</f>
        <v>0</v>
      </c>
      <c r="G18" s="15">
        <f t="shared" si="1"/>
        <v>0</v>
      </c>
      <c r="H18" s="42">
        <f>'DATA B1'!F271</f>
        <v>0</v>
      </c>
      <c r="I18" s="42">
        <f>'DATA B1'!G271</f>
        <v>0</v>
      </c>
      <c r="J18" s="42">
        <f t="shared" si="3"/>
        <v>0</v>
      </c>
      <c r="K18" s="15">
        <f t="shared" si="2"/>
        <v>0</v>
      </c>
      <c r="L18" s="18">
        <f>'DATA B1'!N271</f>
        <v>0</v>
      </c>
    </row>
    <row r="19" spans="2:12">
      <c r="B19" s="8">
        <f>SUM('DATA B1'!B272:B297)</f>
        <v>46033</v>
      </c>
      <c r="C19" s="5">
        <f>'DATA B1'!D297</f>
        <v>0</v>
      </c>
      <c r="D19" s="11">
        <f>'DATA B1'!E297</f>
        <v>0</v>
      </c>
      <c r="E19" s="15">
        <f t="shared" si="0"/>
        <v>0</v>
      </c>
      <c r="F19" s="9">
        <f>'DATA B1'!K297</f>
        <v>0</v>
      </c>
      <c r="G19" s="15">
        <f t="shared" si="1"/>
        <v>0</v>
      </c>
      <c r="H19" s="42">
        <f>'DATA B1'!F297</f>
        <v>0</v>
      </c>
      <c r="I19" s="42">
        <f>'DATA B1'!G297</f>
        <v>0</v>
      </c>
      <c r="J19" s="42">
        <f t="shared" si="3"/>
        <v>0</v>
      </c>
      <c r="K19" s="15">
        <f t="shared" si="2"/>
        <v>0</v>
      </c>
      <c r="L19" s="18">
        <f>'DATA B1'!N297</f>
        <v>0</v>
      </c>
    </row>
    <row r="20" spans="2:12">
      <c r="B20" s="8">
        <f>SUM('DATA B1'!B298:B323)</f>
        <v>46034</v>
      </c>
      <c r="C20" s="5">
        <f>'DATA B1'!D323</f>
        <v>0</v>
      </c>
      <c r="D20" s="11">
        <f>'DATA B1'!E323</f>
        <v>0</v>
      </c>
      <c r="E20" s="15">
        <f t="shared" si="0"/>
        <v>0</v>
      </c>
      <c r="F20" s="9">
        <f>'DATA B1'!K323</f>
        <v>0</v>
      </c>
      <c r="G20" s="15">
        <f t="shared" si="1"/>
        <v>0</v>
      </c>
      <c r="H20" s="42">
        <f>'DATA B1'!F323</f>
        <v>0</v>
      </c>
      <c r="I20" s="42">
        <f>'DATA B1'!G323</f>
        <v>0</v>
      </c>
      <c r="J20" s="42">
        <f t="shared" si="3"/>
        <v>0</v>
      </c>
      <c r="K20" s="15">
        <f t="shared" si="2"/>
        <v>0</v>
      </c>
      <c r="L20" s="18">
        <f>'DATA B1'!N323</f>
        <v>0</v>
      </c>
    </row>
    <row r="21" spans="2:12">
      <c r="B21" s="8">
        <f>SUM('DATA B1'!B324:B349)</f>
        <v>46035</v>
      </c>
      <c r="C21" s="5">
        <f>'DATA B1'!D349</f>
        <v>0</v>
      </c>
      <c r="D21" s="11">
        <f>'DATA B1'!E349</f>
        <v>0</v>
      </c>
      <c r="E21" s="15">
        <f t="shared" si="0"/>
        <v>0</v>
      </c>
      <c r="F21" s="9">
        <f>'DATA B1'!K349</f>
        <v>0</v>
      </c>
      <c r="G21" s="15">
        <f t="shared" si="1"/>
        <v>0</v>
      </c>
      <c r="H21" s="42">
        <f>'DATA B1'!F349</f>
        <v>0</v>
      </c>
      <c r="I21" s="42">
        <f>'DATA B1'!G349</f>
        <v>0</v>
      </c>
      <c r="J21" s="42">
        <f t="shared" si="3"/>
        <v>0</v>
      </c>
      <c r="K21" s="15">
        <f t="shared" si="2"/>
        <v>0</v>
      </c>
      <c r="L21" s="18">
        <f>'DATA B1'!N349</f>
        <v>0</v>
      </c>
    </row>
    <row r="22" spans="2:12">
      <c r="B22" s="8">
        <f>SUM('DATA B1'!B350:B375)</f>
        <v>46036</v>
      </c>
      <c r="C22" s="5">
        <f>'DATA B1'!D375</f>
        <v>0</v>
      </c>
      <c r="D22" s="11">
        <f>'DATA B1'!E375</f>
        <v>0</v>
      </c>
      <c r="E22" s="15">
        <f t="shared" si="0"/>
        <v>0</v>
      </c>
      <c r="F22" s="9">
        <f>'DATA B1'!K375</f>
        <v>0</v>
      </c>
      <c r="G22" s="15">
        <f t="shared" si="1"/>
        <v>0</v>
      </c>
      <c r="H22" s="42">
        <f>'DATA B1'!F375</f>
        <v>0</v>
      </c>
      <c r="I22" s="42">
        <f>'DATA B1'!G375</f>
        <v>0</v>
      </c>
      <c r="J22" s="42">
        <f t="shared" si="3"/>
        <v>0</v>
      </c>
      <c r="K22" s="15">
        <f t="shared" si="2"/>
        <v>0</v>
      </c>
      <c r="L22" s="18">
        <f>'DATA B1'!N375</f>
        <v>0</v>
      </c>
    </row>
    <row r="23" spans="2:12">
      <c r="B23" s="8">
        <f>SUM('DATA B1'!B376:B401)</f>
        <v>46037</v>
      </c>
      <c r="C23" s="5">
        <f>'DATA B1'!D401</f>
        <v>0</v>
      </c>
      <c r="D23" s="11">
        <f>'DATA B1'!E401</f>
        <v>0</v>
      </c>
      <c r="E23" s="15">
        <f t="shared" si="0"/>
        <v>0</v>
      </c>
      <c r="F23" s="9">
        <f>'DATA B1'!K401</f>
        <v>0</v>
      </c>
      <c r="G23" s="15">
        <f t="shared" si="1"/>
        <v>0</v>
      </c>
      <c r="H23" s="42">
        <f>'DATA B1'!F401</f>
        <v>0</v>
      </c>
      <c r="I23" s="42">
        <f>'DATA B1'!G401</f>
        <v>0</v>
      </c>
      <c r="J23" s="42">
        <f t="shared" si="3"/>
        <v>0</v>
      </c>
      <c r="K23" s="15">
        <f t="shared" si="2"/>
        <v>0</v>
      </c>
      <c r="L23" s="18">
        <f>'DATA B1'!N401</f>
        <v>0</v>
      </c>
    </row>
    <row r="24" spans="2:12">
      <c r="B24" s="8">
        <f>SUM('DATA B1'!B402:B427)</f>
        <v>46038</v>
      </c>
      <c r="C24" s="5">
        <f>'DATA B1'!D427</f>
        <v>0</v>
      </c>
      <c r="D24" s="11">
        <f>'DATA B1'!E427</f>
        <v>0</v>
      </c>
      <c r="E24" s="15">
        <f t="shared" si="0"/>
        <v>0</v>
      </c>
      <c r="F24" s="9">
        <f>'DATA B1'!K427</f>
        <v>0</v>
      </c>
      <c r="G24" s="15">
        <f t="shared" si="1"/>
        <v>0</v>
      </c>
      <c r="H24" s="42">
        <f>'DATA B1'!F427</f>
        <v>0</v>
      </c>
      <c r="I24" s="42">
        <f>'DATA B1'!G427</f>
        <v>0</v>
      </c>
      <c r="J24" s="42">
        <f t="shared" si="3"/>
        <v>0</v>
      </c>
      <c r="K24" s="15">
        <f t="shared" si="2"/>
        <v>0</v>
      </c>
      <c r="L24" s="18">
        <f>'DATA B1'!N427</f>
        <v>0</v>
      </c>
    </row>
    <row r="25" spans="2:12">
      <c r="B25" s="8">
        <f>SUM('DATA B1'!B428:B453)</f>
        <v>46039</v>
      </c>
      <c r="C25" s="5">
        <f>'DATA B1'!D453</f>
        <v>0</v>
      </c>
      <c r="D25" s="11">
        <f>'DATA B1'!E453</f>
        <v>0</v>
      </c>
      <c r="E25" s="15">
        <f t="shared" si="0"/>
        <v>0</v>
      </c>
      <c r="F25" s="9">
        <f>'DATA B1'!K453</f>
        <v>0</v>
      </c>
      <c r="G25" s="15">
        <f t="shared" si="1"/>
        <v>0</v>
      </c>
      <c r="H25" s="42">
        <f>'DATA B1'!F453</f>
        <v>0</v>
      </c>
      <c r="I25" s="42">
        <f>'DATA B1'!G453</f>
        <v>0</v>
      </c>
      <c r="J25" s="42">
        <f t="shared" si="3"/>
        <v>0</v>
      </c>
      <c r="K25" s="15">
        <f t="shared" si="2"/>
        <v>0</v>
      </c>
      <c r="L25" s="18">
        <f>'DATA B1'!N453</f>
        <v>0</v>
      </c>
    </row>
    <row r="26" spans="2:12">
      <c r="B26" s="8">
        <f>SUM('DATA B1'!B454:B479)</f>
        <v>46040</v>
      </c>
      <c r="C26" s="5">
        <f>'DATA B1'!D479</f>
        <v>0</v>
      </c>
      <c r="D26" s="11">
        <f>'DATA B1'!E479</f>
        <v>0</v>
      </c>
      <c r="E26" s="15">
        <f t="shared" si="0"/>
        <v>0</v>
      </c>
      <c r="F26" s="9">
        <f>'DATA B1'!K479</f>
        <v>0</v>
      </c>
      <c r="G26" s="15">
        <f t="shared" si="1"/>
        <v>0</v>
      </c>
      <c r="H26" s="42">
        <f>'DATA B1'!F479</f>
        <v>0</v>
      </c>
      <c r="I26" s="42">
        <f>'DATA B1'!G479</f>
        <v>0</v>
      </c>
      <c r="J26" s="42">
        <f t="shared" si="3"/>
        <v>0</v>
      </c>
      <c r="K26" s="15">
        <f t="shared" si="2"/>
        <v>0</v>
      </c>
      <c r="L26" s="18">
        <f>'DATA B1'!N479</f>
        <v>0</v>
      </c>
    </row>
    <row r="27" spans="2:12">
      <c r="B27" s="8">
        <f>SUM('DATA B1'!B480:B505)</f>
        <v>46041</v>
      </c>
      <c r="C27" s="5">
        <f>'DATA B1'!D505</f>
        <v>0</v>
      </c>
      <c r="D27" s="11">
        <f>'DATA B1'!E505</f>
        <v>0</v>
      </c>
      <c r="E27" s="15">
        <f t="shared" si="0"/>
        <v>0</v>
      </c>
      <c r="F27" s="9">
        <f>'DATA B1'!K505</f>
        <v>0</v>
      </c>
      <c r="G27" s="15">
        <f t="shared" si="1"/>
        <v>0</v>
      </c>
      <c r="H27" s="42">
        <f>'DATA B1'!F505</f>
        <v>0</v>
      </c>
      <c r="I27" s="42">
        <f>'DATA B1'!G505</f>
        <v>0</v>
      </c>
      <c r="J27" s="42">
        <f t="shared" si="3"/>
        <v>0</v>
      </c>
      <c r="K27" s="15">
        <f t="shared" si="2"/>
        <v>0</v>
      </c>
      <c r="L27" s="18">
        <f>'DATA B1'!N505</f>
        <v>0</v>
      </c>
    </row>
    <row r="28" spans="2:12">
      <c r="B28" s="8">
        <f>SUM('DATA B1'!B506:B531)</f>
        <v>46042</v>
      </c>
      <c r="C28" s="5">
        <f>'DATA B1'!D531</f>
        <v>0</v>
      </c>
      <c r="D28" s="11">
        <f>'DATA B1'!E531</f>
        <v>0</v>
      </c>
      <c r="E28" s="15">
        <f t="shared" si="0"/>
        <v>0</v>
      </c>
      <c r="F28" s="9">
        <f>'DATA B1'!K531</f>
        <v>0</v>
      </c>
      <c r="G28" s="15">
        <f t="shared" si="1"/>
        <v>0</v>
      </c>
      <c r="H28" s="42">
        <f>'DATA B1'!F531</f>
        <v>0</v>
      </c>
      <c r="I28" s="42">
        <f>'DATA B1'!G531</f>
        <v>0</v>
      </c>
      <c r="J28" s="42">
        <f t="shared" si="3"/>
        <v>0</v>
      </c>
      <c r="K28" s="15">
        <f t="shared" si="2"/>
        <v>0</v>
      </c>
      <c r="L28" s="18">
        <f>'DATA B1'!N531</f>
        <v>0</v>
      </c>
    </row>
    <row r="29" spans="2:12">
      <c r="B29" s="8">
        <f>SUM('DATA B1'!B532:B557)</f>
        <v>46043</v>
      </c>
      <c r="C29" s="5">
        <f>'DATA B1'!D557</f>
        <v>0</v>
      </c>
      <c r="D29" s="11">
        <f>'DATA B1'!E557</f>
        <v>0</v>
      </c>
      <c r="E29" s="15">
        <f t="shared" si="0"/>
        <v>0</v>
      </c>
      <c r="F29" s="9">
        <f>'DATA B1'!K557</f>
        <v>0</v>
      </c>
      <c r="G29" s="15">
        <f t="shared" si="1"/>
        <v>0</v>
      </c>
      <c r="H29" s="42">
        <f>'DATA B1'!F557</f>
        <v>0</v>
      </c>
      <c r="I29" s="42">
        <f>'DATA B1'!G557</f>
        <v>0</v>
      </c>
      <c r="J29" s="42">
        <f t="shared" si="3"/>
        <v>0</v>
      </c>
      <c r="K29" s="15">
        <f t="shared" si="2"/>
        <v>0</v>
      </c>
      <c r="L29" s="18">
        <f>'DATA B1'!N557</f>
        <v>0</v>
      </c>
    </row>
    <row r="30" spans="2:12">
      <c r="B30" s="8">
        <f>SUM('DATA B1'!B558:B583)</f>
        <v>46044</v>
      </c>
      <c r="C30" s="5">
        <f>'DATA B1'!D583</f>
        <v>0</v>
      </c>
      <c r="D30" s="11">
        <f>'DATA B1'!E583</f>
        <v>0</v>
      </c>
      <c r="E30" s="15">
        <f t="shared" si="0"/>
        <v>0</v>
      </c>
      <c r="F30" s="9">
        <f>'DATA B1'!K583</f>
        <v>0</v>
      </c>
      <c r="G30" s="15">
        <f t="shared" si="1"/>
        <v>0</v>
      </c>
      <c r="H30" s="42">
        <f>'DATA B1'!F583</f>
        <v>0</v>
      </c>
      <c r="I30" s="42">
        <f>'DATA B1'!G583</f>
        <v>0</v>
      </c>
      <c r="J30" s="42">
        <f t="shared" si="3"/>
        <v>0</v>
      </c>
      <c r="K30" s="15">
        <f t="shared" si="2"/>
        <v>0</v>
      </c>
      <c r="L30" s="18">
        <f>'DATA B1'!N583</f>
        <v>0</v>
      </c>
    </row>
    <row r="31" spans="2:12">
      <c r="B31" s="8">
        <f>SUM('DATA B1'!B584:B609)</f>
        <v>46045</v>
      </c>
      <c r="C31" s="5">
        <f>'DATA B1'!D609</f>
        <v>0</v>
      </c>
      <c r="D31" s="11">
        <f>'DATA B1'!E609</f>
        <v>0</v>
      </c>
      <c r="E31" s="15">
        <f t="shared" si="0"/>
        <v>0</v>
      </c>
      <c r="F31" s="9">
        <f>'DATA B1'!K609</f>
        <v>0</v>
      </c>
      <c r="G31" s="15">
        <f t="shared" si="1"/>
        <v>0</v>
      </c>
      <c r="H31" s="42">
        <f>'DATA B1'!F609</f>
        <v>0</v>
      </c>
      <c r="I31" s="42">
        <f>'DATA B1'!G609</f>
        <v>0</v>
      </c>
      <c r="J31" s="42">
        <f t="shared" si="3"/>
        <v>0</v>
      </c>
      <c r="K31" s="15">
        <f t="shared" si="2"/>
        <v>0</v>
      </c>
      <c r="L31" s="18">
        <f>'DATA B1'!N609</f>
        <v>0</v>
      </c>
    </row>
    <row r="32" spans="2:12">
      <c r="B32" s="8">
        <f>SUM('DATA B1'!B610:B635)</f>
        <v>46046</v>
      </c>
      <c r="C32" s="5">
        <f>'DATA B1'!D635</f>
        <v>0</v>
      </c>
      <c r="D32" s="11">
        <f>'DATA B1'!E635</f>
        <v>0</v>
      </c>
      <c r="E32" s="15">
        <f t="shared" si="0"/>
        <v>0</v>
      </c>
      <c r="F32" s="9">
        <f>'DATA B1'!K635</f>
        <v>0</v>
      </c>
      <c r="G32" s="15">
        <f t="shared" si="1"/>
        <v>0</v>
      </c>
      <c r="H32" s="42">
        <f>'DATA B1'!F635</f>
        <v>0</v>
      </c>
      <c r="I32" s="42">
        <f>'DATA B1'!G635</f>
        <v>0</v>
      </c>
      <c r="J32" s="42">
        <f t="shared" si="3"/>
        <v>0</v>
      </c>
      <c r="K32" s="15">
        <f t="shared" si="2"/>
        <v>0</v>
      </c>
      <c r="L32" s="18">
        <f>'DATA B1'!N635</f>
        <v>0</v>
      </c>
    </row>
    <row r="33" spans="2:12">
      <c r="B33" s="8">
        <f>SUM('DATA B1'!B636:B661)</f>
        <v>46047</v>
      </c>
      <c r="C33" s="5">
        <f>'DATA B1'!D661</f>
        <v>0</v>
      </c>
      <c r="D33" s="11">
        <f>'DATA B1'!E661</f>
        <v>0</v>
      </c>
      <c r="E33" s="15">
        <f t="shared" si="0"/>
        <v>0</v>
      </c>
      <c r="F33" s="9">
        <f>'DATA B1'!K661</f>
        <v>0</v>
      </c>
      <c r="G33" s="15">
        <f t="shared" si="1"/>
        <v>0</v>
      </c>
      <c r="H33" s="42">
        <f>'DATA B1'!F661</f>
        <v>0</v>
      </c>
      <c r="I33" s="42">
        <f>'DATA B1'!G661</f>
        <v>0</v>
      </c>
      <c r="J33" s="42">
        <f>SUM(H33:I33)</f>
        <v>0</v>
      </c>
      <c r="K33" s="15">
        <f t="shared" si="2"/>
        <v>0</v>
      </c>
      <c r="L33" s="18">
        <f>'DATA B1'!N661</f>
        <v>0</v>
      </c>
    </row>
    <row r="34" spans="2:12">
      <c r="B34" s="8">
        <f>SUM('DATA B1'!B662:B687)</f>
        <v>46048</v>
      </c>
      <c r="C34" s="5">
        <f>'DATA B1'!D687</f>
        <v>0</v>
      </c>
      <c r="D34" s="11">
        <f>'DATA B1'!E687</f>
        <v>0</v>
      </c>
      <c r="E34" s="15">
        <f t="shared" si="0"/>
        <v>0</v>
      </c>
      <c r="F34" s="9">
        <f>'DATA B1'!K687</f>
        <v>0</v>
      </c>
      <c r="G34" s="15">
        <f t="shared" si="1"/>
        <v>0</v>
      </c>
      <c r="H34" s="42">
        <f>'DATA B1'!F687</f>
        <v>0</v>
      </c>
      <c r="I34" s="42">
        <f>'DATA B1'!G687</f>
        <v>0</v>
      </c>
      <c r="J34" s="42">
        <f t="shared" si="3"/>
        <v>0</v>
      </c>
      <c r="K34" s="15">
        <f t="shared" si="2"/>
        <v>0</v>
      </c>
      <c r="L34" s="18">
        <f>'DATA B1'!N687</f>
        <v>0</v>
      </c>
    </row>
    <row r="35" spans="2:12">
      <c r="B35" s="8">
        <f>SUM('DATA B1'!B688:B713)</f>
        <v>46049</v>
      </c>
      <c r="C35" s="5">
        <f>'DATA B1'!D713</f>
        <v>0</v>
      </c>
      <c r="D35" s="11">
        <f>'DATA B1'!E713</f>
        <v>0</v>
      </c>
      <c r="E35" s="15">
        <f t="shared" si="0"/>
        <v>0</v>
      </c>
      <c r="F35" s="9">
        <f>'DATA B1'!K713</f>
        <v>0</v>
      </c>
      <c r="G35" s="15">
        <f t="shared" si="1"/>
        <v>0</v>
      </c>
      <c r="H35" s="42">
        <f>'DATA B1'!F713</f>
        <v>0</v>
      </c>
      <c r="I35" s="42">
        <f>'DATA B1'!G713</f>
        <v>0</v>
      </c>
      <c r="J35" s="42">
        <f t="shared" si="3"/>
        <v>0</v>
      </c>
      <c r="K35" s="15">
        <f t="shared" si="2"/>
        <v>0</v>
      </c>
      <c r="L35" s="18">
        <f>'DATA B1'!N713</f>
        <v>0</v>
      </c>
    </row>
    <row r="36" spans="2:12">
      <c r="B36" s="8">
        <f>SUM('DATA B1'!B714:B739)</f>
        <v>46050</v>
      </c>
      <c r="C36" s="5">
        <f>'DATA B1'!D739</f>
        <v>0</v>
      </c>
      <c r="D36" s="11">
        <f>'DATA B1'!E739</f>
        <v>0</v>
      </c>
      <c r="E36" s="15">
        <f>IFERROR(D36/C36,0)</f>
        <v>0</v>
      </c>
      <c r="F36" s="9">
        <f>'DATA B1'!K739</f>
        <v>0</v>
      </c>
      <c r="G36" s="15">
        <f t="shared" si="1"/>
        <v>0</v>
      </c>
      <c r="H36" s="42">
        <f>'DATA B1'!F739</f>
        <v>0</v>
      </c>
      <c r="I36" s="42">
        <f>'DATA B1'!G739</f>
        <v>0</v>
      </c>
      <c r="J36" s="42">
        <f t="shared" si="3"/>
        <v>0</v>
      </c>
      <c r="K36" s="15">
        <f t="shared" si="2"/>
        <v>0</v>
      </c>
      <c r="L36" s="18">
        <f>'DATA B1'!N739</f>
        <v>0</v>
      </c>
    </row>
    <row r="37" spans="2:12">
      <c r="B37" s="8">
        <f>SUM('DATA B1'!B740:B765)</f>
        <v>46051</v>
      </c>
      <c r="C37" s="5">
        <f>'DATA B1'!D765</f>
        <v>0</v>
      </c>
      <c r="D37" s="11">
        <f>'DATA B1'!E765</f>
        <v>0</v>
      </c>
      <c r="E37" s="15">
        <f>IFERROR(D37/C37,0)</f>
        <v>0</v>
      </c>
      <c r="F37" s="9">
        <f>'DATA B1'!K765</f>
        <v>0</v>
      </c>
      <c r="G37" s="15">
        <f t="shared" si="1"/>
        <v>0</v>
      </c>
      <c r="H37" s="42">
        <f>'DATA B1'!F765</f>
        <v>0</v>
      </c>
      <c r="I37" s="42">
        <f>'DATA B1'!G765</f>
        <v>0</v>
      </c>
      <c r="J37" s="42">
        <f t="shared" si="3"/>
        <v>0</v>
      </c>
      <c r="K37" s="15">
        <f t="shared" si="2"/>
        <v>0</v>
      </c>
      <c r="L37" s="18">
        <f>'DATA B1'!N740</f>
        <v>0</v>
      </c>
    </row>
    <row r="38" spans="2:12">
      <c r="B38" s="8">
        <f>SUM('DATA B1'!B766:B791)</f>
        <v>46052</v>
      </c>
      <c r="C38" s="5">
        <f>'DATA B1'!D791</f>
        <v>0</v>
      </c>
      <c r="D38" s="11">
        <f>'DATA B1'!E791</f>
        <v>0</v>
      </c>
      <c r="E38" s="15">
        <f>IFERROR(D38/C38,0)</f>
        <v>0</v>
      </c>
      <c r="F38" s="9">
        <f>'DATA B1'!K791</f>
        <v>0</v>
      </c>
      <c r="G38" s="15">
        <f t="shared" si="1"/>
        <v>0</v>
      </c>
      <c r="H38" s="42">
        <f>'DATA B1'!F791</f>
        <v>0</v>
      </c>
      <c r="I38" s="42">
        <f>'DATA B1'!G791</f>
        <v>0</v>
      </c>
      <c r="J38" s="42">
        <f t="shared" si="3"/>
        <v>0</v>
      </c>
      <c r="K38" s="15">
        <f t="shared" si="2"/>
        <v>0</v>
      </c>
      <c r="L38" s="18">
        <f>'DATA B1'!N741</f>
        <v>0</v>
      </c>
    </row>
    <row r="39" spans="2:12">
      <c r="B39" s="8">
        <f>SUM('DATA B1'!B792:B817)</f>
        <v>46053</v>
      </c>
      <c r="C39" s="5">
        <f>'DATA B1'!D817</f>
        <v>0</v>
      </c>
      <c r="D39" s="11">
        <f>'DATA B1'!E817</f>
        <v>0</v>
      </c>
      <c r="E39" s="15">
        <f>IFERROR(D39/C39,0)</f>
        <v>0</v>
      </c>
      <c r="F39" s="9">
        <f>'DATA B1'!K817</f>
        <v>0</v>
      </c>
      <c r="G39" s="15">
        <f t="shared" si="1"/>
        <v>0</v>
      </c>
      <c r="H39" s="42">
        <f>'DATA B1'!F817</f>
        <v>0</v>
      </c>
      <c r="I39" s="42">
        <f>'DATA B1'!G817</f>
        <v>0</v>
      </c>
      <c r="J39" s="42">
        <f t="shared" si="3"/>
        <v>0</v>
      </c>
      <c r="K39" s="15">
        <f t="shared" si="2"/>
        <v>0</v>
      </c>
      <c r="L39" s="18">
        <f>'DATA B1'!N742</f>
        <v>0</v>
      </c>
    </row>
    <row r="40" spans="2:12" s="12" customFormat="1" ht="21.75" thickBot="1">
      <c r="B40" s="140" t="s">
        <v>12</v>
      </c>
      <c r="C40" s="141">
        <f>SUMIF(C9:C39,"&gt;=0")</f>
        <v>0</v>
      </c>
      <c r="D40" s="141">
        <f>SUMIF(D9:D39,"&gt;=0")</f>
        <v>0</v>
      </c>
      <c r="E40" s="142">
        <f t="shared" si="0"/>
        <v>0</v>
      </c>
      <c r="F40" s="141">
        <f>SUMIF(F9:F39,"&gt;=0")</f>
        <v>0</v>
      </c>
      <c r="G40" s="141">
        <f t="shared" si="1"/>
        <v>0</v>
      </c>
      <c r="H40" s="141">
        <f>SUMIF(H9:H39,"&gt;=0")</f>
        <v>0</v>
      </c>
      <c r="I40" s="141">
        <f>SUMIF(I9:I39,"&gt;=0")</f>
        <v>0</v>
      </c>
      <c r="J40" s="141">
        <f>SUMIF(J9:J39,"&gt;=0")</f>
        <v>0</v>
      </c>
      <c r="K40" s="141">
        <f>IFERROR((J40/C40)*1000,0)</f>
        <v>0</v>
      </c>
      <c r="L40" s="141">
        <f>SUMIF(L9:L39,"&gt;=0")</f>
        <v>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16"/>
    </row>
    <row r="42" spans="2:12">
      <c r="B42" s="7"/>
      <c r="C42" s="7"/>
      <c r="D42" s="7"/>
      <c r="E42" s="16"/>
      <c r="F42" s="7"/>
      <c r="G42" s="16"/>
      <c r="H42" s="7"/>
      <c r="I42" s="7"/>
      <c r="J42" s="7"/>
      <c r="K42" s="16"/>
    </row>
  </sheetData>
  <sheetProtection algorithmName="SHA-512" hashValue="HBFUMwyOFHzh+TZwkESeiUc03AWZ7Cpj8wKn00tJpiTt3ik8byCDXjzWnrei0g75tTzow9ARLucpwXEs8ygisg==" saltValue="iIEGXA5XJk5kC9EshZpjXg==" spinCount="100000" sheet="1" objects="1" scenarios="1"/>
  <mergeCells count="11">
    <mergeCell ref="B2:C5"/>
    <mergeCell ref="G7:G8"/>
    <mergeCell ref="K7:K8"/>
    <mergeCell ref="B7:B8"/>
    <mergeCell ref="E7:E8"/>
    <mergeCell ref="H7:J7"/>
    <mergeCell ref="K2:L3"/>
    <mergeCell ref="K4:L5"/>
    <mergeCell ref="D2:I4"/>
    <mergeCell ref="J2:J3"/>
    <mergeCell ref="J4:J5"/>
  </mergeCells>
  <pageMargins left="0.7" right="0.7" top="0.75" bottom="0.75" header="0.3" footer="0.3"/>
  <pageSetup paperSize="9" scale="62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B1:L41"/>
  <sheetViews>
    <sheetView view="pageBreakPreview" zoomScaleNormal="100" zoomScaleSheetLayoutView="100" workbookViewId="0">
      <pane ySplit="8" topLeftCell="A14" activePane="bottomLeft" state="frozen"/>
      <selection pane="bottomLeft" activeCell="H27" sqref="H27"/>
      <selection activeCell="D107" sqref="D107"/>
    </sheetView>
  </sheetViews>
  <sheetFormatPr defaultRowHeight="15"/>
  <cols>
    <col min="1" max="1" width="2.140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5.5703125" style="14" customWidth="1"/>
    <col min="12" max="12" width="12.7109375" customWidth="1"/>
  </cols>
  <sheetData>
    <row r="1" spans="2:12" ht="14.45" customHeight="1"/>
    <row r="2" spans="2:12" ht="14.45" customHeight="1">
      <c r="B2" s="279"/>
      <c r="C2" s="279"/>
      <c r="D2" s="376" t="s">
        <v>68</v>
      </c>
      <c r="E2" s="377"/>
      <c r="F2" s="377"/>
      <c r="G2" s="377"/>
      <c r="H2" s="377"/>
      <c r="I2" s="378"/>
      <c r="J2" s="385" t="s">
        <v>79</v>
      </c>
      <c r="K2" s="370" t="s">
        <v>80</v>
      </c>
      <c r="L2" s="370"/>
    </row>
    <row r="3" spans="2:12" ht="14.45" customHeight="1">
      <c r="B3" s="279"/>
      <c r="C3" s="279"/>
      <c r="D3" s="379"/>
      <c r="E3" s="380"/>
      <c r="F3" s="380"/>
      <c r="G3" s="380"/>
      <c r="H3" s="380"/>
      <c r="I3" s="381"/>
      <c r="J3" s="386"/>
      <c r="K3" s="371"/>
      <c r="L3" s="371"/>
    </row>
    <row r="4" spans="2:12" ht="14.45" customHeight="1">
      <c r="B4" s="279"/>
      <c r="C4" s="279"/>
      <c r="D4" s="382"/>
      <c r="E4" s="383"/>
      <c r="F4" s="383"/>
      <c r="G4" s="383"/>
      <c r="H4" s="383"/>
      <c r="I4" s="384"/>
      <c r="J4" s="387" t="s">
        <v>7</v>
      </c>
      <c r="K4" s="372" t="s">
        <v>70</v>
      </c>
      <c r="L4" s="373"/>
    </row>
    <row r="5" spans="2:12" ht="14.45" customHeight="1">
      <c r="B5" s="279"/>
      <c r="C5" s="279"/>
      <c r="D5" s="73" t="s">
        <v>7</v>
      </c>
      <c r="E5" s="129">
        <f>SUM('REPORT B1'!E5)</f>
        <v>46023</v>
      </c>
      <c r="F5" s="127"/>
      <c r="G5" s="127"/>
      <c r="H5" s="127"/>
      <c r="I5" s="128"/>
      <c r="J5" s="388"/>
      <c r="K5" s="374"/>
      <c r="L5" s="375"/>
    </row>
    <row r="6" spans="2:12" ht="14.45" customHeight="1"/>
    <row r="7" spans="2:12" ht="43.15" customHeight="1">
      <c r="B7" s="285" t="s">
        <v>8</v>
      </c>
      <c r="C7" s="32" t="s">
        <v>71</v>
      </c>
      <c r="D7" s="20" t="s">
        <v>72</v>
      </c>
      <c r="E7" s="33" t="s">
        <v>73</v>
      </c>
      <c r="F7" s="250" t="s">
        <v>74</v>
      </c>
      <c r="G7" s="365" t="s">
        <v>81</v>
      </c>
      <c r="H7" s="367" t="s">
        <v>76</v>
      </c>
      <c r="I7" s="368"/>
      <c r="J7" s="369"/>
      <c r="K7" s="365" t="s">
        <v>82</v>
      </c>
      <c r="L7" s="17" t="s">
        <v>78</v>
      </c>
    </row>
    <row r="8" spans="2:12">
      <c r="B8" s="287"/>
      <c r="C8" s="1" t="s">
        <v>65</v>
      </c>
      <c r="D8" s="2" t="s">
        <v>65</v>
      </c>
      <c r="E8" s="261" t="s">
        <v>65</v>
      </c>
      <c r="F8" s="3" t="s">
        <v>65</v>
      </c>
      <c r="G8" s="366"/>
      <c r="H8" s="258" t="s">
        <v>26</v>
      </c>
      <c r="I8" s="258" t="s">
        <v>27</v>
      </c>
      <c r="J8" s="258" t="s">
        <v>12</v>
      </c>
      <c r="K8" s="366"/>
      <c r="L8" s="17" t="s">
        <v>65</v>
      </c>
    </row>
    <row r="9" spans="2:12">
      <c r="B9" s="8">
        <f>SUM('REPORT B1'!B9)</f>
        <v>46023</v>
      </c>
      <c r="C9" s="5">
        <f>'DATA B2'!D37</f>
        <v>268</v>
      </c>
      <c r="D9" s="11">
        <f>'DATA B2'!E37</f>
        <v>363</v>
      </c>
      <c r="E9" s="266">
        <f t="shared" ref="E9:E40" si="0">IFERROR(D9/C9,0)</f>
        <v>1.3544776119402986</v>
      </c>
      <c r="F9" s="9">
        <f>'DATA B2'!K37</f>
        <v>16602</v>
      </c>
      <c r="G9" s="15">
        <f t="shared" ref="G9:G40" si="1">IFERROR(F9/C9,0)</f>
        <v>61.947761194029852</v>
      </c>
      <c r="H9" s="144">
        <f>'DATA B2'!F37</f>
        <v>7.0000000000014495E-4</v>
      </c>
      <c r="I9" s="144">
        <f>'DATA B2'!G37</f>
        <v>3.9999999999995595E-4</v>
      </c>
      <c r="J9" s="144">
        <f>SUM(H9+I9)</f>
        <v>1.1000000000001009E-3</v>
      </c>
      <c r="K9" s="55">
        <f t="shared" ref="K9:K40" si="2">IFERROR(J9/C9,0)*1000</f>
        <v>4.1044776119406748E-3</v>
      </c>
      <c r="L9" s="18">
        <f>'DATA B2'!N37</f>
        <v>635</v>
      </c>
    </row>
    <row r="10" spans="2:12">
      <c r="B10" s="8">
        <f>SUM('REPORT B1'!B10)</f>
        <v>46024</v>
      </c>
      <c r="C10" s="5">
        <f>'DATA B2'!D63</f>
        <v>252</v>
      </c>
      <c r="D10" s="11">
        <f>'DATA B2'!E63</f>
        <v>404</v>
      </c>
      <c r="E10" s="266">
        <f t="shared" si="0"/>
        <v>1.6031746031746033</v>
      </c>
      <c r="F10" s="9">
        <f>'DATA B2'!K63</f>
        <v>15472</v>
      </c>
      <c r="G10" s="15">
        <f t="shared" si="1"/>
        <v>61.396825396825399</v>
      </c>
      <c r="H10" s="144">
        <f>'DATA B2'!F63</f>
        <v>5.9999999999993392E-4</v>
      </c>
      <c r="I10" s="144">
        <f>'DATA B2'!G63</f>
        <v>4.9999999999994493E-4</v>
      </c>
      <c r="J10" s="144">
        <f t="shared" ref="J10:J36" si="3">SUM(H10+I10)</f>
        <v>1.0999999999998789E-3</v>
      </c>
      <c r="K10" s="55">
        <f t="shared" si="2"/>
        <v>4.3650793650788847E-3</v>
      </c>
      <c r="L10" s="18">
        <f>'DATA B2'!N63</f>
        <v>542</v>
      </c>
    </row>
    <row r="11" spans="2:12">
      <c r="B11" s="8">
        <f>SUM('REPORT B1'!B11)</f>
        <v>46025</v>
      </c>
      <c r="C11" s="5">
        <f>'DATA B2'!D89</f>
        <v>249</v>
      </c>
      <c r="D11" s="11">
        <f>'DATA B2'!E89</f>
        <v>414</v>
      </c>
      <c r="E11" s="266">
        <f t="shared" si="0"/>
        <v>1.6626506024096386</v>
      </c>
      <c r="F11" s="9">
        <f>'DATA B2'!K89</f>
        <v>15212</v>
      </c>
      <c r="G11" s="15">
        <f t="shared" si="1"/>
        <v>61.092369477911646</v>
      </c>
      <c r="H11" s="144">
        <f>'DATA B2'!F89</f>
        <v>6.9999999999992291E-4</v>
      </c>
      <c r="I11" s="144">
        <f>'DATA B2'!G89</f>
        <v>5.0000000000016698E-4</v>
      </c>
      <c r="J11" s="144">
        <f t="shared" si="3"/>
        <v>1.2000000000000899E-3</v>
      </c>
      <c r="K11" s="55">
        <f t="shared" si="2"/>
        <v>4.8192771084340962E-3</v>
      </c>
      <c r="L11" s="18">
        <f>'DATA B2'!N89</f>
        <v>531</v>
      </c>
    </row>
    <row r="12" spans="2:12">
      <c r="B12" s="8">
        <f>SUM('REPORT B1'!B12)</f>
        <v>46026</v>
      </c>
      <c r="C12" s="5">
        <f>'DATA B2'!D115</f>
        <v>260</v>
      </c>
      <c r="D12" s="11">
        <f>'DATA B2'!E115</f>
        <v>382</v>
      </c>
      <c r="E12" s="266">
        <f t="shared" si="0"/>
        <v>1.4692307692307693</v>
      </c>
      <c r="F12" s="9">
        <f>'DATA B2'!K115</f>
        <v>15853</v>
      </c>
      <c r="G12" s="15">
        <f t="shared" si="1"/>
        <v>60.973076923076924</v>
      </c>
      <c r="H12" s="144">
        <f>'DATA B2'!F115</f>
        <v>6.0000000000015596E-4</v>
      </c>
      <c r="I12" s="144">
        <f>'DATA B2'!G115</f>
        <v>4.9999999999994493E-4</v>
      </c>
      <c r="J12" s="144">
        <f t="shared" si="3"/>
        <v>1.1000000000001009E-3</v>
      </c>
      <c r="K12" s="55">
        <f t="shared" si="2"/>
        <v>4.2307692307696192E-3</v>
      </c>
      <c r="L12" s="18">
        <f>'DATA B2'!N115</f>
        <v>543</v>
      </c>
    </row>
    <row r="13" spans="2:12">
      <c r="B13" s="8">
        <f>SUM('REPORT B1'!B13)</f>
        <v>46027</v>
      </c>
      <c r="C13" s="5">
        <f>'DATA B2'!D141</f>
        <v>244</v>
      </c>
      <c r="D13" s="11">
        <f>'DATA B2'!E141</f>
        <v>400</v>
      </c>
      <c r="E13" s="266">
        <f t="shared" si="0"/>
        <v>1.639344262295082</v>
      </c>
      <c r="F13" s="9">
        <f>'DATA B2'!K141</f>
        <v>14798</v>
      </c>
      <c r="G13" s="15">
        <f t="shared" si="1"/>
        <v>60.647540983606561</v>
      </c>
      <c r="H13" s="144">
        <f>'DATA B2'!F141</f>
        <v>6.9999999999992291E-4</v>
      </c>
      <c r="I13" s="144">
        <f>'DATA B2'!G141</f>
        <v>3.9999999999995595E-4</v>
      </c>
      <c r="J13" s="144">
        <f t="shared" si="3"/>
        <v>1.0999999999998789E-3</v>
      </c>
      <c r="K13" s="55">
        <f t="shared" si="2"/>
        <v>4.5081967213109787E-3</v>
      </c>
      <c r="L13" s="18">
        <f>'DATA B2'!N141</f>
        <v>596</v>
      </c>
    </row>
    <row r="14" spans="2:12">
      <c r="B14" s="8">
        <f>SUM('REPORT B1'!B14)</f>
        <v>46028</v>
      </c>
      <c r="C14" s="5">
        <f>'DATA B2'!D167</f>
        <v>205</v>
      </c>
      <c r="D14" s="11">
        <f>'DATA B2'!E167</f>
        <v>436</v>
      </c>
      <c r="E14" s="266">
        <f t="shared" si="0"/>
        <v>2.126829268292683</v>
      </c>
      <c r="F14" s="9">
        <f>'DATA B2'!K167</f>
        <v>12278</v>
      </c>
      <c r="G14" s="15">
        <f t="shared" si="1"/>
        <v>59.892682926829266</v>
      </c>
      <c r="H14" s="144">
        <f>'DATA B2'!F167</f>
        <v>5.9999999999993392E-4</v>
      </c>
      <c r="I14" s="144">
        <f>'DATA B2'!G167</f>
        <v>3.9999999999995595E-4</v>
      </c>
      <c r="J14" s="144">
        <f t="shared" si="3"/>
        <v>9.9999999999988987E-4</v>
      </c>
      <c r="K14" s="55">
        <f t="shared" si="2"/>
        <v>4.878048780487268E-3</v>
      </c>
      <c r="L14" s="18">
        <f>'DATA B2'!N167</f>
        <v>528</v>
      </c>
    </row>
    <row r="15" spans="2:12">
      <c r="B15" s="8">
        <f>SUM('REPORT B1'!B15)</f>
        <v>46029</v>
      </c>
      <c r="C15" s="5">
        <f>'DATA B2'!D193</f>
        <v>203</v>
      </c>
      <c r="D15" s="11">
        <f>'DATA B2'!E193</f>
        <v>440</v>
      </c>
      <c r="E15" s="266">
        <f t="shared" si="0"/>
        <v>2.1674876847290641</v>
      </c>
      <c r="F15" s="9">
        <f>'DATA B2'!K193</f>
        <v>12219</v>
      </c>
      <c r="G15" s="15">
        <f t="shared" si="1"/>
        <v>60.192118226600982</v>
      </c>
      <c r="H15" s="144">
        <f>'DATA B2'!F193</f>
        <v>6.0000000000015596E-4</v>
      </c>
      <c r="I15" s="144">
        <f>'DATA B2'!G193</f>
        <v>4.0000000000017799E-4</v>
      </c>
      <c r="J15" s="144">
        <f t="shared" si="3"/>
        <v>1.000000000000334E-3</v>
      </c>
      <c r="K15" s="55">
        <f t="shared" si="2"/>
        <v>4.926108374385881E-3</v>
      </c>
      <c r="L15" s="18">
        <f>'DATA B2'!N193</f>
        <v>451</v>
      </c>
    </row>
    <row r="16" spans="2:12">
      <c r="B16" s="8">
        <f>SUM('REPORT B1'!B16)</f>
        <v>46030</v>
      </c>
      <c r="C16" s="5">
        <f>'DATA B2'!D219</f>
        <v>195</v>
      </c>
      <c r="D16" s="11">
        <f>'DATA B2'!E219</f>
        <v>538</v>
      </c>
      <c r="E16" s="266">
        <f t="shared" si="0"/>
        <v>2.7589743589743589</v>
      </c>
      <c r="F16" s="9">
        <f>'DATA B2'!K219</f>
        <v>11811</v>
      </c>
      <c r="G16" s="15">
        <f t="shared" si="1"/>
        <v>60.569230769230771</v>
      </c>
      <c r="H16" s="144">
        <f>'DATA B2'!F219</f>
        <v>5.9999999999993392E-4</v>
      </c>
      <c r="I16" s="144">
        <f>'DATA B2'!G219</f>
        <v>3.9999999999995595E-4</v>
      </c>
      <c r="J16" s="144">
        <f t="shared" si="3"/>
        <v>9.9999999999988987E-4</v>
      </c>
      <c r="K16" s="55">
        <f t="shared" si="2"/>
        <v>5.1282051282045635E-3</v>
      </c>
      <c r="L16" s="18">
        <f>'DATA B2'!N219</f>
        <v>432</v>
      </c>
    </row>
    <row r="17" spans="2:12">
      <c r="B17" s="8">
        <f>SUM('REPORT B1'!B17)</f>
        <v>46031</v>
      </c>
      <c r="C17" s="5">
        <f>'DATA B2'!D245</f>
        <v>206</v>
      </c>
      <c r="D17" s="11">
        <f>'DATA B2'!E245</f>
        <v>497</v>
      </c>
      <c r="E17" s="266">
        <f t="shared" si="0"/>
        <v>2.412621359223301</v>
      </c>
      <c r="F17" s="9">
        <f>'DATA B2'!K245</f>
        <v>12189</v>
      </c>
      <c r="G17" s="15">
        <f t="shared" si="1"/>
        <v>59.16990291262136</v>
      </c>
      <c r="H17" s="144">
        <f>'DATA B2'!F245</f>
        <v>5.9999999999993392E-4</v>
      </c>
      <c r="I17" s="144">
        <f>'DATA B2'!G245</f>
        <v>3.9999999999995595E-4</v>
      </c>
      <c r="J17" s="144">
        <f t="shared" si="3"/>
        <v>9.9999999999988987E-4</v>
      </c>
      <c r="K17" s="55">
        <f t="shared" si="2"/>
        <v>4.8543689320383002E-3</v>
      </c>
      <c r="L17" s="18">
        <f>'DATA B2'!N245</f>
        <v>328</v>
      </c>
    </row>
    <row r="18" spans="2:12">
      <c r="B18" s="8">
        <f>SUM('REPORT B1'!B18)</f>
        <v>46032</v>
      </c>
      <c r="C18" s="5">
        <f>'DATA B2'!D271</f>
        <v>191</v>
      </c>
      <c r="D18" s="11">
        <f>'DATA B2'!E271</f>
        <v>542</v>
      </c>
      <c r="E18" s="266">
        <f t="shared" si="0"/>
        <v>2.837696335078534</v>
      </c>
      <c r="F18" s="9">
        <f>'DATA B2'!K271</f>
        <v>12133</v>
      </c>
      <c r="G18" s="15">
        <f t="shared" si="1"/>
        <v>63.523560209424083</v>
      </c>
      <c r="H18" s="144">
        <f>'DATA B2'!F271</f>
        <v>6.0000000000015596E-4</v>
      </c>
      <c r="I18" s="144">
        <f>'DATA B2'!G271</f>
        <v>4.9999999999994493E-4</v>
      </c>
      <c r="J18" s="144">
        <f t="shared" si="3"/>
        <v>1.1000000000001009E-3</v>
      </c>
      <c r="K18" s="55">
        <f t="shared" si="2"/>
        <v>5.7591623036654495E-3</v>
      </c>
      <c r="L18" s="18">
        <f>'DATA B2'!N271</f>
        <v>335</v>
      </c>
    </row>
    <row r="19" spans="2:12">
      <c r="B19" s="8">
        <f>SUM('REPORT B1'!B19)</f>
        <v>46033</v>
      </c>
      <c r="C19" s="5">
        <f>'DATA B2'!D297</f>
        <v>192</v>
      </c>
      <c r="D19" s="11">
        <f>'DATA B2'!E297</f>
        <v>541</v>
      </c>
      <c r="E19" s="266">
        <f t="shared" si="0"/>
        <v>2.8177083333333335</v>
      </c>
      <c r="F19" s="9">
        <f>'DATA B2'!K297</f>
        <v>11664</v>
      </c>
      <c r="G19" s="15">
        <f t="shared" si="1"/>
        <v>60.75</v>
      </c>
      <c r="H19" s="144">
        <f>'DATA B2'!F297</f>
        <v>5.9999999999993392E-4</v>
      </c>
      <c r="I19" s="144">
        <f>'DATA B2'!G297</f>
        <v>2.9999999999996696E-4</v>
      </c>
      <c r="J19" s="144">
        <f t="shared" si="3"/>
        <v>8.9999999999990088E-4</v>
      </c>
      <c r="K19" s="55">
        <f t="shared" si="2"/>
        <v>4.6874999999994837E-3</v>
      </c>
      <c r="L19" s="18">
        <f>'DATA B2'!N297</f>
        <v>338</v>
      </c>
    </row>
    <row r="20" spans="2:12">
      <c r="B20" s="8">
        <f>SUM('REPORT B1'!B20)</f>
        <v>46034</v>
      </c>
      <c r="C20" s="5">
        <f>'DATA B2'!D323</f>
        <v>224</v>
      </c>
      <c r="D20" s="11">
        <f>'DATA B2'!E323</f>
        <v>527</v>
      </c>
      <c r="E20" s="266">
        <f t="shared" si="0"/>
        <v>2.3526785714285716</v>
      </c>
      <c r="F20" s="9">
        <f>'DATA B2'!K323</f>
        <v>13681</v>
      </c>
      <c r="G20" s="15">
        <f t="shared" si="1"/>
        <v>61.075892857142854</v>
      </c>
      <c r="H20" s="144">
        <f>'DATA B2'!F323</f>
        <v>5.9999999999993392E-4</v>
      </c>
      <c r="I20" s="144">
        <f>'DATA B2'!G323</f>
        <v>5.0000000000016698E-4</v>
      </c>
      <c r="J20" s="144">
        <f t="shared" si="3"/>
        <v>1.1000000000001009E-3</v>
      </c>
      <c r="K20" s="55">
        <f t="shared" si="2"/>
        <v>4.9107142857147358E-3</v>
      </c>
      <c r="L20" s="18">
        <f>'DATA B2'!N323</f>
        <v>378</v>
      </c>
    </row>
    <row r="21" spans="2:12">
      <c r="B21" s="8">
        <f>SUM('REPORT B1'!B21)</f>
        <v>46035</v>
      </c>
      <c r="C21" s="5">
        <f>'DATA B2'!D349</f>
        <v>250</v>
      </c>
      <c r="D21" s="11">
        <f>'DATA B2'!E349</f>
        <v>444</v>
      </c>
      <c r="E21" s="266">
        <f t="shared" si="0"/>
        <v>1.776</v>
      </c>
      <c r="F21" s="9">
        <f>'DATA B2'!K349</f>
        <v>15428</v>
      </c>
      <c r="G21" s="15">
        <f t="shared" si="1"/>
        <v>61.712000000000003</v>
      </c>
      <c r="H21" s="144">
        <f>'DATA B2'!F349</f>
        <v>6.9999999999992291E-4</v>
      </c>
      <c r="I21" s="144">
        <f>'DATA B2'!G349</f>
        <v>4.9999999999994493E-4</v>
      </c>
      <c r="J21" s="144">
        <f t="shared" si="3"/>
        <v>1.1999999999998678E-3</v>
      </c>
      <c r="K21" s="55">
        <f t="shared" si="2"/>
        <v>4.7999999999994714E-3</v>
      </c>
      <c r="L21" s="18">
        <f>'DATA B2'!N349</f>
        <v>497</v>
      </c>
    </row>
    <row r="22" spans="2:12">
      <c r="B22" s="8">
        <f>SUM('REPORT B1'!B22)</f>
        <v>46036</v>
      </c>
      <c r="C22" s="5">
        <f>'DATA B2'!D375</f>
        <v>259</v>
      </c>
      <c r="D22" s="11">
        <f>'DATA B2'!E375</f>
        <v>277</v>
      </c>
      <c r="E22" s="266">
        <f t="shared" si="0"/>
        <v>1.0694980694980696</v>
      </c>
      <c r="F22" s="9">
        <f>'DATA B2'!K375</f>
        <v>16044</v>
      </c>
      <c r="G22" s="15">
        <f t="shared" si="1"/>
        <v>61.945945945945944</v>
      </c>
      <c r="H22" s="144">
        <f>'DATA B2'!F375</f>
        <v>7.0000000000014495E-4</v>
      </c>
      <c r="I22" s="144">
        <f>'DATA B2'!G375</f>
        <v>4.9999999999994493E-4</v>
      </c>
      <c r="J22" s="144">
        <f t="shared" si="3"/>
        <v>1.2000000000000899E-3</v>
      </c>
      <c r="K22" s="55">
        <f t="shared" si="2"/>
        <v>4.6332046332049808E-3</v>
      </c>
      <c r="L22" s="18">
        <f>'DATA B2'!N375</f>
        <v>510</v>
      </c>
    </row>
    <row r="23" spans="2:12">
      <c r="B23" s="8">
        <f>SUM('REPORT B1'!B23)</f>
        <v>46037</v>
      </c>
      <c r="C23" s="5">
        <f>'DATA B2'!D401</f>
        <v>274</v>
      </c>
      <c r="D23" s="11">
        <f>'DATA B2'!E401</f>
        <v>283</v>
      </c>
      <c r="E23" s="266">
        <f t="shared" si="0"/>
        <v>1.0328467153284671</v>
      </c>
      <c r="F23" s="9">
        <f>'DATA B2'!K401</f>
        <v>16984</v>
      </c>
      <c r="G23" s="15">
        <f t="shared" si="1"/>
        <v>61.985401459854018</v>
      </c>
      <c r="H23" s="144">
        <f>'DATA B2'!F401</f>
        <v>6.9999999999992291E-4</v>
      </c>
      <c r="I23" s="144">
        <f>'DATA B2'!G401</f>
        <v>4.9999999999994493E-4</v>
      </c>
      <c r="J23" s="144">
        <f t="shared" si="3"/>
        <v>1.1999999999998678E-3</v>
      </c>
      <c r="K23" s="55">
        <f t="shared" si="2"/>
        <v>4.3795620437951377E-3</v>
      </c>
      <c r="L23" s="18">
        <f>'DATA B2'!N401</f>
        <v>462</v>
      </c>
    </row>
    <row r="24" spans="2:12">
      <c r="B24" s="8">
        <f>SUM('REPORT B1'!B24)</f>
        <v>46038</v>
      </c>
      <c r="C24" s="5">
        <f>'DATA B2'!D427</f>
        <v>260</v>
      </c>
      <c r="D24" s="11">
        <f>'DATA B2'!E427</f>
        <v>284</v>
      </c>
      <c r="E24" s="266">
        <f t="shared" si="0"/>
        <v>1.0923076923076922</v>
      </c>
      <c r="F24" s="9">
        <f>'DATA B2'!K427</f>
        <v>16188</v>
      </c>
      <c r="G24" s="15">
        <f t="shared" si="1"/>
        <v>62.261538461538464</v>
      </c>
      <c r="H24" s="144">
        <f>'DATA B2'!F427</f>
        <v>7.0000000000014495E-4</v>
      </c>
      <c r="I24" s="144">
        <f>'DATA B2'!G427</f>
        <v>5.0000000000016698E-4</v>
      </c>
      <c r="J24" s="144">
        <f t="shared" si="3"/>
        <v>1.2000000000003119E-3</v>
      </c>
      <c r="K24" s="55">
        <f t="shared" si="2"/>
        <v>4.6153846153858145E-3</v>
      </c>
      <c r="L24" s="18">
        <f>'DATA B2'!N427</f>
        <v>538</v>
      </c>
    </row>
    <row r="25" spans="2:12">
      <c r="B25" s="8">
        <f>SUM('REPORT B1'!B25)</f>
        <v>46039</v>
      </c>
      <c r="C25" s="5">
        <f>'DATA B2'!D453</f>
        <v>216</v>
      </c>
      <c r="D25" s="11">
        <f>'DATA B2'!E453</f>
        <v>194</v>
      </c>
      <c r="E25" s="266">
        <f t="shared" si="0"/>
        <v>0.89814814814814814</v>
      </c>
      <c r="F25" s="9">
        <f>'DATA B2'!K453</f>
        <v>13674</v>
      </c>
      <c r="G25" s="15">
        <f t="shared" si="1"/>
        <v>63.305555555555557</v>
      </c>
      <c r="H25" s="144">
        <f>'DATA B2'!F453</f>
        <v>6.9999999999992291E-4</v>
      </c>
      <c r="I25" s="144">
        <f>'DATA B2'!G453</f>
        <v>3.9999999999995595E-4</v>
      </c>
      <c r="J25" s="144">
        <f t="shared" si="3"/>
        <v>1.0999999999998789E-3</v>
      </c>
      <c r="K25" s="55">
        <f t="shared" si="2"/>
        <v>5.0925925925920318E-3</v>
      </c>
      <c r="L25" s="18">
        <f>'DATA B2'!N453</f>
        <v>357</v>
      </c>
    </row>
    <row r="26" spans="2:12">
      <c r="B26" s="8">
        <f>SUM('REPORT B1'!B26)</f>
        <v>46040</v>
      </c>
      <c r="C26" s="5">
        <f>'DATA B2'!D479</f>
        <v>180</v>
      </c>
      <c r="D26" s="11">
        <f>'DATA B2'!E479</f>
        <v>221</v>
      </c>
      <c r="E26" s="266">
        <f t="shared" si="0"/>
        <v>1.2277777777777779</v>
      </c>
      <c r="F26" s="9">
        <f>'DATA B2'!K479</f>
        <v>11169</v>
      </c>
      <c r="G26" s="15">
        <f t="shared" si="1"/>
        <v>62.05</v>
      </c>
      <c r="H26" s="144">
        <f>'DATA B2'!F479</f>
        <v>4.9999999999994493E-4</v>
      </c>
      <c r="I26" s="144">
        <f>'DATA B2'!G479</f>
        <v>3.9999999999995595E-4</v>
      </c>
      <c r="J26" s="144">
        <f t="shared" si="3"/>
        <v>8.9999999999990088E-4</v>
      </c>
      <c r="K26" s="55">
        <f t="shared" si="2"/>
        <v>4.9999999999994493E-3</v>
      </c>
      <c r="L26" s="18">
        <f>'DATA B2'!N479</f>
        <v>280</v>
      </c>
    </row>
    <row r="27" spans="2:12">
      <c r="B27" s="8">
        <f>SUM('REPORT B1'!B27)</f>
        <v>46041</v>
      </c>
      <c r="C27" s="5">
        <f>'DATA B2'!D505</f>
        <v>34</v>
      </c>
      <c r="D27" s="11">
        <f>'DATA B2'!E505</f>
        <v>39</v>
      </c>
      <c r="E27" s="266">
        <f t="shared" si="0"/>
        <v>1.1470588235294117</v>
      </c>
      <c r="F27" s="9">
        <f>'DATA B2'!K505</f>
        <v>2178</v>
      </c>
      <c r="G27" s="15">
        <f t="shared" si="1"/>
        <v>64.058823529411768</v>
      </c>
      <c r="H27" s="144">
        <f>'DATA B2'!F505</f>
        <v>9.9999999999988987E-5</v>
      </c>
      <c r="I27" s="144">
        <f>'DATA B2'!G505</f>
        <v>0</v>
      </c>
      <c r="J27" s="144">
        <f t="shared" si="3"/>
        <v>9.9999999999988987E-5</v>
      </c>
      <c r="K27" s="55">
        <f t="shared" si="2"/>
        <v>2.9411764705879113E-3</v>
      </c>
      <c r="L27" s="18">
        <f>'DATA B2'!N505</f>
        <v>69</v>
      </c>
    </row>
    <row r="28" spans="2:12">
      <c r="B28" s="8">
        <f>SUM('REPORT B1'!B28)</f>
        <v>46042</v>
      </c>
      <c r="C28" s="5">
        <f>'DATA B2'!D531</f>
        <v>0</v>
      </c>
      <c r="D28" s="11">
        <f>'DATA B2'!E531</f>
        <v>0</v>
      </c>
      <c r="E28" s="266">
        <f t="shared" si="0"/>
        <v>0</v>
      </c>
      <c r="F28" s="9">
        <f>'DATA B2'!K531</f>
        <v>0</v>
      </c>
      <c r="G28" s="15">
        <f t="shared" si="1"/>
        <v>0</v>
      </c>
      <c r="H28" s="144">
        <f>'DATA B2'!F531</f>
        <v>0</v>
      </c>
      <c r="I28" s="144">
        <f>'DATA B2'!G531</f>
        <v>0</v>
      </c>
      <c r="J28" s="144">
        <f t="shared" si="3"/>
        <v>0</v>
      </c>
      <c r="K28" s="55">
        <f t="shared" si="2"/>
        <v>0</v>
      </c>
      <c r="L28" s="18">
        <f>'DATA B2'!N531</f>
        <v>0</v>
      </c>
    </row>
    <row r="29" spans="2:12">
      <c r="B29" s="8">
        <f>SUM('REPORT B1'!B29)</f>
        <v>46043</v>
      </c>
      <c r="C29" s="5">
        <f>'DATA B2'!D557</f>
        <v>0</v>
      </c>
      <c r="D29" s="11">
        <f>'DATA B2'!E557</f>
        <v>0</v>
      </c>
      <c r="E29" s="266">
        <f t="shared" si="0"/>
        <v>0</v>
      </c>
      <c r="F29" s="9">
        <f>'DATA B2'!K557</f>
        <v>0</v>
      </c>
      <c r="G29" s="15">
        <f t="shared" si="1"/>
        <v>0</v>
      </c>
      <c r="H29" s="144">
        <f>'DATA B2'!F557</f>
        <v>0</v>
      </c>
      <c r="I29" s="144">
        <f>'DATA B2'!G557</f>
        <v>0</v>
      </c>
      <c r="J29" s="144">
        <f t="shared" si="3"/>
        <v>0</v>
      </c>
      <c r="K29" s="55">
        <f t="shared" si="2"/>
        <v>0</v>
      </c>
      <c r="L29" s="18">
        <f>'DATA B2'!N557</f>
        <v>0</v>
      </c>
    </row>
    <row r="30" spans="2:12">
      <c r="B30" s="8">
        <f>SUM('REPORT B1'!B30)</f>
        <v>46044</v>
      </c>
      <c r="C30" s="5">
        <f>'DATA B2'!D583</f>
        <v>0</v>
      </c>
      <c r="D30" s="11">
        <f>'DATA B2'!E583</f>
        <v>0</v>
      </c>
      <c r="E30" s="266">
        <f t="shared" si="0"/>
        <v>0</v>
      </c>
      <c r="F30" s="9">
        <f>'DATA B2'!K583</f>
        <v>0</v>
      </c>
      <c r="G30" s="15">
        <f t="shared" si="1"/>
        <v>0</v>
      </c>
      <c r="H30" s="144">
        <f>'DATA B2'!F583</f>
        <v>0</v>
      </c>
      <c r="I30" s="144">
        <f>'DATA B2'!G583</f>
        <v>0</v>
      </c>
      <c r="J30" s="144">
        <f t="shared" si="3"/>
        <v>0</v>
      </c>
      <c r="K30" s="55">
        <f t="shared" si="2"/>
        <v>0</v>
      </c>
      <c r="L30" s="18">
        <f>'DATA B2'!N583</f>
        <v>0</v>
      </c>
    </row>
    <row r="31" spans="2:12">
      <c r="B31" s="8">
        <f>SUM('REPORT B1'!B31)</f>
        <v>46045</v>
      </c>
      <c r="C31" s="5">
        <f>'DATA B2'!D609</f>
        <v>0</v>
      </c>
      <c r="D31" s="11">
        <f>'DATA B2'!E609</f>
        <v>0</v>
      </c>
      <c r="E31" s="266">
        <f t="shared" si="0"/>
        <v>0</v>
      </c>
      <c r="F31" s="9">
        <f>'DATA B2'!K609</f>
        <v>0</v>
      </c>
      <c r="G31" s="15">
        <f t="shared" si="1"/>
        <v>0</v>
      </c>
      <c r="H31" s="144">
        <f>'DATA B2'!F609</f>
        <v>0</v>
      </c>
      <c r="I31" s="144">
        <f>'DATA B2'!G609</f>
        <v>0</v>
      </c>
      <c r="J31" s="144">
        <f t="shared" si="3"/>
        <v>0</v>
      </c>
      <c r="K31" s="55">
        <f t="shared" si="2"/>
        <v>0</v>
      </c>
      <c r="L31" s="18">
        <f>'DATA B2'!N609</f>
        <v>0</v>
      </c>
    </row>
    <row r="32" spans="2:12">
      <c r="B32" s="8">
        <f>SUM('REPORT B1'!B32)</f>
        <v>46046</v>
      </c>
      <c r="C32" s="5">
        <f>'DATA B2'!D635</f>
        <v>0</v>
      </c>
      <c r="D32" s="11">
        <f>'DATA B2'!E635</f>
        <v>0</v>
      </c>
      <c r="E32" s="266">
        <f t="shared" si="0"/>
        <v>0</v>
      </c>
      <c r="F32" s="9">
        <f>'DATA B2'!K635</f>
        <v>0</v>
      </c>
      <c r="G32" s="15">
        <f t="shared" si="1"/>
        <v>0</v>
      </c>
      <c r="H32" s="144">
        <f>'DATA B2'!F635</f>
        <v>0</v>
      </c>
      <c r="I32" s="144">
        <f>'DATA B2'!G635</f>
        <v>0</v>
      </c>
      <c r="J32" s="144">
        <f t="shared" si="3"/>
        <v>0</v>
      </c>
      <c r="K32" s="55">
        <f t="shared" si="2"/>
        <v>0</v>
      </c>
      <c r="L32" s="18">
        <f>'DATA B2'!N635</f>
        <v>0</v>
      </c>
    </row>
    <row r="33" spans="2:12">
      <c r="B33" s="8">
        <f>SUM('REPORT B1'!B33)</f>
        <v>46047</v>
      </c>
      <c r="C33" s="5">
        <f>'DATA B2'!D661</f>
        <v>0</v>
      </c>
      <c r="D33" s="11">
        <f>'DATA B2'!E661</f>
        <v>0</v>
      </c>
      <c r="E33" s="266">
        <f t="shared" si="0"/>
        <v>0</v>
      </c>
      <c r="F33" s="9">
        <f>'DATA B2'!K661</f>
        <v>0</v>
      </c>
      <c r="G33" s="15">
        <f t="shared" si="1"/>
        <v>0</v>
      </c>
      <c r="H33" s="144">
        <f>'DATA B2'!F661</f>
        <v>0</v>
      </c>
      <c r="I33" s="144">
        <f>'DATA B2'!G661</f>
        <v>0</v>
      </c>
      <c r="J33" s="144">
        <f t="shared" si="3"/>
        <v>0</v>
      </c>
      <c r="K33" s="55">
        <f t="shared" si="2"/>
        <v>0</v>
      </c>
      <c r="L33" s="18">
        <f>'DATA B2'!N661</f>
        <v>0</v>
      </c>
    </row>
    <row r="34" spans="2:12">
      <c r="B34" s="8">
        <f>SUM('REPORT B1'!B34)</f>
        <v>46048</v>
      </c>
      <c r="C34" s="5">
        <f>'DATA B2'!D687</f>
        <v>0</v>
      </c>
      <c r="D34" s="11">
        <f>'DATA B2'!E687</f>
        <v>0</v>
      </c>
      <c r="E34" s="266">
        <f t="shared" si="0"/>
        <v>0</v>
      </c>
      <c r="F34" s="9">
        <f>'DATA B2'!K687</f>
        <v>0</v>
      </c>
      <c r="G34" s="15">
        <f t="shared" si="1"/>
        <v>0</v>
      </c>
      <c r="H34" s="144">
        <f>'DATA B2'!F687</f>
        <v>0</v>
      </c>
      <c r="I34" s="144">
        <f>'DATA B2'!G687</f>
        <v>0</v>
      </c>
      <c r="J34" s="144">
        <f t="shared" si="3"/>
        <v>0</v>
      </c>
      <c r="K34" s="55">
        <f t="shared" si="2"/>
        <v>0</v>
      </c>
      <c r="L34" s="18">
        <f>'DATA B2'!N687</f>
        <v>0</v>
      </c>
    </row>
    <row r="35" spans="2:12">
      <c r="B35" s="8">
        <f>SUM('REPORT B1'!B35)</f>
        <v>46049</v>
      </c>
      <c r="C35" s="5">
        <f>'DATA B2'!D713</f>
        <v>0</v>
      </c>
      <c r="D35" s="11">
        <f>'DATA B2'!E713</f>
        <v>0</v>
      </c>
      <c r="E35" s="266">
        <f>IFERROR(D35/C35,0)</f>
        <v>0</v>
      </c>
      <c r="F35" s="9">
        <f>'DATA B2'!K713</f>
        <v>0</v>
      </c>
      <c r="G35" s="15">
        <f t="shared" si="1"/>
        <v>0</v>
      </c>
      <c r="H35" s="144">
        <f>'DATA B2'!F713</f>
        <v>0</v>
      </c>
      <c r="I35" s="144">
        <f>'DATA B2'!G713</f>
        <v>0</v>
      </c>
      <c r="J35" s="144">
        <f t="shared" si="3"/>
        <v>0</v>
      </c>
      <c r="K35" s="55">
        <f t="shared" si="2"/>
        <v>0</v>
      </c>
      <c r="L35" s="18">
        <f>'DATA B2'!N713</f>
        <v>0</v>
      </c>
    </row>
    <row r="36" spans="2:12">
      <c r="B36" s="8">
        <f>SUM('REPORT B1'!B36)</f>
        <v>46050</v>
      </c>
      <c r="C36" s="5">
        <f>'DATA B2'!D739</f>
        <v>0</v>
      </c>
      <c r="D36" s="11">
        <f>'DATA B2'!E739</f>
        <v>0</v>
      </c>
      <c r="E36" s="266">
        <f t="shared" si="0"/>
        <v>0</v>
      </c>
      <c r="F36" s="9">
        <f>'DATA B2'!K739</f>
        <v>0</v>
      </c>
      <c r="G36" s="15">
        <f t="shared" si="1"/>
        <v>0</v>
      </c>
      <c r="H36" s="144">
        <f>'DATA B2'!F739</f>
        <v>0</v>
      </c>
      <c r="I36" s="144">
        <f>'DATA B2'!G739</f>
        <v>0</v>
      </c>
      <c r="J36" s="144">
        <f t="shared" si="3"/>
        <v>0</v>
      </c>
      <c r="K36" s="55">
        <f t="shared" si="2"/>
        <v>0</v>
      </c>
      <c r="L36" s="18">
        <f>'DATA B2'!N739</f>
        <v>0</v>
      </c>
    </row>
    <row r="37" spans="2:12">
      <c r="B37" s="8">
        <f>SUM('REPORT B1'!B37)</f>
        <v>46051</v>
      </c>
      <c r="C37" s="5">
        <f>'DATA B2'!D765</f>
        <v>0</v>
      </c>
      <c r="D37" s="11">
        <f>'DATA B2'!E765</f>
        <v>0</v>
      </c>
      <c r="E37" s="266">
        <f t="shared" si="0"/>
        <v>0</v>
      </c>
      <c r="F37" s="9">
        <f>'DATA B2'!K765</f>
        <v>0</v>
      </c>
      <c r="G37" s="15">
        <f t="shared" si="1"/>
        <v>0</v>
      </c>
      <c r="H37" s="144">
        <f>'DATA B2'!F765</f>
        <v>0</v>
      </c>
      <c r="I37" s="144">
        <f>'DATA B2'!G765</f>
        <v>0</v>
      </c>
      <c r="J37" s="144">
        <f>SUM(H37:I37)</f>
        <v>0</v>
      </c>
      <c r="K37" s="55">
        <f t="shared" si="2"/>
        <v>0</v>
      </c>
      <c r="L37" s="18">
        <f>'DATA B2'!N765</f>
        <v>0</v>
      </c>
    </row>
    <row r="38" spans="2:12">
      <c r="B38" s="8">
        <f>SUM('REPORT B1'!B38)</f>
        <v>46052</v>
      </c>
      <c r="C38" s="5">
        <f>'DATA B2'!D791</f>
        <v>0</v>
      </c>
      <c r="D38" s="11">
        <f>'DATA B2'!E791</f>
        <v>0</v>
      </c>
      <c r="E38" s="266">
        <f t="shared" si="0"/>
        <v>0</v>
      </c>
      <c r="F38" s="9">
        <f>'DATA B2'!K791</f>
        <v>0</v>
      </c>
      <c r="G38" s="15">
        <f t="shared" si="1"/>
        <v>0</v>
      </c>
      <c r="H38" s="144">
        <f>'DATA B2'!F791</f>
        <v>0</v>
      </c>
      <c r="I38" s="144">
        <f>'DATA B2'!G791</f>
        <v>0</v>
      </c>
      <c r="J38" s="144">
        <f>SUM(H38:I38)</f>
        <v>0</v>
      </c>
      <c r="K38" s="55">
        <f t="shared" si="2"/>
        <v>0</v>
      </c>
      <c r="L38" s="18">
        <f>'DATA B2'!N791</f>
        <v>0</v>
      </c>
    </row>
    <row r="39" spans="2:12" ht="15.75" thickBot="1">
      <c r="B39" s="8">
        <f>SUM('REPORT B1'!B39)</f>
        <v>46053</v>
      </c>
      <c r="C39" s="5">
        <f>'DATA B2'!D817</f>
        <v>0</v>
      </c>
      <c r="D39" s="11">
        <f>'DATA B2'!E817</f>
        <v>0</v>
      </c>
      <c r="E39" s="266">
        <f t="shared" si="0"/>
        <v>0</v>
      </c>
      <c r="F39" s="9">
        <f>'DATA B2'!K817</f>
        <v>0</v>
      </c>
      <c r="G39" s="15">
        <f t="shared" si="1"/>
        <v>0</v>
      </c>
      <c r="H39" s="144">
        <f>'DATA B2'!F817</f>
        <v>0</v>
      </c>
      <c r="I39" s="144">
        <f>'DATA B2'!G817</f>
        <v>0</v>
      </c>
      <c r="J39" s="144">
        <f>SUM(H39:I39)</f>
        <v>0</v>
      </c>
      <c r="K39" s="55">
        <f t="shared" si="2"/>
        <v>0</v>
      </c>
      <c r="L39" s="18">
        <f>'DATA B2'!N817</f>
        <v>0</v>
      </c>
    </row>
    <row r="40" spans="2:12" ht="19.5" thickBot="1">
      <c r="B40" s="74" t="s">
        <v>12</v>
      </c>
      <c r="C40" s="75">
        <f>SUMIF(C9:C39,"&gt;=0")</f>
        <v>4162</v>
      </c>
      <c r="D40" s="75">
        <f>SUMIF(D9:D39,"&gt;=0")</f>
        <v>7226</v>
      </c>
      <c r="E40" s="75">
        <f t="shared" si="0"/>
        <v>1.7361845266698703</v>
      </c>
      <c r="F40" s="75">
        <f>SUMIF(F9:F39,"&gt;=0")</f>
        <v>255577</v>
      </c>
      <c r="G40" s="76">
        <f t="shared" si="1"/>
        <v>61.407256126862087</v>
      </c>
      <c r="H40" s="151">
        <f>SUMIF(H9:H39,"&gt;=0")</f>
        <v>1.1600000000000055E-2</v>
      </c>
      <c r="I40" s="151">
        <f>SUMIF(I9:I39,"&gt;=0")</f>
        <v>8.0000000000000071E-3</v>
      </c>
      <c r="J40" s="151">
        <f>SUMIF(J9:J39,"&gt;=0")</f>
        <v>1.9600000000000062E-2</v>
      </c>
      <c r="K40" s="152">
        <f t="shared" si="2"/>
        <v>4.7092743873138063E-3</v>
      </c>
      <c r="L40" s="75">
        <f>SUMIF(L9:L39,"&gt;=0")</f>
        <v>8350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56"/>
    </row>
  </sheetData>
  <sheetProtection algorithmName="SHA-512" hashValue="kM7pNTrpIQWhiL8EfsxnMMWm3K1jii/voYeY1l5+U6A+27xBmbBPLtClhq8Vw/fnZYNfeBbLzcu8igLQun1vPQ==" saltValue="xRByw1CcC2YKnzV5aDOOHw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K2:L3"/>
    <mergeCell ref="J4:J5"/>
    <mergeCell ref="K4:L5"/>
  </mergeCells>
  <pageMargins left="0.7" right="0.7" top="0.75" bottom="0.75" header="0.3" footer="0.3"/>
  <pageSetup paperSize="9" scale="61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2EB6-E5DB-49D2-BB3D-2EA30417C437}">
  <sheetPr>
    <tabColor rgb="FFFF0000"/>
  </sheetPr>
  <dimension ref="B1:L40"/>
  <sheetViews>
    <sheetView tabSelected="1" view="pageBreakPreview" zoomScaleNormal="100" zoomScaleSheetLayoutView="100" workbookViewId="0">
      <pane xSplit="2" ySplit="8" topLeftCell="C9" activePane="bottomRight" state="frozen"/>
      <selection pane="bottomRight" activeCell="F30" sqref="F30"/>
      <selection pane="bottomLeft" activeCell="A11" sqref="A11"/>
      <selection pane="topRight" activeCell="C1" sqref="C1"/>
    </sheetView>
  </sheetViews>
  <sheetFormatPr defaultRowHeight="15"/>
  <cols>
    <col min="1" max="1" width="2.140625" customWidth="1"/>
    <col min="2" max="2" width="12.140625" customWidth="1"/>
    <col min="3" max="3" width="11.140625" customWidth="1"/>
    <col min="4" max="4" width="12" customWidth="1"/>
    <col min="5" max="5" width="11.7109375" customWidth="1"/>
    <col min="6" max="6" width="13.28515625" customWidth="1"/>
    <col min="7" max="7" width="13.42578125" customWidth="1"/>
    <col min="8" max="8" width="12.7109375" customWidth="1"/>
    <col min="9" max="9" width="9.85546875" customWidth="1"/>
    <col min="10" max="10" width="14" customWidth="1"/>
    <col min="11" max="11" width="12.42578125" customWidth="1"/>
  </cols>
  <sheetData>
    <row r="1" spans="2:12" ht="14.45" customHeight="1">
      <c r="E1" s="14"/>
      <c r="G1" s="14"/>
      <c r="K1" s="14"/>
    </row>
    <row r="2" spans="2:12" ht="14.45" customHeight="1">
      <c r="B2" s="279"/>
      <c r="C2" s="279"/>
      <c r="D2" s="376" t="s">
        <v>68</v>
      </c>
      <c r="E2" s="377"/>
      <c r="F2" s="377"/>
      <c r="G2" s="377"/>
      <c r="H2" s="377"/>
      <c r="I2" s="378"/>
      <c r="J2" s="385" t="s">
        <v>83</v>
      </c>
      <c r="K2" s="391" t="s">
        <v>41</v>
      </c>
      <c r="L2" s="77"/>
    </row>
    <row r="3" spans="2:12" ht="14.45" customHeight="1">
      <c r="B3" s="279"/>
      <c r="C3" s="279"/>
      <c r="D3" s="379"/>
      <c r="E3" s="380"/>
      <c r="F3" s="380"/>
      <c r="G3" s="380"/>
      <c r="H3" s="380"/>
      <c r="I3" s="381"/>
      <c r="J3" s="386"/>
      <c r="K3" s="392"/>
      <c r="L3" s="77"/>
    </row>
    <row r="4" spans="2:12" ht="14.45" customHeight="1">
      <c r="B4" s="279"/>
      <c r="C4" s="279"/>
      <c r="D4" s="382"/>
      <c r="E4" s="383"/>
      <c r="F4" s="383"/>
      <c r="G4" s="383"/>
      <c r="H4" s="383"/>
      <c r="I4" s="384"/>
      <c r="J4" s="389" t="s">
        <v>3</v>
      </c>
      <c r="K4" s="393" t="s">
        <v>70</v>
      </c>
      <c r="L4" s="78"/>
    </row>
    <row r="5" spans="2:12" ht="14.45" customHeight="1">
      <c r="B5" s="279"/>
      <c r="C5" s="279"/>
      <c r="D5" s="73" t="s">
        <v>7</v>
      </c>
      <c r="E5" s="129">
        <f>SUM('REPORT B2'!E5)</f>
        <v>46023</v>
      </c>
      <c r="F5" s="127"/>
      <c r="G5" s="127"/>
      <c r="H5" s="127"/>
      <c r="I5" s="128"/>
      <c r="J5" s="390"/>
      <c r="K5" s="394"/>
      <c r="L5" s="78"/>
    </row>
    <row r="6" spans="2:12" ht="14.45" customHeight="1">
      <c r="E6" s="14"/>
      <c r="G6" s="14"/>
      <c r="K6" s="14"/>
    </row>
    <row r="7" spans="2:12" ht="45">
      <c r="B7" s="285" t="s">
        <v>8</v>
      </c>
      <c r="C7" s="32" t="s">
        <v>71</v>
      </c>
      <c r="D7" s="20" t="s">
        <v>72</v>
      </c>
      <c r="E7" s="33" t="s">
        <v>73</v>
      </c>
      <c r="F7" s="250" t="s">
        <v>84</v>
      </c>
      <c r="G7" s="365" t="s">
        <v>85</v>
      </c>
      <c r="H7" s="367" t="s">
        <v>86</v>
      </c>
      <c r="I7" s="368"/>
      <c r="J7" s="369"/>
      <c r="K7" s="365" t="s">
        <v>87</v>
      </c>
    </row>
    <row r="8" spans="2:12">
      <c r="B8" s="287"/>
      <c r="C8" s="1" t="s">
        <v>65</v>
      </c>
      <c r="D8" s="2" t="s">
        <v>65</v>
      </c>
      <c r="E8" s="252" t="s">
        <v>65</v>
      </c>
      <c r="F8" s="3" t="s">
        <v>65</v>
      </c>
      <c r="G8" s="366"/>
      <c r="H8" s="258" t="s">
        <v>26</v>
      </c>
      <c r="I8" s="258" t="s">
        <v>27</v>
      </c>
      <c r="J8" s="258" t="s">
        <v>12</v>
      </c>
      <c r="K8" s="366"/>
    </row>
    <row r="9" spans="2:12">
      <c r="B9" s="8">
        <f>SUM('REPORT B2'!B9)</f>
        <v>46023</v>
      </c>
      <c r="C9" s="5">
        <f>'DATA B3'!C37</f>
        <v>186</v>
      </c>
      <c r="D9" s="11">
        <f>'DATA B3'!D37</f>
        <v>158</v>
      </c>
      <c r="E9" s="15">
        <f>IFERROR(D9/C9,0)</f>
        <v>0.84946236559139787</v>
      </c>
      <c r="F9" s="150">
        <f>'DATA B3'!H37</f>
        <v>8663</v>
      </c>
      <c r="G9" s="15">
        <f>IFERROR(F9/C9,0)</f>
        <v>46.575268817204304</v>
      </c>
      <c r="H9" s="143">
        <f>'DATA B3'!E37</f>
        <v>501.5</v>
      </c>
      <c r="I9" s="143">
        <f>'DATA B3'!F37</f>
        <v>342.23</v>
      </c>
      <c r="J9" s="42">
        <f t="shared" ref="J9:J36" si="0">SUM(H9:I9)</f>
        <v>843.73</v>
      </c>
      <c r="K9" s="15">
        <f>IFERROR(I9/C9,0)</f>
        <v>1.8399462365591399</v>
      </c>
    </row>
    <row r="10" spans="2:12">
      <c r="B10" s="8">
        <f>SUM('REPORT B2'!B10)</f>
        <v>46024</v>
      </c>
      <c r="C10" s="5">
        <f>'DATA B3'!C63</f>
        <v>178</v>
      </c>
      <c r="D10" s="11">
        <f>'DATA B3'!D63</f>
        <v>152</v>
      </c>
      <c r="E10" s="15">
        <f t="shared" ref="E10:E40" si="1">IFERROR(D10/C10,0)</f>
        <v>0.8539325842696629</v>
      </c>
      <c r="F10" s="150">
        <f>'DATA B3'!H63</f>
        <v>8311</v>
      </c>
      <c r="G10" s="15">
        <f t="shared" ref="G10:G40" si="2">IFERROR(F10/C10,0)</f>
        <v>46.69101123595506</v>
      </c>
      <c r="H10" s="42">
        <f>'DATA B3'!E63</f>
        <v>484.67999999999995</v>
      </c>
      <c r="I10" s="42">
        <f>'DATA B3'!F63</f>
        <v>343.69000000000005</v>
      </c>
      <c r="J10" s="42">
        <f t="shared" si="0"/>
        <v>828.37</v>
      </c>
      <c r="K10" s="15">
        <f>IFERROR(I10/C10,0)</f>
        <v>1.9308426966292138</v>
      </c>
    </row>
    <row r="11" spans="2:12">
      <c r="B11" s="8">
        <f>SUM('REPORT B2'!B11)</f>
        <v>46025</v>
      </c>
      <c r="C11" s="5">
        <f>'DATA B3'!C89</f>
        <v>172</v>
      </c>
      <c r="D11" s="11">
        <f>'DATA B3'!D89</f>
        <v>147</v>
      </c>
      <c r="E11" s="15">
        <f t="shared" si="1"/>
        <v>0.85465116279069764</v>
      </c>
      <c r="F11" s="150">
        <f>'DATA B3'!H89</f>
        <v>8058</v>
      </c>
      <c r="G11" s="15">
        <f t="shared" si="2"/>
        <v>46.848837209302324</v>
      </c>
      <c r="H11" s="42">
        <f>'DATA B3'!E89</f>
        <v>480.5200000000001</v>
      </c>
      <c r="I11" s="42">
        <f>'DATA B3'!F89</f>
        <v>337.74</v>
      </c>
      <c r="J11" s="42">
        <f t="shared" si="0"/>
        <v>818.2600000000001</v>
      </c>
      <c r="K11" s="15">
        <f t="shared" ref="K11:K36" si="3">IFERROR(I11/C11,0)</f>
        <v>1.9636046511627907</v>
      </c>
    </row>
    <row r="12" spans="2:12">
      <c r="B12" s="8">
        <f>SUM('REPORT B2'!B12)</f>
        <v>46026</v>
      </c>
      <c r="C12" s="5">
        <f>'DATA B3'!C115</f>
        <v>150</v>
      </c>
      <c r="D12" s="11">
        <f>'DATA B3'!D115</f>
        <v>130</v>
      </c>
      <c r="E12" s="15">
        <f t="shared" si="1"/>
        <v>0.8666666666666667</v>
      </c>
      <c r="F12" s="150">
        <f>'DATA B3'!H115</f>
        <v>7210</v>
      </c>
      <c r="G12" s="15">
        <f>IFERROR(F12/C12,0)</f>
        <v>48.06666666666667</v>
      </c>
      <c r="H12" s="42">
        <f>'DATA B3'!E115</f>
        <v>452.90999999999985</v>
      </c>
      <c r="I12" s="42">
        <f>'DATA B3'!F115</f>
        <v>326.38999999999987</v>
      </c>
      <c r="J12" s="42">
        <f t="shared" si="0"/>
        <v>779.29999999999973</v>
      </c>
      <c r="K12" s="15">
        <f t="shared" si="3"/>
        <v>2.1759333333333326</v>
      </c>
    </row>
    <row r="13" spans="2:12">
      <c r="B13" s="8">
        <f>SUM('REPORT B2'!B13)</f>
        <v>46027</v>
      </c>
      <c r="C13" s="5">
        <f>'DATA B3'!C141</f>
        <v>102</v>
      </c>
      <c r="D13" s="11">
        <f>'DATA B3'!D141</f>
        <v>90</v>
      </c>
      <c r="E13" s="15">
        <f t="shared" si="1"/>
        <v>0.88235294117647056</v>
      </c>
      <c r="F13" s="150">
        <f>'DATA B3'!H141</f>
        <v>4971</v>
      </c>
      <c r="G13" s="15">
        <f t="shared" si="2"/>
        <v>48.735294117647058</v>
      </c>
      <c r="H13" s="42">
        <f>'DATA B3'!E141</f>
        <v>451.60000000000014</v>
      </c>
      <c r="I13" s="42">
        <f>'DATA B3'!F141</f>
        <v>88.019999999999982</v>
      </c>
      <c r="J13" s="42">
        <f t="shared" si="0"/>
        <v>539.62000000000012</v>
      </c>
      <c r="K13" s="15">
        <f t="shared" si="3"/>
        <v>0.8629411764705881</v>
      </c>
    </row>
    <row r="14" spans="2:12">
      <c r="B14" s="8">
        <f>SUM('REPORT B2'!B14)</f>
        <v>46028</v>
      </c>
      <c r="C14" s="5">
        <f>'DATA B3'!C167</f>
        <v>0</v>
      </c>
      <c r="D14" s="11">
        <f>'DATA B3'!D167</f>
        <v>0</v>
      </c>
      <c r="E14" s="15">
        <f t="shared" si="1"/>
        <v>0</v>
      </c>
      <c r="F14" s="150">
        <f>'DATA B3'!H167</f>
        <v>0</v>
      </c>
      <c r="G14" s="15">
        <f t="shared" si="2"/>
        <v>0</v>
      </c>
      <c r="H14" s="42">
        <f>'DATA B3'!E167</f>
        <v>0</v>
      </c>
      <c r="I14" s="42">
        <f>'DATA B3'!F167</f>
        <v>0</v>
      </c>
      <c r="J14" s="42">
        <f t="shared" si="0"/>
        <v>0</v>
      </c>
      <c r="K14" s="15">
        <f t="shared" si="3"/>
        <v>0</v>
      </c>
    </row>
    <row r="15" spans="2:12">
      <c r="B15" s="8">
        <f>SUM('REPORT B2'!B15)</f>
        <v>46029</v>
      </c>
      <c r="C15" s="5">
        <f>'DATA B3'!C193</f>
        <v>0</v>
      </c>
      <c r="D15" s="11">
        <f>'DATA B3'!D193</f>
        <v>0</v>
      </c>
      <c r="E15" s="15">
        <f t="shared" si="1"/>
        <v>0</v>
      </c>
      <c r="F15" s="150">
        <f>'DATA B3'!H193</f>
        <v>0</v>
      </c>
      <c r="G15" s="15">
        <f t="shared" si="2"/>
        <v>0</v>
      </c>
      <c r="H15" s="42">
        <f>'DATA B3'!E193</f>
        <v>0</v>
      </c>
      <c r="I15" s="42">
        <f>'DATA B3'!F193</f>
        <v>0</v>
      </c>
      <c r="J15" s="42">
        <f t="shared" si="0"/>
        <v>0</v>
      </c>
      <c r="K15" s="15">
        <f t="shared" si="3"/>
        <v>0</v>
      </c>
    </row>
    <row r="16" spans="2:12">
      <c r="B16" s="8">
        <f>SUM('REPORT B2'!B16)</f>
        <v>46030</v>
      </c>
      <c r="C16" s="5">
        <f>'DATA B3'!C219</f>
        <v>0</v>
      </c>
      <c r="D16" s="11">
        <f>'DATA B3'!D219</f>
        <v>0</v>
      </c>
      <c r="E16" s="15">
        <f t="shared" si="1"/>
        <v>0</v>
      </c>
      <c r="F16" s="150">
        <f>'DATA B3'!H219</f>
        <v>0</v>
      </c>
      <c r="G16" s="15">
        <f t="shared" si="2"/>
        <v>0</v>
      </c>
      <c r="H16" s="42">
        <f>'DATA B3'!E219</f>
        <v>0</v>
      </c>
      <c r="I16" s="42">
        <f>'DATA B3'!F219</f>
        <v>0</v>
      </c>
      <c r="J16" s="42">
        <f t="shared" si="0"/>
        <v>0</v>
      </c>
      <c r="K16" s="15">
        <f t="shared" si="3"/>
        <v>0</v>
      </c>
    </row>
    <row r="17" spans="2:11">
      <c r="B17" s="8">
        <f>SUM('REPORT B2'!B17)</f>
        <v>46031</v>
      </c>
      <c r="C17" s="5">
        <f>'DATA B3'!C245</f>
        <v>0</v>
      </c>
      <c r="D17" s="11">
        <f>'DATA B3'!D245</f>
        <v>0</v>
      </c>
      <c r="E17" s="15">
        <f>IFERROR(D17/C17,0)</f>
        <v>0</v>
      </c>
      <c r="F17" s="150">
        <f>'DATA B3'!H245</f>
        <v>0</v>
      </c>
      <c r="G17" s="15">
        <f>IFERROR(F17/C17,0)</f>
        <v>0</v>
      </c>
      <c r="H17" s="42">
        <f>'DATA B3'!E245</f>
        <v>0</v>
      </c>
      <c r="I17" s="42">
        <f>'DATA B3'!F245</f>
        <v>0</v>
      </c>
      <c r="J17" s="42">
        <f t="shared" si="0"/>
        <v>0</v>
      </c>
      <c r="K17" s="15">
        <f t="shared" si="3"/>
        <v>0</v>
      </c>
    </row>
    <row r="18" spans="2:11">
      <c r="B18" s="8">
        <f>SUM('REPORT B2'!B18)</f>
        <v>46032</v>
      </c>
      <c r="C18" s="5">
        <f>'DATA B3'!C271</f>
        <v>0</v>
      </c>
      <c r="D18" s="11">
        <f>'DATA B3'!D271</f>
        <v>0</v>
      </c>
      <c r="E18" s="15">
        <f>IFERROR(D18/C18,0)</f>
        <v>0</v>
      </c>
      <c r="F18" s="150">
        <f>'DATA B3'!H271</f>
        <v>0</v>
      </c>
      <c r="G18" s="15">
        <f>IFERROR(F18/C18,0)</f>
        <v>0</v>
      </c>
      <c r="H18" s="42">
        <f>'DATA B3'!E271</f>
        <v>0</v>
      </c>
      <c r="I18" s="42">
        <f>'DATA B3'!F271</f>
        <v>0</v>
      </c>
      <c r="J18" s="42">
        <f t="shared" si="0"/>
        <v>0</v>
      </c>
      <c r="K18" s="15">
        <f t="shared" si="3"/>
        <v>0</v>
      </c>
    </row>
    <row r="19" spans="2:11">
      <c r="B19" s="8">
        <f>SUM('REPORT B2'!B19)</f>
        <v>46033</v>
      </c>
      <c r="C19" s="5">
        <f>'DATA B3'!C297</f>
        <v>0</v>
      </c>
      <c r="D19" s="11">
        <f>'DATA B3'!D297</f>
        <v>0</v>
      </c>
      <c r="E19" s="15">
        <f>IFERROR(D19/C19,0)</f>
        <v>0</v>
      </c>
      <c r="F19" s="150">
        <f>'DATA B3'!H297</f>
        <v>0</v>
      </c>
      <c r="G19" s="15">
        <f t="shared" si="2"/>
        <v>0</v>
      </c>
      <c r="H19" s="42">
        <f>'DATA B3'!E297</f>
        <v>0</v>
      </c>
      <c r="I19" s="42">
        <f>'DATA B3'!F297</f>
        <v>0</v>
      </c>
      <c r="J19" s="42">
        <f t="shared" si="0"/>
        <v>0</v>
      </c>
      <c r="K19" s="15">
        <f t="shared" si="3"/>
        <v>0</v>
      </c>
    </row>
    <row r="20" spans="2:11">
      <c r="B20" s="8">
        <f>SUM('REPORT B2'!B20)</f>
        <v>46034</v>
      </c>
      <c r="C20" s="5">
        <f>'DATA B3'!C323</f>
        <v>0</v>
      </c>
      <c r="D20" s="11">
        <f>'DATA B3'!D323</f>
        <v>0</v>
      </c>
      <c r="E20" s="15">
        <f>IFERROR(D20/C20,0)</f>
        <v>0</v>
      </c>
      <c r="F20" s="150">
        <f>'DATA B3'!H323</f>
        <v>0</v>
      </c>
      <c r="G20" s="15">
        <f t="shared" si="2"/>
        <v>0</v>
      </c>
      <c r="H20" s="42">
        <f>'DATA B3'!E323</f>
        <v>0</v>
      </c>
      <c r="I20" s="42">
        <f>'DATA B3'!F323</f>
        <v>0</v>
      </c>
      <c r="J20" s="42">
        <f t="shared" si="0"/>
        <v>0</v>
      </c>
      <c r="K20" s="15">
        <f t="shared" si="3"/>
        <v>0</v>
      </c>
    </row>
    <row r="21" spans="2:11">
      <c r="B21" s="8">
        <f>SUM('REPORT B2'!B21)</f>
        <v>46035</v>
      </c>
      <c r="C21" s="5">
        <f>'DATA B3'!C349</f>
        <v>0</v>
      </c>
      <c r="D21" s="11">
        <f>'DATA B3'!D349</f>
        <v>0</v>
      </c>
      <c r="E21" s="15">
        <f t="shared" si="1"/>
        <v>0</v>
      </c>
      <c r="F21" s="150">
        <f>'DATA B3'!H349</f>
        <v>0</v>
      </c>
      <c r="G21" s="15">
        <f t="shared" si="2"/>
        <v>0</v>
      </c>
      <c r="H21" s="42">
        <f>'DATA B3'!E349</f>
        <v>0</v>
      </c>
      <c r="I21" s="42">
        <f>'DATA B3'!F349</f>
        <v>0</v>
      </c>
      <c r="J21" s="42">
        <f t="shared" si="0"/>
        <v>0</v>
      </c>
      <c r="K21" s="15">
        <f t="shared" si="3"/>
        <v>0</v>
      </c>
    </row>
    <row r="22" spans="2:11">
      <c r="B22" s="8">
        <f>SUM('REPORT B2'!B22)</f>
        <v>46036</v>
      </c>
      <c r="C22" s="5">
        <f>'DATA B3'!C375</f>
        <v>0</v>
      </c>
      <c r="D22" s="11">
        <f>'DATA B3'!D375</f>
        <v>0</v>
      </c>
      <c r="E22" s="15">
        <f t="shared" si="1"/>
        <v>0</v>
      </c>
      <c r="F22" s="150">
        <f>'DATA B3'!H375</f>
        <v>0</v>
      </c>
      <c r="G22" s="15">
        <f t="shared" si="2"/>
        <v>0</v>
      </c>
      <c r="H22" s="42">
        <f>'DATA B3'!E375</f>
        <v>0</v>
      </c>
      <c r="I22" s="42">
        <f>'DATA B3'!F375</f>
        <v>0</v>
      </c>
      <c r="J22" s="42">
        <f t="shared" si="0"/>
        <v>0</v>
      </c>
      <c r="K22" s="15">
        <f t="shared" si="3"/>
        <v>0</v>
      </c>
    </row>
    <row r="23" spans="2:11">
      <c r="B23" s="8">
        <f>SUM('REPORT B2'!B23)</f>
        <v>46037</v>
      </c>
      <c r="C23" s="5">
        <f>'DATA B3'!C401</f>
        <v>0</v>
      </c>
      <c r="D23" s="11">
        <f>'DATA B3'!D401</f>
        <v>0</v>
      </c>
      <c r="E23" s="15">
        <f t="shared" si="1"/>
        <v>0</v>
      </c>
      <c r="F23" s="150">
        <f>'DATA B3'!H401</f>
        <v>0</v>
      </c>
      <c r="G23" s="15">
        <f t="shared" si="2"/>
        <v>0</v>
      </c>
      <c r="H23" s="42">
        <f>'DATA B3'!E401</f>
        <v>0</v>
      </c>
      <c r="I23" s="42">
        <f>'DATA B3'!F401</f>
        <v>0</v>
      </c>
      <c r="J23" s="42">
        <f t="shared" si="0"/>
        <v>0</v>
      </c>
      <c r="K23" s="15">
        <f t="shared" si="3"/>
        <v>0</v>
      </c>
    </row>
    <row r="24" spans="2:11">
      <c r="B24" s="8">
        <f>SUM('REPORT B2'!B24)</f>
        <v>46038</v>
      </c>
      <c r="C24" s="5">
        <f>'DATA B3'!C427</f>
        <v>0</v>
      </c>
      <c r="D24" s="11">
        <f>'DATA B3'!D427</f>
        <v>0</v>
      </c>
      <c r="E24" s="15">
        <f t="shared" si="1"/>
        <v>0</v>
      </c>
      <c r="F24" s="150">
        <f>'DATA B3'!H427</f>
        <v>0</v>
      </c>
      <c r="G24" s="15">
        <f t="shared" si="2"/>
        <v>0</v>
      </c>
      <c r="H24" s="42">
        <f>'DATA B3'!E427</f>
        <v>0</v>
      </c>
      <c r="I24" s="42">
        <f>'DATA B3'!F427</f>
        <v>0</v>
      </c>
      <c r="J24" s="42">
        <f t="shared" si="0"/>
        <v>0</v>
      </c>
      <c r="K24" s="15">
        <f>IFERROR(I24/C24,0)</f>
        <v>0</v>
      </c>
    </row>
    <row r="25" spans="2:11">
      <c r="B25" s="8">
        <f>SUM('REPORT B2'!B25)</f>
        <v>46039</v>
      </c>
      <c r="C25" s="5">
        <f>'DATA B3'!C453</f>
        <v>0</v>
      </c>
      <c r="D25" s="11">
        <f>'DATA B3'!D453</f>
        <v>0</v>
      </c>
      <c r="E25" s="15">
        <f t="shared" si="1"/>
        <v>0</v>
      </c>
      <c r="F25" s="150">
        <f>'DATA B3'!H453</f>
        <v>0</v>
      </c>
      <c r="G25" s="15">
        <f t="shared" si="2"/>
        <v>0</v>
      </c>
      <c r="H25" s="42">
        <f>'DATA B3'!E453</f>
        <v>0</v>
      </c>
      <c r="I25" s="42">
        <f>'DATA B3'!F453</f>
        <v>0</v>
      </c>
      <c r="J25" s="42">
        <f t="shared" si="0"/>
        <v>0</v>
      </c>
      <c r="K25" s="15">
        <f t="shared" si="3"/>
        <v>0</v>
      </c>
    </row>
    <row r="26" spans="2:11">
      <c r="B26" s="8">
        <f>SUM('REPORT B2'!B26)</f>
        <v>46040</v>
      </c>
      <c r="C26" s="5">
        <f>'DATA B3'!C479</f>
        <v>0</v>
      </c>
      <c r="D26" s="11">
        <f>'DATA B3'!D479</f>
        <v>0</v>
      </c>
      <c r="E26" s="15">
        <f t="shared" si="1"/>
        <v>0</v>
      </c>
      <c r="F26" s="150">
        <f>'DATA B3'!H479</f>
        <v>0</v>
      </c>
      <c r="G26" s="15">
        <f t="shared" si="2"/>
        <v>0</v>
      </c>
      <c r="H26" s="42">
        <f>'DATA B3'!E479</f>
        <v>0</v>
      </c>
      <c r="I26" s="42">
        <f>'DATA B3'!F479</f>
        <v>0</v>
      </c>
      <c r="J26" s="42">
        <f t="shared" si="0"/>
        <v>0</v>
      </c>
      <c r="K26" s="15">
        <f t="shared" si="3"/>
        <v>0</v>
      </c>
    </row>
    <row r="27" spans="2:11">
      <c r="B27" s="8">
        <f>SUM('REPORT B2'!B27)</f>
        <v>46041</v>
      </c>
      <c r="C27" s="5">
        <f>'DATA B3'!C505</f>
        <v>221</v>
      </c>
      <c r="D27" s="11">
        <f>'DATA B3'!D505</f>
        <v>219</v>
      </c>
      <c r="E27" s="15">
        <f t="shared" si="1"/>
        <v>0.99095022624434392</v>
      </c>
      <c r="F27" s="150">
        <f>'DATA B3'!H505</f>
        <v>11572</v>
      </c>
      <c r="G27" s="15">
        <f t="shared" si="2"/>
        <v>52.361990950226243</v>
      </c>
      <c r="H27" s="42">
        <f>'DATA B3'!E505</f>
        <v>517.21</v>
      </c>
      <c r="I27" s="42">
        <f>'DATA B3'!F505</f>
        <v>483.66000000000008</v>
      </c>
      <c r="J27" s="42">
        <f t="shared" si="0"/>
        <v>1000.8700000000001</v>
      </c>
      <c r="K27" s="15">
        <f t="shared" si="3"/>
        <v>2.1885067873303172</v>
      </c>
    </row>
    <row r="28" spans="2:11">
      <c r="B28" s="8">
        <f>SUM('REPORT B2'!B28)</f>
        <v>46042</v>
      </c>
      <c r="C28" s="5">
        <f>'DATA B3'!C531</f>
        <v>264</v>
      </c>
      <c r="D28" s="11">
        <f>'DATA B3'!D531</f>
        <v>245</v>
      </c>
      <c r="E28" s="15">
        <f t="shared" si="1"/>
        <v>0.92803030303030298</v>
      </c>
      <c r="F28" s="150">
        <f>'DATA B3'!H531</f>
        <v>12865</v>
      </c>
      <c r="G28" s="15">
        <f t="shared" si="2"/>
        <v>48.731060606060609</v>
      </c>
      <c r="H28" s="42">
        <f>'DATA B3'!E531</f>
        <v>632.07999999999993</v>
      </c>
      <c r="I28" s="42">
        <f>'DATA B3'!F531</f>
        <v>417.02</v>
      </c>
      <c r="J28" s="42">
        <f t="shared" si="0"/>
        <v>1049.0999999999999</v>
      </c>
      <c r="K28" s="15">
        <f t="shared" si="3"/>
        <v>1.5796212121212121</v>
      </c>
    </row>
    <row r="29" spans="2:11">
      <c r="B29" s="8">
        <f>SUM('REPORT B2'!B29)</f>
        <v>46043</v>
      </c>
      <c r="C29" s="5">
        <f>'DATA B3'!C557</f>
        <v>41</v>
      </c>
      <c r="D29" s="11">
        <f>'DATA B3'!D557</f>
        <v>36</v>
      </c>
      <c r="E29" s="15">
        <f t="shared" si="1"/>
        <v>0.87804878048780488</v>
      </c>
      <c r="F29" s="150">
        <f>'DATA B3'!H557</f>
        <v>1857</v>
      </c>
      <c r="G29" s="15">
        <f t="shared" si="2"/>
        <v>45.292682926829265</v>
      </c>
      <c r="H29" s="42">
        <f>'DATA B3'!E557</f>
        <v>124.90000000000009</v>
      </c>
      <c r="I29" s="42">
        <f>'DATA B3'!F557</f>
        <v>0</v>
      </c>
      <c r="J29" s="42">
        <f t="shared" si="0"/>
        <v>124.90000000000009</v>
      </c>
      <c r="K29" s="15">
        <f t="shared" si="3"/>
        <v>0</v>
      </c>
    </row>
    <row r="30" spans="2:11">
      <c r="B30" s="8">
        <f>SUM('REPORT B2'!B30)</f>
        <v>46044</v>
      </c>
      <c r="C30" s="5">
        <f>'DATA B3'!C583</f>
        <v>0</v>
      </c>
      <c r="D30" s="11">
        <f>'DATA B3'!D583</f>
        <v>0</v>
      </c>
      <c r="E30" s="15">
        <f t="shared" si="1"/>
        <v>0</v>
      </c>
      <c r="F30" s="150">
        <f>'DATA B3'!H583</f>
        <v>0</v>
      </c>
      <c r="G30" s="15">
        <f t="shared" si="2"/>
        <v>0</v>
      </c>
      <c r="H30" s="42">
        <f>'DATA B3'!E583</f>
        <v>0</v>
      </c>
      <c r="I30" s="42">
        <f>'DATA B3'!F583</f>
        <v>0</v>
      </c>
      <c r="J30" s="42">
        <f t="shared" si="0"/>
        <v>0</v>
      </c>
      <c r="K30" s="15">
        <f t="shared" si="3"/>
        <v>0</v>
      </c>
    </row>
    <row r="31" spans="2:11">
      <c r="B31" s="8">
        <f>SUM('REPORT B2'!B31)</f>
        <v>46045</v>
      </c>
      <c r="C31" s="5">
        <f>'DATA B3'!C609</f>
        <v>0</v>
      </c>
      <c r="D31" s="11">
        <f>'DATA B3'!D609</f>
        <v>0</v>
      </c>
      <c r="E31" s="15">
        <f t="shared" si="1"/>
        <v>0</v>
      </c>
      <c r="F31" s="150">
        <f>'DATA B3'!H609</f>
        <v>0</v>
      </c>
      <c r="G31" s="15">
        <f>IFERROR(F31/C31,0)</f>
        <v>0</v>
      </c>
      <c r="H31" s="42">
        <f>'DATA B3'!E609</f>
        <v>0</v>
      </c>
      <c r="I31" s="42">
        <f>'DATA B3'!F609</f>
        <v>0</v>
      </c>
      <c r="J31" s="42">
        <f t="shared" si="0"/>
        <v>0</v>
      </c>
      <c r="K31" s="15">
        <f t="shared" si="3"/>
        <v>0</v>
      </c>
    </row>
    <row r="32" spans="2:11">
      <c r="B32" s="8">
        <f>SUM('REPORT B2'!B32)</f>
        <v>46046</v>
      </c>
      <c r="C32" s="5">
        <f>'DATA B3'!C635</f>
        <v>0</v>
      </c>
      <c r="D32" s="11">
        <f>'DATA B3'!D635</f>
        <v>0</v>
      </c>
      <c r="E32" s="15">
        <f t="shared" si="1"/>
        <v>0</v>
      </c>
      <c r="F32" s="150">
        <f>'DATA B3'!H635</f>
        <v>0</v>
      </c>
      <c r="G32" s="15">
        <f t="shared" si="2"/>
        <v>0</v>
      </c>
      <c r="H32" s="42">
        <f>'DATA B3'!E635</f>
        <v>0</v>
      </c>
      <c r="I32" s="42">
        <f>'DATA B3'!F635</f>
        <v>0</v>
      </c>
      <c r="J32" s="42">
        <f t="shared" si="0"/>
        <v>0</v>
      </c>
      <c r="K32" s="15">
        <f t="shared" si="3"/>
        <v>0</v>
      </c>
    </row>
    <row r="33" spans="2:11">
      <c r="B33" s="8">
        <f>SUM('REPORT B2'!B33)</f>
        <v>46047</v>
      </c>
      <c r="C33" s="5">
        <f>'DATA B3'!C661</f>
        <v>0</v>
      </c>
      <c r="D33" s="11">
        <f>'DATA B3'!D661</f>
        <v>0</v>
      </c>
      <c r="E33" s="15">
        <f t="shared" si="1"/>
        <v>0</v>
      </c>
      <c r="F33" s="150">
        <f>'DATA B3'!H661</f>
        <v>0</v>
      </c>
      <c r="G33" s="15">
        <f t="shared" si="2"/>
        <v>0</v>
      </c>
      <c r="H33" s="42">
        <f>'DATA B3'!E661</f>
        <v>0</v>
      </c>
      <c r="I33" s="42">
        <f>'DATA B3'!F661</f>
        <v>0</v>
      </c>
      <c r="J33" s="42">
        <f t="shared" si="0"/>
        <v>0</v>
      </c>
      <c r="K33" s="15">
        <f t="shared" si="3"/>
        <v>0</v>
      </c>
    </row>
    <row r="34" spans="2:11">
      <c r="B34" s="8">
        <f>SUM('REPORT B2'!B34)</f>
        <v>46048</v>
      </c>
      <c r="C34" s="5">
        <f>'DATA B3'!C687</f>
        <v>0</v>
      </c>
      <c r="D34" s="11">
        <f>'DATA B3'!D687</f>
        <v>0</v>
      </c>
      <c r="E34" s="15">
        <f t="shared" si="1"/>
        <v>0</v>
      </c>
      <c r="F34" s="150">
        <f>'DATA B3'!H687</f>
        <v>0</v>
      </c>
      <c r="G34" s="15">
        <f t="shared" si="2"/>
        <v>0</v>
      </c>
      <c r="H34" s="42">
        <f>'DATA B3'!E687</f>
        <v>0</v>
      </c>
      <c r="I34" s="42">
        <f>'DATA B3'!F687</f>
        <v>0</v>
      </c>
      <c r="J34" s="42">
        <f t="shared" si="0"/>
        <v>0</v>
      </c>
      <c r="K34" s="15">
        <f t="shared" si="3"/>
        <v>0</v>
      </c>
    </row>
    <row r="35" spans="2:11">
      <c r="B35" s="8">
        <f>SUM('REPORT B2'!B35)</f>
        <v>46049</v>
      </c>
      <c r="C35" s="5">
        <f>'DATA B3'!C713</f>
        <v>0</v>
      </c>
      <c r="D35" s="11">
        <f>'DATA B3'!D713</f>
        <v>0</v>
      </c>
      <c r="E35" s="15">
        <f t="shared" si="1"/>
        <v>0</v>
      </c>
      <c r="F35" s="150">
        <f>'DATA B3'!H713</f>
        <v>0</v>
      </c>
      <c r="G35" s="15">
        <f t="shared" si="2"/>
        <v>0</v>
      </c>
      <c r="H35" s="42">
        <f>'DATA B3'!E713</f>
        <v>0</v>
      </c>
      <c r="I35" s="42">
        <f>'DATA B3'!F713</f>
        <v>0</v>
      </c>
      <c r="J35" s="42">
        <f t="shared" si="0"/>
        <v>0</v>
      </c>
      <c r="K35" s="15">
        <f t="shared" si="3"/>
        <v>0</v>
      </c>
    </row>
    <row r="36" spans="2:11">
      <c r="B36" s="8">
        <f>SUM('REPORT B2'!B36)</f>
        <v>46050</v>
      </c>
      <c r="C36" s="5">
        <f>'DATA B3'!C739</f>
        <v>0</v>
      </c>
      <c r="D36" s="11">
        <f>'DATA B3'!D739</f>
        <v>0</v>
      </c>
      <c r="E36" s="15">
        <f t="shared" si="1"/>
        <v>0</v>
      </c>
      <c r="F36" s="150">
        <f>'DATA B3'!H739</f>
        <v>0</v>
      </c>
      <c r="G36" s="15">
        <f t="shared" si="2"/>
        <v>0</v>
      </c>
      <c r="H36" s="42">
        <f>'DATA B3'!E739</f>
        <v>0</v>
      </c>
      <c r="I36" s="42">
        <f>'DATA B3'!F739</f>
        <v>0</v>
      </c>
      <c r="J36" s="42">
        <f t="shared" si="0"/>
        <v>0</v>
      </c>
      <c r="K36" s="15">
        <f t="shared" si="3"/>
        <v>0</v>
      </c>
    </row>
    <row r="37" spans="2:11">
      <c r="B37" s="8">
        <f>SUM('REPORT B2'!B37)</f>
        <v>46051</v>
      </c>
      <c r="C37" s="5">
        <f>'DATA B3'!D765</f>
        <v>0</v>
      </c>
      <c r="D37" s="11">
        <f>'DATA B3'!E765</f>
        <v>0</v>
      </c>
      <c r="E37" s="15">
        <f t="shared" si="1"/>
        <v>0</v>
      </c>
      <c r="F37" s="150">
        <f>'DATA B3'!K765</f>
        <v>0</v>
      </c>
      <c r="G37" s="15">
        <f t="shared" si="2"/>
        <v>0</v>
      </c>
      <c r="H37" s="42">
        <f>'DATA B3'!E765</f>
        <v>0</v>
      </c>
      <c r="I37" s="42">
        <f>'DATA B3'!F765</f>
        <v>0</v>
      </c>
      <c r="J37" s="42">
        <f>SUM(H37:I37)</f>
        <v>0</v>
      </c>
      <c r="K37" s="15">
        <f>IFERROR(J37/C37,0)*1000</f>
        <v>0</v>
      </c>
    </row>
    <row r="38" spans="2:11">
      <c r="B38" s="8">
        <f>SUM('REPORT B2'!B38)</f>
        <v>46052</v>
      </c>
      <c r="C38" s="5">
        <f>'DATA B3'!D791</f>
        <v>0</v>
      </c>
      <c r="D38" s="11">
        <f>'DATA B3'!E791</f>
        <v>0</v>
      </c>
      <c r="E38" s="15">
        <f t="shared" si="1"/>
        <v>0</v>
      </c>
      <c r="F38" s="150">
        <f>'DATA B3'!K791</f>
        <v>0</v>
      </c>
      <c r="G38" s="15">
        <f t="shared" si="2"/>
        <v>0</v>
      </c>
      <c r="H38" s="42">
        <f>'DATA B3'!E791</f>
        <v>0</v>
      </c>
      <c r="I38" s="42">
        <f>'DATA B3'!F791</f>
        <v>0</v>
      </c>
      <c r="J38" s="42">
        <f>SUM(H38:I38)</f>
        <v>0</v>
      </c>
      <c r="K38" s="15">
        <f>IFERROR(J38/C38,0)*1000</f>
        <v>0</v>
      </c>
    </row>
    <row r="39" spans="2:11">
      <c r="B39" s="8">
        <f>SUM('REPORT B2'!B39)</f>
        <v>46053</v>
      </c>
      <c r="C39" s="5">
        <f>'DATA B3'!D817</f>
        <v>0</v>
      </c>
      <c r="D39" s="11">
        <f>'DATA B3'!E817</f>
        <v>0</v>
      </c>
      <c r="E39" s="15">
        <f t="shared" si="1"/>
        <v>0</v>
      </c>
      <c r="F39" s="150">
        <f>'DATA B3'!K817</f>
        <v>0</v>
      </c>
      <c r="G39" s="15">
        <f t="shared" si="2"/>
        <v>0</v>
      </c>
      <c r="H39" s="42">
        <f>'DATA B3'!E817</f>
        <v>0</v>
      </c>
      <c r="I39" s="42">
        <f>'DATA B3'!F817</f>
        <v>0</v>
      </c>
      <c r="J39" s="42">
        <f>SUM(H39:I39)</f>
        <v>0</v>
      </c>
      <c r="K39" s="15">
        <f>IFERROR(J39/C39,0)*1000</f>
        <v>0</v>
      </c>
    </row>
    <row r="40" spans="2:11" ht="18.75">
      <c r="B40" s="74" t="s">
        <v>12</v>
      </c>
      <c r="C40" s="75">
        <f>SUMIF(C9:C39,"&gt;=0")</f>
        <v>1314</v>
      </c>
      <c r="D40" s="75">
        <f>SUMIF(D9:D39,"&gt;=0")</f>
        <v>1177</v>
      </c>
      <c r="E40" s="76">
        <f t="shared" si="1"/>
        <v>0.89573820395738202</v>
      </c>
      <c r="F40" s="75">
        <f>SUMIF(F9:F39,"&gt;=0")</f>
        <v>63507</v>
      </c>
      <c r="G40" s="75">
        <f t="shared" si="2"/>
        <v>48.331050228310502</v>
      </c>
      <c r="H40" s="76">
        <f>SUMIF(H9:H39,"&gt;=0")</f>
        <v>3645.4</v>
      </c>
      <c r="I40" s="76">
        <f>SUMIF(I9:I39,"&gt;=0")</f>
        <v>2338.75</v>
      </c>
      <c r="J40" s="76">
        <f>SUM(J9:J39)</f>
        <v>5984.15</v>
      </c>
      <c r="K40" s="76">
        <f>SUMIF(K9:K39,"&gt;=0")</f>
        <v>12.541396093606595</v>
      </c>
    </row>
  </sheetData>
  <sheetProtection algorithmName="SHA-512" hashValue="3a+V3nw6bm3jqaXRHA9LYGoX+spKsdcJu6V+CkHWfPVSkz6f4IcDVpXsdAPY8aRbm3aVR48gkO4wJhsY2PDUGg==" saltValue="SqlA03+DRXdALx+C87LVkQ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J4:J5"/>
    <mergeCell ref="K2:K3"/>
    <mergeCell ref="K4:K5"/>
  </mergeCells>
  <pageMargins left="0.7" right="0.7" top="0.75" bottom="0.75" header="0.3" footer="0.3"/>
  <pageSetup paperSize="9" scale="68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A22B-DB0B-4DA2-BAB0-2A00978A8925}">
  <sheetPr>
    <pageSetUpPr fitToPage="1"/>
  </sheetPr>
  <dimension ref="B2:H40"/>
  <sheetViews>
    <sheetView view="pageBreakPreview" zoomScaleNormal="100" zoomScaleSheetLayoutView="100" workbookViewId="0">
      <pane xSplit="2" ySplit="7" topLeftCell="C13" activePane="bottomRight" state="frozen"/>
      <selection pane="bottomRight" activeCell="C28" sqref="C28"/>
      <selection pane="bottomLeft" activeCell="A4" sqref="A4"/>
      <selection pane="topRight" activeCell="C1" sqref="C1"/>
    </sheetView>
  </sheetViews>
  <sheetFormatPr defaultRowHeight="15"/>
  <cols>
    <col min="2" max="2" width="10.7109375" customWidth="1"/>
    <col min="3" max="8" width="16.7109375" customWidth="1"/>
  </cols>
  <sheetData>
    <row r="2" spans="2:8">
      <c r="B2" s="333"/>
      <c r="C2" s="333"/>
      <c r="D2" s="396" t="s">
        <v>88</v>
      </c>
      <c r="E2" s="396"/>
      <c r="F2" s="396"/>
      <c r="G2" s="93" t="s">
        <v>5</v>
      </c>
      <c r="H2" s="138" t="s">
        <v>47</v>
      </c>
    </row>
    <row r="3" spans="2:8">
      <c r="B3" s="333"/>
      <c r="C3" s="333"/>
      <c r="D3" s="396"/>
      <c r="E3" s="396"/>
      <c r="F3" s="396"/>
      <c r="G3" s="93" t="s">
        <v>3</v>
      </c>
      <c r="H3" s="138" t="s">
        <v>47</v>
      </c>
    </row>
    <row r="4" spans="2:8">
      <c r="B4" s="333"/>
      <c r="C4" s="333"/>
      <c r="D4" s="396"/>
      <c r="E4" s="396"/>
      <c r="F4" s="396"/>
      <c r="G4" s="93" t="s">
        <v>7</v>
      </c>
      <c r="H4" s="139">
        <f>SUM('DATA B3'!N6)</f>
        <v>46023</v>
      </c>
    </row>
    <row r="6" spans="2:8">
      <c r="B6" s="333" t="s">
        <v>8</v>
      </c>
      <c r="C6" s="395" t="s">
        <v>18</v>
      </c>
      <c r="D6" s="395"/>
      <c r="E6" s="25" t="s">
        <v>89</v>
      </c>
      <c r="F6" s="131" t="s">
        <v>90</v>
      </c>
      <c r="G6" s="133" t="s">
        <v>91</v>
      </c>
      <c r="H6" s="134" t="s">
        <v>92</v>
      </c>
    </row>
    <row r="7" spans="2:8">
      <c r="B7" s="333"/>
      <c r="C7" s="263" t="s">
        <v>93</v>
      </c>
      <c r="D7" s="135" t="s">
        <v>94</v>
      </c>
      <c r="E7" s="25" t="s">
        <v>66</v>
      </c>
      <c r="F7" s="131" t="s">
        <v>95</v>
      </c>
      <c r="G7" s="133" t="s">
        <v>66</v>
      </c>
      <c r="H7" s="134" t="s">
        <v>58</v>
      </c>
    </row>
    <row r="8" spans="2:8">
      <c r="B8" s="111">
        <f>SUM('REPORT B1'!B9)</f>
        <v>46023</v>
      </c>
      <c r="C8" s="176">
        <f>SUM('REPORT B1'!F9+'REPORT B2'!F9+'REPORT B3'!F9)</f>
        <v>25265</v>
      </c>
      <c r="D8" s="177">
        <f>SUM('DATA B3'!I37)</f>
        <v>0</v>
      </c>
      <c r="E8" s="178">
        <f>SUM('REPORT B1'!D9+'REPORT B2'!D9+'REPORT B3'!D9)</f>
        <v>521</v>
      </c>
      <c r="F8" s="132">
        <f>SUM('REPORT B1'!J9+'REPORT B2'!J9+('REPORT B3'!J9/1000))</f>
        <v>0.84483000000000008</v>
      </c>
      <c r="G8" s="182">
        <f>SUM('REPORT B1'!C9+'REPORT B2'!C9+'REPORT B3'!C9)</f>
        <v>454</v>
      </c>
      <c r="H8" s="183">
        <f>SUM('REPORT B1'!L9+'REPORT B2'!L9)</f>
        <v>635</v>
      </c>
    </row>
    <row r="9" spans="2:8">
      <c r="B9" s="111">
        <f>SUM('REPORT B1'!B10)</f>
        <v>46024</v>
      </c>
      <c r="C9" s="176">
        <f>SUM('REPORT B1'!F10+'REPORT B2'!F10+'REPORT B3'!F10)</f>
        <v>23783</v>
      </c>
      <c r="D9" s="177">
        <f>SUM('DATA B3'!I63)</f>
        <v>0</v>
      </c>
      <c r="E9" s="178">
        <f>SUM('REPORT B1'!D10+'REPORT B2'!D10+'REPORT B3'!D10)</f>
        <v>556</v>
      </c>
      <c r="F9" s="132">
        <f>SUM('REPORT B1'!J10+'REPORT B2'!J10+('REPORT B3'!J10/1000))</f>
        <v>0.82946999999999993</v>
      </c>
      <c r="G9" s="182">
        <f>SUM('REPORT B1'!C10+'REPORT B2'!C10+'REPORT B3'!C10)</f>
        <v>430</v>
      </c>
      <c r="H9" s="183">
        <f>SUM('REPORT B1'!L10+'REPORT B2'!L10)</f>
        <v>542</v>
      </c>
    </row>
    <row r="10" spans="2:8">
      <c r="B10" s="111">
        <f>SUM('REPORT B1'!B11)</f>
        <v>46025</v>
      </c>
      <c r="C10" s="176">
        <f>SUM('REPORT B1'!F11+'REPORT B2'!F11+'REPORT B3'!F11)</f>
        <v>23270</v>
      </c>
      <c r="D10" s="177">
        <f>SUM('DATA B3'!I89)</f>
        <v>0</v>
      </c>
      <c r="E10" s="178">
        <f>SUM('REPORT B1'!D11+'REPORT B2'!D11+'REPORT B3'!D11)</f>
        <v>561</v>
      </c>
      <c r="F10" s="132">
        <f>SUM('REPORT B1'!J11+'REPORT B2'!J11+('REPORT B3'!J11/1000))</f>
        <v>0.81946000000000019</v>
      </c>
      <c r="G10" s="182">
        <f>SUM('REPORT B1'!C11+'REPORT B2'!C11+'REPORT B3'!C11)</f>
        <v>421</v>
      </c>
      <c r="H10" s="183">
        <f>SUM('REPORT B1'!L11+'REPORT B2'!L11)</f>
        <v>531</v>
      </c>
    </row>
    <row r="11" spans="2:8">
      <c r="B11" s="111">
        <f>SUM('REPORT B1'!B12)</f>
        <v>46026</v>
      </c>
      <c r="C11" s="176">
        <f>SUM('REPORT B1'!F12+'REPORT B2'!F12+'REPORT B3'!F12)</f>
        <v>23063</v>
      </c>
      <c r="D11" s="177">
        <f>SUM('DATA B3'!I115)</f>
        <v>0</v>
      </c>
      <c r="E11" s="178">
        <f>SUM('REPORT B1'!D12+'REPORT B2'!D12+'REPORT B3'!D12)</f>
        <v>512</v>
      </c>
      <c r="F11" s="132">
        <f>SUM('REPORT B1'!J12+'REPORT B2'!J12+('REPORT B3'!J12/1000))</f>
        <v>0.78039999999999987</v>
      </c>
      <c r="G11" s="182">
        <f>SUM('REPORT B1'!C12+'REPORT B2'!C12+'REPORT B3'!C12)</f>
        <v>410</v>
      </c>
      <c r="H11" s="183">
        <f>SUM('REPORT B1'!L12+'REPORT B2'!L12)</f>
        <v>543</v>
      </c>
    </row>
    <row r="12" spans="2:8">
      <c r="B12" s="111">
        <f>SUM('REPORT B1'!B13)</f>
        <v>46027</v>
      </c>
      <c r="C12" s="176">
        <f>SUM('REPORT B1'!F13+'REPORT B2'!F13+'REPORT B3'!F13)</f>
        <v>19769</v>
      </c>
      <c r="D12" s="177">
        <f>SUM('DATA B3'!I141)</f>
        <v>0</v>
      </c>
      <c r="E12" s="178">
        <f>SUM('REPORT B1'!D13+'REPORT B2'!D13+'REPORT B3'!D13)</f>
        <v>490</v>
      </c>
      <c r="F12" s="132">
        <f>SUM('REPORT B1'!J13+'REPORT B2'!J13+('REPORT B3'!J13/1000))</f>
        <v>0.54071999999999998</v>
      </c>
      <c r="G12" s="182">
        <f>SUM('REPORT B1'!C13+'REPORT B2'!C13+'REPORT B3'!C13)</f>
        <v>346</v>
      </c>
      <c r="H12" s="183">
        <f>SUM('REPORT B1'!L13+'REPORT B2'!L13)</f>
        <v>596</v>
      </c>
    </row>
    <row r="13" spans="2:8">
      <c r="B13" s="111">
        <f>SUM('REPORT B1'!B14)</f>
        <v>46028</v>
      </c>
      <c r="C13" s="176">
        <f>SUM('REPORT B1'!F14+'REPORT B2'!F14+'REPORT B3'!F14)</f>
        <v>12278</v>
      </c>
      <c r="D13" s="177">
        <f>SUM('DATA B3'!I167)</f>
        <v>0</v>
      </c>
      <c r="E13" s="178">
        <f>SUM('REPORT B1'!D14+'REPORT B2'!D14+'REPORT B3'!D14)</f>
        <v>436</v>
      </c>
      <c r="F13" s="132">
        <f>SUM('REPORT B1'!J14+'REPORT B2'!J14+('REPORT B3'!J14/1000))</f>
        <v>9.9999999999988987E-4</v>
      </c>
      <c r="G13" s="182">
        <f>SUM('REPORT B1'!C14+'REPORT B2'!C14+'REPORT B3'!C14)</f>
        <v>205</v>
      </c>
      <c r="H13" s="183">
        <f>SUM('REPORT B1'!L14+'REPORT B2'!L14)</f>
        <v>528</v>
      </c>
    </row>
    <row r="14" spans="2:8">
      <c r="B14" s="111">
        <f>SUM('REPORT B1'!B15)</f>
        <v>46029</v>
      </c>
      <c r="C14" s="176">
        <f>SUM('REPORT B1'!F15+'REPORT B2'!F15+'REPORT B3'!F15)</f>
        <v>12219</v>
      </c>
      <c r="D14" s="177">
        <f>SUM('DATA B3'!I193)</f>
        <v>0</v>
      </c>
      <c r="E14" s="178">
        <f>SUM('REPORT B1'!D15+'REPORT B2'!D15+'REPORT B3'!D15)</f>
        <v>440</v>
      </c>
      <c r="F14" s="132">
        <f>SUM('REPORT B1'!J15+'REPORT B2'!J15+('REPORT B3'!J15/1000))</f>
        <v>1.000000000000334E-3</v>
      </c>
      <c r="G14" s="182">
        <f>SUM('REPORT B1'!C15+'REPORT B2'!C15+'REPORT B3'!C15)</f>
        <v>203</v>
      </c>
      <c r="H14" s="183">
        <f>SUM('REPORT B1'!L15+'REPORT B2'!L15)</f>
        <v>451</v>
      </c>
    </row>
    <row r="15" spans="2:8">
      <c r="B15" s="111">
        <f>SUM('REPORT B1'!B16)</f>
        <v>46030</v>
      </c>
      <c r="C15" s="176">
        <f>SUM('REPORT B1'!F16+'REPORT B2'!F16+'REPORT B3'!F16)</f>
        <v>11811</v>
      </c>
      <c r="D15" s="177">
        <f>SUM('DATA B3'!I219)</f>
        <v>0</v>
      </c>
      <c r="E15" s="178">
        <f>SUM('REPORT B1'!D16+'REPORT B2'!D16+'REPORT B3'!D16)</f>
        <v>538</v>
      </c>
      <c r="F15" s="132">
        <f>SUM('REPORT B1'!J16+'REPORT B2'!J16+('REPORT B3'!J16/1000))</f>
        <v>9.9999999999988987E-4</v>
      </c>
      <c r="G15" s="182">
        <f>SUM('REPORT B1'!C16+'REPORT B2'!C16+'REPORT B3'!C16)</f>
        <v>195</v>
      </c>
      <c r="H15" s="183">
        <f>SUM('REPORT B1'!L16+'REPORT B2'!L16)</f>
        <v>432</v>
      </c>
    </row>
    <row r="16" spans="2:8">
      <c r="B16" s="111">
        <f>SUM('REPORT B1'!B17)</f>
        <v>46031</v>
      </c>
      <c r="C16" s="176">
        <f>SUM('REPORT B1'!F17+'REPORT B2'!F17+'REPORT B3'!F17)</f>
        <v>12189</v>
      </c>
      <c r="D16" s="177">
        <f>SUM('DATA B3'!I245)</f>
        <v>0</v>
      </c>
      <c r="E16" s="178">
        <f>SUM('REPORT B1'!D17+'REPORT B2'!D17+'REPORT B3'!D17)</f>
        <v>497</v>
      </c>
      <c r="F16" s="132">
        <f>SUM('REPORT B1'!J17+'REPORT B2'!J17+('REPORT B3'!J17/1000))</f>
        <v>9.9999999999988987E-4</v>
      </c>
      <c r="G16" s="182">
        <f>SUM('REPORT B1'!C17+'REPORT B2'!C17+'REPORT B3'!C17)</f>
        <v>206</v>
      </c>
      <c r="H16" s="183">
        <f>SUM('REPORT B1'!L17+'REPORT B2'!L17)</f>
        <v>328</v>
      </c>
    </row>
    <row r="17" spans="2:8">
      <c r="B17" s="111">
        <f>SUM('REPORT B1'!B18)</f>
        <v>46032</v>
      </c>
      <c r="C17" s="176">
        <f>SUM('REPORT B1'!F18+'REPORT B2'!F18+'REPORT B3'!F18)</f>
        <v>12133</v>
      </c>
      <c r="D17" s="177">
        <f>SUM('DATA B3'!I271)</f>
        <v>0</v>
      </c>
      <c r="E17" s="178">
        <f>SUM('REPORT B1'!D18+'REPORT B2'!D18+'REPORT B3'!D18)</f>
        <v>542</v>
      </c>
      <c r="F17" s="132">
        <f>SUM('REPORT B1'!J18+'REPORT B2'!J18+('REPORT B3'!J18/1000))</f>
        <v>1.1000000000001009E-3</v>
      </c>
      <c r="G17" s="182">
        <f>SUM('REPORT B1'!C18+'REPORT B2'!C18+'REPORT B3'!C18)</f>
        <v>191</v>
      </c>
      <c r="H17" s="183">
        <f>SUM('REPORT B1'!L18+'REPORT B2'!L18)</f>
        <v>335</v>
      </c>
    </row>
    <row r="18" spans="2:8">
      <c r="B18" s="111">
        <f>SUM('REPORT B1'!B19)</f>
        <v>46033</v>
      </c>
      <c r="C18" s="176">
        <f>SUM('REPORT B1'!F19+'REPORT B2'!F19+'REPORT B3'!F19)</f>
        <v>11664</v>
      </c>
      <c r="D18" s="177">
        <f>SUM('DATA B3'!I297)</f>
        <v>0</v>
      </c>
      <c r="E18" s="178">
        <f>SUM('REPORT B1'!D19+'REPORT B2'!D19+'REPORT B3'!D19)</f>
        <v>541</v>
      </c>
      <c r="F18" s="132">
        <f>SUM('REPORT B1'!J19+'REPORT B2'!J19+('REPORT B3'!J19/1000))</f>
        <v>8.9999999999990088E-4</v>
      </c>
      <c r="G18" s="182">
        <f>SUM('REPORT B1'!C19+'REPORT B2'!C19+'REPORT B3'!C19)</f>
        <v>192</v>
      </c>
      <c r="H18" s="183">
        <f>SUM('REPORT B1'!L19+'REPORT B2'!L19)</f>
        <v>338</v>
      </c>
    </row>
    <row r="19" spans="2:8">
      <c r="B19" s="111">
        <f>SUM('REPORT B1'!B20)</f>
        <v>46034</v>
      </c>
      <c r="C19" s="176">
        <f>SUM('REPORT B1'!F20+'REPORT B2'!F20+'REPORT B3'!F20)</f>
        <v>13681</v>
      </c>
      <c r="D19" s="177">
        <f>SUM('DATA B3'!I323)</f>
        <v>0</v>
      </c>
      <c r="E19" s="178">
        <f>SUM('REPORT B1'!D20+'REPORT B2'!D20+'REPORT B3'!D20)</f>
        <v>527</v>
      </c>
      <c r="F19" s="132">
        <f>SUM('REPORT B1'!J20+'REPORT B2'!J20+('REPORT B3'!J20/1000))</f>
        <v>1.1000000000001009E-3</v>
      </c>
      <c r="G19" s="182">
        <f>SUM('REPORT B1'!C20+'REPORT B2'!C20+'REPORT B3'!C20)</f>
        <v>224</v>
      </c>
      <c r="H19" s="183">
        <f>SUM('REPORT B1'!L20+'REPORT B2'!L20)</f>
        <v>378</v>
      </c>
    </row>
    <row r="20" spans="2:8">
      <c r="B20" s="111">
        <f>SUM('REPORT B1'!B21)</f>
        <v>46035</v>
      </c>
      <c r="C20" s="176">
        <f>SUM('REPORT B1'!F21+'REPORT B2'!F21+'REPORT B3'!F21)</f>
        <v>15428</v>
      </c>
      <c r="D20" s="177">
        <f>SUM('DATA B3'!I349)</f>
        <v>0</v>
      </c>
      <c r="E20" s="178">
        <f>SUM('REPORT B1'!D21+'REPORT B2'!D21+'REPORT B3'!D21)</f>
        <v>444</v>
      </c>
      <c r="F20" s="132">
        <f>SUM('REPORT B1'!J21+'REPORT B2'!J21+('REPORT B3'!J21/1000))</f>
        <v>1.1999999999998678E-3</v>
      </c>
      <c r="G20" s="182">
        <f>SUM('REPORT B1'!C21+'REPORT B2'!C21+'REPORT B3'!C21)</f>
        <v>250</v>
      </c>
      <c r="H20" s="183">
        <f>SUM('REPORT B1'!L21+'REPORT B2'!L21)</f>
        <v>497</v>
      </c>
    </row>
    <row r="21" spans="2:8">
      <c r="B21" s="111">
        <f>SUM('REPORT B1'!B22)</f>
        <v>46036</v>
      </c>
      <c r="C21" s="176">
        <f>SUM('REPORT B1'!F22+'REPORT B2'!F22+'REPORT B3'!F22)</f>
        <v>16044</v>
      </c>
      <c r="D21" s="177">
        <f>SUM('DATA B3'!I375)</f>
        <v>0</v>
      </c>
      <c r="E21" s="178">
        <f>SUM('REPORT B1'!D22+'REPORT B2'!D22+'REPORT B3'!D22)</f>
        <v>277</v>
      </c>
      <c r="F21" s="132">
        <f>SUM('REPORT B1'!J22+'REPORT B2'!J22+('REPORT B3'!J22/1000))</f>
        <v>1.2000000000000899E-3</v>
      </c>
      <c r="G21" s="182">
        <f>SUM('REPORT B1'!C22+'REPORT B2'!C22+'REPORT B3'!C22)</f>
        <v>259</v>
      </c>
      <c r="H21" s="183">
        <f>SUM('REPORT B1'!L22+'REPORT B2'!L22)</f>
        <v>510</v>
      </c>
    </row>
    <row r="22" spans="2:8">
      <c r="B22" s="111">
        <f>SUM('REPORT B1'!B23)</f>
        <v>46037</v>
      </c>
      <c r="C22" s="176">
        <f>SUM('REPORT B1'!F23+'REPORT B2'!F23+'REPORT B3'!F23)</f>
        <v>16984</v>
      </c>
      <c r="D22" s="177">
        <f>SUM('DATA B3'!I401)</f>
        <v>0</v>
      </c>
      <c r="E22" s="178">
        <f>SUM('REPORT B1'!D23+'REPORT B2'!D23+'REPORT B3'!D23)</f>
        <v>283</v>
      </c>
      <c r="F22" s="132">
        <f>SUM('REPORT B1'!J23+'REPORT B2'!J23+('REPORT B3'!J23/1000))</f>
        <v>1.1999999999998678E-3</v>
      </c>
      <c r="G22" s="182">
        <f>SUM('REPORT B1'!C23+'REPORT B2'!C23+'REPORT B3'!C23)</f>
        <v>274</v>
      </c>
      <c r="H22" s="183">
        <f>SUM('REPORT B1'!L23+'REPORT B2'!L23)</f>
        <v>462</v>
      </c>
    </row>
    <row r="23" spans="2:8">
      <c r="B23" s="111">
        <f>SUM('REPORT B1'!B24)</f>
        <v>46038</v>
      </c>
      <c r="C23" s="176">
        <f>SUM('REPORT B1'!F24+'REPORT B2'!F24+'REPORT B3'!F24)</f>
        <v>16188</v>
      </c>
      <c r="D23" s="177">
        <f>SUM('DATA B3'!I427)</f>
        <v>0</v>
      </c>
      <c r="E23" s="178">
        <f>SUM('REPORT B1'!D24+'REPORT B2'!D24+'REPORT B3'!D24)</f>
        <v>284</v>
      </c>
      <c r="F23" s="132">
        <f>SUM('REPORT B1'!J24+'REPORT B2'!J24+('REPORT B3'!J24/1000))</f>
        <v>1.2000000000003119E-3</v>
      </c>
      <c r="G23" s="182">
        <f>SUM('REPORT B1'!C24+'REPORT B2'!C24+'REPORT B3'!C24)</f>
        <v>260</v>
      </c>
      <c r="H23" s="183">
        <f>SUM('REPORT B1'!L24+'REPORT B2'!L24)</f>
        <v>538</v>
      </c>
    </row>
    <row r="24" spans="2:8">
      <c r="B24" s="111">
        <f>SUM('REPORT B1'!B25)</f>
        <v>46039</v>
      </c>
      <c r="C24" s="176">
        <f>SUM('REPORT B1'!F25+'REPORT B2'!F25+'REPORT B3'!F25)</f>
        <v>13674</v>
      </c>
      <c r="D24" s="177">
        <f>SUM('DATA B3'!I453)</f>
        <v>0</v>
      </c>
      <c r="E24" s="178">
        <f>SUM('REPORT B1'!D25+'REPORT B2'!D25+'REPORT B3'!D25)</f>
        <v>194</v>
      </c>
      <c r="F24" s="132">
        <f>SUM('REPORT B1'!J25+'REPORT B2'!J25+('REPORT B3'!J25/1000))</f>
        <v>1.0999999999998789E-3</v>
      </c>
      <c r="G24" s="182">
        <f>SUM('REPORT B1'!C25+'REPORT B2'!C25+'REPORT B3'!C25)</f>
        <v>216</v>
      </c>
      <c r="H24" s="183">
        <f>SUM('REPORT B1'!L25+'REPORT B2'!L25)</f>
        <v>357</v>
      </c>
    </row>
    <row r="25" spans="2:8">
      <c r="B25" s="111">
        <f>SUM('REPORT B1'!B26)</f>
        <v>46040</v>
      </c>
      <c r="C25" s="176">
        <f>SUM('REPORT B1'!F26+'REPORT B2'!F26+'REPORT B3'!F26)</f>
        <v>11169</v>
      </c>
      <c r="D25" s="177">
        <f>SUM('DATA B3'!I479)</f>
        <v>0</v>
      </c>
      <c r="E25" s="178">
        <f>SUM('REPORT B1'!D26+'REPORT B2'!D26+'REPORT B3'!D26)</f>
        <v>221</v>
      </c>
      <c r="F25" s="132">
        <f>SUM('REPORT B1'!J26+'REPORT B2'!J26+('REPORT B3'!J26/1000))</f>
        <v>8.9999999999990088E-4</v>
      </c>
      <c r="G25" s="182">
        <f>SUM('REPORT B1'!C26+'REPORT B2'!C26+'REPORT B3'!C26)</f>
        <v>180</v>
      </c>
      <c r="H25" s="183">
        <f>SUM('REPORT B1'!L26+'REPORT B2'!L26)</f>
        <v>280</v>
      </c>
    </row>
    <row r="26" spans="2:8">
      <c r="B26" s="111">
        <f>SUM('REPORT B1'!B27)</f>
        <v>46041</v>
      </c>
      <c r="C26" s="176">
        <f>SUM('REPORT B1'!F27+'REPORT B2'!F27+'REPORT B3'!F27)</f>
        <v>13750</v>
      </c>
      <c r="D26" s="177">
        <f>SUM('DATA B3'!I505)</f>
        <v>0</v>
      </c>
      <c r="E26" s="178">
        <f>SUM('REPORT B1'!D27+'REPORT B2'!D27+'REPORT B3'!D27)</f>
        <v>258</v>
      </c>
      <c r="F26" s="132">
        <f>SUM('REPORT B1'!J27+'REPORT B2'!J27+('REPORT B3'!J27/1000))</f>
        <v>1.0009700000000001</v>
      </c>
      <c r="G26" s="182">
        <f>SUM('REPORT B1'!C27+'REPORT B2'!C27+'REPORT B3'!C27)</f>
        <v>255</v>
      </c>
      <c r="H26" s="183">
        <f>SUM('REPORT B1'!L27+'REPORT B2'!L27)</f>
        <v>69</v>
      </c>
    </row>
    <row r="27" spans="2:8">
      <c r="B27" s="111">
        <f>SUM('REPORT B1'!B28)</f>
        <v>46042</v>
      </c>
      <c r="C27" s="176">
        <f>SUM('REPORT B1'!F28+'REPORT B2'!F28+'REPORT B3'!F28)</f>
        <v>12865</v>
      </c>
      <c r="D27" s="177">
        <f>SUM('DATA B3'!I531)</f>
        <v>0</v>
      </c>
      <c r="E27" s="178">
        <f>SUM('REPORT B1'!D28+'REPORT B2'!D28+'REPORT B3'!D28)</f>
        <v>245</v>
      </c>
      <c r="F27" s="132">
        <f>SUM('REPORT B1'!J28+'REPORT B2'!J28+('REPORT B3'!J28/1000))</f>
        <v>1.0490999999999999</v>
      </c>
      <c r="G27" s="182">
        <f>SUM('REPORT B1'!C28+'REPORT B2'!C28+'REPORT B3'!C28)</f>
        <v>264</v>
      </c>
      <c r="H27" s="183">
        <f>SUM('REPORT B1'!L28+'REPORT B2'!L28)</f>
        <v>0</v>
      </c>
    </row>
    <row r="28" spans="2:8">
      <c r="B28" s="111">
        <f>SUM('REPORT B1'!B29)</f>
        <v>46043</v>
      </c>
      <c r="C28" s="176">
        <f>SUM('REPORT B1'!F29+'REPORT B2'!F29+'REPORT B3'!F29)</f>
        <v>1857</v>
      </c>
      <c r="D28" s="177">
        <f>SUM('DATA B3'!I557)</f>
        <v>0</v>
      </c>
      <c r="E28" s="178">
        <f>SUM('REPORT B1'!D29+'REPORT B2'!D29+'REPORT B3'!D29)</f>
        <v>36</v>
      </c>
      <c r="F28" s="132">
        <f>SUM('REPORT B1'!J29+'REPORT B2'!J29+('REPORT B3'!J29/1000))</f>
        <v>0.12490000000000009</v>
      </c>
      <c r="G28" s="182">
        <f>SUM('REPORT B1'!C29+'REPORT B2'!C29+'REPORT B3'!C29)</f>
        <v>41</v>
      </c>
      <c r="H28" s="183">
        <f>SUM('REPORT B1'!L29+'REPORT B2'!L29)</f>
        <v>0</v>
      </c>
    </row>
    <row r="29" spans="2:8">
      <c r="B29" s="111">
        <f>SUM('REPORT B1'!B30)</f>
        <v>46044</v>
      </c>
      <c r="C29" s="176">
        <f>SUM('REPORT B1'!F30+'REPORT B2'!F30+'REPORT B3'!F30)</f>
        <v>0</v>
      </c>
      <c r="D29" s="177">
        <f>SUM('DATA B3'!I583)</f>
        <v>0</v>
      </c>
      <c r="E29" s="178">
        <f>SUM('REPORT B1'!D30+'REPORT B2'!D30+'REPORT B3'!D30)</f>
        <v>0</v>
      </c>
      <c r="F29" s="132">
        <f>SUM('REPORT B1'!J30+'REPORT B2'!J30+('REPORT B3'!J30/1000))</f>
        <v>0</v>
      </c>
      <c r="G29" s="182">
        <f>SUM('REPORT B1'!C30+'REPORT B2'!C30+'REPORT B3'!C30)</f>
        <v>0</v>
      </c>
      <c r="H29" s="183">
        <f>SUM('REPORT B1'!L30+'REPORT B2'!L30)</f>
        <v>0</v>
      </c>
    </row>
    <row r="30" spans="2:8">
      <c r="B30" s="111">
        <f>SUM('REPORT B1'!B31)</f>
        <v>46045</v>
      </c>
      <c r="C30" s="176">
        <f>SUM('REPORT B1'!F31+'REPORT B2'!F31+'REPORT B3'!F31)</f>
        <v>0</v>
      </c>
      <c r="D30" s="177">
        <f>SUM('DATA B3'!I609)</f>
        <v>0</v>
      </c>
      <c r="E30" s="178">
        <f>SUM('REPORT B1'!D31+'REPORT B2'!D31+'REPORT B3'!D31)</f>
        <v>0</v>
      </c>
      <c r="F30" s="132">
        <f>SUM('REPORT B1'!J31+'REPORT B2'!J31+('REPORT B3'!J31/1000))</f>
        <v>0</v>
      </c>
      <c r="G30" s="182">
        <f>SUM('REPORT B1'!C31+'REPORT B2'!C31+'REPORT B3'!C31)</f>
        <v>0</v>
      </c>
      <c r="H30" s="183">
        <f>SUM('REPORT B1'!L31+'REPORT B2'!L31)</f>
        <v>0</v>
      </c>
    </row>
    <row r="31" spans="2:8">
      <c r="B31" s="111">
        <f>SUM('REPORT B1'!B32)</f>
        <v>46046</v>
      </c>
      <c r="C31" s="176">
        <f>SUM('REPORT B1'!F32+'REPORT B2'!F32+'REPORT B3'!F32)</f>
        <v>0</v>
      </c>
      <c r="D31" s="177">
        <f>SUM('DATA B3'!I635)</f>
        <v>0</v>
      </c>
      <c r="E31" s="178">
        <f>SUM('REPORT B1'!D32+'REPORT B2'!D32+'REPORT B3'!D32)</f>
        <v>0</v>
      </c>
      <c r="F31" s="132">
        <f>SUM('REPORT B1'!J32+'REPORT B2'!J32+('REPORT B3'!J32/1000))</f>
        <v>0</v>
      </c>
      <c r="G31" s="182">
        <f>SUM('REPORT B1'!C32+'REPORT B2'!C32+'REPORT B3'!C32)</f>
        <v>0</v>
      </c>
      <c r="H31" s="183">
        <f>SUM('REPORT B1'!L32+'REPORT B2'!L32)</f>
        <v>0</v>
      </c>
    </row>
    <row r="32" spans="2:8">
      <c r="B32" s="111">
        <f>SUM('REPORT B1'!B33)</f>
        <v>46047</v>
      </c>
      <c r="C32" s="176">
        <f>SUM('REPORT B1'!F33+'REPORT B2'!F33+'REPORT B3'!F33)</f>
        <v>0</v>
      </c>
      <c r="D32" s="177">
        <f>SUM('DATA B3'!I661)</f>
        <v>0</v>
      </c>
      <c r="E32" s="178">
        <f>SUM('REPORT B1'!D33+'REPORT B2'!D33+'REPORT B3'!D33)</f>
        <v>0</v>
      </c>
      <c r="F32" s="132">
        <f>SUM('REPORT B1'!J33+'REPORT B2'!J33+('REPORT B3'!J33/1000))</f>
        <v>0</v>
      </c>
      <c r="G32" s="182">
        <f>SUM('REPORT B1'!C33+'REPORT B2'!C33+'REPORT B3'!C33)</f>
        <v>0</v>
      </c>
      <c r="H32" s="183">
        <f>SUM('REPORT B1'!L33+'REPORT B2'!L33)</f>
        <v>0</v>
      </c>
    </row>
    <row r="33" spans="2:8">
      <c r="B33" s="111">
        <f>SUM('REPORT B1'!B34)</f>
        <v>46048</v>
      </c>
      <c r="C33" s="176">
        <f>SUM('REPORT B1'!F34+'REPORT B2'!F34+'REPORT B3'!F34)</f>
        <v>0</v>
      </c>
      <c r="D33" s="177">
        <f>SUM('DATA B3'!I687)</f>
        <v>0</v>
      </c>
      <c r="E33" s="178">
        <f>SUM('REPORT B1'!D34+'REPORT B2'!D34+'REPORT B3'!D34)</f>
        <v>0</v>
      </c>
      <c r="F33" s="132">
        <f>SUM('REPORT B1'!J34+'REPORT B2'!J34+('REPORT B3'!J34/1000))</f>
        <v>0</v>
      </c>
      <c r="G33" s="182">
        <f>SUM('REPORT B1'!C34+'REPORT B2'!C34+'REPORT B3'!C34)</f>
        <v>0</v>
      </c>
      <c r="H33" s="183">
        <f>SUM('REPORT B1'!L34+'REPORT B2'!L34)</f>
        <v>0</v>
      </c>
    </row>
    <row r="34" spans="2:8">
      <c r="B34" s="111">
        <f>SUM('REPORT B1'!B35)</f>
        <v>46049</v>
      </c>
      <c r="C34" s="176">
        <f>SUM('REPORT B1'!F35+'REPORT B2'!F35+'REPORT B3'!F35)</f>
        <v>0</v>
      </c>
      <c r="D34" s="177">
        <f>SUM('DATA B3'!I713)</f>
        <v>0</v>
      </c>
      <c r="E34" s="178">
        <f>SUM('REPORT B1'!D35+'REPORT B2'!D35+'REPORT B3'!D35)</f>
        <v>0</v>
      </c>
      <c r="F34" s="132">
        <f>SUM('REPORT B1'!J35+'REPORT B2'!J35+('REPORT B3'!J35/1000))</f>
        <v>0</v>
      </c>
      <c r="G34" s="182">
        <f>SUM('REPORT B1'!C35+'REPORT B2'!C35+'REPORT B3'!C35)</f>
        <v>0</v>
      </c>
      <c r="H34" s="183">
        <f>SUM('REPORT B1'!L35+'REPORT B2'!L35)</f>
        <v>0</v>
      </c>
    </row>
    <row r="35" spans="2:8">
      <c r="B35" s="111">
        <f>SUM('REPORT B1'!B36)</f>
        <v>46050</v>
      </c>
      <c r="C35" s="176">
        <f>SUM('REPORT B1'!F36+'REPORT B2'!F36+'REPORT B3'!F36)</f>
        <v>0</v>
      </c>
      <c r="D35" s="177">
        <f>SUM('DATA B3'!I739)</f>
        <v>0</v>
      </c>
      <c r="E35" s="178">
        <f>SUM('REPORT B1'!D36+'REPORT B2'!D36+'REPORT B3'!D36)</f>
        <v>0</v>
      </c>
      <c r="F35" s="132">
        <f>SUM('REPORT B1'!J36+'REPORT B2'!J36+('REPORT B3'!J36/1000))</f>
        <v>0</v>
      </c>
      <c r="G35" s="182">
        <f>SUM('REPORT B1'!C36+'REPORT B2'!C36+'REPORT B3'!C36)</f>
        <v>0</v>
      </c>
      <c r="H35" s="183">
        <f>SUM('REPORT B1'!L36+'REPORT B2'!L36)</f>
        <v>0</v>
      </c>
    </row>
    <row r="36" spans="2:8">
      <c r="B36" s="111">
        <f>SUM('REPORT B1'!B37)</f>
        <v>46051</v>
      </c>
      <c r="C36" s="176">
        <f>SUM('REPORT B1'!F37+'REPORT B2'!F37+'REPORT B3'!F37)</f>
        <v>0</v>
      </c>
      <c r="D36" s="177">
        <f>SUM('DATA B3'!I740)</f>
        <v>0</v>
      </c>
      <c r="E36" s="178">
        <f>SUM('REPORT B1'!D37+'REPORT B2'!D37+'REPORT B3'!D37)</f>
        <v>0</v>
      </c>
      <c r="F36" s="132">
        <f>SUM('REPORT B1'!J37+'REPORT B2'!J37+('REPORT B3'!J37/1000))</f>
        <v>0</v>
      </c>
      <c r="G36" s="182">
        <f>SUM('REPORT B1'!C37+'REPORT B2'!C37+'REPORT B3'!C37)</f>
        <v>0</v>
      </c>
      <c r="H36" s="183">
        <f>SUM('REPORT B1'!L37+'REPORT B2'!L37)</f>
        <v>0</v>
      </c>
    </row>
    <row r="37" spans="2:8">
      <c r="B37" s="111">
        <f>SUM('REPORT B1'!B38)</f>
        <v>46052</v>
      </c>
      <c r="C37" s="176">
        <f>SUM('REPORT B1'!F38+'REPORT B2'!F38+'REPORT B3'!F38)</f>
        <v>0</v>
      </c>
      <c r="D37" s="177">
        <f>SUM('DATA B3'!I741)</f>
        <v>0</v>
      </c>
      <c r="E37" s="178">
        <f>SUM('REPORT B1'!D38+'REPORT B2'!D38+'REPORT B3'!D38)</f>
        <v>0</v>
      </c>
      <c r="F37" s="132">
        <f>SUM('REPORT B1'!J38+'REPORT B2'!J38+('REPORT B3'!J38/1000))</f>
        <v>0</v>
      </c>
      <c r="G37" s="182">
        <f>SUM('REPORT B1'!C38+'REPORT B2'!C38+'REPORT B3'!C38)</f>
        <v>0</v>
      </c>
      <c r="H37" s="183">
        <f>SUM('REPORT B1'!L38+'REPORT B2'!L38)</f>
        <v>0</v>
      </c>
    </row>
    <row r="38" spans="2:8">
      <c r="B38" s="111">
        <f>SUM('REPORT B1'!B39)</f>
        <v>46053</v>
      </c>
      <c r="C38" s="176">
        <f>SUM('REPORT B1'!F39+'REPORT B2'!F39+'REPORT B3'!F39)</f>
        <v>0</v>
      </c>
      <c r="D38" s="177">
        <f>SUM('DATA B3'!I742)</f>
        <v>0</v>
      </c>
      <c r="E38" s="178">
        <f>SUM('REPORT B1'!D39+'REPORT B2'!D39+'REPORT B3'!D39)</f>
        <v>0</v>
      </c>
      <c r="F38" s="132">
        <f>SUM('REPORT B1'!J39+'REPORT B2'!J39+('REPORT B3'!J39/1000))</f>
        <v>0</v>
      </c>
      <c r="G38" s="182">
        <f>SUM('REPORT B1'!C39+'REPORT B2'!C39+'REPORT B3'!C39)</f>
        <v>0</v>
      </c>
      <c r="H38" s="183">
        <f>SUM('REPORT B1'!L39+'REPORT B2'!L39)</f>
        <v>0</v>
      </c>
    </row>
    <row r="39" spans="2:8" ht="15.75" thickBot="1">
      <c r="B39" s="136" t="s">
        <v>96</v>
      </c>
      <c r="C39" s="179">
        <f>SUMIF(C8:C35,"&gt;=0")</f>
        <v>319084</v>
      </c>
      <c r="D39" s="180">
        <f t="shared" ref="D39:H39" si="0">SUMIF(D8:D35,"&gt;=0")</f>
        <v>0</v>
      </c>
      <c r="E39" s="181">
        <f t="shared" si="0"/>
        <v>8403</v>
      </c>
      <c r="F39" s="137">
        <f t="shared" si="0"/>
        <v>6.0037499999999993</v>
      </c>
      <c r="G39" s="184">
        <f t="shared" si="0"/>
        <v>5476</v>
      </c>
      <c r="H39" s="185">
        <f t="shared" si="0"/>
        <v>8350</v>
      </c>
    </row>
    <row r="40" spans="2:8" ht="15.75" thickTop="1"/>
  </sheetData>
  <sheetProtection algorithmName="SHA-512" hashValue="87ty99f16ZsemrJ5FwtMfwEAh8p4x8CV3zyo7YC0aGGM2SMAKEjAUjT/KFQm3RMoKsLj7/7QBkEAsRnfFe6yxw==" saltValue="pr7UaUjEuIhTxCmcxV4O6g==" spinCount="100000" sheet="1" objects="1" scenarios="1"/>
  <mergeCells count="4">
    <mergeCell ref="C6:D6"/>
    <mergeCell ref="B6:B7"/>
    <mergeCell ref="B2:C4"/>
    <mergeCell ref="D2:F4"/>
  </mergeCells>
  <pageMargins left="0.7" right="0.7" top="0.75" bottom="0.75" header="0.3" footer="0.3"/>
  <pageSetup paperSize="9" scale="88" orientation="landscape" r:id="rId1"/>
  <colBreaks count="1" manualBreakCount="1">
    <brk id="7" min="1" max="3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88BA-2F90-4059-9D24-025D018B1A30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bottomRight" activeCell="A5" sqref="A5"/>
      <selection pane="bottomLeft" activeCell="A5" sqref="A5"/>
      <selection pane="topRight" activeCell="C1" sqref="C1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3"/>
      <c r="C1" s="333"/>
      <c r="D1" s="315" t="s">
        <v>97</v>
      </c>
      <c r="E1" s="315"/>
      <c r="F1" s="315"/>
      <c r="G1" s="315"/>
      <c r="H1" s="315"/>
      <c r="I1" s="315"/>
      <c r="J1" s="315"/>
      <c r="K1" s="315"/>
      <c r="L1" s="315"/>
      <c r="M1" s="400" t="s">
        <v>69</v>
      </c>
      <c r="N1" s="400"/>
    </row>
    <row r="2" spans="2:23">
      <c r="B2" s="333"/>
      <c r="C2" s="333"/>
      <c r="D2" s="315"/>
      <c r="E2" s="315"/>
      <c r="F2" s="315"/>
      <c r="G2" s="315"/>
      <c r="H2" s="315"/>
      <c r="I2" s="315"/>
      <c r="J2" s="315"/>
      <c r="K2" s="315"/>
      <c r="L2" s="315"/>
      <c r="M2" s="400"/>
      <c r="N2" s="400"/>
      <c r="T2" s="397"/>
      <c r="U2" s="398"/>
      <c r="V2" s="398"/>
      <c r="W2" s="398"/>
    </row>
    <row r="3" spans="2:23">
      <c r="B3" s="252" t="s">
        <v>98</v>
      </c>
      <c r="C3" s="399" t="s">
        <v>14</v>
      </c>
      <c r="D3" s="288"/>
      <c r="E3" s="289" t="s">
        <v>15</v>
      </c>
      <c r="F3" s="289"/>
      <c r="G3" s="290" t="s">
        <v>16</v>
      </c>
      <c r="H3" s="290"/>
      <c r="I3" s="113" t="s">
        <v>89</v>
      </c>
      <c r="J3" s="332" t="s">
        <v>99</v>
      </c>
      <c r="K3" s="114" t="s">
        <v>91</v>
      </c>
      <c r="L3" s="3" t="s">
        <v>100</v>
      </c>
      <c r="M3" s="332" t="s">
        <v>101</v>
      </c>
      <c r="N3" s="252" t="s">
        <v>102</v>
      </c>
      <c r="T3" s="264"/>
      <c r="U3" s="265"/>
      <c r="V3" s="265"/>
      <c r="W3" s="265"/>
    </row>
    <row r="4" spans="2:23" ht="30">
      <c r="B4" s="252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56" t="s">
        <v>22</v>
      </c>
      <c r="H4" s="256" t="s">
        <v>23</v>
      </c>
      <c r="I4" s="113" t="s">
        <v>66</v>
      </c>
      <c r="J4" s="332"/>
      <c r="K4" s="114" t="s">
        <v>57</v>
      </c>
      <c r="L4" s="3" t="s">
        <v>58</v>
      </c>
      <c r="M4" s="332"/>
      <c r="N4" s="252" t="s">
        <v>104</v>
      </c>
      <c r="T4" s="104"/>
      <c r="U4" s="104"/>
      <c r="V4" s="104"/>
      <c r="W4" s="104"/>
    </row>
    <row r="5" spans="2:23">
      <c r="B5" s="111">
        <f>SUM('REPORT B3'!B9)</f>
        <v>46023</v>
      </c>
      <c r="C5" s="106">
        <f>SUM('DATA B1'!O37)</f>
        <v>0</v>
      </c>
      <c r="D5" s="106">
        <f>SUM('DATA B1'!P37)</f>
        <v>0</v>
      </c>
      <c r="E5" s="107">
        <f>SUM('DATA B1'!Q37)</f>
        <v>0</v>
      </c>
      <c r="F5" s="107">
        <f>SUM('DATA B1'!R37)</f>
        <v>0</v>
      </c>
      <c r="G5" s="116">
        <f>SUM('DATA B1'!S37)</f>
        <v>0</v>
      </c>
      <c r="H5" s="116">
        <f>SUM('DATA B1'!T37)</f>
        <v>0</v>
      </c>
      <c r="I5" s="117">
        <f>SUM('WATER_STEAM RATIO'!G36)</f>
        <v>0</v>
      </c>
      <c r="J5" s="112">
        <f>SUM('WATER_STEAM RATIO'!H36)</f>
        <v>0</v>
      </c>
      <c r="K5" s="109">
        <f>SUM('NGSTEAM RATIO'!E36)</f>
        <v>0</v>
      </c>
      <c r="L5" s="115">
        <f>SUM('NGSTEAM RATIO'!F36)</f>
        <v>0</v>
      </c>
      <c r="M5" s="112">
        <f>SUM('NGSTEAM RATIO'!G36)</f>
        <v>0</v>
      </c>
      <c r="N5" s="112">
        <f>SUM('NGSTEAM RATIO'!H36)</f>
        <v>0</v>
      </c>
    </row>
    <row r="6" spans="2:23">
      <c r="B6" s="111">
        <f>SUM('REPORT B3'!B10)</f>
        <v>46024</v>
      </c>
      <c r="C6" s="106">
        <f>SUM('DATA B1'!O63)</f>
        <v>0</v>
      </c>
      <c r="D6" s="106">
        <f>SUM('DATA B1'!P63)</f>
        <v>0</v>
      </c>
      <c r="E6" s="107">
        <f>SUM('DATA B1'!Q63)</f>
        <v>0</v>
      </c>
      <c r="F6" s="107">
        <f>SUM('DATA B1'!R63)</f>
        <v>0</v>
      </c>
      <c r="G6" s="116">
        <f>SUM('DATA B1'!S63)</f>
        <v>0</v>
      </c>
      <c r="H6" s="116">
        <f>SUM('DATA B1'!T63)</f>
        <v>0</v>
      </c>
      <c r="I6" s="117">
        <f>SUM('WATER_STEAM RATIO'!G62)</f>
        <v>0</v>
      </c>
      <c r="J6" s="112">
        <f>SUM('WATER_STEAM RATIO'!H62)</f>
        <v>0</v>
      </c>
      <c r="K6" s="109">
        <f>SUM('NGSTEAM RATIO'!E62)</f>
        <v>0</v>
      </c>
      <c r="L6" s="115">
        <f>SUM('NGSTEAM RATIO'!F62)</f>
        <v>0</v>
      </c>
      <c r="M6" s="112">
        <f>SUM('NGSTEAM RATIO'!G62)</f>
        <v>0</v>
      </c>
      <c r="N6" s="112">
        <f>SUM('NGSTEAM RATIO'!H62)</f>
        <v>0</v>
      </c>
    </row>
    <row r="7" spans="2:23">
      <c r="B7" s="111">
        <f>SUM('REPORT B3'!B11)</f>
        <v>46025</v>
      </c>
      <c r="C7" s="106">
        <f>SUM('DATA B1'!O89)</f>
        <v>0</v>
      </c>
      <c r="D7" s="106">
        <f>SUM('DATA B1'!P89)</f>
        <v>0</v>
      </c>
      <c r="E7" s="107">
        <f>SUM('DATA B1'!Q89)</f>
        <v>0</v>
      </c>
      <c r="F7" s="107">
        <f>SUM('DATA B1'!R89)</f>
        <v>0</v>
      </c>
      <c r="G7" s="116">
        <f>SUM('DATA B1'!S89)</f>
        <v>0</v>
      </c>
      <c r="H7" s="116">
        <f>SUM('DATA B1'!T89)</f>
        <v>0</v>
      </c>
      <c r="I7" s="117">
        <f>SUM('WATER_STEAM RATIO'!G88)</f>
        <v>0</v>
      </c>
      <c r="J7" s="112">
        <f>SUM('WATER_STEAM RATIO'!H88)</f>
        <v>0</v>
      </c>
      <c r="K7" s="109">
        <f>SUM('NGSTEAM RATIO'!E88)</f>
        <v>0</v>
      </c>
      <c r="L7" s="115">
        <f>SUM('NGSTEAM RATIO'!F88)</f>
        <v>0</v>
      </c>
      <c r="M7" s="112">
        <f>SUM('NGSTEAM RATIO'!G88)</f>
        <v>0</v>
      </c>
      <c r="N7" s="112">
        <f>SUM('NGSTEAM RATIO'!H88)</f>
        <v>0</v>
      </c>
    </row>
    <row r="8" spans="2:23">
      <c r="B8" s="111">
        <f>SUM('REPORT B3'!B12)</f>
        <v>46026</v>
      </c>
      <c r="C8" s="106">
        <f>SUM('DATA B1'!O115)</f>
        <v>0</v>
      </c>
      <c r="D8" s="106">
        <f>SUM('DATA B1'!P115)</f>
        <v>0</v>
      </c>
      <c r="E8" s="107">
        <f>SUM('DATA B1'!Q115)</f>
        <v>0</v>
      </c>
      <c r="F8" s="107">
        <f>SUM('DATA B1'!R115)</f>
        <v>0</v>
      </c>
      <c r="G8" s="116">
        <f>SUM('DATA B1'!S115)</f>
        <v>0</v>
      </c>
      <c r="H8" s="116">
        <f>SUM('DATA B1'!T115)</f>
        <v>0</v>
      </c>
      <c r="I8" s="117">
        <f>SUM('WATER_STEAM RATIO'!G114)</f>
        <v>0</v>
      </c>
      <c r="J8" s="112">
        <f>SUM('WATER_STEAM RATIO'!H114)</f>
        <v>0</v>
      </c>
      <c r="K8" s="109">
        <f>SUM('NGSTEAM RATIO'!E114)</f>
        <v>0</v>
      </c>
      <c r="L8" s="115">
        <f>SUM('NGSTEAM RATIO'!F114)</f>
        <v>0</v>
      </c>
      <c r="M8" s="112">
        <f>SUM('NGSTEAM RATIO'!G114)</f>
        <v>0</v>
      </c>
      <c r="N8" s="112">
        <f>SUM('NGSTEAM RATIO'!H114)</f>
        <v>0</v>
      </c>
    </row>
    <row r="9" spans="2:23">
      <c r="B9" s="111">
        <f>SUM('REPORT B3'!B13)</f>
        <v>46027</v>
      </c>
      <c r="C9" s="106">
        <f>SUM('DATA B1'!O141)</f>
        <v>0</v>
      </c>
      <c r="D9" s="106">
        <f>SUM('DATA B1'!P141)</f>
        <v>0</v>
      </c>
      <c r="E9" s="107">
        <f>SUM('DATA B1'!Q141)</f>
        <v>0</v>
      </c>
      <c r="F9" s="107">
        <f>SUM('DATA B1'!R141)</f>
        <v>0</v>
      </c>
      <c r="G9" s="116">
        <f>SUM('DATA B1'!S141)</f>
        <v>0</v>
      </c>
      <c r="H9" s="116">
        <f>SUM('DATA B1'!T141)</f>
        <v>0</v>
      </c>
      <c r="I9" s="117">
        <f>SUM('WATER_STEAM RATIO'!G140)</f>
        <v>0</v>
      </c>
      <c r="J9" s="112">
        <f>SUM('WATER_STEAM RATIO'!H140)</f>
        <v>0</v>
      </c>
      <c r="K9" s="109">
        <f>SUM('NGSTEAM RATIO'!E140)</f>
        <v>0</v>
      </c>
      <c r="L9" s="115">
        <f>SUM('NGSTEAM RATIO'!F140)</f>
        <v>0</v>
      </c>
      <c r="M9" s="112">
        <f>SUM('NGSTEAM RATIO'!G140)</f>
        <v>0</v>
      </c>
      <c r="N9" s="112">
        <f>SUM('NGSTEAM RATIO'!H140)</f>
        <v>0</v>
      </c>
    </row>
    <row r="10" spans="2:23">
      <c r="B10" s="111">
        <f>SUM('REPORT B3'!B14)</f>
        <v>46028</v>
      </c>
      <c r="C10" s="106">
        <f>SUM('DATA B1'!O167)</f>
        <v>0</v>
      </c>
      <c r="D10" s="106">
        <f>SUM('DATA B1'!P167)</f>
        <v>0</v>
      </c>
      <c r="E10" s="107">
        <f>SUM('DATA B1'!Q167)</f>
        <v>0</v>
      </c>
      <c r="F10" s="107">
        <f>SUM('DATA B1'!R167)</f>
        <v>0</v>
      </c>
      <c r="G10" s="116">
        <f>SUM('DATA B1'!S167)</f>
        <v>0</v>
      </c>
      <c r="H10" s="116">
        <f>SUM('DATA B1'!T167)</f>
        <v>0</v>
      </c>
      <c r="I10" s="117">
        <f>SUM('WATER_STEAM RATIO'!G166)</f>
        <v>0</v>
      </c>
      <c r="J10" s="112">
        <f>SUM('WATER_STEAM RATIO'!H166)</f>
        <v>0</v>
      </c>
      <c r="K10" s="109">
        <f>SUM('NGSTEAM RATIO'!E166)</f>
        <v>0</v>
      </c>
      <c r="L10" s="115">
        <f>SUM('NGSTEAM RATIO'!F166)</f>
        <v>0</v>
      </c>
      <c r="M10" s="112">
        <f>SUM('NGSTEAM RATIO'!G166)</f>
        <v>0</v>
      </c>
      <c r="N10" s="112">
        <f>SUM('NGSTEAM RATIO'!H166)</f>
        <v>0</v>
      </c>
    </row>
    <row r="11" spans="2:23">
      <c r="B11" s="111">
        <f>SUM('REPORT B3'!B15)</f>
        <v>46029</v>
      </c>
      <c r="C11" s="106">
        <f>SUM('DATA B1'!O193)</f>
        <v>0</v>
      </c>
      <c r="D11" s="106">
        <f>SUM('DATA B1'!P193)</f>
        <v>0</v>
      </c>
      <c r="E11" s="107">
        <f>SUM('DATA B1'!Q193)</f>
        <v>0</v>
      </c>
      <c r="F11" s="107">
        <f>SUM('DATA B1'!R193)</f>
        <v>0</v>
      </c>
      <c r="G11" s="116">
        <f>SUM('DATA B1'!S193)</f>
        <v>0</v>
      </c>
      <c r="H11" s="116">
        <f>SUM('DATA B1'!T193)</f>
        <v>0</v>
      </c>
      <c r="I11" s="117">
        <f>SUM('WATER_STEAM RATIO'!G192)</f>
        <v>0</v>
      </c>
      <c r="J11" s="112">
        <f>SUM('WATER_STEAM RATIO'!H192)</f>
        <v>0</v>
      </c>
      <c r="K11" s="109">
        <f>SUM('NGSTEAM RATIO'!E192)</f>
        <v>0</v>
      </c>
      <c r="L11" s="115">
        <f>SUM('NGSTEAM RATIO'!F192)</f>
        <v>0</v>
      </c>
      <c r="M11" s="112">
        <f>SUM('NGSTEAM RATIO'!G192)</f>
        <v>0</v>
      </c>
      <c r="N11" s="112">
        <f>SUM('NGSTEAM RATIO'!H192)</f>
        <v>0</v>
      </c>
    </row>
    <row r="12" spans="2:23">
      <c r="B12" s="111">
        <f>SUM('REPORT B3'!B16)</f>
        <v>46030</v>
      </c>
      <c r="C12" s="106">
        <f>SUM('DATA B1'!O219)</f>
        <v>0</v>
      </c>
      <c r="D12" s="106">
        <f>SUM('DATA B1'!P219)</f>
        <v>0</v>
      </c>
      <c r="E12" s="107">
        <f>SUM('DATA B1'!Q219)</f>
        <v>0</v>
      </c>
      <c r="F12" s="107">
        <f>SUM('DATA B1'!R219)</f>
        <v>0</v>
      </c>
      <c r="G12" s="116">
        <f>SUM('DATA B1'!S219)</f>
        <v>0</v>
      </c>
      <c r="H12" s="116">
        <f>SUM('DATA B1'!T219)</f>
        <v>0</v>
      </c>
      <c r="I12" s="117">
        <f>SUM('WATER_STEAM RATIO'!G218)</f>
        <v>0</v>
      </c>
      <c r="J12" s="112">
        <f>SUM('WATER_STEAM RATIO'!H193)</f>
        <v>0</v>
      </c>
      <c r="K12" s="109">
        <f>SUM('NGSTEAM RATIO'!E218)</f>
        <v>0</v>
      </c>
      <c r="L12" s="115">
        <f>SUM('NGSTEAM RATIO'!F218)</f>
        <v>0</v>
      </c>
      <c r="M12" s="112">
        <f>SUM('NGSTEAM RATIO'!G218)</f>
        <v>0</v>
      </c>
      <c r="N12" s="112">
        <f>SUM('NGSTEAM RATIO'!H218)</f>
        <v>0</v>
      </c>
    </row>
    <row r="13" spans="2:23">
      <c r="B13" s="111">
        <f>SUM('REPORT B3'!B17)</f>
        <v>46031</v>
      </c>
      <c r="C13" s="106">
        <f>SUM('DATA B1'!O245)</f>
        <v>0</v>
      </c>
      <c r="D13" s="106">
        <f>SUM('DATA B1'!P245)</f>
        <v>0</v>
      </c>
      <c r="E13" s="107">
        <f>SUM('DATA B1'!Q245)</f>
        <v>0</v>
      </c>
      <c r="F13" s="107">
        <f>SUM('DATA B1'!R245)</f>
        <v>0</v>
      </c>
      <c r="G13" s="116">
        <f>SUM('DATA B1'!S245)</f>
        <v>0</v>
      </c>
      <c r="H13" s="116">
        <f>SUM('DATA B1'!T245)</f>
        <v>0</v>
      </c>
      <c r="I13" s="117">
        <f>SUM('WATER_STEAM RATIO'!G244)</f>
        <v>0</v>
      </c>
      <c r="J13" s="112">
        <f>SUM('WATER_STEAM RATIO'!H244)</f>
        <v>0</v>
      </c>
      <c r="K13" s="109">
        <f>SUM('NGSTEAM RATIO'!E244)</f>
        <v>0</v>
      </c>
      <c r="L13" s="115">
        <f>SUM('NGSTEAM RATIO'!F244)</f>
        <v>0</v>
      </c>
      <c r="M13" s="112">
        <f>SUM('NGSTEAM RATIO'!G244)</f>
        <v>0</v>
      </c>
      <c r="N13" s="112">
        <f>SUM('NGSTEAM RATIO'!H244)</f>
        <v>0</v>
      </c>
    </row>
    <row r="14" spans="2:23">
      <c r="B14" s="111">
        <f>SUM('REPORT B3'!B18)</f>
        <v>46032</v>
      </c>
      <c r="C14" s="106">
        <f>SUM('DATA B1'!O271)</f>
        <v>0</v>
      </c>
      <c r="D14" s="106">
        <f>SUM('DATA B1'!P271)</f>
        <v>0</v>
      </c>
      <c r="E14" s="107">
        <f>SUM('DATA B1'!Q271)</f>
        <v>0</v>
      </c>
      <c r="F14" s="107">
        <f>SUM('DATA B1'!R271)</f>
        <v>0</v>
      </c>
      <c r="G14" s="116">
        <f>SUM('DATA B1'!S271)</f>
        <v>0</v>
      </c>
      <c r="H14" s="116">
        <f>SUM('DATA B1'!T271)</f>
        <v>0</v>
      </c>
      <c r="I14" s="117">
        <f>SUM('WATER_STEAM RATIO'!G270)</f>
        <v>0</v>
      </c>
      <c r="J14" s="112">
        <f>SUM('WATER_STEAM RATIO'!H270)</f>
        <v>0</v>
      </c>
      <c r="K14" s="109">
        <f>SUM('NGSTEAM RATIO'!E270)</f>
        <v>0</v>
      </c>
      <c r="L14" s="115">
        <f>SUM('NGSTEAM RATIO'!F270)</f>
        <v>0</v>
      </c>
      <c r="M14" s="112">
        <f>SUM('NGSTEAM RATIO'!G270)</f>
        <v>0</v>
      </c>
      <c r="N14" s="112">
        <f>SUM('NGSTEAM RATIO'!H270)</f>
        <v>0</v>
      </c>
    </row>
    <row r="15" spans="2:23">
      <c r="B15" s="111">
        <f>SUM('REPORT B3'!B19)</f>
        <v>46033</v>
      </c>
      <c r="C15" s="106">
        <f>SUM('DATA B1'!O297)</f>
        <v>0</v>
      </c>
      <c r="D15" s="106">
        <f>SUM('DATA B1'!P297)</f>
        <v>0</v>
      </c>
      <c r="E15" s="107">
        <f>SUM('DATA B1'!Q297)</f>
        <v>0</v>
      </c>
      <c r="F15" s="107">
        <f>SUM('DATA B1'!R297)</f>
        <v>0</v>
      </c>
      <c r="G15" s="116">
        <f>SUM('DATA B1'!S297)</f>
        <v>0</v>
      </c>
      <c r="H15" s="116">
        <f>SUM('DATA B1'!T297)</f>
        <v>0</v>
      </c>
      <c r="I15" s="117">
        <f>SUM('WATER_STEAM RATIO'!G296)</f>
        <v>0</v>
      </c>
      <c r="J15" s="112">
        <f>SUM('WATER_STEAM RATIO'!H296)</f>
        <v>0</v>
      </c>
      <c r="K15" s="109">
        <f>SUM('NGSTEAM RATIO'!E296)</f>
        <v>0</v>
      </c>
      <c r="L15" s="115">
        <f>SUM('NGSTEAM RATIO'!F296)</f>
        <v>0</v>
      </c>
      <c r="M15" s="112">
        <f>SUM('NGSTEAM RATIO'!G296)</f>
        <v>0</v>
      </c>
      <c r="N15" s="112">
        <f>SUM('NGSTEAM RATIO'!H296)</f>
        <v>0</v>
      </c>
    </row>
    <row r="16" spans="2:23">
      <c r="B16" s="111">
        <f>SUM('REPORT B3'!B20)</f>
        <v>46034</v>
      </c>
      <c r="C16" s="106">
        <f>SUM('DATA B1'!O323)</f>
        <v>0</v>
      </c>
      <c r="D16" s="106">
        <f>SUM('DATA B1'!P323)</f>
        <v>0</v>
      </c>
      <c r="E16" s="107">
        <f>SUM('DATA B1'!Q323)</f>
        <v>0</v>
      </c>
      <c r="F16" s="107">
        <f>SUM('DATA B1'!R323)</f>
        <v>0</v>
      </c>
      <c r="G16" s="116">
        <f>SUM('DATA B1'!S323)</f>
        <v>0</v>
      </c>
      <c r="H16" s="116">
        <f>SUM('DATA B1'!T323)</f>
        <v>0</v>
      </c>
      <c r="I16" s="117">
        <f>SUM('WATER_STEAM RATIO'!G322)</f>
        <v>0</v>
      </c>
      <c r="J16" s="112">
        <f>SUM('WATER_STEAM RATIO'!H322)</f>
        <v>0</v>
      </c>
      <c r="K16" s="109">
        <f>SUM('NGSTEAM RATIO'!E322)</f>
        <v>0</v>
      </c>
      <c r="L16" s="115">
        <f>SUM('NGSTEAM RATIO'!F322)</f>
        <v>0</v>
      </c>
      <c r="M16" s="112">
        <f>SUM('NGSTEAM RATIO'!G322)</f>
        <v>0</v>
      </c>
      <c r="N16" s="112">
        <f>SUM('NGSTEAM RATIO'!H322)</f>
        <v>0</v>
      </c>
    </row>
    <row r="17" spans="2:14">
      <c r="B17" s="111">
        <f>SUM('REPORT B3'!B21)</f>
        <v>46035</v>
      </c>
      <c r="C17" s="106">
        <f>SUM('DATA B1'!O349)</f>
        <v>0</v>
      </c>
      <c r="D17" s="106">
        <f>SUM('DATA B1'!P349)</f>
        <v>0</v>
      </c>
      <c r="E17" s="107">
        <f>SUM('DATA B1'!Q349)</f>
        <v>0</v>
      </c>
      <c r="F17" s="107">
        <f>SUM('DATA B1'!R349)</f>
        <v>0</v>
      </c>
      <c r="G17" s="116">
        <f>SUM('DATA B1'!S349)</f>
        <v>0</v>
      </c>
      <c r="H17" s="116">
        <f>SUM('DATA B1'!T349)</f>
        <v>0</v>
      </c>
      <c r="I17" s="117">
        <f>SUM('WATER_STEAM RATIO'!G348)</f>
        <v>0</v>
      </c>
      <c r="J17" s="112">
        <f>SUM('WATER_STEAM RATIO'!H348)</f>
        <v>0</v>
      </c>
      <c r="K17" s="109">
        <f>SUM('NGSTEAM RATIO'!E348)</f>
        <v>0</v>
      </c>
      <c r="L17" s="115">
        <f>SUM('NGSTEAM RATIO'!F348)</f>
        <v>0</v>
      </c>
      <c r="M17" s="112">
        <f>SUM('NGSTEAM RATIO'!G348)</f>
        <v>0</v>
      </c>
      <c r="N17" s="112">
        <f>SUM('NGSTEAM RATIO'!H348)</f>
        <v>0</v>
      </c>
    </row>
    <row r="18" spans="2:14">
      <c r="B18" s="111">
        <f>SUM('REPORT B3'!B22)</f>
        <v>46036</v>
      </c>
      <c r="C18" s="106">
        <f>SUM('DATA B1'!O375)</f>
        <v>0</v>
      </c>
      <c r="D18" s="106">
        <f>SUM('DATA B1'!P375)</f>
        <v>0</v>
      </c>
      <c r="E18" s="107">
        <f>SUM('DATA B1'!Q375)</f>
        <v>0</v>
      </c>
      <c r="F18" s="107">
        <f>SUM('DATA B1'!R375)</f>
        <v>0</v>
      </c>
      <c r="G18" s="116">
        <f>SUM('DATA B1'!S375)</f>
        <v>0</v>
      </c>
      <c r="H18" s="116">
        <f>SUM('DATA B1'!T375)</f>
        <v>0</v>
      </c>
      <c r="I18" s="117">
        <f>SUM('WATER_STEAM RATIO'!G374)</f>
        <v>0</v>
      </c>
      <c r="J18" s="112">
        <f>SUM('WATER_STEAM RATIO'!H374)</f>
        <v>0</v>
      </c>
      <c r="K18" s="109">
        <f>SUM('NGSTEAM RATIO'!E374)</f>
        <v>0</v>
      </c>
      <c r="L18" s="115">
        <f>SUM('NGSTEAM RATIO'!F374)</f>
        <v>0</v>
      </c>
      <c r="M18" s="112">
        <f>SUM('NGSTEAM RATIO'!G374)</f>
        <v>0</v>
      </c>
      <c r="N18" s="112">
        <f>SUM('NGSTEAM RATIO'!H374)</f>
        <v>0</v>
      </c>
    </row>
    <row r="19" spans="2:14">
      <c r="B19" s="111">
        <f>SUM('REPORT B3'!B23)</f>
        <v>46037</v>
      </c>
      <c r="C19" s="106">
        <f>SUM('DATA B1'!O401)</f>
        <v>0</v>
      </c>
      <c r="D19" s="106">
        <f>SUM('DATA B1'!P401)</f>
        <v>0</v>
      </c>
      <c r="E19" s="107">
        <f>SUM('DATA B1'!Q401)</f>
        <v>0</v>
      </c>
      <c r="F19" s="107">
        <f>SUM('DATA B1'!R401)</f>
        <v>0</v>
      </c>
      <c r="G19" s="116">
        <f>SUM('DATA B1'!S401)</f>
        <v>0</v>
      </c>
      <c r="H19" s="116">
        <f>SUM('DATA B1'!T401)</f>
        <v>0</v>
      </c>
      <c r="I19" s="117">
        <f>SUM('WATER_STEAM RATIO'!G400)</f>
        <v>0</v>
      </c>
      <c r="J19" s="112">
        <f>SUM('WATER_STEAM RATIO'!H400)</f>
        <v>0</v>
      </c>
      <c r="K19" s="109">
        <f>SUM('NGSTEAM RATIO'!E400)</f>
        <v>0</v>
      </c>
      <c r="L19" s="115">
        <f>SUM('NGSTEAM RATIO'!F400)</f>
        <v>0</v>
      </c>
      <c r="M19" s="112">
        <f>SUM('NGSTEAM RATIO'!G400)</f>
        <v>0</v>
      </c>
      <c r="N19" s="112">
        <f>SUM('NGSTEAM RATIO'!H400)</f>
        <v>0</v>
      </c>
    </row>
    <row r="20" spans="2:14">
      <c r="B20" s="111">
        <f>SUM('REPORT B3'!B24)</f>
        <v>46038</v>
      </c>
      <c r="C20" s="106">
        <f>SUM('DATA B1'!O427)</f>
        <v>0</v>
      </c>
      <c r="D20" s="106">
        <f>SUM('DATA B1'!P427)</f>
        <v>0</v>
      </c>
      <c r="E20" s="107">
        <f>SUM('DATA B1'!Q427)</f>
        <v>0</v>
      </c>
      <c r="F20" s="107">
        <f>SUM('DATA B1'!R427)</f>
        <v>0</v>
      </c>
      <c r="G20" s="116">
        <f>SUM('DATA B1'!S427)</f>
        <v>0</v>
      </c>
      <c r="H20" s="116">
        <f>SUM('DATA B1'!T427)</f>
        <v>0</v>
      </c>
      <c r="I20" s="117">
        <f>SUM('WATER_STEAM RATIO'!G426)</f>
        <v>0</v>
      </c>
      <c r="J20" s="112">
        <f>SUM('WATER_STEAM RATIO'!H426)</f>
        <v>0</v>
      </c>
      <c r="K20" s="109">
        <f>SUM('NGSTEAM RATIO'!E426)</f>
        <v>0</v>
      </c>
      <c r="L20" s="115">
        <f>SUM('NGSTEAM RATIO'!F426)</f>
        <v>0</v>
      </c>
      <c r="M20" s="112">
        <f>SUM('NGSTEAM RATIO'!G426)</f>
        <v>0</v>
      </c>
      <c r="N20" s="112">
        <f>SUM('NGSTEAM RATIO'!H426)</f>
        <v>0</v>
      </c>
    </row>
    <row r="21" spans="2:14">
      <c r="B21" s="111">
        <f>SUM('REPORT B3'!B25)</f>
        <v>46039</v>
      </c>
      <c r="C21" s="106">
        <f>SUM('DATA B1'!O453)</f>
        <v>0</v>
      </c>
      <c r="D21" s="106">
        <f>SUM('DATA B1'!P453)</f>
        <v>0</v>
      </c>
      <c r="E21" s="107">
        <f>SUM('DATA B1'!Q453)</f>
        <v>0</v>
      </c>
      <c r="F21" s="107">
        <f>SUM('DATA B1'!R453)</f>
        <v>0</v>
      </c>
      <c r="G21" s="116">
        <f>SUM('DATA B1'!S453)</f>
        <v>0</v>
      </c>
      <c r="H21" s="116">
        <f>SUM('DATA B1'!T453)</f>
        <v>0</v>
      </c>
      <c r="I21" s="117">
        <f>SUM('WATER_STEAM RATIO'!G452)</f>
        <v>0</v>
      </c>
      <c r="J21" s="112">
        <f>SUM('WATER_STEAM RATIO'!H452)</f>
        <v>0</v>
      </c>
      <c r="K21" s="109">
        <f>SUM('NGSTEAM RATIO'!E452)</f>
        <v>0</v>
      </c>
      <c r="L21" s="115">
        <f>SUM('NGSTEAM RATIO'!F452)</f>
        <v>0</v>
      </c>
      <c r="M21" s="112">
        <f>SUM('NGSTEAM RATIO'!G452)</f>
        <v>0</v>
      </c>
      <c r="N21" s="112">
        <f>SUM('NGSTEAM RATIO'!H452)</f>
        <v>0</v>
      </c>
    </row>
    <row r="22" spans="2:14">
      <c r="B22" s="111">
        <f>SUM('REPORT B3'!B26)</f>
        <v>46040</v>
      </c>
      <c r="C22" s="106">
        <f>SUM('DATA B1'!O479)</f>
        <v>0</v>
      </c>
      <c r="D22" s="106">
        <f>SUM('DATA B1'!P479)</f>
        <v>0</v>
      </c>
      <c r="E22" s="107">
        <f>SUM('DATA B1'!Q479)</f>
        <v>0</v>
      </c>
      <c r="F22" s="107">
        <f>SUM('DATA B1'!R479)</f>
        <v>0</v>
      </c>
      <c r="G22" s="116">
        <f>SUM('DATA B1'!S479)</f>
        <v>0</v>
      </c>
      <c r="H22" s="116">
        <f>SUM('DATA B1'!T479)</f>
        <v>0</v>
      </c>
      <c r="I22" s="117">
        <f>SUM('WATER_STEAM RATIO'!G478)</f>
        <v>0</v>
      </c>
      <c r="J22" s="112">
        <f>SUM('WATER_STEAM RATIO'!H478)</f>
        <v>0</v>
      </c>
      <c r="K22" s="109">
        <f>SUM('NGSTEAM RATIO'!E478)</f>
        <v>0</v>
      </c>
      <c r="L22" s="115">
        <f>SUM('NGSTEAM RATIO'!F478)</f>
        <v>0</v>
      </c>
      <c r="M22" s="112">
        <f>SUM('NGSTEAM RATIO'!G478)</f>
        <v>0</v>
      </c>
      <c r="N22" s="112">
        <f>SUM('NGSTEAM RATIO'!H478)</f>
        <v>0</v>
      </c>
    </row>
    <row r="23" spans="2:14">
      <c r="B23" s="111">
        <f>SUM('REPORT B3'!B27)</f>
        <v>46041</v>
      </c>
      <c r="C23" s="106">
        <f>SUM('DATA B1'!O505)</f>
        <v>0</v>
      </c>
      <c r="D23" s="106">
        <f>SUM('DATA B1'!P505)</f>
        <v>0</v>
      </c>
      <c r="E23" s="107">
        <f>SUM('DATA B1'!Q505)</f>
        <v>0</v>
      </c>
      <c r="F23" s="107">
        <f>SUM('DATA B1'!R505)</f>
        <v>0</v>
      </c>
      <c r="G23" s="116">
        <f>SUM('DATA B1'!S505)</f>
        <v>0</v>
      </c>
      <c r="H23" s="116">
        <f>SUM('DATA B1'!T505)</f>
        <v>0</v>
      </c>
      <c r="I23" s="117">
        <f>SUM('WATER_STEAM RATIO'!G504)</f>
        <v>0</v>
      </c>
      <c r="J23" s="112">
        <f>SUM('WATER_STEAM RATIO'!H504)</f>
        <v>0</v>
      </c>
      <c r="K23" s="109">
        <f>SUM('NGSTEAM RATIO'!E504)</f>
        <v>0</v>
      </c>
      <c r="L23" s="115">
        <f>SUM('NGSTEAM RATIO'!F504)</f>
        <v>0</v>
      </c>
      <c r="M23" s="112">
        <f>SUM('NGSTEAM RATIO'!G504)</f>
        <v>0</v>
      </c>
      <c r="N23" s="112">
        <f>SUM('NGSTEAM RATIO'!H504)</f>
        <v>0</v>
      </c>
    </row>
    <row r="24" spans="2:14">
      <c r="B24" s="111">
        <f>SUM('REPORT B3'!B28)</f>
        <v>46042</v>
      </c>
      <c r="C24" s="106">
        <f>SUM('DATA B1'!O531)</f>
        <v>0</v>
      </c>
      <c r="D24" s="106">
        <f>SUM('DATA B1'!P531)</f>
        <v>0</v>
      </c>
      <c r="E24" s="107">
        <f>SUM('DATA B1'!Q531)</f>
        <v>0</v>
      </c>
      <c r="F24" s="107">
        <f>SUM('DATA B1'!R531)</f>
        <v>0</v>
      </c>
      <c r="G24" s="116">
        <f>SUM('DATA B1'!S531)</f>
        <v>0</v>
      </c>
      <c r="H24" s="116">
        <f>SUM('DATA B1'!T531)</f>
        <v>0</v>
      </c>
      <c r="I24" s="117">
        <f>SUM('WATER_STEAM RATIO'!G530)</f>
        <v>0</v>
      </c>
      <c r="J24" s="112">
        <f>SUM('WATER_STEAM RATIO'!H530)</f>
        <v>0</v>
      </c>
      <c r="K24" s="109">
        <f>SUM('NGSTEAM RATIO'!E530)</f>
        <v>0</v>
      </c>
      <c r="L24" s="115">
        <f>SUM('NGSTEAM RATIO'!F530)</f>
        <v>0</v>
      </c>
      <c r="M24" s="112">
        <f>SUM('NGSTEAM RATIO'!G530)</f>
        <v>0</v>
      </c>
      <c r="N24" s="112">
        <f>SUM('NGSTEAM RATIO'!H530)</f>
        <v>0</v>
      </c>
    </row>
    <row r="25" spans="2:14">
      <c r="B25" s="111">
        <f>SUM('REPORT B3'!B29)</f>
        <v>46043</v>
      </c>
      <c r="C25" s="106">
        <f>SUM('DATA B1'!O557)</f>
        <v>0</v>
      </c>
      <c r="D25" s="106">
        <f>SUM('DATA B1'!P557)</f>
        <v>0</v>
      </c>
      <c r="E25" s="107">
        <f>SUM('DATA B1'!Q557)</f>
        <v>0</v>
      </c>
      <c r="F25" s="107">
        <f>SUM('DATA B1'!R557)</f>
        <v>0</v>
      </c>
      <c r="G25" s="116">
        <f>SUM('DATA B1'!S557)</f>
        <v>0</v>
      </c>
      <c r="H25" s="116">
        <f>SUM('DATA B1'!T557)</f>
        <v>0</v>
      </c>
      <c r="I25" s="117">
        <f>SUM('WATER_STEAM RATIO'!G556)</f>
        <v>0</v>
      </c>
      <c r="J25" s="112">
        <f>SUM('WATER_STEAM RATIO'!H556)</f>
        <v>0</v>
      </c>
      <c r="K25" s="109">
        <f>SUM('NGSTEAM RATIO'!E556)</f>
        <v>0</v>
      </c>
      <c r="L25" s="115">
        <f>SUM('NGSTEAM RATIO'!F556)</f>
        <v>0</v>
      </c>
      <c r="M25" s="112">
        <f>SUM('NGSTEAM RATIO'!G556)</f>
        <v>0</v>
      </c>
      <c r="N25" s="112">
        <f>SUM('NGSTEAM RATIO'!H556)</f>
        <v>-51419.907407407409</v>
      </c>
    </row>
    <row r="26" spans="2:14">
      <c r="B26" s="111">
        <f>SUM('REPORT B3'!B30)</f>
        <v>46044</v>
      </c>
      <c r="C26" s="106">
        <f>SUM('DATA B1'!O583)</f>
        <v>0</v>
      </c>
      <c r="D26" s="106">
        <f>SUM('DATA B1'!P583)</f>
        <v>0</v>
      </c>
      <c r="E26" s="107">
        <f>SUM('DATA B1'!Q583)</f>
        <v>0</v>
      </c>
      <c r="F26" s="107">
        <f>SUM('DATA B1'!R583)</f>
        <v>0</v>
      </c>
      <c r="G26" s="116">
        <f>SUM('DATA B1'!S583)</f>
        <v>0</v>
      </c>
      <c r="H26" s="116">
        <f>SUM('DATA B1'!T583)</f>
        <v>0</v>
      </c>
      <c r="I26" s="117">
        <f>SUM('WATER_STEAM RATIO'!G582)</f>
        <v>0</v>
      </c>
      <c r="J26" s="112">
        <f>SUM('WATER_STEAM RATIO'!H582)</f>
        <v>0</v>
      </c>
      <c r="K26" s="109">
        <f>SUM('NGSTEAM RATIO'!E582)</f>
        <v>0</v>
      </c>
      <c r="L26" s="115">
        <f>SUM('NGSTEAM RATIO'!F582)</f>
        <v>0</v>
      </c>
      <c r="M26" s="112">
        <f>SUM('NGSTEAM RATIO'!G582)</f>
        <v>0</v>
      </c>
      <c r="N26" s="112">
        <f>SUM('NGSTEAM RATIO'!H582)</f>
        <v>0</v>
      </c>
    </row>
    <row r="27" spans="2:14">
      <c r="B27" s="111">
        <f>SUM('REPORT B3'!B31)</f>
        <v>46045</v>
      </c>
      <c r="C27" s="106">
        <f>SUM('DATA B1'!O609)</f>
        <v>0</v>
      </c>
      <c r="D27" s="106">
        <f>SUM('DATA B1'!P609)</f>
        <v>0</v>
      </c>
      <c r="E27" s="107">
        <f>SUM('DATA B1'!Q609)</f>
        <v>0</v>
      </c>
      <c r="F27" s="107">
        <f>SUM('DATA B1'!R609)</f>
        <v>0</v>
      </c>
      <c r="G27" s="116">
        <f>SUM('DATA B1'!S609)</f>
        <v>0</v>
      </c>
      <c r="H27" s="116">
        <f>SUM('DATA B1'!T609)</f>
        <v>0</v>
      </c>
      <c r="I27" s="117">
        <f>SUM('WATER_STEAM RATIO'!G608)</f>
        <v>0</v>
      </c>
      <c r="J27" s="112">
        <f>SUM('WATER_STEAM RATIO'!H608)</f>
        <v>0</v>
      </c>
      <c r="K27" s="109">
        <f>SUM('NGSTEAM RATIO'!E608)</f>
        <v>0</v>
      </c>
      <c r="L27" s="115">
        <f>SUM('NGSTEAM RATIO'!F608)</f>
        <v>0</v>
      </c>
      <c r="M27" s="112">
        <f>SUM('NGSTEAM RATIO'!G608)</f>
        <v>0</v>
      </c>
      <c r="N27" s="112">
        <f>SUM('NGSTEAM RATIO'!H608)</f>
        <v>0</v>
      </c>
    </row>
    <row r="28" spans="2:14">
      <c r="B28" s="111">
        <f>SUM('REPORT B3'!B32)</f>
        <v>46046</v>
      </c>
      <c r="C28" s="106">
        <f>SUM('DATA B1'!O635)</f>
        <v>0</v>
      </c>
      <c r="D28" s="106">
        <f>SUM('DATA B1'!P635)</f>
        <v>0</v>
      </c>
      <c r="E28" s="107">
        <f>SUM('DATA B1'!Q635)</f>
        <v>0</v>
      </c>
      <c r="F28" s="107">
        <f>SUM('DATA B1'!R635)</f>
        <v>0</v>
      </c>
      <c r="G28" s="116">
        <f>SUM('DATA B1'!S635)</f>
        <v>0</v>
      </c>
      <c r="H28" s="116">
        <f>SUM('DATA B1'!T635)</f>
        <v>0</v>
      </c>
      <c r="I28" s="117">
        <f>SUM('WATER_STEAM RATIO'!G634)</f>
        <v>0</v>
      </c>
      <c r="J28" s="112">
        <f>SUM('WATER_STEAM RATIO'!H634)</f>
        <v>0</v>
      </c>
      <c r="K28" s="109">
        <f>SUM('NGSTEAM RATIO'!E634)</f>
        <v>0</v>
      </c>
      <c r="L28" s="115">
        <f>SUM('NGSTEAM RATIO'!F634)</f>
        <v>0</v>
      </c>
      <c r="M28" s="112">
        <f>SUM('NGSTEAM RATIO'!G634)</f>
        <v>0</v>
      </c>
      <c r="N28" s="112">
        <f>SUM('NGSTEAM RATIO'!H634)</f>
        <v>0</v>
      </c>
    </row>
    <row r="29" spans="2:14">
      <c r="B29" s="111">
        <f>SUM('REPORT B3'!B33)</f>
        <v>46047</v>
      </c>
      <c r="C29" s="106">
        <f>SUM('DATA B1'!O661)</f>
        <v>0</v>
      </c>
      <c r="D29" s="106">
        <f>SUM('DATA B1'!P661)</f>
        <v>0</v>
      </c>
      <c r="E29" s="107">
        <f>SUM('DATA B1'!Q661)</f>
        <v>0</v>
      </c>
      <c r="F29" s="107">
        <f>SUM('DATA B1'!R661)</f>
        <v>0</v>
      </c>
      <c r="G29" s="116">
        <f>SUM('DATA B1'!S661)</f>
        <v>0</v>
      </c>
      <c r="H29" s="116">
        <f>SUM('DATA B1'!T661)</f>
        <v>0</v>
      </c>
      <c r="I29" s="117">
        <f>SUM('WATER_STEAM RATIO'!G660)</f>
        <v>0</v>
      </c>
      <c r="J29" s="112">
        <f>SUM('WATER_STEAM RATIO'!H660)</f>
        <v>0</v>
      </c>
      <c r="K29" s="109">
        <f>SUM('NGSTEAM RATIO'!E660)</f>
        <v>0</v>
      </c>
      <c r="L29" s="115">
        <f>SUM('NGSTEAM RATIO'!F660)</f>
        <v>0</v>
      </c>
      <c r="M29" s="112">
        <f>SUM('NGSTEAM RATIO'!G660)</f>
        <v>0</v>
      </c>
      <c r="N29" s="112">
        <f>SUM('NGSTEAM RATIO'!H660)</f>
        <v>0</v>
      </c>
    </row>
    <row r="30" spans="2:14">
      <c r="B30" s="111">
        <f>SUM('REPORT B3'!B34)</f>
        <v>46048</v>
      </c>
      <c r="C30" s="106">
        <f>SUM('DATA B1'!O687)</f>
        <v>0</v>
      </c>
      <c r="D30" s="106">
        <f>SUM('DATA B1'!P687)</f>
        <v>0</v>
      </c>
      <c r="E30" s="107">
        <f>SUM('DATA B1'!Q687)</f>
        <v>0</v>
      </c>
      <c r="F30" s="107">
        <f>SUM('DATA B1'!R687)</f>
        <v>0</v>
      </c>
      <c r="G30" s="116">
        <f>SUM('DATA B1'!S687)</f>
        <v>0</v>
      </c>
      <c r="H30" s="116">
        <f>SUM('DATA B1'!T687)</f>
        <v>0</v>
      </c>
      <c r="I30" s="117">
        <f>SUM('WATER_STEAM RATIO'!G686)</f>
        <v>0</v>
      </c>
      <c r="J30" s="112">
        <f>SUM('WATER_STEAM RATIO'!H686)</f>
        <v>0</v>
      </c>
      <c r="K30" s="109">
        <f>SUM('NGSTEAM RATIO'!E686)</f>
        <v>0</v>
      </c>
      <c r="L30" s="115">
        <f>SUM('NGSTEAM RATIO'!F686)</f>
        <v>0</v>
      </c>
      <c r="M30" s="112">
        <f>SUM('NGSTEAM RATIO'!G686)</f>
        <v>0</v>
      </c>
      <c r="N30" s="112">
        <f>SUM('NGSTEAM RATIO'!H686)</f>
        <v>0</v>
      </c>
    </row>
    <row r="31" spans="2:14">
      <c r="B31" s="111">
        <f>SUM('REPORT B3'!B35)</f>
        <v>46049</v>
      </c>
      <c r="C31" s="106">
        <f>SUM('DATA B1'!O713)</f>
        <v>0</v>
      </c>
      <c r="D31" s="106">
        <f>SUM('DATA B1'!P713)</f>
        <v>0</v>
      </c>
      <c r="E31" s="107">
        <f>SUM('DATA B1'!Q713)</f>
        <v>0</v>
      </c>
      <c r="F31" s="107">
        <f>SUM('DATA B1'!R713)</f>
        <v>0</v>
      </c>
      <c r="G31" s="116">
        <f>SUM('DATA B1'!S713)</f>
        <v>0</v>
      </c>
      <c r="H31" s="116">
        <f>SUM('DATA B1'!T713)</f>
        <v>0</v>
      </c>
      <c r="I31" s="117">
        <f>SUM('WATER_STEAM RATIO'!G712)</f>
        <v>0</v>
      </c>
      <c r="J31" s="112">
        <f>SUM('WATER_STEAM RATIO'!H712)</f>
        <v>0</v>
      </c>
      <c r="K31" s="109">
        <f>SUM('NGSTEAM RATIO'!E712)</f>
        <v>0</v>
      </c>
      <c r="L31" s="115">
        <f>SUM('NGSTEAM RATIO'!F712)</f>
        <v>0</v>
      </c>
      <c r="M31" s="112">
        <f>SUM('NGSTEAM RATIO'!G712)</f>
        <v>0</v>
      </c>
      <c r="N31" s="112">
        <f>SUM('NGSTEAM RATIO'!H712)</f>
        <v>0</v>
      </c>
    </row>
    <row r="32" spans="2:14">
      <c r="B32" s="111">
        <f>SUM('REPORT B3'!B36)</f>
        <v>46050</v>
      </c>
      <c r="C32" s="106">
        <f>SUM('DATA B1'!O739)</f>
        <v>0</v>
      </c>
      <c r="D32" s="106">
        <f>SUM('DATA B1'!P739)</f>
        <v>0</v>
      </c>
      <c r="E32" s="107">
        <f>SUM('DATA B1'!Q739)</f>
        <v>0</v>
      </c>
      <c r="F32" s="107">
        <f>SUM('DATA B1'!R739)</f>
        <v>0</v>
      </c>
      <c r="G32" s="116">
        <f>SUM('DATA B1'!S739)</f>
        <v>0</v>
      </c>
      <c r="H32" s="116">
        <f>SUM('DATA B1'!T739)</f>
        <v>0</v>
      </c>
      <c r="I32" s="117">
        <f>SUM('WATER_STEAM RATIO'!G738)</f>
        <v>0</v>
      </c>
      <c r="J32" s="112">
        <f>SUM('WATER_STEAM RATIO'!H738)</f>
        <v>0</v>
      </c>
      <c r="K32" s="109">
        <f>SUM('NGSTEAM RATIO'!E738)</f>
        <v>0</v>
      </c>
      <c r="L32" s="115">
        <f>SUM('NGSTEAM RATIO'!F738)</f>
        <v>0</v>
      </c>
      <c r="M32" s="112">
        <f>SUM('NGSTEAM RATIO'!G738)</f>
        <v>0</v>
      </c>
      <c r="N32" s="112">
        <f>SUM('NGSTEAM RATIO'!H738)</f>
        <v>0</v>
      </c>
    </row>
    <row r="33" spans="2:14">
      <c r="B33" s="111">
        <f>SUM('REPORT B3'!B37)</f>
        <v>46051</v>
      </c>
      <c r="C33" s="106">
        <f>SUM('DATA B1'!O765)</f>
        <v>0</v>
      </c>
      <c r="D33" s="106">
        <f>SUM('DATA B1'!P765)</f>
        <v>0</v>
      </c>
      <c r="E33" s="107">
        <f>SUM('DATA B1'!Q765)</f>
        <v>0</v>
      </c>
      <c r="F33" s="107">
        <f>SUM('DATA B1'!R765)</f>
        <v>0</v>
      </c>
      <c r="G33" s="116">
        <f>SUM('DATA B1'!S765)</f>
        <v>0</v>
      </c>
      <c r="H33" s="116">
        <f>SUM('DATA B1'!T765)</f>
        <v>0</v>
      </c>
      <c r="I33" s="117">
        <f>SUM('WATER_STEAM RATIO'!G764)</f>
        <v>0</v>
      </c>
      <c r="J33" s="112">
        <f>SUM('WATER_STEAM RATIO'!H764)</f>
        <v>0</v>
      </c>
      <c r="K33" s="109">
        <f>SUM('NGSTEAM RATIO'!E764)</f>
        <v>0</v>
      </c>
      <c r="L33" s="115">
        <f>SUM('NGSTEAM RATIO'!F764)</f>
        <v>0</v>
      </c>
      <c r="M33" s="112">
        <f>SUM('NGSTEAM RATIO'!G764)</f>
        <v>0</v>
      </c>
      <c r="N33" s="112">
        <f>SUM('NGSTEAM RATIO'!H764)</f>
        <v>0</v>
      </c>
    </row>
    <row r="34" spans="2:14">
      <c r="B34" s="111">
        <f>SUM('REPORT B3'!B38)</f>
        <v>46052</v>
      </c>
      <c r="C34" s="106">
        <f>SUM('DATA B1'!O791)</f>
        <v>0</v>
      </c>
      <c r="D34" s="106">
        <f>SUM('DATA B1'!P791)</f>
        <v>0</v>
      </c>
      <c r="E34" s="107">
        <f>SUM('DATA B1'!Q791)</f>
        <v>0</v>
      </c>
      <c r="F34" s="107">
        <f>SUM('DATA B1'!R791)</f>
        <v>0</v>
      </c>
      <c r="G34" s="116">
        <f>SUM('DATA B1'!S791)</f>
        <v>0</v>
      </c>
      <c r="H34" s="116">
        <f>SUM('DATA B1'!T791)</f>
        <v>0</v>
      </c>
      <c r="I34" s="117">
        <f>SUM('WATER_STEAM RATIO'!G790)</f>
        <v>0</v>
      </c>
      <c r="J34" s="112">
        <f>SUM('WATER_STEAM RATIO'!H790)</f>
        <v>0</v>
      </c>
      <c r="K34" s="109">
        <f>SUM('NGSTEAM RATIO'!E790)</f>
        <v>0</v>
      </c>
      <c r="L34" s="115">
        <f>SUM('NGSTEAM RATIO'!F790)</f>
        <v>0</v>
      </c>
      <c r="M34" s="112">
        <f>SUM('NGSTEAM RATIO'!G790)</f>
        <v>0</v>
      </c>
      <c r="N34" s="112">
        <f>SUM('NGSTEAM RATIO'!H790)</f>
        <v>0</v>
      </c>
    </row>
    <row r="35" spans="2:14">
      <c r="B35" s="111">
        <f>SUM('REPORT B3'!B39)</f>
        <v>46053</v>
      </c>
      <c r="C35" s="106">
        <f>SUM('DATA B1'!O817)</f>
        <v>0</v>
      </c>
      <c r="D35" s="106">
        <f>SUM('DATA B1'!P817)</f>
        <v>0</v>
      </c>
      <c r="E35" s="107">
        <f>SUM('DATA B1'!Q817)</f>
        <v>0</v>
      </c>
      <c r="F35" s="107">
        <f>SUM('DATA B1'!R817)</f>
        <v>0</v>
      </c>
      <c r="G35" s="116">
        <f>SUM('DATA B1'!S817)</f>
        <v>0</v>
      </c>
      <c r="H35" s="116">
        <f>SUM('DATA B1'!T817)</f>
        <v>0</v>
      </c>
      <c r="I35" s="117">
        <f>SUM('WATER_STEAM RATIO'!G816)</f>
        <v>0</v>
      </c>
      <c r="J35" s="112">
        <f>SUM('WATER_STEAM RATIO'!H816)</f>
        <v>0</v>
      </c>
      <c r="K35" s="109">
        <f>SUM('NGSTEAM RATIO'!E816)</f>
        <v>0</v>
      </c>
      <c r="L35" s="115">
        <f>SUM('NGSTEAM RATIO'!F816)</f>
        <v>0</v>
      </c>
      <c r="M35" s="112">
        <f>SUM('NGSTEAM RATIO'!G816)</f>
        <v>0</v>
      </c>
      <c r="N35" s="112">
        <f>SUM('NGSTEAM RATIO'!H816)</f>
        <v>0</v>
      </c>
    </row>
    <row r="36" spans="2:14">
      <c r="B36" s="93" t="s">
        <v>96</v>
      </c>
      <c r="C36" s="106">
        <f>IFERROR(AVERAGEIF(C5:C35,"&gt;=0"),0)</f>
        <v>0</v>
      </c>
      <c r="D36" s="106">
        <f t="shared" ref="D36:H36" si="0">IFERROR(AVERAGEIF(D5:D35,"&gt;=0"),0)</f>
        <v>0</v>
      </c>
      <c r="E36" s="107">
        <f t="shared" si="0"/>
        <v>0</v>
      </c>
      <c r="F36" s="107">
        <f t="shared" si="0"/>
        <v>0</v>
      </c>
      <c r="G36" s="116">
        <f t="shared" si="0"/>
        <v>0</v>
      </c>
      <c r="H36" s="116">
        <f t="shared" si="0"/>
        <v>0</v>
      </c>
      <c r="I36" s="117">
        <f>SUMIF(I5:I35,"&gt;=0")</f>
        <v>0</v>
      </c>
      <c r="J36" s="112">
        <f>IFERROR(AVERAGEIF(J5:J35,"&gt;=0"),0)</f>
        <v>0</v>
      </c>
      <c r="K36" s="109">
        <f>SUMIF(K5:K35,"&gt;=0")</f>
        <v>0</v>
      </c>
      <c r="L36" s="115">
        <f>SUMIF(L5:L35,"&gt;=0")</f>
        <v>0</v>
      </c>
      <c r="M36" s="112">
        <f t="shared" ref="M36:N36" si="1">IFERROR(AVERAGEIF(M5:M35,"&gt;=0"),0)</f>
        <v>0</v>
      </c>
      <c r="N36" s="112">
        <f t="shared" si="1"/>
        <v>0</v>
      </c>
    </row>
  </sheetData>
  <sheetProtection algorithmName="SHA-512" hashValue="1j3oOXxLiyc5jk7u9ZQFvgbA3Y0pusynawhZjtIO0M4f+qTh/mnjXsCq5hypnROXgzqz/27X+0/Ld43Dq2vHgw==" saltValue="sCBK86QXhH10yplbMtnOL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5" orientation="landscape" r:id="rId1"/>
  <rowBreaks count="1" manualBreakCount="1">
    <brk id="35" min="1" max="13" man="1"/>
  </rowBreaks>
  <colBreaks count="1" manualBreakCount="1">
    <brk id="13" min="2" max="3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0B5C-B4AA-448A-A5AA-5A4BFA440CF4}">
  <sheetPr>
    <tabColor rgb="FF00B0F0"/>
    <pageSetUpPr fitToPage="1"/>
  </sheetPr>
  <dimension ref="B1:N36"/>
  <sheetViews>
    <sheetView view="pageBreakPreview" zoomScaleNormal="100" zoomScaleSheetLayoutView="100" workbookViewId="0">
      <pane xSplit="2" ySplit="4" topLeftCell="C5" activePane="bottomRight" state="frozen"/>
      <selection pane="bottomRight" activeCell="C6" sqref="C6"/>
      <selection pane="bottomLeft" activeCell="A5" sqref="A5"/>
      <selection pane="topRight" activeCell="C1" sqref="C1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14">
      <c r="B1" s="333"/>
      <c r="C1" s="333"/>
      <c r="D1" s="315" t="s">
        <v>97</v>
      </c>
      <c r="E1" s="315"/>
      <c r="F1" s="315"/>
      <c r="G1" s="315"/>
      <c r="H1" s="315"/>
      <c r="I1" s="315"/>
      <c r="J1" s="315"/>
      <c r="K1" s="315"/>
      <c r="L1" s="315"/>
      <c r="M1" s="400" t="s">
        <v>79</v>
      </c>
      <c r="N1" s="400"/>
    </row>
    <row r="2" spans="2:14">
      <c r="B2" s="333"/>
      <c r="C2" s="333"/>
      <c r="D2" s="315"/>
      <c r="E2" s="315"/>
      <c r="F2" s="315"/>
      <c r="G2" s="315"/>
      <c r="H2" s="315"/>
      <c r="I2" s="315"/>
      <c r="J2" s="315"/>
      <c r="K2" s="315"/>
      <c r="L2" s="315"/>
      <c r="M2" s="400"/>
      <c r="N2" s="400"/>
    </row>
    <row r="3" spans="2:14" ht="15" customHeight="1">
      <c r="B3" s="252" t="s">
        <v>105</v>
      </c>
      <c r="C3" s="401" t="s">
        <v>14</v>
      </c>
      <c r="D3" s="399"/>
      <c r="E3" s="402" t="s">
        <v>15</v>
      </c>
      <c r="F3" s="403"/>
      <c r="G3" s="404" t="s">
        <v>16</v>
      </c>
      <c r="H3" s="405"/>
      <c r="I3" s="113" t="s">
        <v>89</v>
      </c>
      <c r="J3" s="285" t="s">
        <v>99</v>
      </c>
      <c r="K3" s="114" t="s">
        <v>91</v>
      </c>
      <c r="L3" s="3" t="s">
        <v>100</v>
      </c>
      <c r="M3" s="285" t="s">
        <v>101</v>
      </c>
      <c r="N3" s="252" t="s">
        <v>102</v>
      </c>
    </row>
    <row r="4" spans="2:14" ht="30">
      <c r="B4" s="252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56" t="s">
        <v>22</v>
      </c>
      <c r="H4" s="256" t="s">
        <v>23</v>
      </c>
      <c r="I4" s="113" t="s">
        <v>66</v>
      </c>
      <c r="J4" s="287"/>
      <c r="K4" s="114" t="s">
        <v>57</v>
      </c>
      <c r="L4" s="3" t="s">
        <v>58</v>
      </c>
      <c r="M4" s="287"/>
      <c r="N4" s="252" t="s">
        <v>104</v>
      </c>
    </row>
    <row r="5" spans="2:14">
      <c r="B5" s="111">
        <f>SUM(SBoiler1!B5)</f>
        <v>46023</v>
      </c>
      <c r="C5" s="106">
        <f>SUM('DATA B2'!O37)</f>
        <v>101.03200000000001</v>
      </c>
      <c r="D5" s="106">
        <f>SUM('DATA B2'!P37)</f>
        <v>17</v>
      </c>
      <c r="E5" s="107">
        <f>SUM('DATA B2'!Q37)</f>
        <v>101.04400000000001</v>
      </c>
      <c r="F5" s="107">
        <f>SUM('DATA B2'!R37)</f>
        <v>111.34</v>
      </c>
      <c r="G5" s="118">
        <f>SUM('DATA B2'!S37)</f>
        <v>222.36799999999999</v>
      </c>
      <c r="H5" s="118">
        <f>SUM('DATA B2'!T37)</f>
        <v>193.73600000000002</v>
      </c>
      <c r="I5" s="117">
        <f>SUM('WATER_STEAM RATIO'!M36)</f>
        <v>363</v>
      </c>
      <c r="J5" s="119">
        <f>SUM('WATER_STEAM RATIO'!N36)</f>
        <v>1.3544776119402986</v>
      </c>
      <c r="K5" s="109">
        <f>SUM('NGSTEAM RATIO'!I36)</f>
        <v>268</v>
      </c>
      <c r="L5" s="115">
        <f>SUM('NGSTEAM RATIO'!J36)</f>
        <v>16602</v>
      </c>
      <c r="M5" s="119">
        <f>SUM('NGSTEAM RATIO'!K36)</f>
        <v>61.947761194029852</v>
      </c>
      <c r="N5" s="119">
        <f>SUM('NGSTEAM RATIO'!L36)</f>
        <v>62.037037037037059</v>
      </c>
    </row>
    <row r="6" spans="2:14">
      <c r="B6" s="111">
        <f>SUM(SBoiler1!B6)</f>
        <v>46024</v>
      </c>
      <c r="C6" s="106">
        <f>SUM('DATA B2'!O63)</f>
        <v>101.26000000000002</v>
      </c>
      <c r="D6" s="106">
        <f>SUM('DATA B2'!P63)</f>
        <v>17</v>
      </c>
      <c r="E6" s="107">
        <f>SUM('DATA B2'!Q63)</f>
        <v>101.26799999999999</v>
      </c>
      <c r="F6" s="107">
        <f>SUM('DATA B2'!R63)</f>
        <v>111.71600000000001</v>
      </c>
      <c r="G6" s="118">
        <f>SUM('DATA B2'!S63)</f>
        <v>227.84400000000002</v>
      </c>
      <c r="H6" s="118">
        <f>SUM('DATA B2'!T63)</f>
        <v>193.34799999999996</v>
      </c>
      <c r="I6" s="117">
        <f>SUM('WATER_STEAM RATIO'!M62)</f>
        <v>404</v>
      </c>
      <c r="J6" s="119">
        <f>SUM('WATER_STEAM RATIO'!N62)</f>
        <v>1.6031746031746033</v>
      </c>
      <c r="K6" s="109">
        <f>SUM('NGSTEAM RATIO'!I62)</f>
        <v>262</v>
      </c>
      <c r="L6" s="115">
        <f>SUM('NGSTEAM RATIO'!J62)</f>
        <v>15472</v>
      </c>
      <c r="M6" s="119">
        <f>SUM('NGSTEAM RATIO'!K62)</f>
        <v>59.05343511450382</v>
      </c>
      <c r="N6" s="119">
        <f>SUM('NGSTEAM RATIO'!L62)</f>
        <v>58.333333333333336</v>
      </c>
    </row>
    <row r="7" spans="2:14">
      <c r="B7" s="111">
        <f>SUM(SBoiler1!B7)</f>
        <v>46025</v>
      </c>
      <c r="C7" s="106">
        <f>SUM('DATA B2'!O89)</f>
        <v>101.348</v>
      </c>
      <c r="D7" s="106">
        <f>SUM('DATA B2'!P89)</f>
        <v>17</v>
      </c>
      <c r="E7" s="107">
        <f>SUM('DATA B2'!Q89)</f>
        <v>101.35600000000001</v>
      </c>
      <c r="F7" s="107">
        <f>SUM('DATA B2'!R89)</f>
        <v>111.44799999999998</v>
      </c>
      <c r="G7" s="118">
        <f>SUM('DATA B2'!S89)</f>
        <v>224.93200000000002</v>
      </c>
      <c r="H7" s="118">
        <f>SUM('DATA B2'!T89)</f>
        <v>191.89600000000002</v>
      </c>
      <c r="I7" s="117">
        <f>SUM('WATER_STEAM RATIO'!M88)</f>
        <v>414</v>
      </c>
      <c r="J7" s="119">
        <f>SUM('WATER_STEAM RATIO'!N88)</f>
        <v>1.6626506024096386</v>
      </c>
      <c r="K7" s="109">
        <f>SUM('NGSTEAM RATIO'!I88)</f>
        <v>260</v>
      </c>
      <c r="L7" s="115">
        <f>SUM('NGSTEAM RATIO'!J88)</f>
        <v>15212</v>
      </c>
      <c r="M7" s="119">
        <f>SUM('NGSTEAM RATIO'!K88)</f>
        <v>58.507692307692309</v>
      </c>
      <c r="N7" s="119">
        <f>SUM('NGSTEAM RATIO'!L88)</f>
        <v>57.638888888888914</v>
      </c>
    </row>
    <row r="8" spans="2:14">
      <c r="B8" s="111">
        <f>SUM(SBoiler1!B8)</f>
        <v>46026</v>
      </c>
      <c r="C8" s="106">
        <f>SUM('DATA B2'!O115)</f>
        <v>101.29199999999999</v>
      </c>
      <c r="D8" s="106">
        <f>SUM('DATA B2'!P115)</f>
        <v>17</v>
      </c>
      <c r="E8" s="107">
        <f>SUM('DATA B2'!Q115)</f>
        <v>101.29599999999999</v>
      </c>
      <c r="F8" s="107">
        <f>SUM('DATA B2'!R115)</f>
        <v>111.55599999999997</v>
      </c>
      <c r="G8" s="118">
        <f>SUM('DATA B2'!S115)</f>
        <v>223.15200000000004</v>
      </c>
      <c r="H8" s="118">
        <f>SUM('DATA B2'!T115)</f>
        <v>189.10399999999993</v>
      </c>
      <c r="I8" s="117">
        <f>SUM('WATER_STEAM RATIO'!M114)</f>
        <v>382</v>
      </c>
      <c r="J8" s="119">
        <f>SUM('WATER_STEAM RATIO'!N114)</f>
        <v>1.4692307692307693</v>
      </c>
      <c r="K8" s="109">
        <f>SUM('NGSTEAM RATIO'!I114)</f>
        <v>271</v>
      </c>
      <c r="L8" s="115">
        <f>SUM('NGSTEAM RATIO'!J114)</f>
        <v>15853</v>
      </c>
      <c r="M8" s="119">
        <f>SUM('NGSTEAM RATIO'!K114)</f>
        <v>58.498154981549817</v>
      </c>
      <c r="N8" s="119">
        <f>SUM('NGSTEAM RATIO'!L114)</f>
        <v>60.185185185185198</v>
      </c>
    </row>
    <row r="9" spans="2:14">
      <c r="B9" s="111">
        <f>SUM(SBoiler1!B9)</f>
        <v>46027</v>
      </c>
      <c r="C9" s="106">
        <f>SUM('DATA B2'!O141)</f>
        <v>100.96799999999998</v>
      </c>
      <c r="D9" s="106">
        <f>SUM('DATA B2'!P141)</f>
        <v>17</v>
      </c>
      <c r="E9" s="107">
        <f>SUM('DATA B2'!Q141)</f>
        <v>101.22399999999998</v>
      </c>
      <c r="F9" s="107">
        <f>SUM('DATA B2'!R141)</f>
        <v>111.19599999999998</v>
      </c>
      <c r="G9" s="118">
        <f>SUM('DATA B2'!S141)</f>
        <v>219.93200000000002</v>
      </c>
      <c r="H9" s="118">
        <f>SUM('DATA B2'!T141)</f>
        <v>192.11199999999997</v>
      </c>
      <c r="I9" s="117">
        <f>SUM('WATER_STEAM RATIO'!M140)</f>
        <v>400</v>
      </c>
      <c r="J9" s="119">
        <f>SUM('WATER_STEAM RATIO'!N140)</f>
        <v>1.639344262295082</v>
      </c>
      <c r="K9" s="109">
        <f>SUM('NGSTEAM RATIO'!I140)</f>
        <v>256</v>
      </c>
      <c r="L9" s="115">
        <f>SUM('NGSTEAM RATIO'!J140)</f>
        <v>14798</v>
      </c>
      <c r="M9" s="119">
        <f>SUM('NGSTEAM RATIO'!K140)</f>
        <v>57.8046875</v>
      </c>
      <c r="N9" s="119">
        <f>SUM('NGSTEAM RATIO'!L140)</f>
        <v>56.481481481481467</v>
      </c>
    </row>
    <row r="10" spans="2:14">
      <c r="B10" s="111">
        <f>SUM(SBoiler1!B10)</f>
        <v>46028</v>
      </c>
      <c r="C10" s="106">
        <f>SUM('DATA B2'!O167)</f>
        <v>100.89599999999997</v>
      </c>
      <c r="D10" s="106">
        <f>SUM('DATA B2'!P167)</f>
        <v>17</v>
      </c>
      <c r="E10" s="107">
        <f>SUM('DATA B2'!Q167)</f>
        <v>100.89599999999997</v>
      </c>
      <c r="F10" s="107">
        <f>SUM('DATA B2'!R167)</f>
        <v>110.836</v>
      </c>
      <c r="G10" s="118">
        <f>SUM('DATA B2'!S167)</f>
        <v>217.64399999999998</v>
      </c>
      <c r="H10" s="118">
        <f>SUM('DATA B2'!T167)</f>
        <v>188.77199999999993</v>
      </c>
      <c r="I10" s="117">
        <f>SUM('WATER_STEAM RATIO'!M166)</f>
        <v>436</v>
      </c>
      <c r="J10" s="119">
        <f>SUM('WATER_STEAM RATIO'!N166)</f>
        <v>2.126829268292683</v>
      </c>
      <c r="K10" s="109">
        <f>SUM('NGSTEAM RATIO'!I166)</f>
        <v>214</v>
      </c>
      <c r="L10" s="115">
        <f>SUM('NGSTEAM RATIO'!J166)</f>
        <v>12278</v>
      </c>
      <c r="M10" s="119">
        <f>SUM('NGSTEAM RATIO'!K166)</f>
        <v>57.373831775700936</v>
      </c>
      <c r="N10" s="119">
        <f>SUM('NGSTEAM RATIO'!L166)</f>
        <v>47.453703703703702</v>
      </c>
    </row>
    <row r="11" spans="2:14">
      <c r="B11" s="111">
        <f>SUM(SBoiler1!B11)</f>
        <v>46029</v>
      </c>
      <c r="C11" s="106">
        <f>SUM('DATA B2'!O193)</f>
        <v>100.48399999999998</v>
      </c>
      <c r="D11" s="106">
        <f>SUM('DATA B2'!P193)</f>
        <v>17</v>
      </c>
      <c r="E11" s="107">
        <f>SUM('DATA B2'!Q193)</f>
        <v>100.488</v>
      </c>
      <c r="F11" s="107">
        <f>SUM('DATA B2'!R193)</f>
        <v>110.44</v>
      </c>
      <c r="G11" s="118">
        <f>SUM('DATA B2'!S193)</f>
        <v>219.28400000000002</v>
      </c>
      <c r="H11" s="118">
        <f>SUM('DATA B2'!T193)</f>
        <v>190.50800000000004</v>
      </c>
      <c r="I11" s="117">
        <f>SUM('WATER_STEAM RATIO'!M192)</f>
        <v>440</v>
      </c>
      <c r="J11" s="119">
        <f>SUM('WATER_STEAM RATIO'!N192)</f>
        <v>2.1674876847290641</v>
      </c>
      <c r="K11" s="109">
        <f>SUM('NGSTEAM RATIO'!I192)</f>
        <v>212</v>
      </c>
      <c r="L11" s="115">
        <f>SUM('NGSTEAM RATIO'!J192)</f>
        <v>12219</v>
      </c>
      <c r="M11" s="119">
        <f>SUM('NGSTEAM RATIO'!K192)</f>
        <v>57.636792452830186</v>
      </c>
      <c r="N11" s="119">
        <f>SUM('NGSTEAM RATIO'!L192)</f>
        <v>46.99074074074074</v>
      </c>
    </row>
    <row r="12" spans="2:14">
      <c r="B12" s="111">
        <f>SUM(SBoiler1!B12)</f>
        <v>46030</v>
      </c>
      <c r="C12" s="106">
        <f>SUM('DATA B2'!O219)</f>
        <v>99.115999999999985</v>
      </c>
      <c r="D12" s="106">
        <f>SUM('DATA B2'!P219)</f>
        <v>17</v>
      </c>
      <c r="E12" s="107">
        <f>SUM('DATA B2'!Q219)</f>
        <v>99.115999999999985</v>
      </c>
      <c r="F12" s="107">
        <f>SUM('DATA B2'!R219)</f>
        <v>108.91599999999998</v>
      </c>
      <c r="G12" s="118">
        <f>SUM('DATA B2'!S219)</f>
        <v>222.48400000000001</v>
      </c>
      <c r="H12" s="118">
        <f>SUM('DATA B2'!T219)</f>
        <v>192.59199999999998</v>
      </c>
      <c r="I12" s="117">
        <f>SUM('WATER_STEAM RATIO'!M218)</f>
        <v>538</v>
      </c>
      <c r="J12" s="119">
        <f>SUM('WATER_STEAM RATIO'!N218)</f>
        <v>2.7589743589743589</v>
      </c>
      <c r="K12" s="109">
        <f>SUM('NGSTEAM RATIO'!I218)</f>
        <v>202</v>
      </c>
      <c r="L12" s="115">
        <f>SUM('NGSTEAM RATIO'!J218)</f>
        <v>11811</v>
      </c>
      <c r="M12" s="119">
        <f>SUM('NGSTEAM RATIO'!K218)</f>
        <v>58.470297029702969</v>
      </c>
      <c r="N12" s="119">
        <f>SUM('NGSTEAM RATIO'!L218)</f>
        <v>45.138888888888893</v>
      </c>
    </row>
    <row r="13" spans="2:14">
      <c r="B13" s="111">
        <f>SUM(SBoiler1!B13)</f>
        <v>46031</v>
      </c>
      <c r="C13" s="106">
        <f>SUM('DATA B2'!O245)</f>
        <v>99.011999999999986</v>
      </c>
      <c r="D13" s="106">
        <f>SUM('DATA B2'!P245)</f>
        <v>17</v>
      </c>
      <c r="E13" s="107">
        <f>SUM('DATA B2'!Q245)</f>
        <v>99.015999999999991</v>
      </c>
      <c r="F13" s="107">
        <f>SUM('DATA B2'!R245)</f>
        <v>108.568</v>
      </c>
      <c r="G13" s="118">
        <f>SUM('DATA B2'!S245)</f>
        <v>220.71600000000001</v>
      </c>
      <c r="H13" s="118">
        <f>SUM('DATA B2'!T245)</f>
        <v>192.76</v>
      </c>
      <c r="I13" s="117">
        <f>SUM('WATER_STEAM RATIO'!M244)</f>
        <v>497</v>
      </c>
      <c r="J13" s="119">
        <f>SUM('WATER_STEAM RATIO'!N244)</f>
        <v>2.412621359223301</v>
      </c>
      <c r="K13" s="109">
        <f>SUM('NGSTEAM RATIO'!I244)</f>
        <v>217</v>
      </c>
      <c r="L13" s="115">
        <f>SUM('NGSTEAM RATIO'!J244)</f>
        <v>12189</v>
      </c>
      <c r="M13" s="119">
        <f>SUM('NGSTEAM RATIO'!K244)</f>
        <v>56.170506912442399</v>
      </c>
      <c r="N13" s="119">
        <f>SUM('NGSTEAM RATIO'!L244)</f>
        <v>47.685185185185183</v>
      </c>
    </row>
    <row r="14" spans="2:14">
      <c r="B14" s="111">
        <f>SUM(SBoiler1!B14)</f>
        <v>46032</v>
      </c>
      <c r="C14" s="106">
        <f>SUM('DATA B2'!O271)</f>
        <v>96.824000000000012</v>
      </c>
      <c r="D14" s="106">
        <f>SUM('DATA B2'!P271)</f>
        <v>17</v>
      </c>
      <c r="E14" s="107">
        <f>SUM('DATA B2'!Q271)</f>
        <v>96.824000000000012</v>
      </c>
      <c r="F14" s="107">
        <f>SUM('DATA B2'!R271)</f>
        <v>106.98399999999999</v>
      </c>
      <c r="G14" s="118">
        <f>SUM('DATA B2'!S271)</f>
        <v>212.87199999999996</v>
      </c>
      <c r="H14" s="118">
        <f>SUM('DATA B2'!T271)</f>
        <v>186.68</v>
      </c>
      <c r="I14" s="117">
        <f>SUM('WATER_STEAM RATIO'!M270)</f>
        <v>542</v>
      </c>
      <c r="J14" s="119">
        <f>SUM('WATER_STEAM RATIO'!N270)</f>
        <v>2.837696335078534</v>
      </c>
      <c r="K14" s="109">
        <f>SUM('NGSTEAM RATIO'!I270)</f>
        <v>202</v>
      </c>
      <c r="L14" s="115">
        <f>SUM('NGSTEAM RATIO'!J270)</f>
        <v>12133</v>
      </c>
      <c r="M14" s="119">
        <f>SUM('NGSTEAM RATIO'!K270)</f>
        <v>60.064356435643568</v>
      </c>
      <c r="N14" s="119">
        <f>SUM('NGSTEAM RATIO'!L270)</f>
        <v>44.212962962962969</v>
      </c>
    </row>
    <row r="15" spans="2:14">
      <c r="B15" s="111">
        <f>SUM(SBoiler1!B15)</f>
        <v>46033</v>
      </c>
      <c r="C15" s="106">
        <f>SUM('DATA B2'!O297)</f>
        <v>97.091999999999985</v>
      </c>
      <c r="D15" s="106">
        <f>SUM('DATA B2'!P297)</f>
        <v>17</v>
      </c>
      <c r="E15" s="107">
        <f>SUM('DATA B2'!Q297)</f>
        <v>97.091999999999985</v>
      </c>
      <c r="F15" s="107">
        <f>SUM('DATA B2'!R297)</f>
        <v>107.116</v>
      </c>
      <c r="G15" s="118">
        <f>SUM('DATA B2'!S297)</f>
        <v>213.36800000000002</v>
      </c>
      <c r="H15" s="118">
        <f>SUM('DATA B2'!T297)</f>
        <v>188.09999999999997</v>
      </c>
      <c r="I15" s="117">
        <f>SUM('WATER_STEAM RATIO'!M296)</f>
        <v>541</v>
      </c>
      <c r="J15" s="119">
        <f>SUM('WATER_STEAM RATIO'!N296)</f>
        <v>2.8177083333333335</v>
      </c>
      <c r="K15" s="109">
        <f>SUM('NGSTEAM RATIO'!I296)</f>
        <v>202</v>
      </c>
      <c r="L15" s="115">
        <f>SUM('NGSTEAM RATIO'!J296)</f>
        <v>11664</v>
      </c>
      <c r="M15" s="119">
        <f>SUM('NGSTEAM RATIO'!K296)</f>
        <v>57.742574257425744</v>
      </c>
      <c r="N15" s="119">
        <f>SUM('NGSTEAM RATIO'!L296)</f>
        <v>44.444444444444457</v>
      </c>
    </row>
    <row r="16" spans="2:14">
      <c r="B16" s="111">
        <f>SUM(SBoiler1!B16)</f>
        <v>46034</v>
      </c>
      <c r="C16" s="106">
        <f>SUM('DATA B2'!O323)</f>
        <v>97.995999999999981</v>
      </c>
      <c r="D16" s="106">
        <f>SUM('DATA B2'!P323)</f>
        <v>17</v>
      </c>
      <c r="E16" s="107">
        <f>SUM('DATA B2'!Q323)</f>
        <v>97.995999999999981</v>
      </c>
      <c r="F16" s="107">
        <f>SUM('DATA B2'!R323)</f>
        <v>108.5</v>
      </c>
      <c r="G16" s="118">
        <f>SUM('DATA B2'!S323)</f>
        <v>219.524</v>
      </c>
      <c r="H16" s="118">
        <f>SUM('DATA B2'!T323)</f>
        <v>187.36799999999997</v>
      </c>
      <c r="I16" s="117">
        <f>SUM('WATER_STEAM RATIO'!M322)</f>
        <v>527</v>
      </c>
      <c r="J16" s="119">
        <f>SUM('WATER_STEAM RATIO'!N322)</f>
        <v>2.3526785714285716</v>
      </c>
      <c r="K16" s="109">
        <f>SUM('NGSTEAM RATIO'!I322)</f>
        <v>232</v>
      </c>
      <c r="L16" s="115">
        <f>SUM('NGSTEAM RATIO'!J322)</f>
        <v>13681</v>
      </c>
      <c r="M16" s="119">
        <f>SUM('NGSTEAM RATIO'!K322)</f>
        <v>58.969827586206897</v>
      </c>
      <c r="N16" s="119">
        <f>SUM('NGSTEAM RATIO'!L322)</f>
        <v>51.851851851851848</v>
      </c>
    </row>
    <row r="17" spans="2:14">
      <c r="B17" s="111">
        <f>SUM(SBoiler1!B17)</f>
        <v>46035</v>
      </c>
      <c r="C17" s="106">
        <f>SUM('DATA B2'!O349)</f>
        <v>95.77600000000001</v>
      </c>
      <c r="D17" s="106">
        <f>SUM('DATA B2'!P349)</f>
        <v>17</v>
      </c>
      <c r="E17" s="107">
        <f>SUM('DATA B2'!Q349)</f>
        <v>95.77600000000001</v>
      </c>
      <c r="F17" s="107">
        <f>SUM('DATA B2'!R349)</f>
        <v>106.04399999999995</v>
      </c>
      <c r="G17" s="118">
        <f>SUM('DATA B2'!S349)</f>
        <v>219.93600000000004</v>
      </c>
      <c r="H17" s="118">
        <f>SUM('DATA B2'!T349)</f>
        <v>190.35999999999996</v>
      </c>
      <c r="I17" s="117">
        <f>SUM('WATER_STEAM RATIO'!M348)</f>
        <v>444</v>
      </c>
      <c r="J17" s="119">
        <f>SUM('WATER_STEAM RATIO'!N348)</f>
        <v>1.776</v>
      </c>
      <c r="K17" s="109">
        <f>SUM('NGSTEAM RATIO'!I348)</f>
        <v>259</v>
      </c>
      <c r="L17" s="115">
        <f>SUM('NGSTEAM RATIO'!J348)</f>
        <v>15428</v>
      </c>
      <c r="M17" s="119">
        <f>SUM('NGSTEAM RATIO'!K348)</f>
        <v>59.567567567567565</v>
      </c>
      <c r="N17" s="119">
        <f>SUM('NGSTEAM RATIO'!L348)</f>
        <v>57.87037037037036</v>
      </c>
    </row>
    <row r="18" spans="2:14">
      <c r="B18" s="111">
        <f>SUM(SBoiler1!B18)</f>
        <v>46036</v>
      </c>
      <c r="C18" s="106">
        <f>SUM('DATA B2'!O375)</f>
        <v>93.468000000000018</v>
      </c>
      <c r="D18" s="106">
        <f>SUM('DATA B2'!P375)</f>
        <v>17</v>
      </c>
      <c r="E18" s="107">
        <f>SUM('DATA B2'!Q375)</f>
        <v>93.468000000000018</v>
      </c>
      <c r="F18" s="107">
        <f>SUM('DATA B2'!R375)</f>
        <v>104.21600000000001</v>
      </c>
      <c r="G18" s="118">
        <f>SUM('DATA B2'!S375)</f>
        <v>218.94399999999999</v>
      </c>
      <c r="H18" s="118">
        <f>SUM('DATA B2'!T375)</f>
        <v>189.17600000000002</v>
      </c>
      <c r="I18" s="117">
        <f>SUM('WATER_STEAM RATIO'!M374)</f>
        <v>277</v>
      </c>
      <c r="J18" s="119">
        <f>SUM('WATER_STEAM RATIO'!N374)</f>
        <v>1.0694980694980696</v>
      </c>
      <c r="K18" s="109">
        <f>SUM('NGSTEAM RATIO'!I374)</f>
        <v>270</v>
      </c>
      <c r="L18" s="115">
        <f>SUM('NGSTEAM RATIO'!J374)</f>
        <v>16044</v>
      </c>
      <c r="M18" s="119">
        <f>SUM('NGSTEAM RATIO'!K374)</f>
        <v>59.422222222222224</v>
      </c>
      <c r="N18" s="119">
        <f>SUM('NGSTEAM RATIO'!L374)</f>
        <v>59.953703703703717</v>
      </c>
    </row>
    <row r="19" spans="2:14">
      <c r="B19" s="111">
        <f>SUM(SBoiler1!B19)</f>
        <v>46037</v>
      </c>
      <c r="C19" s="106">
        <f>SUM('DATA B2'!O401)</f>
        <v>94.164000000000016</v>
      </c>
      <c r="D19" s="106">
        <f>SUM('DATA B2'!P401)</f>
        <v>17</v>
      </c>
      <c r="E19" s="107">
        <f>SUM('DATA B2'!Q401)</f>
        <v>94.164000000000016</v>
      </c>
      <c r="F19" s="107">
        <f>SUM('DATA B2'!R401)</f>
        <v>104.79999999999998</v>
      </c>
      <c r="G19" s="118">
        <f>SUM('DATA B2'!S401)</f>
        <v>218.73600000000002</v>
      </c>
      <c r="H19" s="118">
        <f>SUM('DATA B2'!T401)</f>
        <v>189.55999999999997</v>
      </c>
      <c r="I19" s="117">
        <f>SUM('WATER_STEAM RATIO'!M400)</f>
        <v>283</v>
      </c>
      <c r="J19" s="119">
        <f>SUM('WATER_STEAM RATIO'!N400)</f>
        <v>1.0328467153284671</v>
      </c>
      <c r="K19" s="109">
        <f>SUM('NGSTEAM RATIO'!I400)</f>
        <v>284</v>
      </c>
      <c r="L19" s="115">
        <f>SUM('NGSTEAM RATIO'!J400)</f>
        <v>16984</v>
      </c>
      <c r="M19" s="119">
        <f>SUM('NGSTEAM RATIO'!K400)</f>
        <v>59.802816901408448</v>
      </c>
      <c r="N19" s="119">
        <f>SUM('NGSTEAM RATIO'!L400)</f>
        <v>63.425925925925924</v>
      </c>
    </row>
    <row r="20" spans="2:14">
      <c r="B20" s="111">
        <f>SUM(SBoiler1!B20)</f>
        <v>46038</v>
      </c>
      <c r="C20" s="106">
        <f>SUM('DATA B2'!O427)</f>
        <v>92.552000000000007</v>
      </c>
      <c r="D20" s="106">
        <f>SUM('DATA B2'!P427)</f>
        <v>17</v>
      </c>
      <c r="E20" s="107">
        <f>SUM('DATA B2'!Q427)</f>
        <v>92.552000000000007</v>
      </c>
      <c r="F20" s="107">
        <f>SUM('DATA B2'!R427)</f>
        <v>103.70399999999998</v>
      </c>
      <c r="G20" s="118">
        <f>SUM('DATA B2'!S427)</f>
        <v>219.10400000000001</v>
      </c>
      <c r="H20" s="118">
        <f>SUM('DATA B2'!T427)</f>
        <v>191.18</v>
      </c>
      <c r="I20" s="117">
        <f>SUM('WATER_STEAM RATIO'!M426)</f>
        <v>284</v>
      </c>
      <c r="J20" s="119">
        <f>SUM('WATER_STEAM RATIO'!N426)</f>
        <v>1.0923076923076922</v>
      </c>
      <c r="K20" s="109">
        <f>SUM('NGSTEAM RATIO'!I426)</f>
        <v>271</v>
      </c>
      <c r="L20" s="115">
        <f>SUM('NGSTEAM RATIO'!J426)</f>
        <v>16188</v>
      </c>
      <c r="M20" s="119">
        <f>SUM('NGSTEAM RATIO'!K426)</f>
        <v>59.73431734317343</v>
      </c>
      <c r="N20" s="119">
        <f>SUM('NGSTEAM RATIO'!L426)</f>
        <v>60.185185185185183</v>
      </c>
    </row>
    <row r="21" spans="2:14">
      <c r="B21" s="111">
        <f>SUM(SBoiler1!B21)</f>
        <v>46039</v>
      </c>
      <c r="C21" s="106">
        <f>SUM('DATA B2'!O453)</f>
        <v>89.28400000000002</v>
      </c>
      <c r="D21" s="106">
        <f>SUM('DATA B2'!P453)</f>
        <v>17</v>
      </c>
      <c r="E21" s="107">
        <f>SUM('DATA B2'!Q453)</f>
        <v>120.56800000000001</v>
      </c>
      <c r="F21" s="107">
        <f>SUM('DATA B2'!R453)</f>
        <v>100.26</v>
      </c>
      <c r="G21" s="118">
        <f>SUM('DATA B2'!S453)</f>
        <v>218.32</v>
      </c>
      <c r="H21" s="118">
        <f>SUM('DATA B2'!T453)</f>
        <v>190.46400000000003</v>
      </c>
      <c r="I21" s="117">
        <f>SUM('WATER_STEAM RATIO'!M452)</f>
        <v>194</v>
      </c>
      <c r="J21" s="119">
        <f>SUM('WATER_STEAM RATIO'!N452)</f>
        <v>0.89814814814814814</v>
      </c>
      <c r="K21" s="109">
        <f>SUM('NGSTEAM RATIO'!I452)</f>
        <v>227</v>
      </c>
      <c r="L21" s="115">
        <f>SUM('NGSTEAM RATIO'!J452)</f>
        <v>13674</v>
      </c>
      <c r="M21" s="119">
        <f>SUM('NGSTEAM RATIO'!K452)</f>
        <v>60.237885462555063</v>
      </c>
      <c r="N21" s="119">
        <f>SUM('NGSTEAM RATIO'!L452)</f>
        <v>49.999999999999993</v>
      </c>
    </row>
    <row r="22" spans="2:14">
      <c r="B22" s="111">
        <f>SUM(SBoiler1!B22)</f>
        <v>46040</v>
      </c>
      <c r="C22" s="106">
        <f>SUM('DATA B2'!O479)</f>
        <v>99.139999999999986</v>
      </c>
      <c r="D22" s="106">
        <f>SUM('DATA B2'!P479)</f>
        <v>17</v>
      </c>
      <c r="E22" s="107">
        <f>SUM('DATA B2'!Q479)</f>
        <v>99.147999999999996</v>
      </c>
      <c r="F22" s="107">
        <f>SUM('DATA B2'!R479)</f>
        <v>109.15600000000001</v>
      </c>
      <c r="G22" s="118">
        <f>SUM('DATA B2'!S479)</f>
        <v>222.90000000000006</v>
      </c>
      <c r="H22" s="118">
        <f>SUM('DATA B2'!T479)</f>
        <v>191.27200000000002</v>
      </c>
      <c r="I22" s="117">
        <f>SUM('WATER_STEAM RATIO'!M478)</f>
        <v>221</v>
      </c>
      <c r="J22" s="119">
        <f>SUM('WATER_STEAM RATIO'!N478)</f>
        <v>1.2277777777777779</v>
      </c>
      <c r="K22" s="109">
        <f>SUM('NGSTEAM RATIO'!I478)</f>
        <v>187</v>
      </c>
      <c r="L22" s="115">
        <f>SUM('NGSTEAM RATIO'!J478)</f>
        <v>11169</v>
      </c>
      <c r="M22" s="119">
        <f>SUM('NGSTEAM RATIO'!K478)</f>
        <v>59.727272727272727</v>
      </c>
      <c r="N22" s="119">
        <f>SUM('NGSTEAM RATIO'!L478)</f>
        <v>41.666666666666686</v>
      </c>
    </row>
    <row r="23" spans="2:14">
      <c r="B23" s="111">
        <f>SUM(SBoiler1!B23)</f>
        <v>46041</v>
      </c>
      <c r="C23" s="106">
        <f>SUM('DATA B2'!O505)</f>
        <v>102.16666666666669</v>
      </c>
      <c r="D23" s="106">
        <f>SUM('DATA B2'!P505)</f>
        <v>17</v>
      </c>
      <c r="E23" s="107">
        <f>SUM('DATA B2'!Q505)</f>
        <v>102.17777777777779</v>
      </c>
      <c r="F23" s="107">
        <f>SUM('DATA B2'!R505)</f>
        <v>110.35555555555555</v>
      </c>
      <c r="G23" s="118">
        <f>SUM('DATA B2'!S505)</f>
        <v>197.76666666666665</v>
      </c>
      <c r="H23" s="118">
        <f>SUM('DATA B2'!T505)</f>
        <v>187.5888888888889</v>
      </c>
      <c r="I23" s="117">
        <f>SUM('WATER_STEAM RATIO'!M504)</f>
        <v>39</v>
      </c>
      <c r="J23" s="119">
        <f>SUM('WATER_STEAM RATIO'!N504)</f>
        <v>1.1470588235294117</v>
      </c>
      <c r="K23" s="109">
        <f>SUM('NGSTEAM RATIO'!I504)</f>
        <v>41</v>
      </c>
      <c r="L23" s="115">
        <f>SUM('NGSTEAM RATIO'!J504)</f>
        <v>2178</v>
      </c>
      <c r="M23" s="119">
        <f>SUM('NGSTEAM RATIO'!K504)</f>
        <v>53.121951219512198</v>
      </c>
      <c r="N23" s="119">
        <f>SUM('NGSTEAM RATIO'!L504)</f>
        <v>7.8703703703703694</v>
      </c>
    </row>
    <row r="24" spans="2:14">
      <c r="B24" s="111">
        <f>SUM(SBoiler1!B24)</f>
        <v>46042</v>
      </c>
      <c r="C24" s="106">
        <f>SUM('DATA B2'!O531)</f>
        <v>0</v>
      </c>
      <c r="D24" s="106">
        <f>SUM('DATA B2'!P531)</f>
        <v>0</v>
      </c>
      <c r="E24" s="107">
        <f>SUM('DATA B2'!Q531)</f>
        <v>0</v>
      </c>
      <c r="F24" s="107">
        <f>SUM('DATA B2'!R531)</f>
        <v>0</v>
      </c>
      <c r="G24" s="118">
        <f>SUM('DATA B2'!S531)</f>
        <v>0</v>
      </c>
      <c r="H24" s="118">
        <f>SUM('DATA B2'!T531)</f>
        <v>0</v>
      </c>
      <c r="I24" s="117">
        <f>SUM('WATER_STEAM RATIO'!M530)</f>
        <v>0</v>
      </c>
      <c r="J24" s="119">
        <f>SUM('WATER_STEAM RATIO'!N530)</f>
        <v>0</v>
      </c>
      <c r="K24" s="109">
        <f>SUM('NGSTEAM RATIO'!I530)</f>
        <v>0</v>
      </c>
      <c r="L24" s="115">
        <f>SUM('NGSTEAM RATIO'!J530)</f>
        <v>0</v>
      </c>
      <c r="M24" s="119">
        <f>SUM('NGSTEAM RATIO'!K530)</f>
        <v>0</v>
      </c>
      <c r="N24" s="119">
        <f>SUM('NGSTEAM RATIO'!L530)</f>
        <v>0</v>
      </c>
    </row>
    <row r="25" spans="2:14">
      <c r="B25" s="111">
        <f>SUM(SBoiler1!B25)</f>
        <v>46043</v>
      </c>
      <c r="C25" s="106">
        <f>SUM('DATA B2'!O557)</f>
        <v>0</v>
      </c>
      <c r="D25" s="106">
        <f>SUM('DATA B2'!P557)</f>
        <v>0</v>
      </c>
      <c r="E25" s="107">
        <f>SUM('DATA B2'!Q557)</f>
        <v>0</v>
      </c>
      <c r="F25" s="107">
        <f>SUM('DATA B2'!R557)</f>
        <v>0</v>
      </c>
      <c r="G25" s="118">
        <f>SUM('DATA B2'!S557)</f>
        <v>0</v>
      </c>
      <c r="H25" s="118">
        <f>SUM('DATA B2'!T557)</f>
        <v>0</v>
      </c>
      <c r="I25" s="117">
        <f>SUM('WATER_STEAM RATIO'!M556)</f>
        <v>0</v>
      </c>
      <c r="J25" s="119">
        <f>SUM('WATER_STEAM RATIO'!N556)</f>
        <v>0</v>
      </c>
      <c r="K25" s="109">
        <f>SUM('NGSTEAM RATIO'!I556)</f>
        <v>0</v>
      </c>
      <c r="L25" s="115">
        <f>SUM('NGSTEAM RATIO'!J556)</f>
        <v>0</v>
      </c>
      <c r="M25" s="119">
        <f>SUM('NGSTEAM RATIO'!K556)</f>
        <v>0</v>
      </c>
      <c r="N25" s="119">
        <f>SUM('NGSTEAM RATIO'!L556)</f>
        <v>-119295.83333333333</v>
      </c>
    </row>
    <row r="26" spans="2:14">
      <c r="B26" s="111">
        <f>SUM(SBoiler1!B26)</f>
        <v>46044</v>
      </c>
      <c r="C26" s="106">
        <f>SUM('DATA B2'!O583)</f>
        <v>0</v>
      </c>
      <c r="D26" s="106">
        <f>SUM('DATA B2'!P583)</f>
        <v>0</v>
      </c>
      <c r="E26" s="107">
        <f>SUM('DATA B2'!Q583)</f>
        <v>0</v>
      </c>
      <c r="F26" s="107">
        <f>SUM('DATA B2'!R583)</f>
        <v>0</v>
      </c>
      <c r="G26" s="118">
        <f>SUM('DATA B2'!S583)</f>
        <v>0</v>
      </c>
      <c r="H26" s="118">
        <f>SUM('DATA B2'!T583)</f>
        <v>0</v>
      </c>
      <c r="I26" s="117">
        <f>SUM('WATER_STEAM RATIO'!M582)</f>
        <v>0</v>
      </c>
      <c r="J26" s="119">
        <f>SUM('WATER_STEAM RATIO'!N582)</f>
        <v>0</v>
      </c>
      <c r="K26" s="109">
        <f>SUM('NGSTEAM RATIO'!I582)</f>
        <v>0</v>
      </c>
      <c r="L26" s="115">
        <f>SUM('NGSTEAM RATIO'!J582)</f>
        <v>0</v>
      </c>
      <c r="M26" s="119">
        <f>SUM('NGSTEAM RATIO'!K582)</f>
        <v>0</v>
      </c>
      <c r="N26" s="119">
        <f>SUM('NGSTEAM RATIO'!L582)</f>
        <v>0</v>
      </c>
    </row>
    <row r="27" spans="2:14">
      <c r="B27" s="111">
        <f>SUM(SBoiler1!B27)</f>
        <v>46045</v>
      </c>
      <c r="C27" s="106">
        <f>SUM('DATA B2'!O609)</f>
        <v>0</v>
      </c>
      <c r="D27" s="106">
        <f>SUM('DATA B2'!P609)</f>
        <v>0</v>
      </c>
      <c r="E27" s="107">
        <f>SUM('DATA B2'!Q609)</f>
        <v>0</v>
      </c>
      <c r="F27" s="107">
        <f>SUM('DATA B2'!R609)</f>
        <v>0</v>
      </c>
      <c r="G27" s="118">
        <f>SUM('DATA B2'!S609)</f>
        <v>0</v>
      </c>
      <c r="H27" s="118">
        <f>SUM('DATA B2'!T609)</f>
        <v>0</v>
      </c>
      <c r="I27" s="117">
        <f>SUM('WATER_STEAM RATIO'!M608)</f>
        <v>0</v>
      </c>
      <c r="J27" s="119">
        <f>SUM('WATER_STEAM RATIO'!N608)</f>
        <v>0</v>
      </c>
      <c r="K27" s="109">
        <f>SUM('NGSTEAM RATIO'!I608)</f>
        <v>0</v>
      </c>
      <c r="L27" s="115">
        <f>SUM('NGSTEAM RATIO'!J608)</f>
        <v>0</v>
      </c>
      <c r="M27" s="119">
        <f>SUM('NGSTEAM RATIO'!K608)</f>
        <v>0</v>
      </c>
      <c r="N27" s="119">
        <f>SUM('NGSTEAM RATIO'!L608)</f>
        <v>0</v>
      </c>
    </row>
    <row r="28" spans="2:14">
      <c r="B28" s="111">
        <f>SUM(SBoiler1!B28)</f>
        <v>46046</v>
      </c>
      <c r="C28" s="106">
        <f>SUM('DATA B2'!O635)</f>
        <v>0</v>
      </c>
      <c r="D28" s="106">
        <f>SUM('DATA B2'!P635)</f>
        <v>0</v>
      </c>
      <c r="E28" s="107">
        <f>SUM('DATA B2'!Q635)</f>
        <v>0</v>
      </c>
      <c r="F28" s="107">
        <f>SUM('DATA B2'!R635)</f>
        <v>0</v>
      </c>
      <c r="G28" s="118">
        <f>SUM('DATA B2'!S635)</f>
        <v>0</v>
      </c>
      <c r="H28" s="118">
        <f>SUM('DATA B2'!T635)</f>
        <v>0</v>
      </c>
      <c r="I28" s="117">
        <f>SUM('WATER_STEAM RATIO'!M634)</f>
        <v>0</v>
      </c>
      <c r="J28" s="119">
        <f>SUM('WATER_STEAM RATIO'!N634)</f>
        <v>0</v>
      </c>
      <c r="K28" s="109">
        <f>SUM('NGSTEAM RATIO'!I634)</f>
        <v>0</v>
      </c>
      <c r="L28" s="115">
        <f>SUM('NGSTEAM RATIO'!J634)</f>
        <v>0</v>
      </c>
      <c r="M28" s="119">
        <f>SUM('NGSTEAM RATIO'!K634)</f>
        <v>0</v>
      </c>
      <c r="N28" s="119">
        <f>SUM('NGSTEAM RATIO'!L634)</f>
        <v>0</v>
      </c>
    </row>
    <row r="29" spans="2:14">
      <c r="B29" s="111">
        <f>SUM(SBoiler1!B29)</f>
        <v>46047</v>
      </c>
      <c r="C29" s="106">
        <f>SUM('DATA B2'!O661)</f>
        <v>0</v>
      </c>
      <c r="D29" s="106">
        <f>SUM('DATA B2'!P661)</f>
        <v>0</v>
      </c>
      <c r="E29" s="107">
        <f>SUM('DATA B2'!Q661)</f>
        <v>0</v>
      </c>
      <c r="F29" s="107">
        <f>SUM('DATA B2'!R661)</f>
        <v>0</v>
      </c>
      <c r="G29" s="118">
        <f>SUM('DATA B2'!S661)</f>
        <v>0</v>
      </c>
      <c r="H29" s="118">
        <f>SUM('DATA B2'!T661)</f>
        <v>0</v>
      </c>
      <c r="I29" s="117">
        <f>SUM('WATER_STEAM RATIO'!M660)</f>
        <v>0</v>
      </c>
      <c r="J29" s="119">
        <f>SUM('WATER_STEAM RATIO'!N660)</f>
        <v>0</v>
      </c>
      <c r="K29" s="109">
        <f>SUM('NGSTEAM RATIO'!I660)</f>
        <v>0</v>
      </c>
      <c r="L29" s="115">
        <f>SUM('NGSTEAM RATIO'!J660)</f>
        <v>0</v>
      </c>
      <c r="M29" s="119">
        <f>SUM('NGSTEAM RATIO'!K660)</f>
        <v>0</v>
      </c>
      <c r="N29" s="119">
        <f>SUM('NGSTEAM RATIO'!L660)</f>
        <v>0</v>
      </c>
    </row>
    <row r="30" spans="2:14">
      <c r="B30" s="111">
        <f>SUM(SBoiler1!B30)</f>
        <v>46048</v>
      </c>
      <c r="C30" s="106">
        <f>SUM('DATA B2'!O687)</f>
        <v>0</v>
      </c>
      <c r="D30" s="106">
        <f>SUM('DATA B2'!P687)</f>
        <v>0</v>
      </c>
      <c r="E30" s="107">
        <f>SUM('DATA B2'!Q687)</f>
        <v>0</v>
      </c>
      <c r="F30" s="107">
        <f>SUM('DATA B2'!R687)</f>
        <v>0</v>
      </c>
      <c r="G30" s="118">
        <f>SUM('DATA B2'!S687)</f>
        <v>0</v>
      </c>
      <c r="H30" s="118">
        <f>SUM('DATA B2'!T687)</f>
        <v>0</v>
      </c>
      <c r="I30" s="117">
        <f>SUM('WATER_STEAM RATIO'!M686)</f>
        <v>0</v>
      </c>
      <c r="J30" s="119">
        <f>SUM('WATER_STEAM RATIO'!N686)</f>
        <v>0</v>
      </c>
      <c r="K30" s="109">
        <f>SUM('NGSTEAM RATIO'!I686)</f>
        <v>0</v>
      </c>
      <c r="L30" s="115">
        <f>SUM('NGSTEAM RATIO'!J686)</f>
        <v>0</v>
      </c>
      <c r="M30" s="119">
        <f>SUM('NGSTEAM RATIO'!K686)</f>
        <v>0</v>
      </c>
      <c r="N30" s="119">
        <f>SUM('NGSTEAM RATIO'!L686)</f>
        <v>0</v>
      </c>
    </row>
    <row r="31" spans="2:14">
      <c r="B31" s="111">
        <f>SUM(SBoiler1!B31)</f>
        <v>46049</v>
      </c>
      <c r="C31" s="106">
        <f>SUM('DATA B2'!O713)</f>
        <v>0</v>
      </c>
      <c r="D31" s="106">
        <f>SUM('DATA B2'!P713)</f>
        <v>0</v>
      </c>
      <c r="E31" s="107">
        <f>SUM('DATA B2'!Q713)</f>
        <v>0</v>
      </c>
      <c r="F31" s="107">
        <f>SUM('DATA B2'!R713)</f>
        <v>0</v>
      </c>
      <c r="G31" s="118">
        <f>SUM('DATA B2'!S713)</f>
        <v>0</v>
      </c>
      <c r="H31" s="118">
        <f>SUM('DATA B2'!T713)</f>
        <v>0</v>
      </c>
      <c r="I31" s="117">
        <f>SUM('WATER_STEAM RATIO'!M712)</f>
        <v>0</v>
      </c>
      <c r="J31" s="119">
        <f>SUM('WATER_STEAM RATIO'!N712)</f>
        <v>0</v>
      </c>
      <c r="K31" s="109">
        <f>SUM('NGSTEAM RATIO'!I712)</f>
        <v>0</v>
      </c>
      <c r="L31" s="115">
        <f>SUM('NGSTEAM RATIO'!J712)</f>
        <v>0</v>
      </c>
      <c r="M31" s="119">
        <f>SUM('NGSTEAM RATIO'!K712)</f>
        <v>0</v>
      </c>
      <c r="N31" s="119">
        <f>SUM('NGSTEAM RATIO'!L712)</f>
        <v>0</v>
      </c>
    </row>
    <row r="32" spans="2:14">
      <c r="B32" s="111">
        <f>SUM(SBoiler1!B32)</f>
        <v>46050</v>
      </c>
      <c r="C32" s="106">
        <f>SUM('DATA B2'!O739)</f>
        <v>0</v>
      </c>
      <c r="D32" s="106">
        <f>SUM('DATA B2'!P739)</f>
        <v>0</v>
      </c>
      <c r="E32" s="107">
        <f>SUM('DATA B2'!Q739)</f>
        <v>0</v>
      </c>
      <c r="F32" s="107">
        <f>SUM('DATA B2'!R739)</f>
        <v>0</v>
      </c>
      <c r="G32" s="118">
        <f>SUM('DATA B2'!S739)</f>
        <v>0</v>
      </c>
      <c r="H32" s="118">
        <f>SUM('DATA B2'!T739)</f>
        <v>0</v>
      </c>
      <c r="I32" s="117">
        <f>SUM('WATER_STEAM RATIO'!M738)</f>
        <v>0</v>
      </c>
      <c r="J32" s="119">
        <f>SUM('WATER_STEAM RATIO'!N738)</f>
        <v>0</v>
      </c>
      <c r="K32" s="109">
        <f>SUM('NGSTEAM RATIO'!I738)</f>
        <v>0</v>
      </c>
      <c r="L32" s="115">
        <f>SUM('NGSTEAM RATIO'!J738)</f>
        <v>0</v>
      </c>
      <c r="M32" s="119">
        <f>SUM('NGSTEAM RATIO'!K738)</f>
        <v>0</v>
      </c>
      <c r="N32" s="119">
        <f>SUM('NGSTEAM RATIO'!L738)</f>
        <v>0</v>
      </c>
    </row>
    <row r="33" spans="2:14">
      <c r="B33" s="111">
        <f>SUM(SBoiler1!B33)</f>
        <v>46051</v>
      </c>
      <c r="C33" s="106">
        <f>SUM('DATA B2'!O765)</f>
        <v>0</v>
      </c>
      <c r="D33" s="106">
        <f>SUM('DATA B2'!P765)</f>
        <v>0</v>
      </c>
      <c r="E33" s="107">
        <f>SUM('DATA B2'!Q765)</f>
        <v>0</v>
      </c>
      <c r="F33" s="107">
        <f>SUM('DATA B2'!R765)</f>
        <v>0</v>
      </c>
      <c r="G33" s="118">
        <f>SUM('DATA B2'!S765)</f>
        <v>0</v>
      </c>
      <c r="H33" s="118">
        <f>SUM('DATA B2'!T765)</f>
        <v>0</v>
      </c>
      <c r="I33" s="117">
        <f>SUM('WATER_STEAM RATIO'!M764)</f>
        <v>0</v>
      </c>
      <c r="J33" s="119">
        <f>SUM('WATER_STEAM RATIO'!N764)</f>
        <v>0</v>
      </c>
      <c r="K33" s="109">
        <f>SUM('NGSTEAM RATIO'!I764)</f>
        <v>0</v>
      </c>
      <c r="L33" s="115">
        <f>SUM('NGSTEAM RATIO'!J764)</f>
        <v>0</v>
      </c>
      <c r="M33" s="119">
        <f>SUM('NGSTEAM RATIO'!K764)</f>
        <v>0</v>
      </c>
      <c r="N33" s="119">
        <f>SUM('NGSTEAM RATIO'!L764)</f>
        <v>0</v>
      </c>
    </row>
    <row r="34" spans="2:14">
      <c r="B34" s="111">
        <f>SUM(SBoiler1!B34)</f>
        <v>46052</v>
      </c>
      <c r="C34" s="106">
        <f>SUM('DATA B2'!O791)</f>
        <v>0</v>
      </c>
      <c r="D34" s="106">
        <f>SUM('DATA B2'!P791)</f>
        <v>0</v>
      </c>
      <c r="E34" s="107">
        <f>SUM('DATA B2'!Q791)</f>
        <v>0</v>
      </c>
      <c r="F34" s="107">
        <f>SUM('DATA B2'!R791)</f>
        <v>0</v>
      </c>
      <c r="G34" s="118">
        <f>SUM('DATA B2'!S791)</f>
        <v>0</v>
      </c>
      <c r="H34" s="118">
        <f>SUM('DATA B2'!T791)</f>
        <v>0</v>
      </c>
      <c r="I34" s="117">
        <f>SUM('WATER_STEAM RATIO'!M790)</f>
        <v>0</v>
      </c>
      <c r="J34" s="119">
        <f>SUM('WATER_STEAM RATIO'!N790)</f>
        <v>0</v>
      </c>
      <c r="K34" s="109">
        <f>SUM('NGSTEAM RATIO'!I790)</f>
        <v>0</v>
      </c>
      <c r="L34" s="115">
        <f>SUM('NGSTEAM RATIO'!J790)</f>
        <v>0</v>
      </c>
      <c r="M34" s="119">
        <f>SUM('NGSTEAM RATIO'!K790)</f>
        <v>0</v>
      </c>
      <c r="N34" s="119">
        <f>SUM('NGSTEAM RATIO'!L790)</f>
        <v>0</v>
      </c>
    </row>
    <row r="35" spans="2:14">
      <c r="B35" s="111">
        <f>SUM(SBoiler1!B35)</f>
        <v>46053</v>
      </c>
      <c r="C35" s="106">
        <f>SUM('DATA B2'!O817)</f>
        <v>0</v>
      </c>
      <c r="D35" s="106">
        <f>SUM('DATA B2'!P817)</f>
        <v>0</v>
      </c>
      <c r="E35" s="107">
        <f>SUM('DATA B2'!Q817)</f>
        <v>0</v>
      </c>
      <c r="F35" s="107">
        <f>SUM('DATA B2'!R817)</f>
        <v>0</v>
      </c>
      <c r="G35" s="118">
        <f>SUM('DATA B2'!S817)</f>
        <v>0</v>
      </c>
      <c r="H35" s="118">
        <f>SUM('DATA B2'!T817)</f>
        <v>0</v>
      </c>
      <c r="I35" s="117">
        <f>SUM('WATER_STEAM RATIO'!M816)</f>
        <v>0</v>
      </c>
      <c r="J35" s="119">
        <f>SUM('WATER_STEAM RATIO'!N816)</f>
        <v>0</v>
      </c>
      <c r="K35" s="109">
        <f>SUM('NGSTEAM RATIO'!I816)</f>
        <v>0</v>
      </c>
      <c r="L35" s="115">
        <f>SUM('NGSTEAM RATIO'!J816)</f>
        <v>0</v>
      </c>
      <c r="M35" s="119">
        <f>SUM('NGSTEAM RATIO'!K816)</f>
        <v>0</v>
      </c>
      <c r="N35" s="119">
        <f>SUM('NGSTEAM RATIO'!L816)</f>
        <v>0</v>
      </c>
    </row>
    <row r="36" spans="2:14">
      <c r="B36" s="93" t="s">
        <v>96</v>
      </c>
      <c r="C36" s="106">
        <f>IFERROR(AVERAGEIF(C5:C35,"&gt;=0"),0)</f>
        <v>60.124860215053772</v>
      </c>
      <c r="D36" s="106">
        <f t="shared" ref="D36:H36" si="0">IFERROR(AVERAGEIF(D5:D35,"&gt;=0"),0)</f>
        <v>10.419354838709678</v>
      </c>
      <c r="E36" s="107">
        <f t="shared" si="0"/>
        <v>61.144186379928307</v>
      </c>
      <c r="F36" s="107">
        <f t="shared" si="0"/>
        <v>66.359727598566295</v>
      </c>
      <c r="G36" s="116">
        <f t="shared" si="0"/>
        <v>134.18795698924731</v>
      </c>
      <c r="H36" s="116">
        <f t="shared" si="0"/>
        <v>116.66377060931897</v>
      </c>
      <c r="I36" s="117">
        <f>SUMIF(I5:I35,"&gt;=0")</f>
        <v>7226</v>
      </c>
      <c r="J36" s="112">
        <f>IFERROR(AVERAGEIF(J5:J35,"&gt;=0"),0)</f>
        <v>1.0789197092483809</v>
      </c>
      <c r="K36" s="109">
        <f>SUMIF(K5:K35,"&gt;=0")</f>
        <v>4337</v>
      </c>
      <c r="L36" s="115">
        <f>SUMIF(L5:L35,"&gt;=0")</f>
        <v>255577</v>
      </c>
      <c r="M36" s="112">
        <f t="shared" ref="M36:N36" si="1">IFERROR(AVERAGEIF(M5:M35,"&gt;=0"),0)</f>
        <v>35.930772612627095</v>
      </c>
      <c r="N36" s="112">
        <f t="shared" si="1"/>
        <v>32.114197530864196</v>
      </c>
    </row>
  </sheetData>
  <sheetProtection algorithmName="SHA-512" hashValue="4K3CfUl0tio7RHxQgFLYY+hDcleUQSqKzhgQYJxlCXXb6QEclKEKu26GJ4uOjx1JWnQMCDMCYwjt/pxsSchI8A==" saltValue="TveCbF09gQzEi/NcpUsnbw==" spinCount="100000" sheet="1" objects="1" scenarios="1"/>
  <mergeCells count="8">
    <mergeCell ref="B1:C2"/>
    <mergeCell ref="D1:L2"/>
    <mergeCell ref="M1:N2"/>
    <mergeCell ref="C3:D3"/>
    <mergeCell ref="E3:F3"/>
    <mergeCell ref="G3:H3"/>
    <mergeCell ref="J3:J4"/>
    <mergeCell ref="M3:M4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9CFF2-9E19-4FC8-B7E8-48AC8E021EA9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bottomRight" activeCell="A5" sqref="A5"/>
      <selection pane="bottomLeft" activeCell="A5" sqref="A5"/>
      <selection pane="topRight" activeCell="C1" sqref="C1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3"/>
      <c r="C1" s="333"/>
      <c r="D1" s="315" t="s">
        <v>97</v>
      </c>
      <c r="E1" s="315"/>
      <c r="F1" s="315"/>
      <c r="G1" s="315"/>
      <c r="H1" s="315"/>
      <c r="I1" s="315"/>
      <c r="J1" s="315"/>
      <c r="K1" s="315"/>
      <c r="L1" s="315"/>
      <c r="M1" s="400" t="s">
        <v>83</v>
      </c>
      <c r="N1" s="400"/>
    </row>
    <row r="2" spans="2:23">
      <c r="B2" s="333"/>
      <c r="C2" s="333"/>
      <c r="D2" s="315"/>
      <c r="E2" s="315"/>
      <c r="F2" s="315"/>
      <c r="G2" s="315"/>
      <c r="H2" s="315"/>
      <c r="I2" s="315"/>
      <c r="J2" s="315"/>
      <c r="K2" s="315"/>
      <c r="L2" s="315"/>
      <c r="M2" s="400"/>
      <c r="N2" s="400"/>
      <c r="T2" s="397"/>
      <c r="U2" s="398"/>
      <c r="V2" s="398"/>
      <c r="W2" s="398"/>
    </row>
    <row r="3" spans="2:23">
      <c r="B3" s="252" t="s">
        <v>106</v>
      </c>
      <c r="C3" s="399" t="s">
        <v>14</v>
      </c>
      <c r="D3" s="288"/>
      <c r="E3" s="289" t="s">
        <v>15</v>
      </c>
      <c r="F3" s="289"/>
      <c r="G3" s="290" t="s">
        <v>16</v>
      </c>
      <c r="H3" s="290"/>
      <c r="I3" s="113" t="s">
        <v>89</v>
      </c>
      <c r="J3" s="332" t="s">
        <v>99</v>
      </c>
      <c r="K3" s="114" t="s">
        <v>91</v>
      </c>
      <c r="L3" s="3" t="s">
        <v>100</v>
      </c>
      <c r="M3" s="332" t="s">
        <v>101</v>
      </c>
      <c r="N3" s="252" t="s">
        <v>102</v>
      </c>
      <c r="T3" s="264"/>
      <c r="U3" s="265"/>
      <c r="V3" s="265"/>
      <c r="W3" s="265"/>
    </row>
    <row r="4" spans="2:23" ht="30">
      <c r="B4" s="252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56" t="s">
        <v>22</v>
      </c>
      <c r="H4" s="256" t="s">
        <v>23</v>
      </c>
      <c r="I4" s="113" t="s">
        <v>66</v>
      </c>
      <c r="J4" s="332"/>
      <c r="K4" s="114" t="s">
        <v>57</v>
      </c>
      <c r="L4" s="3" t="s">
        <v>58</v>
      </c>
      <c r="M4" s="332"/>
      <c r="N4" s="252" t="s">
        <v>104</v>
      </c>
      <c r="T4" s="104"/>
      <c r="U4" s="104"/>
      <c r="V4" s="104"/>
      <c r="W4" s="104"/>
    </row>
    <row r="5" spans="2:23">
      <c r="B5" s="111">
        <f>SUM(SBoiler2!B5)</f>
        <v>46023</v>
      </c>
      <c r="C5" s="106">
        <f>SUM('DATA B3'!J37)</f>
        <v>100.40800000000002</v>
      </c>
      <c r="D5" s="106">
        <f>SUM('DATA B3'!K37)</f>
        <v>17</v>
      </c>
      <c r="E5" s="107">
        <f>SUM('DATA B3'!L37)</f>
        <v>100.40800000000002</v>
      </c>
      <c r="F5" s="107">
        <f>SUM('DATA B3'!M37)</f>
        <v>112.27199999999999</v>
      </c>
      <c r="G5" s="109">
        <f>SUM('DATA B3'!N37)</f>
        <v>228.93599999999998</v>
      </c>
      <c r="H5" s="109">
        <f>SUM('DATA B3'!O37)</f>
        <v>197.24799999999999</v>
      </c>
      <c r="I5" s="117">
        <f>SUM('WATER_STEAM RATIO'!S36)</f>
        <v>158</v>
      </c>
      <c r="J5" s="119">
        <f>SUM('WATER_STEAM RATIO'!T36)</f>
        <v>0.84946236559139787</v>
      </c>
      <c r="K5" s="109">
        <f>SUM('NGSTEAM RATIO'!M36)</f>
        <v>186</v>
      </c>
      <c r="L5" s="115">
        <f>SUM('NGSTEAM RATIO'!N36)</f>
        <v>8663</v>
      </c>
      <c r="M5" s="119">
        <f>SUM('NGSTEAM RATIO'!O36)</f>
        <v>46.575268817204304</v>
      </c>
      <c r="N5" s="119">
        <f>SUM('NGSTEAM RATIO'!P36)</f>
        <v>48.4375</v>
      </c>
    </row>
    <row r="6" spans="2:23">
      <c r="B6" s="111">
        <f>SUM(SBoiler2!B6)</f>
        <v>46024</v>
      </c>
      <c r="C6" s="106">
        <f>SUM('DATA B3'!J63)</f>
        <v>100.4</v>
      </c>
      <c r="D6" s="106">
        <f>SUM('DATA B3'!K63)</f>
        <v>17</v>
      </c>
      <c r="E6" s="107">
        <f>SUM('DATA B3'!L63)</f>
        <v>100.4</v>
      </c>
      <c r="F6" s="107">
        <f>SUM('DATA B3'!M63)</f>
        <v>111.76400000000001</v>
      </c>
      <c r="G6" s="109">
        <f>SUM('DATA B3'!N63)</f>
        <v>228.96399999999994</v>
      </c>
      <c r="H6" s="109">
        <f>SUM('DATA B3'!O63)</f>
        <v>197.10799999999995</v>
      </c>
      <c r="I6" s="117">
        <f>SUM('WATER_STEAM RATIO'!S62)</f>
        <v>152</v>
      </c>
      <c r="J6" s="119">
        <f>SUM('WATER_STEAM RATIO'!T62)</f>
        <v>0.8539325842696629</v>
      </c>
      <c r="K6" s="109">
        <f>SUM('NGSTEAM RATIO'!M62)</f>
        <v>186</v>
      </c>
      <c r="L6" s="115">
        <f>SUM('NGSTEAM RATIO'!N62)</f>
        <v>8311</v>
      </c>
      <c r="M6" s="119">
        <f>SUM('NGSTEAM RATIO'!O62)</f>
        <v>44.682795698924728</v>
      </c>
      <c r="N6" s="119">
        <f>SUM('NGSTEAM RATIO'!P62)</f>
        <v>46.354166666666664</v>
      </c>
    </row>
    <row r="7" spans="2:23">
      <c r="B7" s="111">
        <f>SUM(SBoiler2!B7)</f>
        <v>46025</v>
      </c>
      <c r="C7" s="106">
        <f>SUM('DATA B3'!J89)</f>
        <v>100.41599999999998</v>
      </c>
      <c r="D7" s="106">
        <f>SUM('DATA B3'!K89)</f>
        <v>17</v>
      </c>
      <c r="E7" s="107">
        <f>SUM('DATA B3'!L89)</f>
        <v>100.41999999999999</v>
      </c>
      <c r="F7" s="107">
        <f>SUM('DATA B3'!M89)</f>
        <v>151.11600000000001</v>
      </c>
      <c r="G7" s="109">
        <f>SUM('DATA B3'!N89)</f>
        <v>229.06799999999993</v>
      </c>
      <c r="H7" s="109">
        <f>SUM('DATA B3'!O89)</f>
        <v>198.51199999999997</v>
      </c>
      <c r="I7" s="117">
        <f>SUM('WATER_STEAM RATIO'!S88)</f>
        <v>147</v>
      </c>
      <c r="J7" s="119">
        <f>SUM('WATER_STEAM RATIO'!T88)</f>
        <v>0.85465116279069764</v>
      </c>
      <c r="K7" s="109">
        <f>SUM('NGSTEAM RATIO'!M88)</f>
        <v>179</v>
      </c>
      <c r="L7" s="115">
        <f>SUM('NGSTEAM RATIO'!N88)</f>
        <v>8058</v>
      </c>
      <c r="M7" s="119">
        <f>SUM('NGSTEAM RATIO'!O88)</f>
        <v>45.016759776536311</v>
      </c>
      <c r="N7" s="119">
        <f>SUM('NGSTEAM RATIO'!P88)</f>
        <v>44.791666666666664</v>
      </c>
    </row>
    <row r="8" spans="2:23">
      <c r="B8" s="111">
        <f>SUM(SBoiler2!B8)</f>
        <v>46026</v>
      </c>
      <c r="C8" s="106">
        <f>SUM('DATA B3'!J115)</f>
        <v>100.30799999999998</v>
      </c>
      <c r="D8" s="106">
        <f>SUM('DATA B3'!K115)</f>
        <v>17</v>
      </c>
      <c r="E8" s="107">
        <f>SUM('DATA B3'!L115)</f>
        <v>100.30799999999998</v>
      </c>
      <c r="F8" s="107">
        <f>SUM('DATA B3'!M115)</f>
        <v>111.43599999999998</v>
      </c>
      <c r="G8" s="109">
        <f>SUM('DATA B3'!N115)</f>
        <v>227.01599999999999</v>
      </c>
      <c r="H8" s="109">
        <f>SUM('DATA B3'!O115)</f>
        <v>198.28799999999998</v>
      </c>
      <c r="I8" s="117">
        <f>SUM('WATER_STEAM RATIO'!S114)</f>
        <v>130</v>
      </c>
      <c r="J8" s="119">
        <f>SUM('WATER_STEAM RATIO'!T114)</f>
        <v>0.8666666666666667</v>
      </c>
      <c r="K8" s="109">
        <f>SUM('NGSTEAM RATIO'!M114)</f>
        <v>157</v>
      </c>
      <c r="L8" s="115">
        <f>SUM('NGSTEAM RATIO'!N114)</f>
        <v>7210</v>
      </c>
      <c r="M8" s="119">
        <f>SUM('NGSTEAM RATIO'!O114)</f>
        <v>45.923566878980893</v>
      </c>
      <c r="N8" s="119">
        <f>SUM('NGSTEAM RATIO'!P114)</f>
        <v>39.0625</v>
      </c>
    </row>
    <row r="9" spans="2:23">
      <c r="B9" s="111">
        <f>SUM(SBoiler2!B9)</f>
        <v>46027</v>
      </c>
      <c r="C9" s="106">
        <f>SUM('DATA B3'!J141)</f>
        <v>100.2</v>
      </c>
      <c r="D9" s="106">
        <f>SUM('DATA B3'!K141)</f>
        <v>17</v>
      </c>
      <c r="E9" s="107">
        <f>SUM('DATA B3'!L141)</f>
        <v>100.2</v>
      </c>
      <c r="F9" s="107">
        <f>SUM('DATA B3'!M141)</f>
        <v>110.67647058823529</v>
      </c>
      <c r="G9" s="109">
        <f>SUM('DATA B3'!N141)</f>
        <v>225.35294117647058</v>
      </c>
      <c r="H9" s="109">
        <f>SUM('DATA B3'!O141)</f>
        <v>197.22941176470587</v>
      </c>
      <c r="I9" s="117">
        <f>SUM('WATER_STEAM RATIO'!S140)</f>
        <v>90</v>
      </c>
      <c r="J9" s="119">
        <f>SUM('WATER_STEAM RATIO'!T140)</f>
        <v>0.88235294117647056</v>
      </c>
      <c r="K9" s="109">
        <f>SUM('NGSTEAM RATIO'!M140)</f>
        <v>108</v>
      </c>
      <c r="L9" s="115">
        <f>SUM('NGSTEAM RATIO'!N140)</f>
        <v>4971</v>
      </c>
      <c r="M9" s="119">
        <f>SUM('NGSTEAM RATIO'!O140)</f>
        <v>46.027777777777779</v>
      </c>
      <c r="N9" s="119">
        <f>SUM('NGSTEAM RATIO'!P140)</f>
        <v>26.5625</v>
      </c>
    </row>
    <row r="10" spans="2:23">
      <c r="B10" s="111">
        <f>SUM(SBoiler2!B10)</f>
        <v>46028</v>
      </c>
      <c r="C10" s="106">
        <f>SUM('DATA B3'!J167)</f>
        <v>0</v>
      </c>
      <c r="D10" s="106">
        <f>SUM('DATA B3'!K167)</f>
        <v>0</v>
      </c>
      <c r="E10" s="107">
        <f>SUM('DATA B3'!L167)</f>
        <v>0</v>
      </c>
      <c r="F10" s="107">
        <f>SUM('DATA B3'!M167)</f>
        <v>0</v>
      </c>
      <c r="G10" s="109">
        <f>SUM('DATA B3'!N167)</f>
        <v>0</v>
      </c>
      <c r="H10" s="109">
        <f>SUM('DATA B3'!O167)</f>
        <v>0</v>
      </c>
      <c r="I10" s="117">
        <f>SUM('WATER_STEAM RATIO'!S166)</f>
        <v>0</v>
      </c>
      <c r="J10" s="119">
        <f>SUM('WATER_STEAM RATIO'!T166)</f>
        <v>0</v>
      </c>
      <c r="K10" s="109">
        <f>SUM('NGSTEAM RATIO'!M166)</f>
        <v>0</v>
      </c>
      <c r="L10" s="115">
        <f>SUM('NGSTEAM RATIO'!N166)</f>
        <v>0</v>
      </c>
      <c r="M10" s="119">
        <f>SUM('NGSTEAM RATIO'!O166)</f>
        <v>0</v>
      </c>
      <c r="N10" s="119">
        <f>SUM('NGSTEAM RATIO'!P166)</f>
        <v>0</v>
      </c>
    </row>
    <row r="11" spans="2:23">
      <c r="B11" s="111">
        <f>SUM(SBoiler2!B11)</f>
        <v>46029</v>
      </c>
      <c r="C11" s="106">
        <f>SUM('DATA B3'!J193)</f>
        <v>0</v>
      </c>
      <c r="D11" s="106">
        <f>SUM('DATA B3'!K193)</f>
        <v>0</v>
      </c>
      <c r="E11" s="107">
        <f>SUM('DATA B3'!L193)</f>
        <v>0</v>
      </c>
      <c r="F11" s="107">
        <f>SUM('DATA B3'!M193)</f>
        <v>0</v>
      </c>
      <c r="G11" s="109">
        <f>SUM('DATA B3'!N193)</f>
        <v>0</v>
      </c>
      <c r="H11" s="109">
        <f>SUM('DATA B3'!O193)</f>
        <v>0</v>
      </c>
      <c r="I11" s="117">
        <f>SUM('WATER_STEAM RATIO'!S192)</f>
        <v>0</v>
      </c>
      <c r="J11" s="119">
        <f>SUM('WATER_STEAM RATIO'!T192)</f>
        <v>0</v>
      </c>
      <c r="K11" s="109">
        <f>SUM('NGSTEAM RATIO'!M192)</f>
        <v>0</v>
      </c>
      <c r="L11" s="115">
        <f>SUM('NGSTEAM RATIO'!N192)</f>
        <v>0</v>
      </c>
      <c r="M11" s="119">
        <f>SUM('NGSTEAM RATIO'!O192)</f>
        <v>0</v>
      </c>
      <c r="N11" s="119">
        <f>SUM('NGSTEAM RATIO'!P192)</f>
        <v>0</v>
      </c>
    </row>
    <row r="12" spans="2:23">
      <c r="B12" s="111">
        <f>SUM(SBoiler2!B12)</f>
        <v>46030</v>
      </c>
      <c r="C12" s="106">
        <f>SUM('DATA B3'!J219)</f>
        <v>0</v>
      </c>
      <c r="D12" s="106">
        <f>SUM('DATA B3'!K219)</f>
        <v>0</v>
      </c>
      <c r="E12" s="107">
        <f>SUM('DATA B3'!L219)</f>
        <v>0</v>
      </c>
      <c r="F12" s="107">
        <f>SUM('DATA B3'!M219)</f>
        <v>0</v>
      </c>
      <c r="G12" s="109">
        <f>SUM('DATA B3'!N219)</f>
        <v>0</v>
      </c>
      <c r="H12" s="109">
        <f>SUM('DATA B3'!O219)</f>
        <v>0</v>
      </c>
      <c r="I12" s="117">
        <f>SUM('WATER_STEAM RATIO'!S218)</f>
        <v>0</v>
      </c>
      <c r="J12" s="119">
        <f>SUM('WATER_STEAM RATIO'!T218)</f>
        <v>0</v>
      </c>
      <c r="K12" s="109">
        <f>SUM('NGSTEAM RATIO'!M218)</f>
        <v>0</v>
      </c>
      <c r="L12" s="115">
        <f>SUM('NGSTEAM RATIO'!N218)</f>
        <v>0</v>
      </c>
      <c r="M12" s="119">
        <f>SUM('NGSTEAM RATIO'!O218)</f>
        <v>0</v>
      </c>
      <c r="N12" s="119">
        <f>SUM('NGSTEAM RATIO'!P218)</f>
        <v>0</v>
      </c>
    </row>
    <row r="13" spans="2:23">
      <c r="B13" s="111">
        <f>SUM(SBoiler2!B13)</f>
        <v>46031</v>
      </c>
      <c r="C13" s="106">
        <f>SUM('DATA B3'!J245)</f>
        <v>0</v>
      </c>
      <c r="D13" s="106">
        <f>SUM('DATA B3'!K245)</f>
        <v>0</v>
      </c>
      <c r="E13" s="107">
        <f>SUM('DATA B3'!L245)</f>
        <v>0</v>
      </c>
      <c r="F13" s="107">
        <f>SUM('DATA B3'!M245)</f>
        <v>0</v>
      </c>
      <c r="G13" s="109">
        <f>SUM('DATA B3'!N245)</f>
        <v>0</v>
      </c>
      <c r="H13" s="109">
        <f>SUM('DATA B3'!O245)</f>
        <v>0</v>
      </c>
      <c r="I13" s="117">
        <f>SUM('WATER_STEAM RATIO'!S244)</f>
        <v>0</v>
      </c>
      <c r="J13" s="119">
        <f>SUM('WATER_STEAM RATIO'!T244)</f>
        <v>0</v>
      </c>
      <c r="K13" s="109">
        <f>SUM('NGSTEAM RATIO'!M244)</f>
        <v>0</v>
      </c>
      <c r="L13" s="115">
        <f>SUM('NGSTEAM RATIO'!N244)</f>
        <v>0</v>
      </c>
      <c r="M13" s="119">
        <f>SUM('NGSTEAM RATIO'!O244)</f>
        <v>0</v>
      </c>
      <c r="N13" s="119">
        <f>SUM('NGSTEAM RATIO'!P244)</f>
        <v>0</v>
      </c>
    </row>
    <row r="14" spans="2:23">
      <c r="B14" s="111">
        <f>SUM(SBoiler2!B14)</f>
        <v>46032</v>
      </c>
      <c r="C14" s="106">
        <f>SUM('DATA B3'!J271)</f>
        <v>0</v>
      </c>
      <c r="D14" s="106">
        <f>SUM('DATA B3'!K271)</f>
        <v>0</v>
      </c>
      <c r="E14" s="107">
        <f>SUM('DATA B3'!L271)</f>
        <v>0</v>
      </c>
      <c r="F14" s="107">
        <f>SUM('DATA B3'!M271)</f>
        <v>0</v>
      </c>
      <c r="G14" s="109">
        <f>SUM('DATA B3'!N271)</f>
        <v>0</v>
      </c>
      <c r="H14" s="109">
        <f>SUM('DATA B3'!O271)</f>
        <v>0</v>
      </c>
      <c r="I14" s="117">
        <f>SUM('WATER_STEAM RATIO'!S270)</f>
        <v>0</v>
      </c>
      <c r="J14" s="119">
        <f>SUM('WATER_STEAM RATIO'!T270)</f>
        <v>0</v>
      </c>
      <c r="K14" s="109">
        <f>SUM('NGSTEAM RATIO'!M270)</f>
        <v>0</v>
      </c>
      <c r="L14" s="115">
        <f>SUM('NGSTEAM RATIO'!N270)</f>
        <v>0</v>
      </c>
      <c r="M14" s="119">
        <f>SUM('NGSTEAM RATIO'!O270)</f>
        <v>0</v>
      </c>
      <c r="N14" s="119">
        <f>SUM('NGSTEAM RATIO'!P270)</f>
        <v>0</v>
      </c>
    </row>
    <row r="15" spans="2:23">
      <c r="B15" s="111">
        <f>SUM(SBoiler2!B15)</f>
        <v>46033</v>
      </c>
      <c r="C15" s="106">
        <f>SUM('DATA B3'!J297)</f>
        <v>0</v>
      </c>
      <c r="D15" s="106">
        <f>SUM('DATA B3'!K297)</f>
        <v>0</v>
      </c>
      <c r="E15" s="107">
        <f>SUM('DATA B3'!L297)</f>
        <v>0</v>
      </c>
      <c r="F15" s="107">
        <f>SUM('DATA B3'!M297)</f>
        <v>0</v>
      </c>
      <c r="G15" s="109">
        <f>SUM('DATA B3'!N297)</f>
        <v>0</v>
      </c>
      <c r="H15" s="109">
        <f>SUM('DATA B3'!O297)</f>
        <v>0</v>
      </c>
      <c r="I15" s="117">
        <f>SUM('WATER_STEAM RATIO'!S296)</f>
        <v>0</v>
      </c>
      <c r="J15" s="119">
        <f>SUM('WATER_STEAM RATIO'!T296)</f>
        <v>0</v>
      </c>
      <c r="K15" s="109">
        <f>SUM('NGSTEAM RATIO'!M296)</f>
        <v>0</v>
      </c>
      <c r="L15" s="115">
        <f>SUM('NGSTEAM RATIO'!N296)</f>
        <v>0</v>
      </c>
      <c r="M15" s="119">
        <f>SUM('NGSTEAM RATIO'!O296)</f>
        <v>0</v>
      </c>
      <c r="N15" s="119">
        <f>SUM('NGSTEAM RATIO'!P296)</f>
        <v>0</v>
      </c>
    </row>
    <row r="16" spans="2:23">
      <c r="B16" s="111">
        <f>SUM(SBoiler2!B16)</f>
        <v>46034</v>
      </c>
      <c r="C16" s="106">
        <f>SUM('DATA B3'!J323)</f>
        <v>0</v>
      </c>
      <c r="D16" s="106">
        <f>SUM('DATA B3'!K323)</f>
        <v>0</v>
      </c>
      <c r="E16" s="107">
        <f>SUM('DATA B3'!L323)</f>
        <v>0</v>
      </c>
      <c r="F16" s="107">
        <f>SUM('DATA B3'!M323)</f>
        <v>0</v>
      </c>
      <c r="G16" s="109">
        <f>SUM('DATA B3'!N323)</f>
        <v>0</v>
      </c>
      <c r="H16" s="109">
        <f>SUM('DATA B3'!O323)</f>
        <v>0</v>
      </c>
      <c r="I16" s="117">
        <f>SUM('WATER_STEAM RATIO'!S322)</f>
        <v>0</v>
      </c>
      <c r="J16" s="119">
        <f>SUM('WATER_STEAM RATIO'!T322)</f>
        <v>0</v>
      </c>
      <c r="K16" s="109">
        <f>SUM('NGSTEAM RATIO'!M322)</f>
        <v>0</v>
      </c>
      <c r="L16" s="115">
        <f>SUM('NGSTEAM RATIO'!N322)</f>
        <v>0</v>
      </c>
      <c r="M16" s="119">
        <f>SUM('NGSTEAM RATIO'!O322)</f>
        <v>0</v>
      </c>
      <c r="N16" s="119">
        <f>SUM('NGSTEAM RATIO'!P322)</f>
        <v>0</v>
      </c>
    </row>
    <row r="17" spans="2:14">
      <c r="B17" s="111">
        <f>SUM(SBoiler2!B17)</f>
        <v>46035</v>
      </c>
      <c r="C17" s="106">
        <f>SUM('DATA B3'!J349)</f>
        <v>0</v>
      </c>
      <c r="D17" s="106">
        <f>SUM('DATA B3'!K349)</f>
        <v>0</v>
      </c>
      <c r="E17" s="107">
        <f>SUM('DATA B3'!L349)</f>
        <v>0</v>
      </c>
      <c r="F17" s="107">
        <f>SUM('DATA B3'!M349)</f>
        <v>0</v>
      </c>
      <c r="G17" s="109">
        <f>SUM('DATA B3'!N349)</f>
        <v>0</v>
      </c>
      <c r="H17" s="109">
        <f>SUM('DATA B3'!O349)</f>
        <v>0</v>
      </c>
      <c r="I17" s="117">
        <f>SUM('WATER_STEAM RATIO'!S348)</f>
        <v>0</v>
      </c>
      <c r="J17" s="119">
        <f>SUM('WATER_STEAM RATIO'!T348)</f>
        <v>0</v>
      </c>
      <c r="K17" s="109">
        <f>SUM('NGSTEAM RATIO'!M348)</f>
        <v>0</v>
      </c>
      <c r="L17" s="115">
        <f>SUM('NGSTEAM RATIO'!N348)</f>
        <v>0</v>
      </c>
      <c r="M17" s="119">
        <f>SUM('NGSTEAM RATIO'!O348)</f>
        <v>0</v>
      </c>
      <c r="N17" s="119">
        <f>SUM('NGSTEAM RATIO'!P348)</f>
        <v>0</v>
      </c>
    </row>
    <row r="18" spans="2:14">
      <c r="B18" s="111">
        <f>SUM(SBoiler2!B18)</f>
        <v>46036</v>
      </c>
      <c r="C18" s="106">
        <f>SUM('DATA B3'!J375)</f>
        <v>0</v>
      </c>
      <c r="D18" s="106">
        <f>SUM('DATA B3'!K375)</f>
        <v>0</v>
      </c>
      <c r="E18" s="107">
        <f>SUM('DATA B3'!L375)</f>
        <v>0</v>
      </c>
      <c r="F18" s="107">
        <f>SUM('DATA B3'!M375)</f>
        <v>0</v>
      </c>
      <c r="G18" s="109">
        <f>SUM('DATA B3'!N375)</f>
        <v>0</v>
      </c>
      <c r="H18" s="109">
        <f>SUM('DATA B3'!O375)</f>
        <v>0</v>
      </c>
      <c r="I18" s="117">
        <f>SUM('WATER_STEAM RATIO'!S374)</f>
        <v>0</v>
      </c>
      <c r="J18" s="119">
        <f>SUM('WATER_STEAM RATIO'!T374)</f>
        <v>0</v>
      </c>
      <c r="K18" s="109">
        <f>SUM('NGSTEAM RATIO'!M374)</f>
        <v>0</v>
      </c>
      <c r="L18" s="115">
        <f>SUM('NGSTEAM RATIO'!N374)</f>
        <v>0</v>
      </c>
      <c r="M18" s="119">
        <f>SUM('NGSTEAM RATIO'!O374)</f>
        <v>0</v>
      </c>
      <c r="N18" s="119">
        <f>SUM('NGSTEAM RATIO'!P374)</f>
        <v>0</v>
      </c>
    </row>
    <row r="19" spans="2:14">
      <c r="B19" s="111">
        <f>SUM(SBoiler2!B19)</f>
        <v>46037</v>
      </c>
      <c r="C19" s="106">
        <f>SUM('DATA B3'!J401)</f>
        <v>0</v>
      </c>
      <c r="D19" s="106">
        <f>SUM('DATA B3'!K401)</f>
        <v>0</v>
      </c>
      <c r="E19" s="107">
        <f>SUM('DATA B3'!L401)</f>
        <v>0</v>
      </c>
      <c r="F19" s="107">
        <f>SUM('DATA B3'!M401)</f>
        <v>0</v>
      </c>
      <c r="G19" s="109">
        <f>SUM('DATA B3'!N401)</f>
        <v>0</v>
      </c>
      <c r="H19" s="109">
        <f>SUM('DATA B3'!O401)</f>
        <v>0</v>
      </c>
      <c r="I19" s="117">
        <f>SUM('WATER_STEAM RATIO'!S400)</f>
        <v>0</v>
      </c>
      <c r="J19" s="119">
        <f>SUM('WATER_STEAM RATIO'!T400)</f>
        <v>0</v>
      </c>
      <c r="K19" s="109">
        <f>SUM('NGSTEAM RATIO'!M400)</f>
        <v>0</v>
      </c>
      <c r="L19" s="115">
        <f>SUM('NGSTEAM RATIO'!N400)</f>
        <v>0</v>
      </c>
      <c r="M19" s="119">
        <f>SUM('NGSTEAM RATIO'!O400)</f>
        <v>0</v>
      </c>
      <c r="N19" s="119">
        <f>SUM('NGSTEAM RATIO'!P400)</f>
        <v>0</v>
      </c>
    </row>
    <row r="20" spans="2:14">
      <c r="B20" s="111">
        <f>SUM(SBoiler2!B20)</f>
        <v>46038</v>
      </c>
      <c r="C20" s="106">
        <f>SUM('DATA B3'!J427)</f>
        <v>0</v>
      </c>
      <c r="D20" s="106">
        <f>SUM('DATA B3'!K427)</f>
        <v>0</v>
      </c>
      <c r="E20" s="107">
        <f>SUM('DATA B3'!L427)</f>
        <v>0</v>
      </c>
      <c r="F20" s="107">
        <f>SUM('DATA B3'!M427)</f>
        <v>0</v>
      </c>
      <c r="G20" s="109">
        <f>SUM('DATA B3'!N427)</f>
        <v>0</v>
      </c>
      <c r="H20" s="109">
        <f>SUM('DATA B3'!O427)</f>
        <v>0</v>
      </c>
      <c r="I20" s="117">
        <f>SUM('WATER_STEAM RATIO'!S426)</f>
        <v>0</v>
      </c>
      <c r="J20" s="119">
        <f>SUM('WATER_STEAM RATIO'!T426)</f>
        <v>0</v>
      </c>
      <c r="K20" s="109">
        <f>SUM('NGSTEAM RATIO'!M426)</f>
        <v>0</v>
      </c>
      <c r="L20" s="115">
        <f>SUM('NGSTEAM RATIO'!N426)</f>
        <v>0</v>
      </c>
      <c r="M20" s="119">
        <f>SUM('NGSTEAM RATIO'!O426)</f>
        <v>0</v>
      </c>
      <c r="N20" s="119">
        <f>SUM('NGSTEAM RATIO'!P426)</f>
        <v>0</v>
      </c>
    </row>
    <row r="21" spans="2:14">
      <c r="B21" s="111">
        <f>SUM(SBoiler2!B21)</f>
        <v>46039</v>
      </c>
      <c r="C21" s="106">
        <f>SUM('DATA B3'!J453)</f>
        <v>0</v>
      </c>
      <c r="D21" s="106">
        <f>SUM('DATA B3'!K453)</f>
        <v>0</v>
      </c>
      <c r="E21" s="107">
        <f>SUM('DATA B3'!L453)</f>
        <v>0</v>
      </c>
      <c r="F21" s="107">
        <f>SUM('DATA B3'!M453)</f>
        <v>0</v>
      </c>
      <c r="G21" s="109">
        <f>SUM('DATA B3'!N453)</f>
        <v>0</v>
      </c>
      <c r="H21" s="109">
        <f>SUM('DATA B3'!O453)</f>
        <v>0</v>
      </c>
      <c r="I21" s="117">
        <f>SUM('WATER_STEAM RATIO'!S452)</f>
        <v>0</v>
      </c>
      <c r="J21" s="119">
        <f>SUM('WATER_STEAM RATIO'!T452)</f>
        <v>0</v>
      </c>
      <c r="K21" s="109">
        <f>SUM('NGSTEAM RATIO'!M452)</f>
        <v>0</v>
      </c>
      <c r="L21" s="115">
        <f>SUM('NGSTEAM RATIO'!N452)</f>
        <v>0</v>
      </c>
      <c r="M21" s="119">
        <f>SUM('NGSTEAM RATIO'!O452)</f>
        <v>0</v>
      </c>
      <c r="N21" s="119">
        <f>SUM('NGSTEAM RATIO'!P452)</f>
        <v>0</v>
      </c>
    </row>
    <row r="22" spans="2:14">
      <c r="B22" s="111">
        <f>SUM(SBoiler2!B22)</f>
        <v>46040</v>
      </c>
      <c r="C22" s="106">
        <f>SUM('DATA B3'!J479)</f>
        <v>0</v>
      </c>
      <c r="D22" s="106">
        <f>SUM('DATA B3'!K479)</f>
        <v>0</v>
      </c>
      <c r="E22" s="107">
        <f>SUM('DATA B3'!L479)</f>
        <v>0</v>
      </c>
      <c r="F22" s="107">
        <f>SUM('DATA B3'!M479)</f>
        <v>0</v>
      </c>
      <c r="G22" s="109">
        <f>SUM('DATA B3'!N479)</f>
        <v>0</v>
      </c>
      <c r="H22" s="109">
        <f>SUM('DATA B3'!O479)</f>
        <v>0</v>
      </c>
      <c r="I22" s="117">
        <f>SUM('WATER_STEAM RATIO'!S478)</f>
        <v>0</v>
      </c>
      <c r="J22" s="119">
        <f>SUM('WATER_STEAM RATIO'!T478)</f>
        <v>0</v>
      </c>
      <c r="K22" s="109">
        <f>SUM('NGSTEAM RATIO'!M478)</f>
        <v>0</v>
      </c>
      <c r="L22" s="115">
        <f>SUM('NGSTEAM RATIO'!N478)</f>
        <v>0</v>
      </c>
      <c r="M22" s="119">
        <f>SUM('NGSTEAM RATIO'!O478)</f>
        <v>0</v>
      </c>
      <c r="N22" s="119">
        <f>SUM('NGSTEAM RATIO'!P478)</f>
        <v>0</v>
      </c>
    </row>
    <row r="23" spans="2:14">
      <c r="B23" s="111">
        <f>SUM(SBoiler2!B23)</f>
        <v>46041</v>
      </c>
      <c r="C23" s="106">
        <f>SUM('DATA B3'!J505)</f>
        <v>98.172222222222231</v>
      </c>
      <c r="D23" s="106">
        <f>SUM('DATA B3'!K505)</f>
        <v>17</v>
      </c>
      <c r="E23" s="107">
        <f>SUM('DATA B3'!L505)</f>
        <v>98.172222222222231</v>
      </c>
      <c r="F23" s="107">
        <f>SUM('DATA B3'!M505)</f>
        <v>109.31666666666666</v>
      </c>
      <c r="G23" s="109">
        <f>SUM('DATA B3'!N505)</f>
        <v>233.05555555555554</v>
      </c>
      <c r="H23" s="109">
        <f>SUM('DATA B3'!O505)</f>
        <v>198.00555555555553</v>
      </c>
      <c r="I23" s="117">
        <f>SUM('WATER_STEAM RATIO'!S504)</f>
        <v>219</v>
      </c>
      <c r="J23" s="119">
        <f>SUM('WATER_STEAM RATIO'!T504)</f>
        <v>0.99095022624434392</v>
      </c>
      <c r="K23" s="109">
        <f>SUM('NGSTEAM RATIO'!M504)</f>
        <v>221</v>
      </c>
      <c r="L23" s="115">
        <f>SUM('NGSTEAM RATIO'!N504)</f>
        <v>11572</v>
      </c>
      <c r="M23" s="119">
        <f>SUM('NGSTEAM RATIO'!O504)</f>
        <v>52.361990950226243</v>
      </c>
      <c r="N23" s="119">
        <f>SUM('NGSTEAM RATIO'!P504)</f>
        <v>57.552083333333336</v>
      </c>
    </row>
    <row r="24" spans="2:14">
      <c r="B24" s="111">
        <f>SUM(SBoiler2!B24)</f>
        <v>46042</v>
      </c>
      <c r="C24" s="106">
        <f>SUM('DATA B3'!J531)</f>
        <v>94.524000000000001</v>
      </c>
      <c r="D24" s="106">
        <f>SUM('DATA B3'!K531)</f>
        <v>17</v>
      </c>
      <c r="E24" s="107">
        <f>SUM('DATA B3'!L531)</f>
        <v>94.524000000000001</v>
      </c>
      <c r="F24" s="107">
        <f>SUM('DATA B3'!M531)</f>
        <v>107.28799999999997</v>
      </c>
      <c r="G24" s="109">
        <f>SUM('DATA B3'!N531)</f>
        <v>240.67600000000002</v>
      </c>
      <c r="H24" s="109">
        <f>SUM('DATA B3'!O531)</f>
        <v>197.67199999999997</v>
      </c>
      <c r="I24" s="117">
        <f>SUM('WATER_STEAM RATIO'!S530)</f>
        <v>245</v>
      </c>
      <c r="J24" s="119">
        <f>SUM('WATER_STEAM RATIO'!T530)</f>
        <v>0.92803030303030298</v>
      </c>
      <c r="K24" s="109">
        <f>SUM('NGSTEAM RATIO'!M530)</f>
        <v>278</v>
      </c>
      <c r="L24" s="115">
        <f>SUM('NGSTEAM RATIO'!N530)</f>
        <v>12865</v>
      </c>
      <c r="M24" s="119">
        <f>SUM('NGSTEAM RATIO'!O530)</f>
        <v>46.276978417266186</v>
      </c>
      <c r="N24" s="119">
        <f>SUM('NGSTEAM RATIO'!P530)</f>
        <v>68.75</v>
      </c>
    </row>
    <row r="25" spans="2:14">
      <c r="B25" s="111">
        <f>SUM(SBoiler2!B25)</f>
        <v>46043</v>
      </c>
      <c r="C25" s="106">
        <f>SUM('DATA B3'!J557)</f>
        <v>100.53999999999999</v>
      </c>
      <c r="D25" s="106">
        <f>SUM('DATA B3'!K557)</f>
        <v>17</v>
      </c>
      <c r="E25" s="107">
        <f>SUM('DATA B3'!L557)</f>
        <v>100.53999999999999</v>
      </c>
      <c r="F25" s="107">
        <f>SUM('DATA B3'!M557)</f>
        <v>111.23999999999998</v>
      </c>
      <c r="G25" s="109">
        <f>SUM('DATA B3'!N557)</f>
        <v>235.2</v>
      </c>
      <c r="H25" s="109">
        <f>SUM('DATA B3'!O557)</f>
        <v>198.67999999999998</v>
      </c>
      <c r="I25" s="117">
        <f>SUM('WATER_STEAM RATIO'!S556)</f>
        <v>36</v>
      </c>
      <c r="J25" s="119">
        <f>SUM('WATER_STEAM RATIO'!T556)</f>
        <v>0.87804878048780488</v>
      </c>
      <c r="K25" s="109">
        <f>SUM('NGSTEAM RATIO'!M556)</f>
        <v>51</v>
      </c>
      <c r="L25" s="115">
        <f>SUM('NGSTEAM RATIO'!N556)</f>
        <v>1857</v>
      </c>
      <c r="M25" s="119">
        <f>SUM('NGSTEAM RATIO'!O556)</f>
        <v>36.411764705882355</v>
      </c>
      <c r="N25" s="119">
        <f>SUM('NGSTEAM RATIO'!P556)</f>
        <v>-57732.03125</v>
      </c>
    </row>
    <row r="26" spans="2:14">
      <c r="B26" s="111">
        <f>SUM(SBoiler2!B26)</f>
        <v>46044</v>
      </c>
      <c r="C26" s="106">
        <f>SUM('DATA B3'!J583)</f>
        <v>0</v>
      </c>
      <c r="D26" s="106">
        <f>SUM('DATA B3'!K583)</f>
        <v>0</v>
      </c>
      <c r="E26" s="107">
        <f>SUM('DATA B3'!L583)</f>
        <v>0</v>
      </c>
      <c r="F26" s="107">
        <f>SUM('DATA B3'!M583)</f>
        <v>0</v>
      </c>
      <c r="G26" s="109">
        <f>SUM('DATA B3'!N583)</f>
        <v>0</v>
      </c>
      <c r="H26" s="109">
        <f>SUM('DATA B3'!O583)</f>
        <v>0</v>
      </c>
      <c r="I26" s="117">
        <f>SUM('WATER_STEAM RATIO'!S582)</f>
        <v>0</v>
      </c>
      <c r="J26" s="119">
        <f>SUM('WATER_STEAM RATIO'!T582)</f>
        <v>0</v>
      </c>
      <c r="K26" s="109">
        <f>SUM('NGSTEAM RATIO'!M582)</f>
        <v>0</v>
      </c>
      <c r="L26" s="115">
        <f>SUM('NGSTEAM RATIO'!N582)</f>
        <v>0</v>
      </c>
      <c r="M26" s="119">
        <f>SUM('NGSTEAM RATIO'!O582)</f>
        <v>0</v>
      </c>
      <c r="N26" s="119">
        <f>SUM('NGSTEAM RATIO'!P582)</f>
        <v>0</v>
      </c>
    </row>
    <row r="27" spans="2:14">
      <c r="B27" s="111">
        <f>SUM(SBoiler2!B27)</f>
        <v>46045</v>
      </c>
      <c r="C27" s="106">
        <f>SUM('DATA B3'!J609)</f>
        <v>0</v>
      </c>
      <c r="D27" s="106">
        <f>SUM('DATA B3'!K609)</f>
        <v>0</v>
      </c>
      <c r="E27" s="107">
        <f>SUM('DATA B3'!L609)</f>
        <v>0</v>
      </c>
      <c r="F27" s="107">
        <f>SUM('DATA B3'!M609)</f>
        <v>0</v>
      </c>
      <c r="G27" s="109">
        <f>SUM('DATA B3'!N609)</f>
        <v>0</v>
      </c>
      <c r="H27" s="109">
        <f>SUM('DATA B3'!O609)</f>
        <v>0</v>
      </c>
      <c r="I27" s="117">
        <f>SUM('WATER_STEAM RATIO'!S608)</f>
        <v>0</v>
      </c>
      <c r="J27" s="119">
        <f>SUM('WATER_STEAM RATIO'!T608)</f>
        <v>0</v>
      </c>
      <c r="K27" s="109">
        <f>SUM('NGSTEAM RATIO'!M608)</f>
        <v>0</v>
      </c>
      <c r="L27" s="115">
        <f>SUM('NGSTEAM RATIO'!N608)</f>
        <v>0</v>
      </c>
      <c r="M27" s="119">
        <f>SUM('NGSTEAM RATIO'!O608)</f>
        <v>0</v>
      </c>
      <c r="N27" s="119">
        <f>SUM('NGSTEAM RATIO'!P608)</f>
        <v>0</v>
      </c>
    </row>
    <row r="28" spans="2:14">
      <c r="B28" s="111">
        <f>SUM(SBoiler2!B28)</f>
        <v>46046</v>
      </c>
      <c r="C28" s="106">
        <f>SUM('DATA B3'!J635)</f>
        <v>0</v>
      </c>
      <c r="D28" s="106">
        <f>SUM('DATA B3'!K635)</f>
        <v>0</v>
      </c>
      <c r="E28" s="107">
        <f>SUM('DATA B3'!L635)</f>
        <v>0</v>
      </c>
      <c r="F28" s="107">
        <f>SUM('DATA B3'!M635)</f>
        <v>0</v>
      </c>
      <c r="G28" s="109">
        <f>SUM('DATA B3'!N635)</f>
        <v>0</v>
      </c>
      <c r="H28" s="109">
        <f>SUM('DATA B3'!O635)</f>
        <v>0</v>
      </c>
      <c r="I28" s="117">
        <f>SUM('WATER_STEAM RATIO'!S634)</f>
        <v>0</v>
      </c>
      <c r="J28" s="119">
        <f>SUM('WATER_STEAM RATIO'!T634)</f>
        <v>0</v>
      </c>
      <c r="K28" s="109">
        <f>SUM('NGSTEAM RATIO'!M634)</f>
        <v>0</v>
      </c>
      <c r="L28" s="115">
        <f>SUM('NGSTEAM RATIO'!N634)</f>
        <v>0</v>
      </c>
      <c r="M28" s="119">
        <f>SUM('NGSTEAM RATIO'!O634)</f>
        <v>0</v>
      </c>
      <c r="N28" s="119">
        <f>SUM('NGSTEAM RATIO'!P634)</f>
        <v>0</v>
      </c>
    </row>
    <row r="29" spans="2:14">
      <c r="B29" s="111">
        <f>SUM(SBoiler2!B29)</f>
        <v>46047</v>
      </c>
      <c r="C29" s="106">
        <f>SUM('DATA B3'!J661)</f>
        <v>0</v>
      </c>
      <c r="D29" s="106">
        <f>SUM('DATA B3'!K661)</f>
        <v>0</v>
      </c>
      <c r="E29" s="107">
        <f>SUM('DATA B3'!L661)</f>
        <v>0</v>
      </c>
      <c r="F29" s="107">
        <f>SUM('DATA B3'!M661)</f>
        <v>0</v>
      </c>
      <c r="G29" s="109">
        <f>SUM('DATA B3'!N661)</f>
        <v>0</v>
      </c>
      <c r="H29" s="109">
        <f>SUM('DATA B3'!O661)</f>
        <v>0</v>
      </c>
      <c r="I29" s="117">
        <f>SUM('WATER_STEAM RATIO'!S660)</f>
        <v>0</v>
      </c>
      <c r="J29" s="119">
        <f>SUM('WATER_STEAM RATIO'!T660)</f>
        <v>0</v>
      </c>
      <c r="K29" s="109">
        <f>SUM('NGSTEAM RATIO'!M660)</f>
        <v>0</v>
      </c>
      <c r="L29" s="115">
        <f>SUM('NGSTEAM RATIO'!N660)</f>
        <v>0</v>
      </c>
      <c r="M29" s="119">
        <f>SUM('NGSTEAM RATIO'!O660)</f>
        <v>0</v>
      </c>
      <c r="N29" s="119">
        <f>SUM('NGSTEAM RATIO'!P660)</f>
        <v>0</v>
      </c>
    </row>
    <row r="30" spans="2:14">
      <c r="B30" s="111">
        <f>SUM(SBoiler2!B30)</f>
        <v>46048</v>
      </c>
      <c r="C30" s="106">
        <f>SUM('DATA B3'!J687)</f>
        <v>0</v>
      </c>
      <c r="D30" s="106">
        <f>SUM('DATA B3'!K687)</f>
        <v>0</v>
      </c>
      <c r="E30" s="107">
        <f>SUM('DATA B3'!L687)</f>
        <v>0</v>
      </c>
      <c r="F30" s="107">
        <f>SUM('DATA B3'!M687)</f>
        <v>0</v>
      </c>
      <c r="G30" s="109">
        <f>SUM('DATA B3'!N687)</f>
        <v>0</v>
      </c>
      <c r="H30" s="109">
        <f>SUM('DATA B3'!O687)</f>
        <v>0</v>
      </c>
      <c r="I30" s="117">
        <f>SUM('WATER_STEAM RATIO'!S686)</f>
        <v>0</v>
      </c>
      <c r="J30" s="119">
        <f>SUM('WATER_STEAM RATIO'!T686)</f>
        <v>0</v>
      </c>
      <c r="K30" s="109">
        <f>SUM('NGSTEAM RATIO'!M686)</f>
        <v>0</v>
      </c>
      <c r="L30" s="115">
        <f>SUM('NGSTEAM RATIO'!N686)</f>
        <v>0</v>
      </c>
      <c r="M30" s="119">
        <f>SUM('NGSTEAM RATIO'!O686)</f>
        <v>0</v>
      </c>
      <c r="N30" s="119">
        <f>SUM('NGSTEAM RATIO'!P686)</f>
        <v>0</v>
      </c>
    </row>
    <row r="31" spans="2:14">
      <c r="B31" s="111">
        <f>SUM(SBoiler2!B31)</f>
        <v>46049</v>
      </c>
      <c r="C31" s="106">
        <f>SUM('DATA B3'!J713)</f>
        <v>0</v>
      </c>
      <c r="D31" s="106">
        <f>SUM('DATA B3'!K713)</f>
        <v>0</v>
      </c>
      <c r="E31" s="107">
        <f>SUM('DATA B3'!L713)</f>
        <v>0</v>
      </c>
      <c r="F31" s="107">
        <f>SUM('DATA B3'!M713)</f>
        <v>0</v>
      </c>
      <c r="G31" s="109">
        <f>SUM('DATA B3'!N713)</f>
        <v>0</v>
      </c>
      <c r="H31" s="109">
        <f>SUM('DATA B3'!O713)</f>
        <v>0</v>
      </c>
      <c r="I31" s="117">
        <f>SUM('WATER_STEAM RATIO'!S712)</f>
        <v>0</v>
      </c>
      <c r="J31" s="119">
        <f>SUM('WATER_STEAM RATIO'!T712)</f>
        <v>0</v>
      </c>
      <c r="K31" s="109">
        <f>SUM('NGSTEAM RATIO'!M712)</f>
        <v>0</v>
      </c>
      <c r="L31" s="115">
        <f>SUM('NGSTEAM RATIO'!N712)</f>
        <v>0</v>
      </c>
      <c r="M31" s="119">
        <f>SUM('NGSTEAM RATIO'!O712)</f>
        <v>0</v>
      </c>
      <c r="N31" s="119">
        <f>SUM('NGSTEAM RATIO'!P712)</f>
        <v>0</v>
      </c>
    </row>
    <row r="32" spans="2:14">
      <c r="B32" s="111">
        <f>SUM(SBoiler2!B32)</f>
        <v>46050</v>
      </c>
      <c r="C32" s="106">
        <f>SUM('DATA B3'!J739)</f>
        <v>0</v>
      </c>
      <c r="D32" s="106">
        <f>SUM('DATA B3'!K739)</f>
        <v>0</v>
      </c>
      <c r="E32" s="107">
        <f>SUM('DATA B3'!L739)</f>
        <v>0</v>
      </c>
      <c r="F32" s="107">
        <f>SUM('DATA B3'!M739)</f>
        <v>0</v>
      </c>
      <c r="G32" s="109">
        <f>SUM('DATA B3'!N739)</f>
        <v>0</v>
      </c>
      <c r="H32" s="109">
        <f>SUM('DATA B3'!O739)</f>
        <v>0</v>
      </c>
      <c r="I32" s="117">
        <f>SUM('WATER_STEAM RATIO'!S738)</f>
        <v>0</v>
      </c>
      <c r="J32" s="119">
        <f>SUM('WATER_STEAM RATIO'!T738)</f>
        <v>0</v>
      </c>
      <c r="K32" s="109">
        <f>SUM('NGSTEAM RATIO'!M738)</f>
        <v>0</v>
      </c>
      <c r="L32" s="115">
        <f>SUM('NGSTEAM RATIO'!N738)</f>
        <v>0</v>
      </c>
      <c r="M32" s="119">
        <f>SUM('NGSTEAM RATIO'!O738)</f>
        <v>0</v>
      </c>
      <c r="N32" s="119">
        <f>SUM('NGSTEAM RATIO'!P738)</f>
        <v>0</v>
      </c>
    </row>
    <row r="33" spans="2:14">
      <c r="B33" s="111">
        <f>SUM(SBoiler2!B33)</f>
        <v>46051</v>
      </c>
      <c r="C33" s="106">
        <f>SUM('DATA B3'!J765)</f>
        <v>0</v>
      </c>
      <c r="D33" s="106">
        <f>SUM('DATA B3'!K765)</f>
        <v>0</v>
      </c>
      <c r="E33" s="107">
        <f>SUM('DATA B3'!L765)</f>
        <v>0</v>
      </c>
      <c r="F33" s="107">
        <f>SUM('DATA B3'!M765)</f>
        <v>0</v>
      </c>
      <c r="G33" s="109">
        <f>SUM('DATA B3'!N765)</f>
        <v>0</v>
      </c>
      <c r="H33" s="109">
        <f>SUM('DATA B3'!O765)</f>
        <v>0</v>
      </c>
      <c r="I33" s="117">
        <f>SUM('WATER_STEAM RATIO'!S764)</f>
        <v>0</v>
      </c>
      <c r="J33" s="119">
        <f>SUM('WATER_STEAM RATIO'!T764)</f>
        <v>0</v>
      </c>
      <c r="K33" s="109">
        <f>SUM('NGSTEAM RATIO'!M764)</f>
        <v>0</v>
      </c>
      <c r="L33" s="115">
        <f>SUM('NGSTEAM RATIO'!N764)</f>
        <v>0</v>
      </c>
      <c r="M33" s="119">
        <f>SUM('NGSTEAM RATIO'!O764)</f>
        <v>0</v>
      </c>
      <c r="N33" s="119">
        <f>SUM('NGSTEAM RATIO'!P764)</f>
        <v>0</v>
      </c>
    </row>
    <row r="34" spans="2:14">
      <c r="B34" s="111">
        <f>SUM(SBoiler2!B34)</f>
        <v>46052</v>
      </c>
      <c r="C34" s="106">
        <f>SUM('DATA B3'!J791)</f>
        <v>0</v>
      </c>
      <c r="D34" s="106">
        <f>SUM('DATA B3'!K791)</f>
        <v>0</v>
      </c>
      <c r="E34" s="107">
        <f>SUM('DATA B3'!L791)</f>
        <v>0</v>
      </c>
      <c r="F34" s="107">
        <f>SUM('DATA B3'!M791)</f>
        <v>0</v>
      </c>
      <c r="G34" s="109">
        <f>SUM('DATA B3'!N791)</f>
        <v>0</v>
      </c>
      <c r="H34" s="109">
        <f>SUM('DATA B3'!O791)</f>
        <v>0</v>
      </c>
      <c r="I34" s="117">
        <f>SUM('WATER_STEAM RATIO'!S790)</f>
        <v>0</v>
      </c>
      <c r="J34" s="119">
        <f>SUM('WATER_STEAM RATIO'!T790)</f>
        <v>0</v>
      </c>
      <c r="K34" s="109">
        <f>SUM('NGSTEAM RATIO'!M790)</f>
        <v>0</v>
      </c>
      <c r="L34" s="115">
        <f>SUM('NGSTEAM RATIO'!N790)</f>
        <v>0</v>
      </c>
      <c r="M34" s="119">
        <f>SUM('NGSTEAM RATIO'!O790)</f>
        <v>0</v>
      </c>
      <c r="N34" s="119">
        <f>SUM('NGSTEAM RATIO'!P790)</f>
        <v>0</v>
      </c>
    </row>
    <row r="35" spans="2:14">
      <c r="B35" s="111">
        <f>SUM(SBoiler2!B35)</f>
        <v>46053</v>
      </c>
      <c r="C35" s="106">
        <f>SUM('DATA B3'!J817)</f>
        <v>0</v>
      </c>
      <c r="D35" s="106">
        <f>SUM('DATA B3'!K817)</f>
        <v>0</v>
      </c>
      <c r="E35" s="107">
        <f>SUM('DATA B3'!L817)</f>
        <v>0</v>
      </c>
      <c r="F35" s="107">
        <f>SUM('DATA B3'!M817)</f>
        <v>0</v>
      </c>
      <c r="G35" s="109">
        <f>SUM('DATA B3'!N817)</f>
        <v>0</v>
      </c>
      <c r="H35" s="109">
        <f>SUM('DATA B3'!O817)</f>
        <v>0</v>
      </c>
      <c r="I35" s="117">
        <f>SUM('WATER_STEAM RATIO'!S816)</f>
        <v>0</v>
      </c>
      <c r="J35" s="119">
        <f>SUM('WATER_STEAM RATIO'!T816)</f>
        <v>0</v>
      </c>
      <c r="K35" s="109">
        <f>SUM('NGSTEAM RATIO'!M816)</f>
        <v>0</v>
      </c>
      <c r="L35" s="115">
        <f>SUM('NGSTEAM RATIO'!N816)</f>
        <v>0</v>
      </c>
      <c r="M35" s="119">
        <f>SUM('NGSTEAM RATIO'!O816)</f>
        <v>0</v>
      </c>
      <c r="N35" s="119">
        <f>SUM('NGSTEAM RATIO'!P816)</f>
        <v>0</v>
      </c>
    </row>
    <row r="36" spans="2:14">
      <c r="B36" s="93" t="s">
        <v>96</v>
      </c>
      <c r="C36" s="106">
        <f>IFERROR(AVERAGEIF(C5:C35,"&gt;0"),0)</f>
        <v>99.371027777777769</v>
      </c>
      <c r="D36" s="106">
        <f t="shared" ref="D36:H36" si="0">IFERROR(AVERAGEIF(D5:D35,"&gt;0"),0)</f>
        <v>17</v>
      </c>
      <c r="E36" s="107">
        <f t="shared" si="0"/>
        <v>99.371527777777771</v>
      </c>
      <c r="F36" s="107">
        <f t="shared" si="0"/>
        <v>115.63864215686274</v>
      </c>
      <c r="G36" s="116">
        <f t="shared" si="0"/>
        <v>231.03356209150323</v>
      </c>
      <c r="H36" s="116">
        <f t="shared" si="0"/>
        <v>197.84287091503268</v>
      </c>
      <c r="I36" s="117">
        <f>SUMIF(I5:I35,"&gt;=0")</f>
        <v>1177</v>
      </c>
      <c r="J36" s="112">
        <f>IFERROR(AVERAGEIF(J5:J35,"&gt;0"),0)</f>
        <v>0.88801187878216836</v>
      </c>
      <c r="K36" s="109">
        <f>SUMIF(K5:K35,"&gt;=0")</f>
        <v>1366</v>
      </c>
      <c r="L36" s="115">
        <f>SUMIF(L5:L35,"&gt;=0")</f>
        <v>63507</v>
      </c>
      <c r="M36" s="112">
        <f t="shared" ref="M36:N36" si="1">IFERROR(AVERAGEIF(M5:M35,"&gt;0"),0)</f>
        <v>45.409612877849852</v>
      </c>
      <c r="N36" s="112">
        <f t="shared" si="1"/>
        <v>47.358630952380949</v>
      </c>
    </row>
  </sheetData>
  <sheetProtection algorithmName="SHA-512" hashValue="IdIZKiWuYpKzM3Mt2Ebs/feN7vn3gbxGuVYAfN/cXmb/w3IxxeAqie/nxS0IL6+vVonS+kakM5/QpOzf05qSbg==" saltValue="XGvSgGNMNgth1SeDQWoAa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9B876-DED2-4B19-BE15-3DA897B70AE4}">
  <sheetPr>
    <tabColor rgb="FFFFFF00"/>
    <pageSetUpPr fitToPage="1"/>
  </sheetPr>
  <dimension ref="B5:J45"/>
  <sheetViews>
    <sheetView view="pageBreakPreview" topLeftCell="A7" zoomScaleNormal="100" zoomScaleSheetLayoutView="100" workbookViewId="0">
      <pane xSplit="2" ySplit="5" topLeftCell="C18" activePane="bottomRight" state="frozen"/>
      <selection pane="bottomRight" activeCell="A32" sqref="A32:XFD32"/>
      <selection pane="bottomLeft" activeCell="D107" sqref="D107"/>
      <selection pane="topRight" activeCell="D107" sqref="D107"/>
    </sheetView>
  </sheetViews>
  <sheetFormatPr defaultRowHeight="15"/>
  <cols>
    <col min="2" max="2" width="11" customWidth="1"/>
    <col min="9" max="9" width="10.7109375" customWidth="1"/>
    <col min="10" max="10" width="18.28515625" customWidth="1"/>
  </cols>
  <sheetData>
    <row r="5" spans="2:10" ht="24" customHeight="1"/>
    <row r="7" spans="2:10">
      <c r="B7" s="333"/>
      <c r="C7" s="333"/>
      <c r="D7" s="400" t="s">
        <v>107</v>
      </c>
      <c r="E7" s="400"/>
      <c r="F7" s="400"/>
      <c r="G7" s="400"/>
      <c r="H7" s="400"/>
      <c r="I7" s="122" t="s">
        <v>7</v>
      </c>
      <c r="J7" s="123">
        <f>SUM('DATA B3'!N6)</f>
        <v>46023</v>
      </c>
    </row>
    <row r="8" spans="2:10">
      <c r="B8" s="333"/>
      <c r="C8" s="333"/>
      <c r="D8" s="400"/>
      <c r="E8" s="400"/>
      <c r="F8" s="400"/>
      <c r="G8" s="400"/>
      <c r="H8" s="400"/>
      <c r="I8" s="122" t="s">
        <v>3</v>
      </c>
      <c r="J8" s="124" t="s">
        <v>47</v>
      </c>
    </row>
    <row r="9" spans="2:10">
      <c r="B9" s="333"/>
      <c r="C9" s="333"/>
      <c r="D9" s="400"/>
      <c r="E9" s="400"/>
      <c r="F9" s="400"/>
      <c r="G9" s="400"/>
      <c r="H9" s="400"/>
      <c r="I9" s="122" t="s">
        <v>5</v>
      </c>
      <c r="J9" s="124" t="s">
        <v>47</v>
      </c>
    </row>
    <row r="10" spans="2:10" ht="15.75" customHeight="1">
      <c r="B10" s="333" t="s">
        <v>8</v>
      </c>
      <c r="C10" s="333" t="s">
        <v>108</v>
      </c>
      <c r="D10" s="333"/>
      <c r="E10" s="333"/>
      <c r="F10" s="333" t="s">
        <v>56</v>
      </c>
      <c r="G10" s="333"/>
      <c r="H10" s="333"/>
      <c r="I10" s="406" t="s">
        <v>109</v>
      </c>
      <c r="J10" s="125" t="s">
        <v>110</v>
      </c>
    </row>
    <row r="11" spans="2:10">
      <c r="B11" s="333"/>
      <c r="C11" s="93" t="s">
        <v>69</v>
      </c>
      <c r="D11" s="93" t="s">
        <v>79</v>
      </c>
      <c r="E11" s="93" t="s">
        <v>83</v>
      </c>
      <c r="F11" s="93" t="s">
        <v>69</v>
      </c>
      <c r="G11" s="93" t="s">
        <v>79</v>
      </c>
      <c r="H11" s="93" t="s">
        <v>83</v>
      </c>
      <c r="I11" s="406"/>
      <c r="J11" s="125" t="s">
        <v>104</v>
      </c>
    </row>
    <row r="12" spans="2:10">
      <c r="B12" s="111">
        <f>SUM(SBoiler3!B5)</f>
        <v>46023</v>
      </c>
      <c r="C12" s="93">
        <f>COUNTIF('WATER_STEAM RATIO'!E12:E35,"&lt;&gt;0")</f>
        <v>0</v>
      </c>
      <c r="D12" s="93">
        <f>COUNTIF('WATER_STEAM RATIO'!K12:K35,"&lt;&gt;0")</f>
        <v>24</v>
      </c>
      <c r="E12" s="186">
        <f>COUNTIF('WATER_STEAM RATIO'!Q12:Q35,"&lt;&gt;0")</f>
        <v>24</v>
      </c>
      <c r="F12" s="186">
        <f>SUM(SBoiler1!K5)</f>
        <v>0</v>
      </c>
      <c r="G12" s="186">
        <f>SUM(SBoiler2!K5)</f>
        <v>268</v>
      </c>
      <c r="H12" s="186">
        <f>SUM(SBoiler3!K5)</f>
        <v>186</v>
      </c>
      <c r="I12" s="186">
        <f>SUM(F12:H12)</f>
        <v>454</v>
      </c>
      <c r="J12" s="126">
        <f>IFERROR(I12/((C12*18)+(D12*18)+(E12*16))*100,0)</f>
        <v>55.637254901960787</v>
      </c>
    </row>
    <row r="13" spans="2:10">
      <c r="B13" s="111">
        <f>SUM(SBoiler3!B6)</f>
        <v>46024</v>
      </c>
      <c r="C13" s="93">
        <f>COUNTIF('WATER_STEAM RATIO'!E38:E61,"&lt;&gt;0")</f>
        <v>0</v>
      </c>
      <c r="D13" s="93">
        <f>COUNTIF('WATER_STEAM RATIO'!K38:K61,"&lt;&gt;0")</f>
        <v>24</v>
      </c>
      <c r="E13" s="186">
        <f>COUNTIF('WATER_STEAM RATIO'!Q38:Q61,"&lt;&gt;0")</f>
        <v>24</v>
      </c>
      <c r="F13" s="186">
        <f>SUM(SBoiler1!K6)</f>
        <v>0</v>
      </c>
      <c r="G13" s="186">
        <f>SUM(SBoiler2!K6)</f>
        <v>262</v>
      </c>
      <c r="H13" s="186">
        <f>SUM(SBoiler3!K6)</f>
        <v>186</v>
      </c>
      <c r="I13" s="186">
        <f>SUM(F13:H13)</f>
        <v>448</v>
      </c>
      <c r="J13" s="126">
        <f t="shared" ref="J13:J42" si="0">IFERROR(I13/((C13*18)+(D13*18)+(E13*16))*100,0)</f>
        <v>54.901960784313729</v>
      </c>
    </row>
    <row r="14" spans="2:10">
      <c r="B14" s="111">
        <f>SUM(SBoiler3!B7)</f>
        <v>46025</v>
      </c>
      <c r="C14" s="93">
        <f>COUNTIF('WATER_STEAM RATIO'!E64:E87,"&lt;&gt;0")</f>
        <v>0</v>
      </c>
      <c r="D14" s="93">
        <f>COUNTIF('WATER_STEAM RATIO'!K64:K87,"&lt;&gt;0")</f>
        <v>24</v>
      </c>
      <c r="E14" s="186">
        <f>COUNTIF('WATER_STEAM RATIO'!Q64:Q87,"&lt;&gt;0")</f>
        <v>24</v>
      </c>
      <c r="F14" s="186">
        <f>SUM(SBoiler1!K7)</f>
        <v>0</v>
      </c>
      <c r="G14" s="186">
        <f>SUM(SBoiler2!K7)</f>
        <v>260</v>
      </c>
      <c r="H14" s="186">
        <f>SUM(SBoiler3!K7)</f>
        <v>179</v>
      </c>
      <c r="I14" s="186">
        <f t="shared" ref="I14:I20" si="1">SUM(F14:H14)</f>
        <v>439</v>
      </c>
      <c r="J14" s="126">
        <f t="shared" si="0"/>
        <v>53.799019607843135</v>
      </c>
    </row>
    <row r="15" spans="2:10">
      <c r="B15" s="111">
        <f>SUM(SBoiler3!B8)</f>
        <v>46026</v>
      </c>
      <c r="C15" s="93">
        <f>COUNTIF('WATER_STEAM RATIO'!E90:E113,"&lt;&gt;0")</f>
        <v>0</v>
      </c>
      <c r="D15" s="93">
        <f>COUNTIF('WATER_STEAM RATIO'!K90:K113,"&lt;&gt;0")</f>
        <v>24</v>
      </c>
      <c r="E15" s="186">
        <f>COUNTIF('WATER_STEAM RATIO'!Q90:Q113,"&lt;&gt;0")</f>
        <v>24</v>
      </c>
      <c r="F15" s="186">
        <f>SUM(SBoiler1!K8)</f>
        <v>0</v>
      </c>
      <c r="G15" s="186">
        <f>SUM(SBoiler2!K8)</f>
        <v>271</v>
      </c>
      <c r="H15" s="186">
        <f>SUM(SBoiler3!K8)</f>
        <v>157</v>
      </c>
      <c r="I15" s="186">
        <f t="shared" si="1"/>
        <v>428</v>
      </c>
      <c r="J15" s="126">
        <f t="shared" si="0"/>
        <v>52.450980392156865</v>
      </c>
    </row>
    <row r="16" spans="2:10">
      <c r="B16" s="111">
        <f>SUM(SBoiler3!B9)</f>
        <v>46027</v>
      </c>
      <c r="C16" s="93">
        <f>COUNTIF('WATER_STEAM RATIO'!E116:E139,"&lt;&gt;0")</f>
        <v>0</v>
      </c>
      <c r="D16" s="93">
        <f>COUNTIF('WATER_STEAM RATIO'!K116:K139,"&lt;&gt;0")</f>
        <v>24</v>
      </c>
      <c r="E16" s="186">
        <f>COUNTIF('WATER_STEAM RATIO'!Q116:Q139,"&lt;&gt;0")</f>
        <v>17</v>
      </c>
      <c r="F16" s="186">
        <f>SUM(SBoiler1!K9)</f>
        <v>0</v>
      </c>
      <c r="G16" s="186">
        <f>SUM(SBoiler2!K9)</f>
        <v>256</v>
      </c>
      <c r="H16" s="186">
        <f>SUM(SBoiler3!K9)</f>
        <v>108</v>
      </c>
      <c r="I16" s="186">
        <f t="shared" si="1"/>
        <v>364</v>
      </c>
      <c r="J16" s="126">
        <f t="shared" si="0"/>
        <v>51.70454545454546</v>
      </c>
    </row>
    <row r="17" spans="2:10">
      <c r="B17" s="111">
        <f>SUM(SBoiler3!B10)</f>
        <v>46028</v>
      </c>
      <c r="C17" s="93">
        <f>COUNTIF('WATER_STEAM RATIO'!E142:E165,"&lt;&gt;0")</f>
        <v>0</v>
      </c>
      <c r="D17" s="93">
        <f>COUNTIF('WATER_STEAM RATIO'!K142:K165,"&lt;&gt;0")</f>
        <v>24</v>
      </c>
      <c r="E17" s="186">
        <f>COUNTIF('WATER_STEAM RATIO'!Q142:Q165,"&lt;&gt;0")</f>
        <v>0</v>
      </c>
      <c r="F17" s="186">
        <f>SUM(SBoiler1!K10)</f>
        <v>0</v>
      </c>
      <c r="G17" s="186">
        <f>SUM(SBoiler2!K10)</f>
        <v>214</v>
      </c>
      <c r="H17" s="186">
        <f>SUM(SBoiler3!K10)</f>
        <v>0</v>
      </c>
      <c r="I17" s="186">
        <f t="shared" si="1"/>
        <v>214</v>
      </c>
      <c r="J17" s="126">
        <f t="shared" si="0"/>
        <v>49.537037037037038</v>
      </c>
    </row>
    <row r="18" spans="2:10">
      <c r="B18" s="111">
        <f>SUM(SBoiler3!B11)</f>
        <v>46029</v>
      </c>
      <c r="C18" s="93">
        <f>COUNTIF('WATER_STEAM RATIO'!E168:E191,"&lt;&gt;0")</f>
        <v>0</v>
      </c>
      <c r="D18" s="93">
        <f>COUNTIF('WATER_STEAM RATIO'!K168:K191,"&lt;&gt;0")</f>
        <v>24</v>
      </c>
      <c r="E18" s="186">
        <f>COUNTIF('WATER_STEAM RATIO'!Q168:Q191,"&lt;&gt;0")</f>
        <v>0</v>
      </c>
      <c r="F18" s="186">
        <f>SUM(SBoiler1!K11)</f>
        <v>0</v>
      </c>
      <c r="G18" s="186">
        <f>SUM(SBoiler2!K11)</f>
        <v>212</v>
      </c>
      <c r="H18" s="186">
        <f>SUM(SBoiler3!K11)</f>
        <v>0</v>
      </c>
      <c r="I18" s="186">
        <f t="shared" si="1"/>
        <v>212</v>
      </c>
      <c r="J18" s="126">
        <f t="shared" si="0"/>
        <v>49.074074074074076</v>
      </c>
    </row>
    <row r="19" spans="2:10">
      <c r="B19" s="111">
        <f>SUM(SBoiler3!B12)</f>
        <v>46030</v>
      </c>
      <c r="C19" s="93">
        <f>COUNTIF('WATER_STEAM RATIO'!E194:E217,"&lt;&gt;0")</f>
        <v>0</v>
      </c>
      <c r="D19" s="93">
        <f>COUNTIF('WATER_STEAM RATIO'!K194:K217,"&lt;&gt;0")</f>
        <v>24</v>
      </c>
      <c r="E19" s="186">
        <f>COUNTIF('WATER_STEAM RATIO'!Q194:Q217,"&lt;&gt;0")</f>
        <v>0</v>
      </c>
      <c r="F19" s="186">
        <f>SUM(SBoiler1!K12)</f>
        <v>0</v>
      </c>
      <c r="G19" s="186">
        <f>SUM(SBoiler2!K12)</f>
        <v>202</v>
      </c>
      <c r="H19" s="186">
        <f>SUM(SBoiler3!K12)</f>
        <v>0</v>
      </c>
      <c r="I19" s="186">
        <f t="shared" si="1"/>
        <v>202</v>
      </c>
      <c r="J19" s="126">
        <f t="shared" si="0"/>
        <v>46.75925925925926</v>
      </c>
    </row>
    <row r="20" spans="2:10">
      <c r="B20" s="111">
        <f>SUM(SBoiler3!B13)</f>
        <v>46031</v>
      </c>
      <c r="C20" s="93">
        <f>COUNTIF('WATER_STEAM RATIO'!E220:E243,"&lt;&gt;0")</f>
        <v>0</v>
      </c>
      <c r="D20" s="93">
        <f>COUNTIF('WATER_STEAM RATIO'!K220:K243,"&lt;&gt;0")</f>
        <v>24</v>
      </c>
      <c r="E20" s="186">
        <f>COUNTIF('WATER_STEAM RATIO'!Q220:Q243,"&lt;&gt;0")</f>
        <v>0</v>
      </c>
      <c r="F20" s="186">
        <f>SUM(SBoiler1!K13)</f>
        <v>0</v>
      </c>
      <c r="G20" s="186">
        <f>SUM(SBoiler2!K13)</f>
        <v>217</v>
      </c>
      <c r="H20" s="186">
        <f>SUM(SBoiler3!K13)</f>
        <v>0</v>
      </c>
      <c r="I20" s="186">
        <f t="shared" si="1"/>
        <v>217</v>
      </c>
      <c r="J20" s="126">
        <f t="shared" si="0"/>
        <v>50.231481481481474</v>
      </c>
    </row>
    <row r="21" spans="2:10">
      <c r="B21" s="111">
        <f>SUM(SBoiler3!B14)</f>
        <v>46032</v>
      </c>
      <c r="C21" s="93">
        <f>COUNTIF('WATER_STEAM RATIO'!E246:E269,"&lt;&gt;0")</f>
        <v>0</v>
      </c>
      <c r="D21" s="93">
        <f>COUNTIF('WATER_STEAM RATIO'!K246:K269,"&lt;&gt;0")</f>
        <v>24</v>
      </c>
      <c r="E21" s="186">
        <f>COUNTIF('WATER_STEAM RATIO'!Q246:Q269,"&lt;&gt;0")</f>
        <v>0</v>
      </c>
      <c r="F21" s="186">
        <f>SUM(SBoiler1!K14)</f>
        <v>0</v>
      </c>
      <c r="G21" s="186">
        <f>SUM(SBoiler2!K14)</f>
        <v>202</v>
      </c>
      <c r="H21" s="186">
        <f>SUM(SBoiler3!K14)</f>
        <v>0</v>
      </c>
      <c r="I21" s="186">
        <f>SUM(F21:H21)</f>
        <v>202</v>
      </c>
      <c r="J21" s="126">
        <f t="shared" si="0"/>
        <v>46.75925925925926</v>
      </c>
    </row>
    <row r="22" spans="2:10">
      <c r="B22" s="111">
        <f>SUM(SBoiler3!B15)</f>
        <v>46033</v>
      </c>
      <c r="C22" s="93">
        <f>COUNTIF('WATER_STEAM RATIO'!E272:E295,"&lt;&gt;0")</f>
        <v>0</v>
      </c>
      <c r="D22" s="93">
        <f>COUNTIF('WATER_STEAM RATIO'!K272:K295,"&lt;&gt;0")</f>
        <v>24</v>
      </c>
      <c r="E22" s="93">
        <f>COUNTIF('WATER_STEAM RATIO'!Q272:Q295,"&lt;&gt;0")</f>
        <v>0</v>
      </c>
      <c r="F22" s="186">
        <f>SUM(SBoiler1!K15)</f>
        <v>0</v>
      </c>
      <c r="G22" s="186">
        <f>SUM(SBoiler2!K15)</f>
        <v>202</v>
      </c>
      <c r="H22" s="186">
        <f>SUM(SBoiler3!K15)</f>
        <v>0</v>
      </c>
      <c r="I22" s="186">
        <f>SUM(F22:H22)</f>
        <v>202</v>
      </c>
      <c r="J22" s="126">
        <f t="shared" si="0"/>
        <v>46.75925925925926</v>
      </c>
    </row>
    <row r="23" spans="2:10">
      <c r="B23" s="111">
        <f>SUM(SBoiler3!B16)</f>
        <v>46034</v>
      </c>
      <c r="C23" s="93">
        <f>COUNTIF('WATER_STEAM RATIO'!E298:E321,"&lt;&gt;0")</f>
        <v>0</v>
      </c>
      <c r="D23" s="93">
        <f>COUNTIF('WATER_STEAM RATIO'!K298:K321,"&lt;&gt;0")</f>
        <v>24</v>
      </c>
      <c r="E23" s="93">
        <f>COUNTIF('WATER_STEAM RATIO'!Q298:Q321,"&lt;&gt;0")</f>
        <v>0</v>
      </c>
      <c r="F23" s="186">
        <f>SUM(SBoiler1!K16)</f>
        <v>0</v>
      </c>
      <c r="G23" s="186">
        <f>SUM(SBoiler2!K16)</f>
        <v>232</v>
      </c>
      <c r="H23" s="186">
        <f>SUM(SBoiler3!K16)</f>
        <v>0</v>
      </c>
      <c r="I23" s="186">
        <f t="shared" ref="I23:I28" si="2">SUM(F23:H23)</f>
        <v>232</v>
      </c>
      <c r="J23" s="126">
        <f t="shared" si="0"/>
        <v>53.703703703703709</v>
      </c>
    </row>
    <row r="24" spans="2:10">
      <c r="B24" s="111">
        <f>SUM(SBoiler3!B17)</f>
        <v>46035</v>
      </c>
      <c r="C24" s="93">
        <f>COUNTIF('WATER_STEAM RATIO'!E324:E347,"&lt;&gt;0")</f>
        <v>0</v>
      </c>
      <c r="D24" s="93">
        <f>COUNTIF('WATER_STEAM RATIO'!K324:K347,"&lt;&gt;0")</f>
        <v>24</v>
      </c>
      <c r="E24" s="93">
        <f>COUNTIF('WATER_STEAM RATIO'!Q324:Q347,"&lt;&gt;0")</f>
        <v>0</v>
      </c>
      <c r="F24" s="186">
        <f>SUM(SBoiler1!K17)</f>
        <v>0</v>
      </c>
      <c r="G24" s="186">
        <f>SUM(SBoiler2!K17)</f>
        <v>259</v>
      </c>
      <c r="H24" s="186">
        <f>SUM(SBoiler3!K17)</f>
        <v>0</v>
      </c>
      <c r="I24" s="186">
        <f t="shared" si="2"/>
        <v>259</v>
      </c>
      <c r="J24" s="126">
        <f t="shared" si="0"/>
        <v>59.953703703703709</v>
      </c>
    </row>
    <row r="25" spans="2:10">
      <c r="B25" s="111">
        <f>SUM(SBoiler3!B18)</f>
        <v>46036</v>
      </c>
      <c r="C25" s="93">
        <f>COUNTIF('WATER_STEAM RATIO'!E350:E373,"&lt;&gt;0")</f>
        <v>0</v>
      </c>
      <c r="D25" s="93">
        <f>COUNTIF('WATER_STEAM RATIO'!K350:K373,"&lt;&gt;0")</f>
        <v>24</v>
      </c>
      <c r="E25" s="93">
        <f>COUNTIF('WATER_STEAM RATIO'!Q350:Q373,"&lt;&gt;0")</f>
        <v>0</v>
      </c>
      <c r="F25" s="186">
        <f>SUM(SBoiler1!K18)</f>
        <v>0</v>
      </c>
      <c r="G25" s="186">
        <f>SUM(SBoiler2!K18)</f>
        <v>270</v>
      </c>
      <c r="H25" s="186">
        <f>SUM(SBoiler3!K18)</f>
        <v>0</v>
      </c>
      <c r="I25" s="186">
        <f t="shared" si="2"/>
        <v>270</v>
      </c>
      <c r="J25" s="126">
        <f t="shared" si="0"/>
        <v>62.5</v>
      </c>
    </row>
    <row r="26" spans="2:10">
      <c r="B26" s="111">
        <f>SUM(SBoiler3!B19)</f>
        <v>46037</v>
      </c>
      <c r="C26" s="93">
        <f>COUNTIF('WATER_STEAM RATIO'!E376:E399,"&lt;&gt;0")</f>
        <v>0</v>
      </c>
      <c r="D26" s="93">
        <f>COUNTIF('WATER_STEAM RATIO'!K376:K399,"&lt;&gt;0")</f>
        <v>24</v>
      </c>
      <c r="E26" s="93">
        <f>COUNTIF('WATER_STEAM RATIO'!Q376:Q399,"&lt;&gt;0")</f>
        <v>0</v>
      </c>
      <c r="F26" s="186">
        <f>SUM(SBoiler1!K19)</f>
        <v>0</v>
      </c>
      <c r="G26" s="186">
        <f>SUM(SBoiler2!K19)</f>
        <v>284</v>
      </c>
      <c r="H26" s="186">
        <f>SUM(SBoiler3!K19)</f>
        <v>0</v>
      </c>
      <c r="I26" s="186">
        <f t="shared" si="2"/>
        <v>284</v>
      </c>
      <c r="J26" s="126">
        <f t="shared" si="0"/>
        <v>65.740740740740748</v>
      </c>
    </row>
    <row r="27" spans="2:10">
      <c r="B27" s="111">
        <f>SUM(SBoiler3!B20)</f>
        <v>46038</v>
      </c>
      <c r="C27" s="93">
        <f>COUNTIF('WATER_STEAM RATIO'!E402:E425,"&lt;&gt;0")</f>
        <v>0</v>
      </c>
      <c r="D27" s="93">
        <f>COUNTIF('WATER_STEAM RATIO'!K402:K425,"&lt;&gt;0")</f>
        <v>24</v>
      </c>
      <c r="E27" s="93">
        <f>COUNTIF('WATER_STEAM RATIO'!Q402:Q425,"&lt;&gt;0")</f>
        <v>0</v>
      </c>
      <c r="F27" s="186">
        <f>SUM(SBoiler1!K20)</f>
        <v>0</v>
      </c>
      <c r="G27" s="186">
        <f>SUM(SBoiler2!K20)</f>
        <v>271</v>
      </c>
      <c r="H27" s="186">
        <f>SUM(SBoiler3!K20)</f>
        <v>0</v>
      </c>
      <c r="I27" s="186">
        <f t="shared" si="2"/>
        <v>271</v>
      </c>
      <c r="J27" s="126">
        <f t="shared" si="0"/>
        <v>62.731481481481474</v>
      </c>
    </row>
    <row r="28" spans="2:10">
      <c r="B28" s="111">
        <f>SUM(SBoiler3!B21)</f>
        <v>46039</v>
      </c>
      <c r="C28" s="93">
        <f>COUNTIF('WATER_STEAM RATIO'!E428:E451,"&lt;&gt;0")</f>
        <v>0</v>
      </c>
      <c r="D28" s="93">
        <f>COUNTIF('WATER_STEAM RATIO'!K428:K451,"&lt;&gt;0")</f>
        <v>24</v>
      </c>
      <c r="E28" s="93">
        <f>COUNTIF('WATER_STEAM RATIO'!Q428:Q451,"&lt;&gt;0")</f>
        <v>0</v>
      </c>
      <c r="F28" s="186">
        <f>SUM(SBoiler1!K21)</f>
        <v>0</v>
      </c>
      <c r="G28" s="186">
        <f>SUM(SBoiler2!K21)</f>
        <v>227</v>
      </c>
      <c r="H28" s="186">
        <f>SUM(SBoiler3!K21)</f>
        <v>0</v>
      </c>
      <c r="I28" s="186">
        <f t="shared" si="2"/>
        <v>227</v>
      </c>
      <c r="J28" s="126">
        <f t="shared" si="0"/>
        <v>52.546296296296291</v>
      </c>
    </row>
    <row r="29" spans="2:10">
      <c r="B29" s="111">
        <f>SUM(SBoiler3!B22)</f>
        <v>46040</v>
      </c>
      <c r="C29" s="93">
        <f>COUNTIF('WATER_STEAM RATIO'!E454:E477,"&lt;&gt;0")</f>
        <v>0</v>
      </c>
      <c r="D29" s="93">
        <f>COUNTIF('WATER_STEAM RATIO'!K454:K477,"&lt;&gt;0")</f>
        <v>24</v>
      </c>
      <c r="E29" s="93">
        <f>COUNTIF('WATER_STEAM RATIO'!Q454:Q477,"&lt;&gt;0")</f>
        <v>0</v>
      </c>
      <c r="F29" s="186">
        <f>SUM(SBoiler1!K22)</f>
        <v>0</v>
      </c>
      <c r="G29" s="186">
        <f>SUM(SBoiler2!K22)</f>
        <v>187</v>
      </c>
      <c r="H29" s="186">
        <f>SUM(SBoiler3!K22)</f>
        <v>0</v>
      </c>
      <c r="I29" s="186">
        <f>SUM(F29:H29)</f>
        <v>187</v>
      </c>
      <c r="J29" s="126">
        <f t="shared" si="0"/>
        <v>43.287037037037038</v>
      </c>
    </row>
    <row r="30" spans="2:10">
      <c r="B30" s="111">
        <f>SUM(SBoiler3!B23)</f>
        <v>46041</v>
      </c>
      <c r="C30" s="93">
        <f>COUNTIF('WATER_STEAM RATIO'!E480:E503,"&lt;&gt;0")</f>
        <v>0</v>
      </c>
      <c r="D30" s="93">
        <f>COUNTIF('WATER_STEAM RATIO'!K480:K503,"&lt;&gt;0")</f>
        <v>8</v>
      </c>
      <c r="E30" s="93">
        <f>COUNTIF('WATER_STEAM RATIO'!Q480:Q503,"&lt;&gt;0")</f>
        <v>18</v>
      </c>
      <c r="F30" s="186">
        <f>SUM(SBoiler1!K23)</f>
        <v>0</v>
      </c>
      <c r="G30" s="186">
        <f>SUM(SBoiler2!K23)</f>
        <v>41</v>
      </c>
      <c r="H30" s="186">
        <f>SUM(SBoiler3!K23)</f>
        <v>221</v>
      </c>
      <c r="I30" s="186">
        <f>SUM(F30:H30)</f>
        <v>262</v>
      </c>
      <c r="J30" s="126">
        <f t="shared" si="0"/>
        <v>60.648148148148152</v>
      </c>
    </row>
    <row r="31" spans="2:10">
      <c r="B31" s="111">
        <f>SUM(SBoiler3!B24)</f>
        <v>46042</v>
      </c>
      <c r="C31" s="93">
        <f>COUNTIF('WATER_STEAM RATIO'!E506:E529,"&lt;&gt;0")</f>
        <v>0</v>
      </c>
      <c r="D31" s="93">
        <f>COUNTIF('WATER_STEAM RATIO'!K506:K529,"&lt;&gt;0")</f>
        <v>0</v>
      </c>
      <c r="E31" s="93">
        <f>COUNTIF('WATER_STEAM RATIO'!Q506:Q529,"&lt;&gt;0")</f>
        <v>24</v>
      </c>
      <c r="F31" s="186">
        <f>SUM(SBoiler1!K24)</f>
        <v>0</v>
      </c>
      <c r="G31" s="186">
        <f>SUM(SBoiler2!K24)</f>
        <v>0</v>
      </c>
      <c r="H31" s="186">
        <f>SUM(SBoiler3!K24)</f>
        <v>278</v>
      </c>
      <c r="I31" s="186">
        <f t="shared" ref="I31:I37" si="3">SUM(F31:H31)</f>
        <v>278</v>
      </c>
      <c r="J31" s="126">
        <f t="shared" si="0"/>
        <v>72.395833333333343</v>
      </c>
    </row>
    <row r="32" spans="2:10">
      <c r="B32" s="111">
        <f>SUM(SBoiler3!B25)</f>
        <v>46043</v>
      </c>
      <c r="C32" s="93">
        <f>COUNTIF('WATER_STEAM RATIO'!E532:E555,"&lt;&gt;0")</f>
        <v>1</v>
      </c>
      <c r="D32" s="93">
        <f>COUNTIF('WATER_STEAM RATIO'!K532:K555,"&lt;&gt;0")</f>
        <v>1</v>
      </c>
      <c r="E32" s="93">
        <f>COUNTIF('WATER_STEAM RATIO'!Q532:Q555,"&lt;&gt;0")</f>
        <v>5</v>
      </c>
      <c r="F32" s="186">
        <f>SUM(SBoiler1!K25)</f>
        <v>0</v>
      </c>
      <c r="G32" s="186">
        <f>SUM(SBoiler2!K25)</f>
        <v>0</v>
      </c>
      <c r="H32" s="186">
        <f>SUM(SBoiler3!K25)</f>
        <v>51</v>
      </c>
      <c r="I32" s="186">
        <f t="shared" si="3"/>
        <v>51</v>
      </c>
      <c r="J32" s="126">
        <f t="shared" si="0"/>
        <v>43.96551724137931</v>
      </c>
    </row>
    <row r="33" spans="2:10">
      <c r="B33" s="111">
        <f>SUM(SBoiler3!B26)</f>
        <v>46044</v>
      </c>
      <c r="C33" s="93">
        <f>COUNTIF('WATER_STEAM RATIO'!E558:E581,"&lt;&gt;0")</f>
        <v>0</v>
      </c>
      <c r="D33" s="93">
        <f>COUNTIF('WATER_STEAM RATIO'!K558:K581,"&lt;&gt;0")</f>
        <v>0</v>
      </c>
      <c r="E33" s="93">
        <f>COUNTIF('WATER_STEAM RATIO'!Q558:Q581,"&lt;&gt;0")</f>
        <v>0</v>
      </c>
      <c r="F33" s="186">
        <f>SUM(SBoiler1!K26)</f>
        <v>0</v>
      </c>
      <c r="G33" s="186">
        <f>SUM(SBoiler2!K26)</f>
        <v>0</v>
      </c>
      <c r="H33" s="186">
        <f>SUM(SBoiler3!K26)</f>
        <v>0</v>
      </c>
      <c r="I33" s="186">
        <f t="shared" si="3"/>
        <v>0</v>
      </c>
      <c r="J33" s="126">
        <f>IFERROR(I33/((C33*18)+(D33*18)+(E33*16))*100,0)</f>
        <v>0</v>
      </c>
    </row>
    <row r="34" spans="2:10">
      <c r="B34" s="111">
        <f>SUM(SBoiler3!B27)</f>
        <v>46045</v>
      </c>
      <c r="C34" s="93">
        <f>COUNTIF('WATER_STEAM RATIO'!E584:E607,"&lt;&gt;0")</f>
        <v>0</v>
      </c>
      <c r="D34" s="93">
        <f>COUNTIF('WATER_STEAM RATIO'!K584:K607,"&lt;&gt;0")</f>
        <v>0</v>
      </c>
      <c r="E34" s="93">
        <f>COUNTIF('WATER_STEAM RATIO'!Q584:Q607,"&lt;&gt;0")</f>
        <v>0</v>
      </c>
      <c r="F34" s="186">
        <f>SUM(SBoiler1!K27)</f>
        <v>0</v>
      </c>
      <c r="G34" s="186">
        <f>SUM(SBoiler2!K27)</f>
        <v>0</v>
      </c>
      <c r="H34" s="186">
        <f>SUM(SBoiler3!K27)</f>
        <v>0</v>
      </c>
      <c r="I34" s="186">
        <f t="shared" si="3"/>
        <v>0</v>
      </c>
      <c r="J34" s="126">
        <f t="shared" si="0"/>
        <v>0</v>
      </c>
    </row>
    <row r="35" spans="2:10">
      <c r="B35" s="111">
        <f>SUM(SBoiler3!B28)</f>
        <v>46046</v>
      </c>
      <c r="C35" s="93">
        <f>COUNTIF('WATER_STEAM RATIO'!E610:E633,"&lt;&gt;0")</f>
        <v>0</v>
      </c>
      <c r="D35" s="93">
        <f>COUNTIF('WATER_STEAM RATIO'!K610:K633,"&lt;&gt;0")</f>
        <v>0</v>
      </c>
      <c r="E35" s="93">
        <f>COUNTIF('WATER_STEAM RATIO'!Q610:Q633,"&lt;&gt;0")</f>
        <v>0</v>
      </c>
      <c r="F35" s="186">
        <f>SUM(SBoiler1!K28)</f>
        <v>0</v>
      </c>
      <c r="G35" s="186">
        <f>SUM(SBoiler2!K28)</f>
        <v>0</v>
      </c>
      <c r="H35" s="186">
        <f>SUM(SBoiler3!K28)</f>
        <v>0</v>
      </c>
      <c r="I35" s="186">
        <f t="shared" si="3"/>
        <v>0</v>
      </c>
      <c r="J35" s="126">
        <f t="shared" si="0"/>
        <v>0</v>
      </c>
    </row>
    <row r="36" spans="2:10">
      <c r="B36" s="111">
        <f>SUM(SBoiler3!B29)</f>
        <v>46047</v>
      </c>
      <c r="C36" s="93">
        <f>COUNTIF('WATER_STEAM RATIO'!E636:E659,"&lt;&gt;0")</f>
        <v>0</v>
      </c>
      <c r="D36" s="93">
        <f>COUNTIF('WATER_STEAM RATIO'!K636:K659,"&lt;&gt;0")</f>
        <v>0</v>
      </c>
      <c r="E36" s="93">
        <f>COUNTIF('WATER_STEAM RATIO'!Q636:Q659,"&lt;&gt;0")</f>
        <v>0</v>
      </c>
      <c r="F36" s="186">
        <f>SUM(SBoiler1!K29)</f>
        <v>0</v>
      </c>
      <c r="G36" s="186">
        <f>SUM(SBoiler2!K29)</f>
        <v>0</v>
      </c>
      <c r="H36" s="186">
        <f>SUM(SBoiler3!K29)</f>
        <v>0</v>
      </c>
      <c r="I36" s="186">
        <f t="shared" si="3"/>
        <v>0</v>
      </c>
      <c r="J36" s="126">
        <f t="shared" si="0"/>
        <v>0</v>
      </c>
    </row>
    <row r="37" spans="2:10">
      <c r="B37" s="111">
        <f>SUM(SBoiler3!B30)</f>
        <v>46048</v>
      </c>
      <c r="C37" s="93">
        <f>COUNTIF('WATER_STEAM RATIO'!E662:E685,"&lt;&gt;0")</f>
        <v>0</v>
      </c>
      <c r="D37" s="93">
        <f>COUNTIF('WATER_STEAM RATIO'!K662:K685,"&lt;&gt;0")</f>
        <v>0</v>
      </c>
      <c r="E37" s="93">
        <f>COUNTIF('WATER_STEAM RATIO'!Q662:Q685,"&lt;&gt;0")</f>
        <v>0</v>
      </c>
      <c r="F37" s="186">
        <f>SUM(SBoiler1!K30)</f>
        <v>0</v>
      </c>
      <c r="G37" s="186">
        <f>SUM(SBoiler2!K30)</f>
        <v>0</v>
      </c>
      <c r="H37" s="186">
        <f>SUM(SBoiler3!K30)</f>
        <v>0</v>
      </c>
      <c r="I37" s="186">
        <f t="shared" si="3"/>
        <v>0</v>
      </c>
      <c r="J37" s="126">
        <f t="shared" si="0"/>
        <v>0</v>
      </c>
    </row>
    <row r="38" spans="2:10">
      <c r="B38" s="111">
        <f>SUM(SBoiler3!B31)</f>
        <v>46049</v>
      </c>
      <c r="C38" s="93">
        <f>COUNTIF('WATER_STEAM RATIO'!E688:E711,"&lt;&gt;0")</f>
        <v>0</v>
      </c>
      <c r="D38" s="93">
        <f>COUNTIF('WATER_STEAM RATIO'!K688:K711,"&lt;&gt;0")</f>
        <v>0</v>
      </c>
      <c r="E38" s="93">
        <f>COUNTIF('WATER_STEAM RATIO'!Q688:Q711,"&lt;&gt;0")</f>
        <v>0</v>
      </c>
      <c r="F38" s="186">
        <f>SUM(SBoiler1!K31)</f>
        <v>0</v>
      </c>
      <c r="G38" s="186">
        <f>SUM(SBoiler2!K31)</f>
        <v>0</v>
      </c>
      <c r="H38" s="186">
        <f>SUM(SBoiler3!K31)</f>
        <v>0</v>
      </c>
      <c r="I38" s="186">
        <f t="shared" ref="I38:I43" si="4">SUM(F38:H38)</f>
        <v>0</v>
      </c>
      <c r="J38" s="126">
        <f t="shared" si="0"/>
        <v>0</v>
      </c>
    </row>
    <row r="39" spans="2:10">
      <c r="B39" s="111">
        <f>SUM(SBoiler3!B32)</f>
        <v>46050</v>
      </c>
      <c r="C39" s="93">
        <f>COUNTIF('WATER_STEAM RATIO'!E714:E737,"&lt;&gt;0")</f>
        <v>0</v>
      </c>
      <c r="D39" s="93">
        <f>COUNTIF('WATER_STEAM RATIO'!K714:K737,"&lt;&gt;0")</f>
        <v>0</v>
      </c>
      <c r="E39" s="93">
        <f>COUNTIF('WATER_STEAM RATIO'!Q714:Q737,"&lt;&gt;0")</f>
        <v>0</v>
      </c>
      <c r="F39" s="186">
        <f>SUM(SBoiler1!K32)</f>
        <v>0</v>
      </c>
      <c r="G39" s="186">
        <f>SUM(SBoiler2!K32)</f>
        <v>0</v>
      </c>
      <c r="H39" s="186">
        <f>SUM(SBoiler3!K32)</f>
        <v>0</v>
      </c>
      <c r="I39" s="186">
        <f t="shared" si="4"/>
        <v>0</v>
      </c>
      <c r="J39" s="126">
        <f t="shared" si="0"/>
        <v>0</v>
      </c>
    </row>
    <row r="40" spans="2:10">
      <c r="B40" s="111">
        <f>SUM(SBoiler3!B33)</f>
        <v>46051</v>
      </c>
      <c r="C40" s="93">
        <f>COUNTIF('WATER_STEAM RATIO'!E740:E763,"&lt;&gt;0")</f>
        <v>0</v>
      </c>
      <c r="D40" s="93">
        <f>COUNTIF('WATER_STEAM RATIO'!K740:K763,"&lt;&gt;0")</f>
        <v>0</v>
      </c>
      <c r="E40" s="93">
        <f>COUNTIF('WATER_STEAM RATIO'!Q740:Q763,"&lt;&gt;0")</f>
        <v>0</v>
      </c>
      <c r="F40" s="186">
        <f>SUM(SBoiler1!K33)</f>
        <v>0</v>
      </c>
      <c r="G40" s="186">
        <f>SUM(SBoiler2!K33)</f>
        <v>0</v>
      </c>
      <c r="H40" s="186">
        <f>SUM(SBoiler3!K33)</f>
        <v>0</v>
      </c>
      <c r="I40" s="186">
        <f t="shared" si="4"/>
        <v>0</v>
      </c>
      <c r="J40" s="126">
        <f t="shared" si="0"/>
        <v>0</v>
      </c>
    </row>
    <row r="41" spans="2:10">
      <c r="B41" s="111">
        <f>SUM(SBoiler3!B34)</f>
        <v>46052</v>
      </c>
      <c r="C41" s="93">
        <f>COUNTIF('WATER_STEAM RATIO'!E766:E789,"&lt;&gt;0")</f>
        <v>0</v>
      </c>
      <c r="D41" s="93">
        <f>COUNTIF('WATER_STEAM RATIO'!K766:K789,"&lt;&gt;0")</f>
        <v>0</v>
      </c>
      <c r="E41" s="93">
        <f>COUNTIF('WATER_STEAM RATIO'!Q766:Q789,"&lt;&gt;0")</f>
        <v>0</v>
      </c>
      <c r="F41" s="186">
        <f>SUM(SBoiler1!K34)</f>
        <v>0</v>
      </c>
      <c r="G41" s="186">
        <f>SUM(SBoiler2!K34)</f>
        <v>0</v>
      </c>
      <c r="H41" s="186">
        <f>SUM(SBoiler3!K34)</f>
        <v>0</v>
      </c>
      <c r="I41" s="186">
        <f t="shared" si="4"/>
        <v>0</v>
      </c>
      <c r="J41" s="126">
        <f t="shared" si="0"/>
        <v>0</v>
      </c>
    </row>
    <row r="42" spans="2:10">
      <c r="B42" s="111">
        <f>SUM(SBoiler3!B35)</f>
        <v>46053</v>
      </c>
      <c r="C42" s="93">
        <f>COUNTIF('WATER_STEAM RATIO'!E792:E815,"&lt;&gt;0")</f>
        <v>0</v>
      </c>
      <c r="D42" s="93">
        <f>COUNTIF('WATER_STEAM RATIO'!K792:K815,"&lt;&gt;0")</f>
        <v>0</v>
      </c>
      <c r="E42" s="93">
        <f>COUNTIF('WATER_STEAM RATIO'!Q792:Q815,"&lt;&gt;0")</f>
        <v>0</v>
      </c>
      <c r="F42" s="186">
        <f>SUM(SBoiler1!K35)</f>
        <v>0</v>
      </c>
      <c r="G42" s="186">
        <f>SUM(SBoiler2!K35)</f>
        <v>0</v>
      </c>
      <c r="H42" s="186">
        <f>SUM(SBoiler3!K35)</f>
        <v>0</v>
      </c>
      <c r="I42" s="186">
        <f t="shared" si="4"/>
        <v>0</v>
      </c>
      <c r="J42" s="126">
        <f t="shared" si="0"/>
        <v>0</v>
      </c>
    </row>
    <row r="43" spans="2:10">
      <c r="B43" s="8" t="s">
        <v>111</v>
      </c>
      <c r="C43" s="93">
        <f>SUMIF(C12:C42,"&gt;=0")</f>
        <v>1</v>
      </c>
      <c r="D43" s="93">
        <f t="shared" ref="D43:H43" si="5">SUMIF(D12:D42,"&gt;=0")</f>
        <v>441</v>
      </c>
      <c r="E43" s="93">
        <f t="shared" si="5"/>
        <v>160</v>
      </c>
      <c r="F43" s="93">
        <f t="shared" si="5"/>
        <v>0</v>
      </c>
      <c r="G43" s="93">
        <f t="shared" si="5"/>
        <v>4337</v>
      </c>
      <c r="H43" s="93">
        <f t="shared" si="5"/>
        <v>1366</v>
      </c>
      <c r="I43" s="186">
        <f t="shared" si="4"/>
        <v>5703</v>
      </c>
      <c r="J43" s="126">
        <f t="shared" ref="J43" si="6">IFERROR(I43/((C43*18)+(D43*18)+(E43*16))*100,0)</f>
        <v>54.231647014073793</v>
      </c>
    </row>
    <row r="44" spans="2:10">
      <c r="B44" s="120"/>
    </row>
    <row r="45" spans="2:10">
      <c r="B45" s="120"/>
    </row>
  </sheetData>
  <sheetProtection algorithmName="SHA-512" hashValue="Dk8OvqJloHS9CanVi0C3W2iCzPkE5zJxmcupQy/quJUix6fqJsDHXCoj93v76eHf3lc/mWHpfw6IZZyOyMf+DQ==" saltValue="uKfEJxML0bk5ulO3zPHt3w==" spinCount="100000" sheet="1" objects="1" scenarios="1"/>
  <mergeCells count="6">
    <mergeCell ref="C10:E10"/>
    <mergeCell ref="F10:H10"/>
    <mergeCell ref="I10:I11"/>
    <mergeCell ref="B10:B11"/>
    <mergeCell ref="B7:C9"/>
    <mergeCell ref="D7:H9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  <rowBreaks count="5" manualBreakCount="5">
    <brk id="37" max="16383" man="1"/>
    <brk id="63" max="16383" man="1"/>
    <brk id="90" max="16383" man="1"/>
    <brk id="116" max="16383" man="1"/>
    <brk id="143" max="16383" man="1"/>
  </rowBreaks>
  <colBreaks count="1" manualBreakCount="1">
    <brk id="10" min="6" max="42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9534A-844E-4DB1-B1FB-D4FD4E3A465F}">
  <sheetPr>
    <tabColor theme="9" tint="0.59999389629810485"/>
  </sheetPr>
  <dimension ref="B1:T61"/>
  <sheetViews>
    <sheetView view="pageBreakPreview" zoomScale="85" zoomScaleNormal="70" zoomScaleSheetLayoutView="85" workbookViewId="0">
      <selection activeCell="K11" sqref="K11"/>
    </sheetView>
  </sheetViews>
  <sheetFormatPr defaultRowHeight="15"/>
  <cols>
    <col min="1" max="1" width="9.140625" style="155"/>
    <col min="2" max="2" width="12" style="155" customWidth="1"/>
    <col min="3" max="3" width="12.85546875" style="155" customWidth="1"/>
    <col min="4" max="5" width="12.28515625" style="155" bestFit="1" customWidth="1"/>
    <col min="6" max="6" width="11.85546875" style="155" bestFit="1" customWidth="1"/>
    <col min="7" max="7" width="14" style="155" customWidth="1"/>
    <col min="8" max="8" width="12.28515625" style="155" customWidth="1"/>
    <col min="9" max="9" width="12.28515625" style="155" bestFit="1" customWidth="1"/>
    <col min="10" max="10" width="11.28515625" style="155" bestFit="1" customWidth="1"/>
    <col min="11" max="11" width="13.85546875" style="155" customWidth="1"/>
    <col min="12" max="12" width="11.28515625" style="155" bestFit="1" customWidth="1"/>
    <col min="13" max="13" width="10.42578125" style="155" customWidth="1"/>
    <col min="14" max="14" width="10" style="155" customWidth="1"/>
    <col min="15" max="15" width="17.28515625" style="155" customWidth="1"/>
    <col min="16" max="16" width="20.28515625" style="155" customWidth="1"/>
    <col min="17" max="17" width="11.85546875" style="155" customWidth="1"/>
    <col min="18" max="18" width="15.7109375" style="155" customWidth="1"/>
    <col min="19" max="19" width="13.5703125" style="155" customWidth="1"/>
    <col min="20" max="20" width="14.85546875" style="155" customWidth="1"/>
    <col min="21" max="16384" width="9.140625" style="155"/>
  </cols>
  <sheetData>
    <row r="1" spans="2:20">
      <c r="B1" s="408"/>
      <c r="C1" s="408"/>
      <c r="D1" s="409" t="s">
        <v>112</v>
      </c>
      <c r="E1" s="410"/>
      <c r="F1" s="410"/>
      <c r="G1" s="410"/>
      <c r="H1" s="410"/>
      <c r="I1" s="410"/>
      <c r="J1" s="410"/>
      <c r="K1" s="410"/>
      <c r="L1" s="410"/>
      <c r="M1" s="410"/>
      <c r="N1" s="411"/>
      <c r="O1" s="153" t="s">
        <v>7</v>
      </c>
      <c r="P1" s="154">
        <f>'DATA B1'!S6</f>
        <v>46023</v>
      </c>
    </row>
    <row r="2" spans="2:20">
      <c r="B2" s="408"/>
      <c r="C2" s="408"/>
      <c r="D2" s="409"/>
      <c r="E2" s="410"/>
      <c r="F2" s="410"/>
      <c r="G2" s="410"/>
      <c r="H2" s="410"/>
      <c r="I2" s="410"/>
      <c r="J2" s="410"/>
      <c r="K2" s="410"/>
      <c r="L2" s="410"/>
      <c r="M2" s="410"/>
      <c r="N2" s="411"/>
      <c r="O2" s="153" t="s">
        <v>3</v>
      </c>
      <c r="P2" s="156" t="s">
        <v>47</v>
      </c>
    </row>
    <row r="3" spans="2:20">
      <c r="B3" s="408"/>
      <c r="C3" s="408"/>
      <c r="D3" s="412"/>
      <c r="E3" s="413"/>
      <c r="F3" s="413"/>
      <c r="G3" s="413"/>
      <c r="H3" s="413"/>
      <c r="I3" s="413"/>
      <c r="J3" s="413"/>
      <c r="K3" s="413"/>
      <c r="L3" s="413"/>
      <c r="M3" s="413"/>
      <c r="N3" s="414"/>
      <c r="O3" s="153" t="s">
        <v>5</v>
      </c>
      <c r="P3" s="156" t="s">
        <v>47</v>
      </c>
    </row>
    <row r="4" spans="2:20">
      <c r="B4" s="415" t="s">
        <v>113</v>
      </c>
      <c r="C4" s="415"/>
      <c r="D4" s="416" t="s">
        <v>25</v>
      </c>
      <c r="E4" s="416"/>
      <c r="F4" s="416"/>
      <c r="G4" s="415" t="s">
        <v>114</v>
      </c>
      <c r="H4" s="417" t="s">
        <v>24</v>
      </c>
      <c r="I4" s="417"/>
      <c r="J4" s="417"/>
      <c r="K4" s="418" t="s">
        <v>115</v>
      </c>
      <c r="L4" s="420" t="s">
        <v>18</v>
      </c>
      <c r="M4" s="420"/>
      <c r="N4" s="420"/>
      <c r="O4" s="418" t="s">
        <v>116</v>
      </c>
      <c r="P4" s="157" t="s">
        <v>110</v>
      </c>
    </row>
    <row r="5" spans="2:20">
      <c r="B5" s="415"/>
      <c r="C5" s="415"/>
      <c r="D5" s="269" t="s">
        <v>69</v>
      </c>
      <c r="E5" s="269" t="s">
        <v>79</v>
      </c>
      <c r="F5" s="269" t="s">
        <v>83</v>
      </c>
      <c r="G5" s="415"/>
      <c r="H5" s="270" t="s">
        <v>69</v>
      </c>
      <c r="I5" s="270" t="s">
        <v>79</v>
      </c>
      <c r="J5" s="270" t="s">
        <v>83</v>
      </c>
      <c r="K5" s="419"/>
      <c r="L5" s="271" t="s">
        <v>69</v>
      </c>
      <c r="M5" s="271" t="s">
        <v>79</v>
      </c>
      <c r="N5" s="271" t="s">
        <v>83</v>
      </c>
      <c r="O5" s="419"/>
      <c r="P5" s="158" t="s">
        <v>104</v>
      </c>
    </row>
    <row r="6" spans="2:20" ht="30" customHeight="1">
      <c r="B6" s="407" t="str">
        <f>"Week "&amp;R17-$R$17+1&amp;" ("&amp;TEXT($S17,"dd/mm/yyyy")&amp;" - "&amp;TEXT($T17,"dd/mm/yyyy")&amp;")"</f>
        <v>Week 1 (01/01/2026 - 04/01/2026)</v>
      </c>
      <c r="C6" s="407"/>
      <c r="D6" s="159">
        <f t="shared" ref="D6:F6" si="0">SUMIFS(D$17:D$47,$C$17:$C$47,$R17,D$17:D$47,"&gt;0")</f>
        <v>0</v>
      </c>
      <c r="E6" s="159">
        <f t="shared" si="0"/>
        <v>1563</v>
      </c>
      <c r="F6" s="159">
        <f t="shared" si="0"/>
        <v>587</v>
      </c>
      <c r="G6" s="160">
        <f>SUMIF(D6:F6,"&gt;=0",D6:F6)</f>
        <v>2150</v>
      </c>
      <c r="H6" s="161">
        <f t="shared" ref="H6:J6" si="1">SUMIFS(H$17:H$47,$C$17:$C$47,$R17,H$17:H$47,"&gt;0")</f>
        <v>0</v>
      </c>
      <c r="I6" s="161">
        <f t="shared" si="1"/>
        <v>1061</v>
      </c>
      <c r="J6" s="161">
        <f t="shared" si="1"/>
        <v>708</v>
      </c>
      <c r="K6" s="160">
        <f>SUMIF(H6:J6,"&gt;=0",H6:J6)</f>
        <v>1769</v>
      </c>
      <c r="L6" s="162">
        <f t="shared" ref="L6:N6" si="2">SUMIFS(L$17:L$47,$C$17:$C$47,$R17,L$17:L$47,"&gt;0")</f>
        <v>0</v>
      </c>
      <c r="M6" s="162">
        <f t="shared" si="2"/>
        <v>63139</v>
      </c>
      <c r="N6" s="162">
        <f t="shared" si="2"/>
        <v>32242</v>
      </c>
      <c r="O6" s="160">
        <f>SUMIF(L6:N6,"&gt;=0",L6:N6)</f>
        <v>95381</v>
      </c>
      <c r="P6" s="163">
        <f t="shared" ref="P6:P9" si="3">IFERROR(AVERAGEIFS(P$17:P$47,$C$17:$C$47,$R17,P$17:P$47,"&gt;0"),0)</f>
        <v>54.197303921568633</v>
      </c>
    </row>
    <row r="7" spans="2:20" ht="30" customHeight="1">
      <c r="B7" s="407" t="str">
        <f t="shared" ref="B7:B10" si="4">"Week "&amp;R18-$R$17+1&amp;" ("&amp;TEXT($S18,"dd/mm/yyyy")&amp;" - "&amp;TEXT($T18,"dd/mm/yyyy")&amp;")"</f>
        <v>Week 2 (05/01/2026 - 11/01/2026)</v>
      </c>
      <c r="C7" s="407"/>
      <c r="D7" s="159">
        <f t="shared" ref="D7:F7" si="5">SUMIFS(D$17:D$47,$C$17:$C$47,$R18,D$17:D$47,"&gt;0")</f>
        <v>0</v>
      </c>
      <c r="E7" s="159">
        <f t="shared" si="5"/>
        <v>3394</v>
      </c>
      <c r="F7" s="159">
        <f t="shared" si="5"/>
        <v>90</v>
      </c>
      <c r="G7" s="160">
        <f>SUMIF(D7:F7,"&gt;=0",D7:F7)</f>
        <v>3484</v>
      </c>
      <c r="H7" s="161">
        <f t="shared" ref="H7:J7" si="6">SUMIFS(H$17:H$47,$C$17:$C$47,$R18,H$17:H$47,"&gt;0")</f>
        <v>0</v>
      </c>
      <c r="I7" s="161">
        <f t="shared" si="6"/>
        <v>1505</v>
      </c>
      <c r="J7" s="161">
        <f t="shared" si="6"/>
        <v>108</v>
      </c>
      <c r="K7" s="160">
        <f>SUMIF(H7:J7,"&gt;=0",H7:J7)</f>
        <v>1613</v>
      </c>
      <c r="L7" s="162">
        <f t="shared" ref="L7:N7" si="7">SUMIFS(L$17:L$47,$C$17:$C$47,$R18,L$17:L$47,"&gt;0")</f>
        <v>0</v>
      </c>
      <c r="M7" s="162">
        <f t="shared" si="7"/>
        <v>87092</v>
      </c>
      <c r="N7" s="162">
        <f t="shared" si="7"/>
        <v>4971</v>
      </c>
      <c r="O7" s="160">
        <f>SUMIF(L7:N7,"&gt;=0",L7:N7)</f>
        <v>92063</v>
      </c>
      <c r="P7" s="163">
        <f t="shared" si="3"/>
        <v>48.689273689273691</v>
      </c>
    </row>
    <row r="8" spans="2:20" ht="30" customHeight="1">
      <c r="B8" s="407" t="str">
        <f t="shared" si="4"/>
        <v>Week 3 (12/01/2026 - 18/01/2026)</v>
      </c>
      <c r="C8" s="407"/>
      <c r="D8" s="159">
        <f t="shared" ref="D8:F8" si="8">SUMIFS(D$17:D$47,$C$17:$C$47,$R19,D$17:D$47,"&gt;0")</f>
        <v>0</v>
      </c>
      <c r="E8" s="159">
        <f t="shared" si="8"/>
        <v>2230</v>
      </c>
      <c r="F8" s="159">
        <f t="shared" si="8"/>
        <v>0</v>
      </c>
      <c r="G8" s="160">
        <f>SUMIF(D8:F8,"&gt;=0",D8:F8)</f>
        <v>2230</v>
      </c>
      <c r="H8" s="161">
        <f t="shared" ref="H8:J8" si="9">SUMIFS(H$17:H$47,$C$17:$C$47,$R19,H$17:H$47,"&gt;0")</f>
        <v>0</v>
      </c>
      <c r="I8" s="161">
        <f t="shared" si="9"/>
        <v>1730</v>
      </c>
      <c r="J8" s="161">
        <f t="shared" si="9"/>
        <v>0</v>
      </c>
      <c r="K8" s="160">
        <f>SUMIF(H8:J8,"&gt;=0",H8:J8)</f>
        <v>1730</v>
      </c>
      <c r="L8" s="162">
        <f t="shared" ref="L8:N8" si="10">SUMIFS(L$17:L$47,$C$17:$C$47,$R19,L$17:L$47,"&gt;0")</f>
        <v>0</v>
      </c>
      <c r="M8" s="162">
        <f t="shared" si="10"/>
        <v>103168</v>
      </c>
      <c r="N8" s="162">
        <f t="shared" si="10"/>
        <v>0</v>
      </c>
      <c r="O8" s="160">
        <f>SUMIF(L8:N8,"&gt;=0",L8:N8)</f>
        <v>103168</v>
      </c>
      <c r="P8" s="163">
        <f t="shared" si="3"/>
        <v>57.208994708994702</v>
      </c>
      <c r="Q8" s="268"/>
    </row>
    <row r="9" spans="2:20" ht="30" customHeight="1">
      <c r="B9" s="407" t="str">
        <f t="shared" si="4"/>
        <v>Week 4 (19/01/2026 - 25/01/2026)</v>
      </c>
      <c r="C9" s="407"/>
      <c r="D9" s="159">
        <f t="shared" ref="D9:F9" si="11">SUMIFS(D$17:D$47,$C$17:$C$47,$R20,D$17:D$47,"&gt;0")</f>
        <v>0</v>
      </c>
      <c r="E9" s="159">
        <f t="shared" si="11"/>
        <v>39</v>
      </c>
      <c r="F9" s="159">
        <f t="shared" si="11"/>
        <v>500</v>
      </c>
      <c r="G9" s="160">
        <f>SUMIF(D9:F9,"&gt;=0",D9:F9)</f>
        <v>539</v>
      </c>
      <c r="H9" s="161">
        <f t="shared" ref="H9:J9" si="12">SUMIFS(H$17:H$47,$C$17:$C$47,$R20,H$17:H$47,"&gt;0")</f>
        <v>0</v>
      </c>
      <c r="I9" s="161">
        <f t="shared" si="12"/>
        <v>41</v>
      </c>
      <c r="J9" s="161">
        <f t="shared" si="12"/>
        <v>550</v>
      </c>
      <c r="K9" s="160">
        <f>SUMIF(H9:J9,"&gt;=0",H9:J9)</f>
        <v>591</v>
      </c>
      <c r="L9" s="162">
        <f t="shared" ref="L9:N9" si="13">SUMIFS(L$17:L$47,$C$17:$C$47,$R20,L$17:L$47,"&gt;0")</f>
        <v>0</v>
      </c>
      <c r="M9" s="162">
        <f t="shared" si="13"/>
        <v>2178</v>
      </c>
      <c r="N9" s="162">
        <f t="shared" si="13"/>
        <v>26294</v>
      </c>
      <c r="O9" s="160">
        <f>SUMIF(L9:N9,"&gt;=0",L9:N9)</f>
        <v>28472</v>
      </c>
      <c r="P9" s="163">
        <f t="shared" si="3"/>
        <v>59.003166240953597</v>
      </c>
      <c r="Q9" s="164"/>
    </row>
    <row r="10" spans="2:20" ht="30" customHeight="1">
      <c r="B10" s="407" t="str">
        <f t="shared" si="4"/>
        <v>Week 5 (26/01/2026 - 31/01/2026)</v>
      </c>
      <c r="C10" s="407"/>
      <c r="D10" s="159">
        <f>SUMIFS(D$17:D$47,$C$17:$C$47,$R21,D$17:D$47,"&gt;0")</f>
        <v>0</v>
      </c>
      <c r="E10" s="159">
        <f t="shared" ref="E10:F10" si="14">SUMIFS(E$17:E$47,$C$17:$C$47,$R21,E$17:E$47,"&gt;0")</f>
        <v>0</v>
      </c>
      <c r="F10" s="159">
        <f t="shared" si="14"/>
        <v>0</v>
      </c>
      <c r="G10" s="160">
        <f>SUMIF(D10:F10,"&gt;=0",D10:F10)</f>
        <v>0</v>
      </c>
      <c r="H10" s="161">
        <f>SUMIFS(H$17:H$47,$C$17:$C$47,$R21,H$17:H$47,"&gt;0")</f>
        <v>0</v>
      </c>
      <c r="I10" s="161">
        <f t="shared" ref="I10:J10" si="15">SUMIFS(I$17:I$47,$C$17:$C$47,$R21,I$17:I$47,"&gt;0")</f>
        <v>0</v>
      </c>
      <c r="J10" s="161">
        <f t="shared" si="15"/>
        <v>0</v>
      </c>
      <c r="K10" s="160">
        <f>SUMIF(H10:J10,"&gt;=0",H10:J10)</f>
        <v>0</v>
      </c>
      <c r="L10" s="162">
        <f>SUMIFS(L$17:L$47,$C$17:$C$47,$R21,L$17:L$47,"&gt;0")</f>
        <v>0</v>
      </c>
      <c r="M10" s="162">
        <f t="shared" ref="M10:N10" si="16">SUMIFS(M$17:M$47,$C$17:$C$47,$R21,M$17:M$47,"&gt;0")</f>
        <v>0</v>
      </c>
      <c r="N10" s="162">
        <f t="shared" si="16"/>
        <v>0</v>
      </c>
      <c r="O10" s="160">
        <f>SUMIF(L10:N10,"&gt;=0",L10:N10)</f>
        <v>0</v>
      </c>
      <c r="P10" s="163">
        <f>IFERROR(AVERAGEIFS(P$17:P$47,$C$17:$C$47,$R21,P$17:P$47,"&gt;0"),0)</f>
        <v>0</v>
      </c>
    </row>
    <row r="11" spans="2:20">
      <c r="B11" s="422" t="s">
        <v>111</v>
      </c>
      <c r="C11" s="422"/>
      <c r="D11" s="159">
        <f>SUMIF(D6:D10,"&gt;=0",D6:D10)</f>
        <v>0</v>
      </c>
      <c r="E11" s="159">
        <f>SUMIF(E6:E10,"&gt;=0",E6:E10)</f>
        <v>7226</v>
      </c>
      <c r="F11" s="159">
        <f>SUMIF(F6:F10,"&gt;=0",F6:F10)</f>
        <v>1177</v>
      </c>
      <c r="G11" s="160">
        <f>SUMIF(G6:G10,"&gt;=0",G6:G10)</f>
        <v>8403</v>
      </c>
      <c r="H11" s="161">
        <f t="shared" ref="H11:O11" si="17">SUM(H6:H10)</f>
        <v>0</v>
      </c>
      <c r="I11" s="161">
        <f t="shared" si="17"/>
        <v>4337</v>
      </c>
      <c r="J11" s="161">
        <f t="shared" si="17"/>
        <v>1366</v>
      </c>
      <c r="K11" s="160">
        <f t="shared" si="17"/>
        <v>5703</v>
      </c>
      <c r="L11" s="162">
        <f t="shared" si="17"/>
        <v>0</v>
      </c>
      <c r="M11" s="162">
        <f t="shared" si="17"/>
        <v>255577</v>
      </c>
      <c r="N11" s="162">
        <f t="shared" si="17"/>
        <v>63507</v>
      </c>
      <c r="O11" s="160">
        <f t="shared" si="17"/>
        <v>319084</v>
      </c>
      <c r="P11" s="163">
        <f>IFERROR(AVERAGEIF(P17:P47,"&gt;0"),0)</f>
        <v>54.051742533191145</v>
      </c>
    </row>
    <row r="12" spans="2:20">
      <c r="B12" s="165"/>
      <c r="C12" s="165"/>
    </row>
    <row r="13" spans="2:20" ht="15" customHeight="1">
      <c r="B13" s="425" t="str">
        <f ca="1">"As of date "&amp;TEXT(IF(AND(NOW()&gt;=B17,NOW()&lt;=B47)=TRUE,NOW(),MAX(B17:B47)),"DD/MM/YYYY")&amp;", "&amp;(TEXT(IF(AND(NOW()&gt;=B17,NOW()&lt;=B47)=TRUE,NOW(),MAX(B17:B47)),"DDDD"))</f>
        <v>As of date 21/01/2026, Wednesday</v>
      </c>
      <c r="C13" s="425"/>
      <c r="D13" s="425"/>
      <c r="E13" s="425"/>
      <c r="G13" s="188"/>
      <c r="H13" s="188"/>
    </row>
    <row r="14" spans="2:20">
      <c r="B14" s="166"/>
      <c r="C14" s="166"/>
    </row>
    <row r="15" spans="2:20" hidden="1">
      <c r="B15" s="167"/>
      <c r="C15" s="167"/>
      <c r="D15" s="168" t="s">
        <v>25</v>
      </c>
      <c r="E15" s="168"/>
      <c r="F15" s="168"/>
      <c r="G15" s="418" t="s">
        <v>114</v>
      </c>
      <c r="H15" s="169" t="s">
        <v>24</v>
      </c>
      <c r="I15" s="169"/>
      <c r="J15" s="169"/>
      <c r="K15" s="418" t="s">
        <v>115</v>
      </c>
      <c r="L15" s="170" t="s">
        <v>18</v>
      </c>
      <c r="M15" s="170"/>
      <c r="N15" s="170"/>
      <c r="O15" s="418" t="s">
        <v>116</v>
      </c>
      <c r="P15" s="171" t="s">
        <v>110</v>
      </c>
      <c r="R15" s="423" t="s">
        <v>117</v>
      </c>
      <c r="S15" s="424" t="s">
        <v>118</v>
      </c>
      <c r="T15" s="421" t="s">
        <v>119</v>
      </c>
    </row>
    <row r="16" spans="2:20" hidden="1">
      <c r="B16" s="167" t="s">
        <v>103</v>
      </c>
      <c r="C16" s="167" t="s">
        <v>120</v>
      </c>
      <c r="D16" s="269" t="s">
        <v>69</v>
      </c>
      <c r="E16" s="269" t="s">
        <v>79</v>
      </c>
      <c r="F16" s="269" t="s">
        <v>83</v>
      </c>
      <c r="G16" s="419"/>
      <c r="H16" s="270" t="s">
        <v>69</v>
      </c>
      <c r="I16" s="270" t="s">
        <v>79</v>
      </c>
      <c r="J16" s="270" t="s">
        <v>83</v>
      </c>
      <c r="K16" s="419"/>
      <c r="L16" s="271" t="s">
        <v>69</v>
      </c>
      <c r="M16" s="271" t="s">
        <v>79</v>
      </c>
      <c r="N16" s="271" t="s">
        <v>83</v>
      </c>
      <c r="O16" s="419"/>
      <c r="P16" s="171" t="s">
        <v>104</v>
      </c>
      <c r="R16" s="423"/>
      <c r="S16" s="424"/>
      <c r="T16" s="421"/>
    </row>
    <row r="17" spans="2:20" hidden="1">
      <c r="B17" s="172">
        <f>SBoiler1!B5</f>
        <v>46023</v>
      </c>
      <c r="C17" s="167">
        <f>WEEKNUM(B17,2)</f>
        <v>1</v>
      </c>
      <c r="D17" s="173">
        <f>SBoiler1!I5</f>
        <v>0</v>
      </c>
      <c r="E17" s="173">
        <f>SBoiler2!I5</f>
        <v>363</v>
      </c>
      <c r="F17" s="173">
        <f>SBoiler3!I5</f>
        <v>158</v>
      </c>
      <c r="G17" s="173">
        <f>SUMIF(D17:F17,"&gt;=0",D17:F17)</f>
        <v>521</v>
      </c>
      <c r="H17" s="173">
        <f>SBoiler1!K5</f>
        <v>0</v>
      </c>
      <c r="I17" s="173">
        <f>SBoiler2!K5</f>
        <v>268</v>
      </c>
      <c r="J17" s="173">
        <f>SBoiler3!K5</f>
        <v>186</v>
      </c>
      <c r="K17" s="173">
        <f>SUMIF(H17:J17,"&gt;=0",H17:J17)</f>
        <v>454</v>
      </c>
      <c r="L17" s="173">
        <f>SBoiler1!L5</f>
        <v>0</v>
      </c>
      <c r="M17" s="173">
        <f>SBoiler2!L5</f>
        <v>16602</v>
      </c>
      <c r="N17" s="173">
        <f>SBoiler3!L5</f>
        <v>8663</v>
      </c>
      <c r="O17" s="173">
        <f>SUMIF(L17:N17,"&gt;=0",L17:N17)</f>
        <v>25265</v>
      </c>
      <c r="P17" s="173">
        <f>TProductivity!J12</f>
        <v>55.637254901960787</v>
      </c>
      <c r="R17" s="187">
        <f>C17</f>
        <v>1</v>
      </c>
      <c r="S17" s="174">
        <f>_xlfn.MINIFS($B$17:$B$47,$C$17:$C$47,$R17)</f>
        <v>46023</v>
      </c>
      <c r="T17" s="174">
        <f>_xlfn.MAXIFS($B$17:$B$47,$C$17:$C$47,$R17)</f>
        <v>46026</v>
      </c>
    </row>
    <row r="18" spans="2:20" hidden="1">
      <c r="B18" s="172">
        <f>SBoiler1!B6</f>
        <v>46024</v>
      </c>
      <c r="C18" s="167">
        <f t="shared" ref="C18:C47" si="18">WEEKNUM(B18,2)</f>
        <v>1</v>
      </c>
      <c r="D18" s="173">
        <f>SBoiler1!I6</f>
        <v>0</v>
      </c>
      <c r="E18" s="173">
        <f>SBoiler2!I6</f>
        <v>404</v>
      </c>
      <c r="F18" s="173">
        <f>SBoiler3!I6</f>
        <v>152</v>
      </c>
      <c r="G18" s="173">
        <f t="shared" ref="G18:G47" si="19">SUMIF(D18:F18,"&gt;=0",D18:F18)</f>
        <v>556</v>
      </c>
      <c r="H18" s="173">
        <f>SBoiler1!K6</f>
        <v>0</v>
      </c>
      <c r="I18" s="173">
        <f>SBoiler2!K6</f>
        <v>262</v>
      </c>
      <c r="J18" s="173">
        <f>SBoiler3!K6</f>
        <v>186</v>
      </c>
      <c r="K18" s="173">
        <f t="shared" ref="K18:K47" si="20">SUMIF(H18:J18,"&gt;=0",H18:J18)</f>
        <v>448</v>
      </c>
      <c r="L18" s="173">
        <f>SBoiler1!L6</f>
        <v>0</v>
      </c>
      <c r="M18" s="173">
        <f>SBoiler2!L6</f>
        <v>15472</v>
      </c>
      <c r="N18" s="173">
        <f>SBoiler3!L6</f>
        <v>8311</v>
      </c>
      <c r="O18" s="173">
        <f t="shared" ref="O18:O47" si="21">SUMIF(L18:N18,"&gt;=0",L18:N18)</f>
        <v>23783</v>
      </c>
      <c r="P18" s="173">
        <f>TProductivity!J13</f>
        <v>54.901960784313729</v>
      </c>
      <c r="R18" s="267">
        <f>R17+1</f>
        <v>2</v>
      </c>
      <c r="S18" s="174">
        <f t="shared" ref="S18:S22" si="22">_xlfn.MINIFS($B$17:$B$47,$C$17:$C$47,$R18)</f>
        <v>46027</v>
      </c>
      <c r="T18" s="174">
        <f t="shared" ref="T18:T22" si="23">_xlfn.MAXIFS($B$17:$B$47,$C$17:$C$47,$R18)</f>
        <v>46033</v>
      </c>
    </row>
    <row r="19" spans="2:20" hidden="1">
      <c r="B19" s="172">
        <f>SBoiler1!B7</f>
        <v>46025</v>
      </c>
      <c r="C19" s="167">
        <f t="shared" si="18"/>
        <v>1</v>
      </c>
      <c r="D19" s="173">
        <f>SBoiler1!I7</f>
        <v>0</v>
      </c>
      <c r="E19" s="173">
        <f>SBoiler2!I7</f>
        <v>414</v>
      </c>
      <c r="F19" s="173">
        <f>SBoiler3!I7</f>
        <v>147</v>
      </c>
      <c r="G19" s="173">
        <f t="shared" si="19"/>
        <v>561</v>
      </c>
      <c r="H19" s="173">
        <f>SBoiler1!K7</f>
        <v>0</v>
      </c>
      <c r="I19" s="173">
        <f>SBoiler2!K7</f>
        <v>260</v>
      </c>
      <c r="J19" s="173">
        <f>SBoiler3!K7</f>
        <v>179</v>
      </c>
      <c r="K19" s="173">
        <f t="shared" si="20"/>
        <v>439</v>
      </c>
      <c r="L19" s="173">
        <f>SBoiler1!L7</f>
        <v>0</v>
      </c>
      <c r="M19" s="173">
        <f>SBoiler2!L7</f>
        <v>15212</v>
      </c>
      <c r="N19" s="173">
        <f>SBoiler3!L7</f>
        <v>8058</v>
      </c>
      <c r="O19" s="173">
        <f t="shared" si="21"/>
        <v>23270</v>
      </c>
      <c r="P19" s="173">
        <f>TProductivity!J14</f>
        <v>53.799019607843135</v>
      </c>
      <c r="R19" s="267">
        <f t="shared" ref="R19:R22" si="24">R18+1</f>
        <v>3</v>
      </c>
      <c r="S19" s="174">
        <f t="shared" si="22"/>
        <v>46034</v>
      </c>
      <c r="T19" s="174">
        <f t="shared" si="23"/>
        <v>46040</v>
      </c>
    </row>
    <row r="20" spans="2:20" hidden="1">
      <c r="B20" s="172">
        <f>SBoiler1!B8</f>
        <v>46026</v>
      </c>
      <c r="C20" s="167">
        <f t="shared" si="18"/>
        <v>1</v>
      </c>
      <c r="D20" s="173">
        <f>SBoiler1!I8</f>
        <v>0</v>
      </c>
      <c r="E20" s="173">
        <f>SBoiler2!I8</f>
        <v>382</v>
      </c>
      <c r="F20" s="173">
        <f>SBoiler3!I8</f>
        <v>130</v>
      </c>
      <c r="G20" s="173">
        <f t="shared" si="19"/>
        <v>512</v>
      </c>
      <c r="H20" s="173">
        <f>SBoiler1!K8</f>
        <v>0</v>
      </c>
      <c r="I20" s="173">
        <f>SBoiler2!K8</f>
        <v>271</v>
      </c>
      <c r="J20" s="173">
        <f>SBoiler3!K8</f>
        <v>157</v>
      </c>
      <c r="K20" s="173">
        <f t="shared" si="20"/>
        <v>428</v>
      </c>
      <c r="L20" s="173">
        <f>SBoiler1!L8</f>
        <v>0</v>
      </c>
      <c r="M20" s="173">
        <f>SBoiler2!L8</f>
        <v>15853</v>
      </c>
      <c r="N20" s="173">
        <f>SBoiler3!L8</f>
        <v>7210</v>
      </c>
      <c r="O20" s="173">
        <f t="shared" si="21"/>
        <v>23063</v>
      </c>
      <c r="P20" s="173">
        <f>TProductivity!J15</f>
        <v>52.450980392156865</v>
      </c>
      <c r="R20" s="267">
        <f t="shared" si="24"/>
        <v>4</v>
      </c>
      <c r="S20" s="174">
        <f t="shared" si="22"/>
        <v>46041</v>
      </c>
      <c r="T20" s="174">
        <f t="shared" si="23"/>
        <v>46047</v>
      </c>
    </row>
    <row r="21" spans="2:20" hidden="1">
      <c r="B21" s="172">
        <f>SBoiler1!B9</f>
        <v>46027</v>
      </c>
      <c r="C21" s="167">
        <f t="shared" si="18"/>
        <v>2</v>
      </c>
      <c r="D21" s="173">
        <f>SBoiler1!I9</f>
        <v>0</v>
      </c>
      <c r="E21" s="173">
        <f>SBoiler2!I9</f>
        <v>400</v>
      </c>
      <c r="F21" s="173">
        <f>SBoiler3!I9</f>
        <v>90</v>
      </c>
      <c r="G21" s="173">
        <f t="shared" si="19"/>
        <v>490</v>
      </c>
      <c r="H21" s="173">
        <f>SBoiler1!K9</f>
        <v>0</v>
      </c>
      <c r="I21" s="173">
        <f>SBoiler2!K9</f>
        <v>256</v>
      </c>
      <c r="J21" s="173">
        <f>SBoiler3!K9</f>
        <v>108</v>
      </c>
      <c r="K21" s="173">
        <f t="shared" si="20"/>
        <v>364</v>
      </c>
      <c r="L21" s="173">
        <f>SBoiler1!L9</f>
        <v>0</v>
      </c>
      <c r="M21" s="173">
        <f>SBoiler2!L9</f>
        <v>14798</v>
      </c>
      <c r="N21" s="173">
        <f>SBoiler3!L9</f>
        <v>4971</v>
      </c>
      <c r="O21" s="173">
        <f t="shared" si="21"/>
        <v>19769</v>
      </c>
      <c r="P21" s="173">
        <f>TProductivity!J16</f>
        <v>51.70454545454546</v>
      </c>
      <c r="R21" s="267">
        <f t="shared" si="24"/>
        <v>5</v>
      </c>
      <c r="S21" s="174">
        <f t="shared" si="22"/>
        <v>46048</v>
      </c>
      <c r="T21" s="174">
        <f t="shared" si="23"/>
        <v>46053</v>
      </c>
    </row>
    <row r="22" spans="2:20" hidden="1">
      <c r="B22" s="172">
        <f>SBoiler1!B10</f>
        <v>46028</v>
      </c>
      <c r="C22" s="167">
        <f t="shared" si="18"/>
        <v>2</v>
      </c>
      <c r="D22" s="173">
        <f>SBoiler1!I10</f>
        <v>0</v>
      </c>
      <c r="E22" s="173">
        <f>SBoiler2!I10</f>
        <v>436</v>
      </c>
      <c r="F22" s="173">
        <f>SBoiler3!I10</f>
        <v>0</v>
      </c>
      <c r="G22" s="173">
        <f t="shared" si="19"/>
        <v>436</v>
      </c>
      <c r="H22" s="173">
        <f>SBoiler1!K10</f>
        <v>0</v>
      </c>
      <c r="I22" s="173">
        <f>SBoiler2!K10</f>
        <v>214</v>
      </c>
      <c r="J22" s="173">
        <f>SBoiler3!K10</f>
        <v>0</v>
      </c>
      <c r="K22" s="173">
        <f t="shared" si="20"/>
        <v>214</v>
      </c>
      <c r="L22" s="173">
        <f>SBoiler1!L10</f>
        <v>0</v>
      </c>
      <c r="M22" s="173">
        <f>SBoiler2!L10</f>
        <v>12278</v>
      </c>
      <c r="N22" s="173">
        <f>SBoiler3!L10</f>
        <v>0</v>
      </c>
      <c r="O22" s="173">
        <f t="shared" si="21"/>
        <v>12278</v>
      </c>
      <c r="P22" s="173">
        <f>TProductivity!J17</f>
        <v>49.537037037037038</v>
      </c>
      <c r="R22" s="267">
        <f t="shared" si="24"/>
        <v>6</v>
      </c>
      <c r="S22" s="174">
        <f t="shared" si="22"/>
        <v>0</v>
      </c>
      <c r="T22" s="174">
        <f t="shared" si="23"/>
        <v>0</v>
      </c>
    </row>
    <row r="23" spans="2:20" hidden="1">
      <c r="B23" s="172">
        <f>SBoiler1!B11</f>
        <v>46029</v>
      </c>
      <c r="C23" s="167">
        <f t="shared" si="18"/>
        <v>2</v>
      </c>
      <c r="D23" s="173">
        <f>SBoiler1!I11</f>
        <v>0</v>
      </c>
      <c r="E23" s="173">
        <f>SBoiler2!I11</f>
        <v>440</v>
      </c>
      <c r="F23" s="173">
        <f>SBoiler3!I11</f>
        <v>0</v>
      </c>
      <c r="G23" s="173">
        <f t="shared" si="19"/>
        <v>440</v>
      </c>
      <c r="H23" s="173">
        <f>SBoiler1!K11</f>
        <v>0</v>
      </c>
      <c r="I23" s="173">
        <f>SBoiler2!K11</f>
        <v>212</v>
      </c>
      <c r="J23" s="173">
        <f>SBoiler3!K11</f>
        <v>0</v>
      </c>
      <c r="K23" s="173">
        <f t="shared" si="20"/>
        <v>212</v>
      </c>
      <c r="L23" s="173">
        <f>SBoiler1!L11</f>
        <v>0</v>
      </c>
      <c r="M23" s="173">
        <f>SBoiler2!L11</f>
        <v>12219</v>
      </c>
      <c r="N23" s="173">
        <f>SBoiler3!L11</f>
        <v>0</v>
      </c>
      <c r="O23" s="173">
        <f t="shared" si="21"/>
        <v>12219</v>
      </c>
      <c r="P23" s="173">
        <f>TProductivity!J18</f>
        <v>49.074074074074076</v>
      </c>
      <c r="R23" s="267"/>
      <c r="S23" s="174"/>
      <c r="T23" s="174"/>
    </row>
    <row r="24" spans="2:20" hidden="1">
      <c r="B24" s="172">
        <f>SBoiler1!B12</f>
        <v>46030</v>
      </c>
      <c r="C24" s="167">
        <f t="shared" si="18"/>
        <v>2</v>
      </c>
      <c r="D24" s="173">
        <f>SBoiler1!I12</f>
        <v>0</v>
      </c>
      <c r="E24" s="173">
        <f>SBoiler2!I12</f>
        <v>538</v>
      </c>
      <c r="F24" s="173">
        <f>SBoiler3!I12</f>
        <v>0</v>
      </c>
      <c r="G24" s="173">
        <f t="shared" si="19"/>
        <v>538</v>
      </c>
      <c r="H24" s="173">
        <f>SBoiler1!K12</f>
        <v>0</v>
      </c>
      <c r="I24" s="173">
        <f>SBoiler2!K12</f>
        <v>202</v>
      </c>
      <c r="J24" s="173">
        <f>SBoiler3!K12</f>
        <v>0</v>
      </c>
      <c r="K24" s="173">
        <f t="shared" si="20"/>
        <v>202</v>
      </c>
      <c r="L24" s="173">
        <f>SBoiler1!L12</f>
        <v>0</v>
      </c>
      <c r="M24" s="173">
        <f>SBoiler2!L12</f>
        <v>11811</v>
      </c>
      <c r="N24" s="173">
        <f>SBoiler3!L12</f>
        <v>0</v>
      </c>
      <c r="O24" s="173">
        <f t="shared" si="21"/>
        <v>11811</v>
      </c>
      <c r="P24" s="173">
        <f>TProductivity!J19</f>
        <v>46.75925925925926</v>
      </c>
    </row>
    <row r="25" spans="2:20" hidden="1">
      <c r="B25" s="172">
        <f>SBoiler1!B13</f>
        <v>46031</v>
      </c>
      <c r="C25" s="167">
        <f t="shared" si="18"/>
        <v>2</v>
      </c>
      <c r="D25" s="173">
        <f>SBoiler1!I13</f>
        <v>0</v>
      </c>
      <c r="E25" s="173">
        <f>SBoiler2!I13</f>
        <v>497</v>
      </c>
      <c r="F25" s="173">
        <f>SBoiler3!I13</f>
        <v>0</v>
      </c>
      <c r="G25" s="173">
        <f t="shared" si="19"/>
        <v>497</v>
      </c>
      <c r="H25" s="173">
        <f>SBoiler1!K13</f>
        <v>0</v>
      </c>
      <c r="I25" s="173">
        <f>SBoiler2!K13</f>
        <v>217</v>
      </c>
      <c r="J25" s="173">
        <f>SBoiler3!K13</f>
        <v>0</v>
      </c>
      <c r="K25" s="173">
        <f t="shared" si="20"/>
        <v>217</v>
      </c>
      <c r="L25" s="173">
        <f>SBoiler1!L13</f>
        <v>0</v>
      </c>
      <c r="M25" s="173">
        <f>SBoiler2!L13</f>
        <v>12189</v>
      </c>
      <c r="N25" s="173">
        <f>SBoiler3!L13</f>
        <v>0</v>
      </c>
      <c r="O25" s="173">
        <f t="shared" si="21"/>
        <v>12189</v>
      </c>
      <c r="P25" s="173">
        <f>TProductivity!J20</f>
        <v>50.231481481481474</v>
      </c>
      <c r="R25" s="189"/>
    </row>
    <row r="26" spans="2:20" hidden="1">
      <c r="B26" s="172">
        <f>SBoiler1!B14</f>
        <v>46032</v>
      </c>
      <c r="C26" s="167">
        <f t="shared" si="18"/>
        <v>2</v>
      </c>
      <c r="D26" s="173">
        <f>SBoiler1!I14</f>
        <v>0</v>
      </c>
      <c r="E26" s="173">
        <f>SBoiler2!I14</f>
        <v>542</v>
      </c>
      <c r="F26" s="173">
        <f>SBoiler3!I14</f>
        <v>0</v>
      </c>
      <c r="G26" s="173">
        <f t="shared" si="19"/>
        <v>542</v>
      </c>
      <c r="H26" s="173">
        <f>SBoiler1!K14</f>
        <v>0</v>
      </c>
      <c r="I26" s="173">
        <f>SBoiler2!K14</f>
        <v>202</v>
      </c>
      <c r="J26" s="173">
        <f>SBoiler3!K14</f>
        <v>0</v>
      </c>
      <c r="K26" s="173">
        <f t="shared" si="20"/>
        <v>202</v>
      </c>
      <c r="L26" s="173">
        <f>SBoiler1!L14</f>
        <v>0</v>
      </c>
      <c r="M26" s="173">
        <f>SBoiler2!L14</f>
        <v>12133</v>
      </c>
      <c r="N26" s="173">
        <f>SBoiler3!L14</f>
        <v>0</v>
      </c>
      <c r="O26" s="173">
        <f t="shared" si="21"/>
        <v>12133</v>
      </c>
      <c r="P26" s="173">
        <f>TProductivity!J21</f>
        <v>46.75925925925926</v>
      </c>
    </row>
    <row r="27" spans="2:20" hidden="1">
      <c r="B27" s="172">
        <f>SBoiler1!B15</f>
        <v>46033</v>
      </c>
      <c r="C27" s="167">
        <f t="shared" si="18"/>
        <v>2</v>
      </c>
      <c r="D27" s="173">
        <f>SBoiler1!I15</f>
        <v>0</v>
      </c>
      <c r="E27" s="173">
        <f>SBoiler2!I15</f>
        <v>541</v>
      </c>
      <c r="F27" s="173">
        <f>SBoiler3!I15</f>
        <v>0</v>
      </c>
      <c r="G27" s="173">
        <f t="shared" si="19"/>
        <v>541</v>
      </c>
      <c r="H27" s="173">
        <f>SBoiler1!K15</f>
        <v>0</v>
      </c>
      <c r="I27" s="173">
        <f>SBoiler2!K15</f>
        <v>202</v>
      </c>
      <c r="J27" s="173">
        <f>SBoiler3!K15</f>
        <v>0</v>
      </c>
      <c r="K27" s="173">
        <f t="shared" si="20"/>
        <v>202</v>
      </c>
      <c r="L27" s="173">
        <f>SBoiler1!L15</f>
        <v>0</v>
      </c>
      <c r="M27" s="173">
        <f>SBoiler2!L15</f>
        <v>11664</v>
      </c>
      <c r="N27" s="173">
        <f>SBoiler3!L15</f>
        <v>0</v>
      </c>
      <c r="O27" s="173">
        <f t="shared" si="21"/>
        <v>11664</v>
      </c>
      <c r="P27" s="173">
        <f>TProductivity!J22</f>
        <v>46.75925925925926</v>
      </c>
    </row>
    <row r="28" spans="2:20" hidden="1">
      <c r="B28" s="172">
        <f>SBoiler1!B16</f>
        <v>46034</v>
      </c>
      <c r="C28" s="167">
        <f t="shared" si="18"/>
        <v>3</v>
      </c>
      <c r="D28" s="173">
        <f>SBoiler1!I16</f>
        <v>0</v>
      </c>
      <c r="E28" s="173">
        <f>SBoiler2!I16</f>
        <v>527</v>
      </c>
      <c r="F28" s="173">
        <f>SBoiler3!I16</f>
        <v>0</v>
      </c>
      <c r="G28" s="173">
        <f t="shared" si="19"/>
        <v>527</v>
      </c>
      <c r="H28" s="173">
        <f>SBoiler1!K16</f>
        <v>0</v>
      </c>
      <c r="I28" s="173">
        <f>SBoiler2!K16</f>
        <v>232</v>
      </c>
      <c r="J28" s="173">
        <f>SBoiler3!K16</f>
        <v>0</v>
      </c>
      <c r="K28" s="173">
        <f t="shared" si="20"/>
        <v>232</v>
      </c>
      <c r="L28" s="173">
        <f>SBoiler1!L16</f>
        <v>0</v>
      </c>
      <c r="M28" s="173">
        <f>SBoiler2!L16</f>
        <v>13681</v>
      </c>
      <c r="N28" s="173">
        <f>SBoiler3!L16</f>
        <v>0</v>
      </c>
      <c r="O28" s="173">
        <f t="shared" si="21"/>
        <v>13681</v>
      </c>
      <c r="P28" s="173">
        <f>TProductivity!J23</f>
        <v>53.703703703703709</v>
      </c>
    </row>
    <row r="29" spans="2:20" hidden="1">
      <c r="B29" s="172">
        <f>SBoiler1!B17</f>
        <v>46035</v>
      </c>
      <c r="C29" s="167">
        <f t="shared" si="18"/>
        <v>3</v>
      </c>
      <c r="D29" s="173">
        <f>SBoiler1!I17</f>
        <v>0</v>
      </c>
      <c r="E29" s="173">
        <f>SBoiler2!I17</f>
        <v>444</v>
      </c>
      <c r="F29" s="173">
        <f>SBoiler3!I17</f>
        <v>0</v>
      </c>
      <c r="G29" s="173">
        <f t="shared" si="19"/>
        <v>444</v>
      </c>
      <c r="H29" s="173">
        <f>SBoiler1!K17</f>
        <v>0</v>
      </c>
      <c r="I29" s="173">
        <f>SBoiler2!K17</f>
        <v>259</v>
      </c>
      <c r="J29" s="173">
        <f>SBoiler3!K17</f>
        <v>0</v>
      </c>
      <c r="K29" s="173">
        <f t="shared" si="20"/>
        <v>259</v>
      </c>
      <c r="L29" s="173">
        <f>SBoiler1!L17</f>
        <v>0</v>
      </c>
      <c r="M29" s="173">
        <f>SBoiler2!L17</f>
        <v>15428</v>
      </c>
      <c r="N29" s="173">
        <f>SBoiler3!L17</f>
        <v>0</v>
      </c>
      <c r="O29" s="173">
        <f t="shared" si="21"/>
        <v>15428</v>
      </c>
      <c r="P29" s="173">
        <f>TProductivity!J24</f>
        <v>59.953703703703709</v>
      </c>
    </row>
    <row r="30" spans="2:20" hidden="1">
      <c r="B30" s="172">
        <f>SBoiler1!B18</f>
        <v>46036</v>
      </c>
      <c r="C30" s="167">
        <f t="shared" si="18"/>
        <v>3</v>
      </c>
      <c r="D30" s="173">
        <f>SBoiler1!I18</f>
        <v>0</v>
      </c>
      <c r="E30" s="173">
        <f>SBoiler2!I18</f>
        <v>277</v>
      </c>
      <c r="F30" s="173">
        <f>SBoiler3!I18</f>
        <v>0</v>
      </c>
      <c r="G30" s="173">
        <f t="shared" si="19"/>
        <v>277</v>
      </c>
      <c r="H30" s="173">
        <f>SBoiler1!K18</f>
        <v>0</v>
      </c>
      <c r="I30" s="173">
        <f>SBoiler2!K18</f>
        <v>270</v>
      </c>
      <c r="J30" s="173">
        <f>SBoiler3!K18</f>
        <v>0</v>
      </c>
      <c r="K30" s="173">
        <f t="shared" si="20"/>
        <v>270</v>
      </c>
      <c r="L30" s="173">
        <f>SBoiler1!L18</f>
        <v>0</v>
      </c>
      <c r="M30" s="173">
        <f>SBoiler2!L18</f>
        <v>16044</v>
      </c>
      <c r="N30" s="173">
        <f>SBoiler3!L18</f>
        <v>0</v>
      </c>
      <c r="O30" s="173">
        <f t="shared" si="21"/>
        <v>16044</v>
      </c>
      <c r="P30" s="173">
        <f>TProductivity!J25</f>
        <v>62.5</v>
      </c>
    </row>
    <row r="31" spans="2:20" hidden="1">
      <c r="B31" s="172">
        <f>SBoiler1!B19</f>
        <v>46037</v>
      </c>
      <c r="C31" s="167">
        <f t="shared" si="18"/>
        <v>3</v>
      </c>
      <c r="D31" s="173">
        <f>SBoiler1!I19</f>
        <v>0</v>
      </c>
      <c r="E31" s="173">
        <f>SBoiler2!I19</f>
        <v>283</v>
      </c>
      <c r="F31" s="173">
        <f>SBoiler3!I19</f>
        <v>0</v>
      </c>
      <c r="G31" s="173">
        <f t="shared" si="19"/>
        <v>283</v>
      </c>
      <c r="H31" s="173">
        <f>SBoiler1!K19</f>
        <v>0</v>
      </c>
      <c r="I31" s="173">
        <f>SBoiler2!K19</f>
        <v>284</v>
      </c>
      <c r="J31" s="173">
        <f>SBoiler3!K19</f>
        <v>0</v>
      </c>
      <c r="K31" s="173">
        <f t="shared" si="20"/>
        <v>284</v>
      </c>
      <c r="L31" s="173">
        <f>SBoiler1!L19</f>
        <v>0</v>
      </c>
      <c r="M31" s="173">
        <f>SBoiler2!L19</f>
        <v>16984</v>
      </c>
      <c r="N31" s="173">
        <f>SBoiler3!L19</f>
        <v>0</v>
      </c>
      <c r="O31" s="173">
        <f t="shared" si="21"/>
        <v>16984</v>
      </c>
      <c r="P31" s="173">
        <f>TProductivity!J26</f>
        <v>65.740740740740748</v>
      </c>
    </row>
    <row r="32" spans="2:20" hidden="1">
      <c r="B32" s="172">
        <f>SBoiler1!B20</f>
        <v>46038</v>
      </c>
      <c r="C32" s="167">
        <f t="shared" si="18"/>
        <v>3</v>
      </c>
      <c r="D32" s="173">
        <f>SBoiler1!I20</f>
        <v>0</v>
      </c>
      <c r="E32" s="173">
        <f>SBoiler2!I20</f>
        <v>284</v>
      </c>
      <c r="F32" s="173">
        <f>SBoiler3!I20</f>
        <v>0</v>
      </c>
      <c r="G32" s="173">
        <f t="shared" si="19"/>
        <v>284</v>
      </c>
      <c r="H32" s="173">
        <f>SBoiler1!K20</f>
        <v>0</v>
      </c>
      <c r="I32" s="173">
        <f>SBoiler2!K20</f>
        <v>271</v>
      </c>
      <c r="J32" s="173">
        <f>SBoiler3!K20</f>
        <v>0</v>
      </c>
      <c r="K32" s="173">
        <f t="shared" si="20"/>
        <v>271</v>
      </c>
      <c r="L32" s="173">
        <f>SBoiler1!L20</f>
        <v>0</v>
      </c>
      <c r="M32" s="173">
        <f>SBoiler2!L20</f>
        <v>16188</v>
      </c>
      <c r="N32" s="173">
        <f>SBoiler3!L20</f>
        <v>0</v>
      </c>
      <c r="O32" s="173">
        <f t="shared" si="21"/>
        <v>16188</v>
      </c>
      <c r="P32" s="173">
        <f>TProductivity!J27</f>
        <v>62.731481481481474</v>
      </c>
    </row>
    <row r="33" spans="2:16" hidden="1">
      <c r="B33" s="172">
        <f>SBoiler1!B21</f>
        <v>46039</v>
      </c>
      <c r="C33" s="167">
        <f t="shared" si="18"/>
        <v>3</v>
      </c>
      <c r="D33" s="173">
        <f>SBoiler1!I21</f>
        <v>0</v>
      </c>
      <c r="E33" s="173">
        <f>SBoiler2!I21</f>
        <v>194</v>
      </c>
      <c r="F33" s="173">
        <f>SBoiler3!I21</f>
        <v>0</v>
      </c>
      <c r="G33" s="173">
        <f t="shared" si="19"/>
        <v>194</v>
      </c>
      <c r="H33" s="173">
        <f>SBoiler1!K21</f>
        <v>0</v>
      </c>
      <c r="I33" s="173">
        <f>SBoiler2!K21</f>
        <v>227</v>
      </c>
      <c r="J33" s="173">
        <f>SBoiler3!K21</f>
        <v>0</v>
      </c>
      <c r="K33" s="173">
        <f t="shared" si="20"/>
        <v>227</v>
      </c>
      <c r="L33" s="173">
        <f>SBoiler1!L21</f>
        <v>0</v>
      </c>
      <c r="M33" s="173">
        <f>SBoiler2!L21</f>
        <v>13674</v>
      </c>
      <c r="N33" s="173">
        <f>SBoiler3!L21</f>
        <v>0</v>
      </c>
      <c r="O33" s="173">
        <f t="shared" si="21"/>
        <v>13674</v>
      </c>
      <c r="P33" s="173">
        <f>TProductivity!J28</f>
        <v>52.546296296296291</v>
      </c>
    </row>
    <row r="34" spans="2:16" hidden="1">
      <c r="B34" s="172">
        <f>SBoiler1!B22</f>
        <v>46040</v>
      </c>
      <c r="C34" s="167">
        <f t="shared" si="18"/>
        <v>3</v>
      </c>
      <c r="D34" s="173">
        <f>SBoiler1!I22</f>
        <v>0</v>
      </c>
      <c r="E34" s="173">
        <f>SBoiler2!I22</f>
        <v>221</v>
      </c>
      <c r="F34" s="173">
        <f>SBoiler3!I22</f>
        <v>0</v>
      </c>
      <c r="G34" s="173">
        <f t="shared" si="19"/>
        <v>221</v>
      </c>
      <c r="H34" s="173">
        <f>SBoiler1!K22</f>
        <v>0</v>
      </c>
      <c r="I34" s="173">
        <f>SBoiler2!K22</f>
        <v>187</v>
      </c>
      <c r="J34" s="173">
        <f>SBoiler3!K22</f>
        <v>0</v>
      </c>
      <c r="K34" s="173">
        <f t="shared" si="20"/>
        <v>187</v>
      </c>
      <c r="L34" s="173">
        <f>SBoiler1!L22</f>
        <v>0</v>
      </c>
      <c r="M34" s="173">
        <f>SBoiler2!L22</f>
        <v>11169</v>
      </c>
      <c r="N34" s="173">
        <f>SBoiler3!L22</f>
        <v>0</v>
      </c>
      <c r="O34" s="173">
        <f t="shared" si="21"/>
        <v>11169</v>
      </c>
      <c r="P34" s="173">
        <f>TProductivity!J29</f>
        <v>43.287037037037038</v>
      </c>
    </row>
    <row r="35" spans="2:16" hidden="1">
      <c r="B35" s="172">
        <f>SBoiler1!B23</f>
        <v>46041</v>
      </c>
      <c r="C35" s="167">
        <f t="shared" si="18"/>
        <v>4</v>
      </c>
      <c r="D35" s="173">
        <f>SBoiler1!I23</f>
        <v>0</v>
      </c>
      <c r="E35" s="173">
        <f>SBoiler2!I23</f>
        <v>39</v>
      </c>
      <c r="F35" s="173">
        <f>SBoiler3!I23</f>
        <v>219</v>
      </c>
      <c r="G35" s="173">
        <f t="shared" si="19"/>
        <v>258</v>
      </c>
      <c r="H35" s="173">
        <f>SBoiler1!K23</f>
        <v>0</v>
      </c>
      <c r="I35" s="173">
        <f>SBoiler2!K23</f>
        <v>41</v>
      </c>
      <c r="J35" s="173">
        <f>SBoiler3!K23</f>
        <v>221</v>
      </c>
      <c r="K35" s="173">
        <f t="shared" si="20"/>
        <v>262</v>
      </c>
      <c r="L35" s="173">
        <f>SBoiler1!L23</f>
        <v>0</v>
      </c>
      <c r="M35" s="173">
        <f>SBoiler2!L23</f>
        <v>2178</v>
      </c>
      <c r="N35" s="173">
        <f>SBoiler3!L23</f>
        <v>11572</v>
      </c>
      <c r="O35" s="173">
        <f t="shared" si="21"/>
        <v>13750</v>
      </c>
      <c r="P35" s="173">
        <f>TProductivity!J30</f>
        <v>60.648148148148152</v>
      </c>
    </row>
    <row r="36" spans="2:16" hidden="1">
      <c r="B36" s="172">
        <f>SBoiler1!B24</f>
        <v>46042</v>
      </c>
      <c r="C36" s="167">
        <f t="shared" si="18"/>
        <v>4</v>
      </c>
      <c r="D36" s="173">
        <f>SBoiler1!I24</f>
        <v>0</v>
      </c>
      <c r="E36" s="173">
        <f>SBoiler2!I24</f>
        <v>0</v>
      </c>
      <c r="F36" s="173">
        <f>SBoiler3!I24</f>
        <v>245</v>
      </c>
      <c r="G36" s="173">
        <f t="shared" si="19"/>
        <v>245</v>
      </c>
      <c r="H36" s="173">
        <f>SBoiler1!K24</f>
        <v>0</v>
      </c>
      <c r="I36" s="173">
        <f>SBoiler2!K24</f>
        <v>0</v>
      </c>
      <c r="J36" s="173">
        <f>SBoiler3!K24</f>
        <v>278</v>
      </c>
      <c r="K36" s="173">
        <f t="shared" si="20"/>
        <v>278</v>
      </c>
      <c r="L36" s="173">
        <f>SBoiler1!L24</f>
        <v>0</v>
      </c>
      <c r="M36" s="173">
        <f>SBoiler2!L24</f>
        <v>0</v>
      </c>
      <c r="N36" s="173">
        <f>SBoiler3!L24</f>
        <v>12865</v>
      </c>
      <c r="O36" s="173">
        <f t="shared" si="21"/>
        <v>12865</v>
      </c>
      <c r="P36" s="173">
        <f>TProductivity!J31</f>
        <v>72.395833333333343</v>
      </c>
    </row>
    <row r="37" spans="2:16" hidden="1">
      <c r="B37" s="172">
        <f>SBoiler1!B25</f>
        <v>46043</v>
      </c>
      <c r="C37" s="167">
        <f t="shared" si="18"/>
        <v>4</v>
      </c>
      <c r="D37" s="173">
        <f>SBoiler1!I25</f>
        <v>0</v>
      </c>
      <c r="E37" s="173">
        <f>SBoiler2!I25</f>
        <v>0</v>
      </c>
      <c r="F37" s="173">
        <f>SBoiler3!I25</f>
        <v>36</v>
      </c>
      <c r="G37" s="173">
        <f t="shared" si="19"/>
        <v>36</v>
      </c>
      <c r="H37" s="173">
        <f>SBoiler1!K25</f>
        <v>0</v>
      </c>
      <c r="I37" s="173">
        <f>SBoiler2!K25</f>
        <v>0</v>
      </c>
      <c r="J37" s="173">
        <f>SBoiler3!K25</f>
        <v>51</v>
      </c>
      <c r="K37" s="173">
        <f t="shared" si="20"/>
        <v>51</v>
      </c>
      <c r="L37" s="173">
        <f>SBoiler1!L25</f>
        <v>0</v>
      </c>
      <c r="M37" s="173">
        <f>SBoiler2!L25</f>
        <v>0</v>
      </c>
      <c r="N37" s="173">
        <f>SBoiler3!L25</f>
        <v>1857</v>
      </c>
      <c r="O37" s="173">
        <f t="shared" si="21"/>
        <v>1857</v>
      </c>
      <c r="P37" s="173">
        <f>TProductivity!J32</f>
        <v>43.96551724137931</v>
      </c>
    </row>
    <row r="38" spans="2:16" hidden="1">
      <c r="B38" s="172">
        <f>SBoiler1!B26</f>
        <v>46044</v>
      </c>
      <c r="C38" s="167">
        <f t="shared" si="18"/>
        <v>4</v>
      </c>
      <c r="D38" s="173">
        <f>SBoiler1!I26</f>
        <v>0</v>
      </c>
      <c r="E38" s="173">
        <f>SBoiler2!I26</f>
        <v>0</v>
      </c>
      <c r="F38" s="173">
        <f>SBoiler3!I26</f>
        <v>0</v>
      </c>
      <c r="G38" s="173">
        <f t="shared" si="19"/>
        <v>0</v>
      </c>
      <c r="H38" s="173">
        <f>SBoiler1!K26</f>
        <v>0</v>
      </c>
      <c r="I38" s="173">
        <f>SBoiler2!K26</f>
        <v>0</v>
      </c>
      <c r="J38" s="173">
        <f>SBoiler3!K26</f>
        <v>0</v>
      </c>
      <c r="K38" s="173">
        <f t="shared" si="20"/>
        <v>0</v>
      </c>
      <c r="L38" s="173">
        <f>SBoiler1!L26</f>
        <v>0</v>
      </c>
      <c r="M38" s="173">
        <f>SBoiler2!L26</f>
        <v>0</v>
      </c>
      <c r="N38" s="173">
        <f>SBoiler3!L26</f>
        <v>0</v>
      </c>
      <c r="O38" s="173">
        <f t="shared" si="21"/>
        <v>0</v>
      </c>
      <c r="P38" s="173">
        <f>TProductivity!J33</f>
        <v>0</v>
      </c>
    </row>
    <row r="39" spans="2:16" hidden="1">
      <c r="B39" s="172">
        <f>SBoiler1!B27</f>
        <v>46045</v>
      </c>
      <c r="C39" s="167">
        <f t="shared" si="18"/>
        <v>4</v>
      </c>
      <c r="D39" s="173">
        <f>SBoiler1!I27</f>
        <v>0</v>
      </c>
      <c r="E39" s="173">
        <f>SBoiler2!I27</f>
        <v>0</v>
      </c>
      <c r="F39" s="173">
        <f>SBoiler3!I27</f>
        <v>0</v>
      </c>
      <c r="G39" s="173">
        <f t="shared" si="19"/>
        <v>0</v>
      </c>
      <c r="H39" s="173">
        <f>SBoiler1!K27</f>
        <v>0</v>
      </c>
      <c r="I39" s="173">
        <f>SBoiler2!K27</f>
        <v>0</v>
      </c>
      <c r="J39" s="173">
        <f>SBoiler3!K27</f>
        <v>0</v>
      </c>
      <c r="K39" s="173">
        <f t="shared" si="20"/>
        <v>0</v>
      </c>
      <c r="L39" s="173">
        <f>SBoiler1!L27</f>
        <v>0</v>
      </c>
      <c r="M39" s="173">
        <f>SBoiler2!L27</f>
        <v>0</v>
      </c>
      <c r="N39" s="173">
        <f>SBoiler3!L27</f>
        <v>0</v>
      </c>
      <c r="O39" s="173">
        <f t="shared" si="21"/>
        <v>0</v>
      </c>
      <c r="P39" s="173">
        <f>TProductivity!J34</f>
        <v>0</v>
      </c>
    </row>
    <row r="40" spans="2:16" hidden="1">
      <c r="B40" s="172">
        <f>SBoiler1!B28</f>
        <v>46046</v>
      </c>
      <c r="C40" s="167">
        <f t="shared" si="18"/>
        <v>4</v>
      </c>
      <c r="D40" s="173">
        <f>SBoiler1!I28</f>
        <v>0</v>
      </c>
      <c r="E40" s="173">
        <f>SBoiler2!I28</f>
        <v>0</v>
      </c>
      <c r="F40" s="173">
        <f>SBoiler3!I28</f>
        <v>0</v>
      </c>
      <c r="G40" s="173">
        <f t="shared" si="19"/>
        <v>0</v>
      </c>
      <c r="H40" s="173">
        <f>SBoiler1!K28</f>
        <v>0</v>
      </c>
      <c r="I40" s="173">
        <f>SBoiler2!K28</f>
        <v>0</v>
      </c>
      <c r="J40" s="173">
        <f>SBoiler3!K28</f>
        <v>0</v>
      </c>
      <c r="K40" s="173">
        <f t="shared" si="20"/>
        <v>0</v>
      </c>
      <c r="L40" s="173">
        <f>SBoiler1!L28</f>
        <v>0</v>
      </c>
      <c r="M40" s="173">
        <f>SBoiler2!L28</f>
        <v>0</v>
      </c>
      <c r="N40" s="173">
        <f>SBoiler3!L28</f>
        <v>0</v>
      </c>
      <c r="O40" s="173">
        <f t="shared" si="21"/>
        <v>0</v>
      </c>
      <c r="P40" s="173">
        <f>TProductivity!J35</f>
        <v>0</v>
      </c>
    </row>
    <row r="41" spans="2:16" hidden="1">
      <c r="B41" s="172">
        <f>SBoiler1!B29</f>
        <v>46047</v>
      </c>
      <c r="C41" s="167">
        <f t="shared" si="18"/>
        <v>4</v>
      </c>
      <c r="D41" s="173">
        <f>SBoiler1!I29</f>
        <v>0</v>
      </c>
      <c r="E41" s="173">
        <f>SBoiler2!I29</f>
        <v>0</v>
      </c>
      <c r="F41" s="173">
        <f>SBoiler3!I29</f>
        <v>0</v>
      </c>
      <c r="G41" s="173">
        <f t="shared" si="19"/>
        <v>0</v>
      </c>
      <c r="H41" s="173">
        <f>SBoiler1!K29</f>
        <v>0</v>
      </c>
      <c r="I41" s="173">
        <f>SBoiler2!K29</f>
        <v>0</v>
      </c>
      <c r="J41" s="173">
        <f>SBoiler3!K29</f>
        <v>0</v>
      </c>
      <c r="K41" s="173">
        <f t="shared" si="20"/>
        <v>0</v>
      </c>
      <c r="L41" s="173">
        <f>SBoiler1!L29</f>
        <v>0</v>
      </c>
      <c r="M41" s="173">
        <f>SBoiler2!L29</f>
        <v>0</v>
      </c>
      <c r="N41" s="173">
        <f>SBoiler3!L29</f>
        <v>0</v>
      </c>
      <c r="O41" s="173">
        <f t="shared" si="21"/>
        <v>0</v>
      </c>
      <c r="P41" s="173">
        <f>TProductivity!J36</f>
        <v>0</v>
      </c>
    </row>
    <row r="42" spans="2:16" hidden="1">
      <c r="B42" s="172">
        <f>SBoiler1!B30</f>
        <v>46048</v>
      </c>
      <c r="C42" s="167">
        <f t="shared" si="18"/>
        <v>5</v>
      </c>
      <c r="D42" s="173">
        <f>SBoiler1!I30</f>
        <v>0</v>
      </c>
      <c r="E42" s="173">
        <f>SBoiler2!I30</f>
        <v>0</v>
      </c>
      <c r="F42" s="173">
        <f>SBoiler3!I30</f>
        <v>0</v>
      </c>
      <c r="G42" s="173">
        <f t="shared" si="19"/>
        <v>0</v>
      </c>
      <c r="H42" s="173">
        <f>SBoiler1!K30</f>
        <v>0</v>
      </c>
      <c r="I42" s="173">
        <f>SBoiler2!K30</f>
        <v>0</v>
      </c>
      <c r="J42" s="173">
        <f>SBoiler3!K30</f>
        <v>0</v>
      </c>
      <c r="K42" s="173">
        <f t="shared" si="20"/>
        <v>0</v>
      </c>
      <c r="L42" s="173">
        <f>SBoiler1!L30</f>
        <v>0</v>
      </c>
      <c r="M42" s="173">
        <f>SBoiler2!L30</f>
        <v>0</v>
      </c>
      <c r="N42" s="173">
        <f>SBoiler3!L30</f>
        <v>0</v>
      </c>
      <c r="O42" s="173">
        <f t="shared" si="21"/>
        <v>0</v>
      </c>
      <c r="P42" s="173">
        <f>TProductivity!J37</f>
        <v>0</v>
      </c>
    </row>
    <row r="43" spans="2:16" hidden="1">
      <c r="B43" s="172">
        <f>SBoiler1!B31</f>
        <v>46049</v>
      </c>
      <c r="C43" s="167">
        <f t="shared" si="18"/>
        <v>5</v>
      </c>
      <c r="D43" s="173">
        <f>SBoiler1!I31</f>
        <v>0</v>
      </c>
      <c r="E43" s="173">
        <f>SBoiler2!I31</f>
        <v>0</v>
      </c>
      <c r="F43" s="173">
        <f>SBoiler3!I31</f>
        <v>0</v>
      </c>
      <c r="G43" s="173">
        <f t="shared" si="19"/>
        <v>0</v>
      </c>
      <c r="H43" s="173">
        <f>SBoiler1!K31</f>
        <v>0</v>
      </c>
      <c r="I43" s="173">
        <f>SBoiler2!K31</f>
        <v>0</v>
      </c>
      <c r="J43" s="173">
        <f>SBoiler3!K31</f>
        <v>0</v>
      </c>
      <c r="K43" s="173">
        <f t="shared" si="20"/>
        <v>0</v>
      </c>
      <c r="L43" s="173">
        <f>SBoiler1!L31</f>
        <v>0</v>
      </c>
      <c r="M43" s="173">
        <f>SBoiler2!L31</f>
        <v>0</v>
      </c>
      <c r="N43" s="173">
        <f>SBoiler3!L31</f>
        <v>0</v>
      </c>
      <c r="O43" s="173">
        <f t="shared" si="21"/>
        <v>0</v>
      </c>
      <c r="P43" s="173">
        <f>TProductivity!J38</f>
        <v>0</v>
      </c>
    </row>
    <row r="44" spans="2:16" hidden="1">
      <c r="B44" s="172">
        <f>SBoiler1!B32</f>
        <v>46050</v>
      </c>
      <c r="C44" s="167">
        <f t="shared" si="18"/>
        <v>5</v>
      </c>
      <c r="D44" s="173">
        <f>SBoiler1!I32</f>
        <v>0</v>
      </c>
      <c r="E44" s="173">
        <f>SBoiler2!I32</f>
        <v>0</v>
      </c>
      <c r="F44" s="173">
        <f>SBoiler3!I32</f>
        <v>0</v>
      </c>
      <c r="G44" s="173">
        <f t="shared" si="19"/>
        <v>0</v>
      </c>
      <c r="H44" s="173">
        <f>SBoiler1!K32</f>
        <v>0</v>
      </c>
      <c r="I44" s="173">
        <f>SBoiler2!K32</f>
        <v>0</v>
      </c>
      <c r="J44" s="173">
        <f>SBoiler3!K32</f>
        <v>0</v>
      </c>
      <c r="K44" s="173">
        <f t="shared" si="20"/>
        <v>0</v>
      </c>
      <c r="L44" s="173">
        <f>SBoiler1!L32</f>
        <v>0</v>
      </c>
      <c r="M44" s="173">
        <f>SBoiler2!L32</f>
        <v>0</v>
      </c>
      <c r="N44" s="173">
        <f>SBoiler3!L32</f>
        <v>0</v>
      </c>
      <c r="O44" s="173">
        <f t="shared" si="21"/>
        <v>0</v>
      </c>
      <c r="P44" s="173">
        <f>TProductivity!J39</f>
        <v>0</v>
      </c>
    </row>
    <row r="45" spans="2:16" hidden="1">
      <c r="B45" s="172">
        <f>SBoiler1!B33</f>
        <v>46051</v>
      </c>
      <c r="C45" s="167">
        <f t="shared" si="18"/>
        <v>5</v>
      </c>
      <c r="D45" s="173">
        <f>SBoiler1!I33</f>
        <v>0</v>
      </c>
      <c r="E45" s="173">
        <f>SBoiler2!I33</f>
        <v>0</v>
      </c>
      <c r="F45" s="173">
        <f>SBoiler3!I33</f>
        <v>0</v>
      </c>
      <c r="G45" s="173">
        <f t="shared" si="19"/>
        <v>0</v>
      </c>
      <c r="H45" s="173">
        <f>SBoiler1!K33</f>
        <v>0</v>
      </c>
      <c r="I45" s="173">
        <f>SBoiler2!K33</f>
        <v>0</v>
      </c>
      <c r="J45" s="173">
        <f>SBoiler3!K33</f>
        <v>0</v>
      </c>
      <c r="K45" s="173">
        <f t="shared" si="20"/>
        <v>0</v>
      </c>
      <c r="L45" s="173">
        <f>SBoiler1!L33</f>
        <v>0</v>
      </c>
      <c r="M45" s="173">
        <f>SBoiler2!L33</f>
        <v>0</v>
      </c>
      <c r="N45" s="173">
        <f>SBoiler3!L33</f>
        <v>0</v>
      </c>
      <c r="O45" s="173">
        <f t="shared" si="21"/>
        <v>0</v>
      </c>
      <c r="P45" s="173">
        <f>TProductivity!J40</f>
        <v>0</v>
      </c>
    </row>
    <row r="46" spans="2:16" hidden="1">
      <c r="B46" s="172">
        <f>SBoiler1!B34</f>
        <v>46052</v>
      </c>
      <c r="C46" s="167">
        <f t="shared" si="18"/>
        <v>5</v>
      </c>
      <c r="D46" s="173">
        <f>SBoiler1!I34</f>
        <v>0</v>
      </c>
      <c r="E46" s="173">
        <f>SBoiler2!I34</f>
        <v>0</v>
      </c>
      <c r="F46" s="173">
        <f>SBoiler3!I34</f>
        <v>0</v>
      </c>
      <c r="G46" s="173">
        <f t="shared" si="19"/>
        <v>0</v>
      </c>
      <c r="H46" s="173">
        <f>SBoiler1!K34</f>
        <v>0</v>
      </c>
      <c r="I46" s="173">
        <f>SBoiler2!K34</f>
        <v>0</v>
      </c>
      <c r="J46" s="173">
        <f>SBoiler3!K34</f>
        <v>0</v>
      </c>
      <c r="K46" s="173">
        <f t="shared" si="20"/>
        <v>0</v>
      </c>
      <c r="L46" s="173">
        <f>SBoiler1!L34</f>
        <v>0</v>
      </c>
      <c r="M46" s="173">
        <f>SBoiler2!L34</f>
        <v>0</v>
      </c>
      <c r="N46" s="173">
        <f>SBoiler3!L34</f>
        <v>0</v>
      </c>
      <c r="O46" s="173">
        <f t="shared" si="21"/>
        <v>0</v>
      </c>
      <c r="P46" s="173">
        <f>TProductivity!J41</f>
        <v>0</v>
      </c>
    </row>
    <row r="47" spans="2:16" hidden="1">
      <c r="B47" s="172">
        <f>SBoiler1!B35</f>
        <v>46053</v>
      </c>
      <c r="C47" s="167">
        <f t="shared" si="18"/>
        <v>5</v>
      </c>
      <c r="D47" s="173">
        <f>SBoiler1!I35</f>
        <v>0</v>
      </c>
      <c r="E47" s="173">
        <f>SBoiler2!I35</f>
        <v>0</v>
      </c>
      <c r="F47" s="173">
        <f>SBoiler3!I35</f>
        <v>0</v>
      </c>
      <c r="G47" s="173">
        <f t="shared" si="19"/>
        <v>0</v>
      </c>
      <c r="H47" s="173">
        <f>SBoiler1!K35</f>
        <v>0</v>
      </c>
      <c r="I47" s="173">
        <f>SBoiler2!K35</f>
        <v>0</v>
      </c>
      <c r="J47" s="173">
        <f>SBoiler3!K35</f>
        <v>0</v>
      </c>
      <c r="K47" s="173">
        <f t="shared" si="20"/>
        <v>0</v>
      </c>
      <c r="L47" s="173">
        <f>SBoiler1!L35</f>
        <v>0</v>
      </c>
      <c r="M47" s="173">
        <f>SBoiler2!L35</f>
        <v>0</v>
      </c>
      <c r="N47" s="173">
        <f>SBoiler3!L35</f>
        <v>0</v>
      </c>
      <c r="O47" s="173">
        <f t="shared" si="21"/>
        <v>0</v>
      </c>
      <c r="P47" s="173">
        <f>TProductivity!J42</f>
        <v>0</v>
      </c>
    </row>
    <row r="48" spans="2:16">
      <c r="B48" s="166"/>
      <c r="C48" s="166"/>
    </row>
    <row r="49" spans="2:3">
      <c r="B49" s="188"/>
      <c r="C49" s="166"/>
    </row>
    <row r="50" spans="2:3">
      <c r="B50" s="188"/>
      <c r="C50" s="166"/>
    </row>
    <row r="51" spans="2:3">
      <c r="B51" s="188"/>
      <c r="C51" s="166"/>
    </row>
    <row r="52" spans="2:3">
      <c r="B52" s="188"/>
      <c r="C52" s="166"/>
    </row>
    <row r="53" spans="2:3">
      <c r="B53" s="188"/>
      <c r="C53" s="166"/>
    </row>
    <row r="54" spans="2:3">
      <c r="B54" s="188"/>
      <c r="C54" s="166"/>
    </row>
    <row r="55" spans="2:3">
      <c r="B55" s="188"/>
      <c r="C55" s="166"/>
    </row>
    <row r="56" spans="2:3">
      <c r="B56" s="188"/>
      <c r="C56" s="166"/>
    </row>
    <row r="57" spans="2:3">
      <c r="B57" s="188"/>
      <c r="C57" s="166"/>
    </row>
    <row r="58" spans="2:3">
      <c r="B58" s="188"/>
      <c r="C58" s="166"/>
    </row>
    <row r="59" spans="2:3">
      <c r="B59" s="166"/>
      <c r="C59" s="166"/>
    </row>
    <row r="60" spans="2:3">
      <c r="B60" s="166"/>
      <c r="C60" s="166"/>
    </row>
    <row r="61" spans="2:3">
      <c r="B61" s="166"/>
      <c r="C61" s="166"/>
    </row>
  </sheetData>
  <sheetProtection algorithmName="SHA-512" hashValue="BG29UoFiLW4S4K505vZjvwYCvwj7RvqEFd2tArwXK8gvcD4I+9JO23ARf5SC1d2bHImTM5Jd2PdI62gkpg9u8A==" saltValue="AGsMMmU/opCjhzC2WnQHLQ==" spinCount="100000" sheet="1" objects="1" scenarios="1"/>
  <mergeCells count="22">
    <mergeCell ref="T15:T16"/>
    <mergeCell ref="B11:C11"/>
    <mergeCell ref="G15:G16"/>
    <mergeCell ref="K15:K16"/>
    <mergeCell ref="O15:O16"/>
    <mergeCell ref="R15:R16"/>
    <mergeCell ref="S15:S16"/>
    <mergeCell ref="B13:E13"/>
    <mergeCell ref="O4:O5"/>
    <mergeCell ref="B6:C6"/>
    <mergeCell ref="B7:C7"/>
    <mergeCell ref="B8:C8"/>
    <mergeCell ref="B9:C9"/>
    <mergeCell ref="B10:C10"/>
    <mergeCell ref="B1:C3"/>
    <mergeCell ref="D1:N3"/>
    <mergeCell ref="B4:C5"/>
    <mergeCell ref="D4:F4"/>
    <mergeCell ref="G4:G5"/>
    <mergeCell ref="H4:J4"/>
    <mergeCell ref="K4:K5"/>
    <mergeCell ref="L4:N4"/>
  </mergeCells>
  <pageMargins left="0.7" right="0.7" top="0.75" bottom="0.75" header="0.3" footer="0.3"/>
  <pageSetup scale="3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Muhammad Asyraf bin Abd HAris</cp:lastModifiedBy>
  <cp:revision/>
  <dcterms:created xsi:type="dcterms:W3CDTF">2017-02-14T05:35:17Z</dcterms:created>
  <dcterms:modified xsi:type="dcterms:W3CDTF">2026-01-21T07:29:40Z</dcterms:modified>
  <cp:category/>
  <cp:contentStatus/>
</cp:coreProperties>
</file>